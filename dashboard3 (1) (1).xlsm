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3.xml" ContentType="application/vnd.openxmlformats-officedocument.drawing+xml"/>
  <Override PartName="/xl/slicers/slicer2.xml" ContentType="application/vnd.ms-excel.slicer+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hidePivotFieldList="1"/>
  <mc:AlternateContent xmlns:mc="http://schemas.openxmlformats.org/markup-compatibility/2006">
    <mc:Choice Requires="x15">
      <x15ac:absPath xmlns:x15ac="http://schemas.microsoft.com/office/spreadsheetml/2010/11/ac" url="C:\Users\HP\Downloads\"/>
    </mc:Choice>
  </mc:AlternateContent>
  <xr:revisionPtr revIDLastSave="0" documentId="13_ncr:1_{89592A73-17F5-4CAD-A9DF-816EA80E6884}" xr6:coauthVersionLast="47" xr6:coauthVersionMax="47" xr10:uidLastSave="{00000000-0000-0000-0000-000000000000}"/>
  <bookViews>
    <workbookView xWindow="-110" yWindow="-110" windowWidth="19420" windowHeight="10300" activeTab="3" xr2:uid="{1A862782-6F5C-417A-BA7E-3A01D521EECB}"/>
  </bookViews>
  <sheets>
    <sheet name="Main Page" sheetId="4" r:id="rId1"/>
    <sheet name="data" sheetId="1" r:id="rId2"/>
    <sheet name="Pivot Table" sheetId="2" r:id="rId3"/>
    <sheet name="Dashboard" sheetId="3" r:id="rId4"/>
  </sheets>
  <definedNames>
    <definedName name="_xlchart.v1.0" hidden="1">'Pivot Table'!$E$20:$E$28</definedName>
    <definedName name="_xlchart.v1.1" hidden="1">'Pivot Table'!$F$19</definedName>
    <definedName name="_xlchart.v1.2" hidden="1">'Pivot Table'!$F$20:$F$28</definedName>
    <definedName name="_xlchart.v1.3" hidden="1">'Pivot Table'!$G$19</definedName>
    <definedName name="_xlchart.v1.4" hidden="1">'Pivot Table'!$G$20:$G$28</definedName>
    <definedName name="_xlchart.v1.5" hidden="1">'Pivot Table'!$H$19</definedName>
    <definedName name="_xlchart.v1.6" hidden="1">'Pivot Table'!$H$20:$H$28</definedName>
    <definedName name="_xleta.AVERAGE" hidden="1" xlm="1">#NAME?</definedName>
    <definedName name="Slicer_Age_Group">#N/A</definedName>
    <definedName name="Slicer_Outcome">#N/A</definedName>
    <definedName name="Slicer_Years__Weekend">#N/A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2" i="2" l="1" a="1"/>
  <c r="G22" i="2" s="1"/>
  <c r="A88" i="2"/>
  <c r="A177" i="2"/>
  <c r="A89" i="2"/>
  <c r="A90" i="2"/>
  <c r="E21" i="2"/>
  <c r="E22" i="2"/>
  <c r="E23" i="2"/>
  <c r="E24" i="2"/>
  <c r="E25" i="2"/>
  <c r="E26" i="2"/>
  <c r="E27" i="2"/>
  <c r="E28" i="2"/>
  <c r="E20" i="2"/>
  <c r="D88" i="2"/>
  <c r="F89" i="2"/>
  <c r="C90" i="2"/>
  <c r="G24" i="2"/>
  <c r="L90" i="2"/>
  <c r="B90" i="2"/>
  <c r="D179" i="2"/>
  <c r="I90" i="2"/>
  <c r="F21" i="2"/>
  <c r="C89" i="2"/>
  <c r="H88" i="2"/>
  <c r="G21" i="2"/>
  <c r="M90" i="2"/>
  <c r="F27" i="2"/>
  <c r="F26" i="2"/>
  <c r="H26" i="2"/>
  <c r="D89" i="2"/>
  <c r="D77" i="2"/>
  <c r="B77" i="2"/>
  <c r="E178" i="2"/>
  <c r="G28" i="2"/>
  <c r="B177" i="2"/>
  <c r="I89" i="2"/>
  <c r="H90" i="2"/>
  <c r="C177" i="2"/>
  <c r="E179" i="2"/>
  <c r="E88" i="2"/>
  <c r="G88" i="2"/>
  <c r="C88" i="2"/>
  <c r="C77" i="2"/>
  <c r="M88" i="2"/>
  <c r="H21" i="2"/>
  <c r="F20" i="2"/>
  <c r="G27" i="2"/>
  <c r="F24" i="2"/>
  <c r="B178" i="2"/>
  <c r="B179" i="2"/>
  <c r="H20" i="2"/>
  <c r="F23" i="2"/>
  <c r="E90" i="2"/>
  <c r="E177" i="2"/>
  <c r="K88" i="2"/>
  <c r="F28" i="2"/>
  <c r="K90" i="2"/>
  <c r="L88" i="2"/>
  <c r="E89" i="2"/>
  <c r="B248" i="2"/>
  <c r="L89" i="2"/>
  <c r="D90" i="2"/>
  <c r="G90" i="2"/>
  <c r="G25" i="2"/>
  <c r="J89" i="2"/>
  <c r="G20" i="2"/>
  <c r="H27" i="2"/>
  <c r="C178" i="2"/>
  <c r="D177" i="2"/>
  <c r="G89" i="2"/>
  <c r="H28" i="2"/>
  <c r="D178" i="2"/>
  <c r="F25" i="2"/>
  <c r="H89" i="2"/>
  <c r="I88" i="2"/>
  <c r="H24" i="2"/>
  <c r="G23" i="2"/>
  <c r="H23" i="2"/>
  <c r="G26" i="2"/>
  <c r="B88" i="2"/>
  <c r="K89" i="2"/>
  <c r="F22" i="2"/>
  <c r="H22" i="2"/>
  <c r="F88" i="2"/>
  <c r="H25" i="2"/>
  <c r="M89" i="2"/>
  <c r="B89" i="2"/>
  <c r="F90" i="2"/>
  <c r="J88" i="2"/>
  <c r="C179" i="2"/>
  <c r="J90"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<sst xmlns="http://schemas.openxmlformats.org/spreadsheetml/2006/main" count="7710" uniqueCount="73">
  <si>
    <t>Outcome</t>
  </si>
  <si>
    <t>Weekend</t>
  </si>
  <si>
    <t>Age Group</t>
  </si>
  <si>
    <t>Unvaccinated Rate</t>
  </si>
  <si>
    <t>Vaccinated Rate</t>
  </si>
  <si>
    <t>Boosted Rate</t>
  </si>
  <si>
    <t>Crude Vaccinated Ratio</t>
  </si>
  <si>
    <t>Crude Boosted Ratio</t>
  </si>
  <si>
    <t>Age-Adjusted Unvaccinated Rate</t>
  </si>
  <si>
    <t>Age-Adjusted Vaccinated Rate</t>
  </si>
  <si>
    <t>Age-Adjusted Boosted Rate</t>
  </si>
  <si>
    <t>Age-Adjusted Vaccinated Ratio</t>
  </si>
  <si>
    <t>Age-Adjusted Boosted Ratio</t>
  </si>
  <si>
    <t>Population Unvaccinated</t>
  </si>
  <si>
    <t>Population Vaccinated</t>
  </si>
  <si>
    <t>Population Boosted</t>
  </si>
  <si>
    <t>Outcome Unvaccinated</t>
  </si>
  <si>
    <t>Outcome Vaccinated</t>
  </si>
  <si>
    <t>Outcome Boosted</t>
  </si>
  <si>
    <t>Age Group Min</t>
  </si>
  <si>
    <t>Age Group Max</t>
  </si>
  <si>
    <t>Deaths</t>
  </si>
  <si>
    <t>All</t>
  </si>
  <si>
    <t>50_64</t>
  </si>
  <si>
    <t>5_11</t>
  </si>
  <si>
    <t>18_29</t>
  </si>
  <si>
    <t>Hospitalizations</t>
  </si>
  <si>
    <t>1_12</t>
  </si>
  <si>
    <t>Cases</t>
  </si>
  <si>
    <t>30_49</t>
  </si>
  <si>
    <t>80+</t>
  </si>
  <si>
    <t>65_79</t>
  </si>
  <si>
    <t>0_4</t>
  </si>
  <si>
    <t>Row Labels</t>
  </si>
  <si>
    <t>Grand Total</t>
  </si>
  <si>
    <t>Qtr1</t>
  </si>
  <si>
    <t>Qtr2</t>
  </si>
  <si>
    <t>Qtr3</t>
  </si>
  <si>
    <t>Qtr4</t>
  </si>
  <si>
    <t>Jan</t>
  </si>
  <si>
    <t>Feb</t>
  </si>
  <si>
    <t>Mar</t>
  </si>
  <si>
    <t>Apr</t>
  </si>
  <si>
    <t>May</t>
  </si>
  <si>
    <t>Jun</t>
  </si>
  <si>
    <t>Jul</t>
  </si>
  <si>
    <t>Aug</t>
  </si>
  <si>
    <t>Sep</t>
  </si>
  <si>
    <t>Oct</t>
  </si>
  <si>
    <t>Nov</t>
  </si>
  <si>
    <t>Dec</t>
  </si>
  <si>
    <t>Column Labels</t>
  </si>
  <si>
    <t>Sum of Population Vaccinated</t>
  </si>
  <si>
    <t>Sum of Population Unvaccinated</t>
  </si>
  <si>
    <t>Sum of Outcome Vaccinated</t>
  </si>
  <si>
    <t>Sum of Outcome Unvaccinated</t>
  </si>
  <si>
    <t>Average of Vaccinated Rate</t>
  </si>
  <si>
    <t>Average of Unvaccinated Rate</t>
  </si>
  <si>
    <t>Average Vaccinated Rate</t>
  </si>
  <si>
    <t>Average Unvaccinated Rate</t>
  </si>
  <si>
    <t>Average of Boosted Rate</t>
  </si>
  <si>
    <t>Average Bossted Rate</t>
  </si>
  <si>
    <t>Count of Outcome</t>
  </si>
  <si>
    <t xml:space="preserve">Jun </t>
  </si>
  <si>
    <t>feb</t>
  </si>
  <si>
    <t>Sum of Outcome Boosted</t>
  </si>
  <si>
    <t>Average of Crude Vaccinated Ratio</t>
  </si>
  <si>
    <t>Average of Crude Boosted Ratio</t>
  </si>
  <si>
    <t>Average of Age-Adjusted Vaccinated Rate</t>
  </si>
  <si>
    <t>Average of Age-Adjusted Boosted Rate</t>
  </si>
  <si>
    <t>Qtr 4</t>
  </si>
  <si>
    <t>Max of Unvaccinated Rate</t>
  </si>
  <si>
    <t>https://www.data.gov.in/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</si>
</sst>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Aptos Narrow"/>
      <family val="2"/>
      <scheme val="minor"/>
    </font>
    <font>
      <sz val="26"/>
      <color theme="1"/>
      <name val="Aptos Narrow"/>
      <family val="2"/>
      <scheme val="minor"/>
    </font>
    <font>
      <u/>
      <sz val="11"/>
      <color theme="10"/>
      <name val="Aptos Narrow"/>
      <family val="2"/>
      <scheme val="minor"/>
    </font>
  </fonts>
  <fills count="4">
    <fill>
      <patternFill patternType="none"/>
    </fill>
    <fill>
      <patternFill patternType="gray125"/>
    </fill>
    <fill>
      <patternFill patternType="solid">
        <fgColor theme="3" tint="0.89999084444715716"/>
        <bgColor indexed="64"/>
      </patternFill>
    </fill>
    <fill>
      <patternFill patternType="solid">
        <fgColor theme="3" tint="0.749992370372631"/>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7">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3" borderId="0" xfId="1" applyFill="1" applyAlignment="1">
      <alignment horizontal="center"/>
    </xf>
    <xf numFmtId="0" fontId="1" fillId="2" borderId="0" xfId="0" applyFont="1" applyFill="1" applyAlignment="1">
      <alignment horizontal="center"/>
    </xf>
  </cellXfs>
  <cellStyles count="2">
    <cellStyle name="Hyperlink" xfId="1" builtinId="8"/>
    <cellStyle name="Normal" xfId="0" builtinId="0"/>
  </cellStyles>
  <dxfs count="0"/>
  <tableStyles count="1" defaultTableStyle="TableStyleMedium2" defaultPivotStyle="PivotStyleLight16">
    <tableStyle name="Invisible" pivot="0" table="0" count="0" xr9:uid="{9745587B-4769-4E2E-BED8-60B269F00AE8}"/>
  </tableStyles>
  <colors>
    <mruColors>
      <color rgb="FF191970"/>
      <color rgb="FF003153"/>
      <color rgb="FF27408B"/>
      <color rgb="FF2A52BE"/>
      <color rgb="FF4169E1"/>
      <color rgb="FF6495ED"/>
      <color rgb="FF4682B4"/>
      <color rgb="FF5DADE2"/>
      <color rgb="FF85C1E9"/>
      <color rgb="FF7FB3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c:f>
              <c:strCache>
                <c:ptCount val="1"/>
                <c:pt idx="0">
                  <c:v>Sum of Population Unvaccinated</c:v>
                </c:pt>
              </c:strCache>
            </c:strRef>
          </c:tx>
          <c:spPr>
            <a:solidFill>
              <a:schemeClr val="accent1"/>
            </a:solidFill>
            <a:ln>
              <a:noFill/>
            </a:ln>
            <a:effectLst/>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Table'!$B$3:$B$15</c:f>
              <c:numCache>
                <c:formatCode>General</c:formatCode>
                <c:ptCount val="12"/>
                <c:pt idx="0">
                  <c:v>1154271</c:v>
                </c:pt>
                <c:pt idx="1">
                  <c:v>750012</c:v>
                </c:pt>
                <c:pt idx="2">
                  <c:v>682191</c:v>
                </c:pt>
                <c:pt idx="3">
                  <c:v>1352307</c:v>
                </c:pt>
                <c:pt idx="4">
                  <c:v>896067</c:v>
                </c:pt>
                <c:pt idx="5">
                  <c:v>672651</c:v>
                </c:pt>
                <c:pt idx="6">
                  <c:v>1117623</c:v>
                </c:pt>
                <c:pt idx="7">
                  <c:v>890904</c:v>
                </c:pt>
                <c:pt idx="8">
                  <c:v>875382</c:v>
                </c:pt>
                <c:pt idx="9">
                  <c:v>859908</c:v>
                </c:pt>
                <c:pt idx="10">
                  <c:v>1008887</c:v>
                </c:pt>
                <c:pt idx="11">
                  <c:v>220725</c:v>
                </c:pt>
              </c:numCache>
            </c:numRef>
          </c:val>
          <c:extLst>
            <c:ext xmlns:c16="http://schemas.microsoft.com/office/drawing/2014/chart" uri="{C3380CC4-5D6E-409C-BE32-E72D297353CC}">
              <c16:uniqueId val="{00000000-BF9E-4109-9E04-CC0A85C9688E}"/>
            </c:ext>
          </c:extLst>
        </c:ser>
        <c:ser>
          <c:idx val="1"/>
          <c:order val="1"/>
          <c:tx>
            <c:strRef>
              <c:f>'Pivot Table'!$C$2</c:f>
              <c:strCache>
                <c:ptCount val="1"/>
                <c:pt idx="0">
                  <c:v>Sum of Population Vaccinated</c:v>
                </c:pt>
              </c:strCache>
            </c:strRef>
          </c:tx>
          <c:spPr>
            <a:solidFill>
              <a:schemeClr val="accent2"/>
            </a:solidFill>
            <a:ln>
              <a:noFill/>
            </a:ln>
            <a:effectLst/>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Table'!$C$3:$C$15</c:f>
              <c:numCache>
                <c:formatCode>General</c:formatCode>
                <c:ptCount val="12"/>
                <c:pt idx="0">
                  <c:v>3202053</c:v>
                </c:pt>
                <c:pt idx="1">
                  <c:v>2138916</c:v>
                </c:pt>
                <c:pt idx="2">
                  <c:v>1924836</c:v>
                </c:pt>
                <c:pt idx="3">
                  <c:v>3852087</c:v>
                </c:pt>
                <c:pt idx="4">
                  <c:v>2569614</c:v>
                </c:pt>
                <c:pt idx="5">
                  <c:v>1927206</c:v>
                </c:pt>
                <c:pt idx="6">
                  <c:v>3208980</c:v>
                </c:pt>
                <c:pt idx="7">
                  <c:v>2568939</c:v>
                </c:pt>
                <c:pt idx="8">
                  <c:v>2569524</c:v>
                </c:pt>
                <c:pt idx="9">
                  <c:v>2574825</c:v>
                </c:pt>
                <c:pt idx="10">
                  <c:v>3004129</c:v>
                </c:pt>
                <c:pt idx="11">
                  <c:v>642399</c:v>
                </c:pt>
              </c:numCache>
            </c:numRef>
          </c:val>
          <c:extLst>
            <c:ext xmlns:c16="http://schemas.microsoft.com/office/drawing/2014/chart" uri="{C3380CC4-5D6E-409C-BE32-E72D297353CC}">
              <c16:uniqueId val="{00000001-BF9E-4109-9E04-CC0A85C9688E}"/>
            </c:ext>
          </c:extLst>
        </c:ser>
        <c:dLbls>
          <c:showLegendKey val="0"/>
          <c:showVal val="0"/>
          <c:showCatName val="0"/>
          <c:showSerName val="0"/>
          <c:showPercent val="0"/>
          <c:showBubbleSize val="0"/>
        </c:dLbls>
        <c:gapWidth val="219"/>
        <c:overlap val="-27"/>
        <c:axId val="468714880"/>
        <c:axId val="468712360"/>
      </c:barChart>
      <c:catAx>
        <c:axId val="4687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2360"/>
        <c:crosses val="autoZero"/>
        <c:auto val="1"/>
        <c:lblAlgn val="ctr"/>
        <c:lblOffset val="100"/>
        <c:noMultiLvlLbl val="0"/>
      </c:catAx>
      <c:valAx>
        <c:axId val="468712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87148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Table!PivotTable7</c:name>
    <c:fmtId val="38"/>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Table'!$B$32</c:f>
              <c:strCache>
                <c:ptCount val="1"/>
                <c:pt idx="0">
                  <c:v>Average of Vaccinated Rate</c:v>
                </c:pt>
              </c:strCache>
            </c:strRef>
          </c:tx>
          <c:spPr>
            <a:ln w="28575" cap="rnd">
              <a:solidFill>
                <a:schemeClr val="accent1"/>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Table'!$B$33:$B$45</c:f>
              <c:numCache>
                <c:formatCode>General</c:formatCode>
                <c:ptCount val="12"/>
                <c:pt idx="0">
                  <c:v>12.026666666666669</c:v>
                </c:pt>
                <c:pt idx="1">
                  <c:v>15.7</c:v>
                </c:pt>
                <c:pt idx="2">
                  <c:v>8.4111111111111132</c:v>
                </c:pt>
                <c:pt idx="3">
                  <c:v>8.85</c:v>
                </c:pt>
                <c:pt idx="4">
                  <c:v>3.5083333333333342</c:v>
                </c:pt>
                <c:pt idx="5">
                  <c:v>2.5444444444444443</c:v>
                </c:pt>
                <c:pt idx="6">
                  <c:v>6.5866666666666669</c:v>
                </c:pt>
                <c:pt idx="7">
                  <c:v>6.5</c:v>
                </c:pt>
                <c:pt idx="8">
                  <c:v>5.8833333333333329</c:v>
                </c:pt>
                <c:pt idx="9">
                  <c:v>3.6999999999999997</c:v>
                </c:pt>
                <c:pt idx="10">
                  <c:v>11.335714285714287</c:v>
                </c:pt>
                <c:pt idx="11">
                  <c:v>4.8</c:v>
                </c:pt>
              </c:numCache>
            </c:numRef>
          </c:val>
          <c:smooth val="0"/>
          <c:extLst>
            <c:ext xmlns:c16="http://schemas.microsoft.com/office/drawing/2014/chart" uri="{C3380CC4-5D6E-409C-BE32-E72D297353CC}">
              <c16:uniqueId val="{00000000-6965-416B-A013-0E18E3FD71E7}"/>
            </c:ext>
          </c:extLst>
        </c:ser>
        <c:ser>
          <c:idx val="1"/>
          <c:order val="1"/>
          <c:tx>
            <c:strRef>
              <c:f>'Pivot Table'!$C$32</c:f>
              <c:strCache>
                <c:ptCount val="1"/>
                <c:pt idx="0">
                  <c:v>Average of Boosted Rate</c:v>
                </c:pt>
              </c:strCache>
            </c:strRef>
          </c:tx>
          <c:spPr>
            <a:ln w="28575" cap="rnd">
              <a:solidFill>
                <a:schemeClr val="accent2"/>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Table'!$C$33:$C$45</c:f>
              <c:numCache>
                <c:formatCode>General</c:formatCode>
                <c:ptCount val="12"/>
                <c:pt idx="0">
                  <c:v>15.253333333333332</c:v>
                </c:pt>
                <c:pt idx="1">
                  <c:v>20.139999999999997</c:v>
                </c:pt>
                <c:pt idx="2">
                  <c:v>11.411111111111111</c:v>
                </c:pt>
                <c:pt idx="3">
                  <c:v>11.944444444444445</c:v>
                </c:pt>
                <c:pt idx="4">
                  <c:v>4.9416666666666664</c:v>
                </c:pt>
                <c:pt idx="5">
                  <c:v>3.3</c:v>
                </c:pt>
                <c:pt idx="6">
                  <c:v>9.0733333333333324</c:v>
                </c:pt>
                <c:pt idx="7">
                  <c:v>7.8833333333333337</c:v>
                </c:pt>
                <c:pt idx="8">
                  <c:v>9.4749999999999996</c:v>
                </c:pt>
                <c:pt idx="9">
                  <c:v>5.3999999999999995</c:v>
                </c:pt>
                <c:pt idx="10">
                  <c:v>14.407142857142857</c:v>
                </c:pt>
                <c:pt idx="11">
                  <c:v>8.4333333333333336</c:v>
                </c:pt>
              </c:numCache>
            </c:numRef>
          </c:val>
          <c:smooth val="0"/>
          <c:extLst>
            <c:ext xmlns:c16="http://schemas.microsoft.com/office/drawing/2014/chart" uri="{C3380CC4-5D6E-409C-BE32-E72D297353CC}">
              <c16:uniqueId val="{00000001-6965-416B-A013-0E18E3FD71E7}"/>
            </c:ext>
          </c:extLst>
        </c:ser>
        <c:ser>
          <c:idx val="2"/>
          <c:order val="2"/>
          <c:tx>
            <c:strRef>
              <c:f>'Pivot Table'!$D$32</c:f>
              <c:strCache>
                <c:ptCount val="1"/>
                <c:pt idx="0">
                  <c:v>Average of Unvaccinated Rate</c:v>
                </c:pt>
              </c:strCache>
            </c:strRef>
          </c:tx>
          <c:spPr>
            <a:ln w="28575" cap="rnd">
              <a:solidFill>
                <a:schemeClr val="accent3"/>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Table'!$D$33:$D$45</c:f>
              <c:numCache>
                <c:formatCode>General</c:formatCode>
                <c:ptCount val="12"/>
                <c:pt idx="0">
                  <c:v>35.580000000000005</c:v>
                </c:pt>
                <c:pt idx="1">
                  <c:v>50.55</c:v>
                </c:pt>
                <c:pt idx="2">
                  <c:v>22.733333333333334</c:v>
                </c:pt>
                <c:pt idx="3">
                  <c:v>32.349999999999994</c:v>
                </c:pt>
                <c:pt idx="4">
                  <c:v>15.491666666666665</c:v>
                </c:pt>
                <c:pt idx="5">
                  <c:v>10.666666666666666</c:v>
                </c:pt>
                <c:pt idx="6">
                  <c:v>21.033333333333335</c:v>
                </c:pt>
                <c:pt idx="7">
                  <c:v>21.766666666666669</c:v>
                </c:pt>
                <c:pt idx="8">
                  <c:v>26.25</c:v>
                </c:pt>
                <c:pt idx="9">
                  <c:v>17.408333333333331</c:v>
                </c:pt>
                <c:pt idx="10">
                  <c:v>35.728571428571435</c:v>
                </c:pt>
                <c:pt idx="11">
                  <c:v>17.666666666666668</c:v>
                </c:pt>
              </c:numCache>
            </c:numRef>
          </c:val>
          <c:smooth val="0"/>
          <c:extLst>
            <c:ext xmlns:c16="http://schemas.microsoft.com/office/drawing/2014/chart" uri="{C3380CC4-5D6E-409C-BE32-E72D297353CC}">
              <c16:uniqueId val="{00000002-6965-416B-A013-0E18E3FD71E7}"/>
            </c:ext>
          </c:extLst>
        </c:ser>
        <c:dLbls>
          <c:showLegendKey val="0"/>
          <c:showVal val="0"/>
          <c:showCatName val="0"/>
          <c:showSerName val="0"/>
          <c:showPercent val="0"/>
          <c:showBubbleSize val="0"/>
        </c:dLbls>
        <c:smooth val="0"/>
        <c:axId val="603598512"/>
        <c:axId val="603605352"/>
      </c:lineChart>
      <c:catAx>
        <c:axId val="60359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605352"/>
        <c:crosses val="autoZero"/>
        <c:auto val="1"/>
        <c:lblAlgn val="ctr"/>
        <c:lblOffset val="100"/>
        <c:noMultiLvlLbl val="0"/>
      </c:catAx>
      <c:valAx>
        <c:axId val="603605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5985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Table!PivotTable12</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 Table'!$B$68</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FA88-48C3-B0D4-7B44A665826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FA88-48C3-B0D4-7B44A665826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FA88-48C3-B0D4-7B44A665826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Table'!$A$69:$A$72</c:f>
              <c:strCache>
                <c:ptCount val="3"/>
                <c:pt idx="0">
                  <c:v>Cases</c:v>
                </c:pt>
                <c:pt idx="1">
                  <c:v>Deaths</c:v>
                </c:pt>
                <c:pt idx="2">
                  <c:v>Hospitalizations</c:v>
                </c:pt>
              </c:strCache>
            </c:strRef>
          </c:cat>
          <c:val>
            <c:numRef>
              <c:f>'Pivot Table'!$B$69:$B$72</c:f>
              <c:numCache>
                <c:formatCode>0.00%</c:formatCode>
                <c:ptCount val="3"/>
                <c:pt idx="0">
                  <c:v>0.34042553191489361</c:v>
                </c:pt>
                <c:pt idx="1">
                  <c:v>0.32624113475177308</c:v>
                </c:pt>
                <c:pt idx="2">
                  <c:v>0.33333333333333331</c:v>
                </c:pt>
              </c:numCache>
            </c:numRef>
          </c:val>
          <c:extLst>
            <c:ext xmlns:c16="http://schemas.microsoft.com/office/drawing/2014/chart" uri="{C3380CC4-5D6E-409C-BE32-E72D297353CC}">
              <c16:uniqueId val="{00000000-527C-404B-9EC0-89DDA6FE255F}"/>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'Pivot Table'!$A$88</c:f>
              <c:strCache>
                <c:ptCount val="1"/>
                <c:pt idx="0">
                  <c:v>Cases</c:v>
                </c:pt>
              </c:strCache>
            </c:strRef>
          </c:tx>
          <c:spPr>
            <a:ln w="28575" cap="rnd">
              <a:solidFill>
                <a:schemeClr val="accent1"/>
              </a:solidFill>
              <a:round/>
            </a:ln>
            <a:effectLst/>
          </c:spPr>
          <c:marker>
            <c:symbol val="none"/>
          </c:marker>
          <c:cat>
            <c:strRef>
              <c:f>'Pivot Table'!$B$87:$M$87</c:f>
              <c:strCache>
                <c:ptCount val="12"/>
                <c:pt idx="0">
                  <c:v>Jan</c:v>
                </c:pt>
                <c:pt idx="1">
                  <c:v>feb</c:v>
                </c:pt>
                <c:pt idx="2">
                  <c:v>Mar</c:v>
                </c:pt>
                <c:pt idx="3">
                  <c:v>Apr</c:v>
                </c:pt>
                <c:pt idx="4">
                  <c:v>May</c:v>
                </c:pt>
                <c:pt idx="5">
                  <c:v>Jun </c:v>
                </c:pt>
                <c:pt idx="6">
                  <c:v>Jul</c:v>
                </c:pt>
                <c:pt idx="7">
                  <c:v>Aug</c:v>
                </c:pt>
                <c:pt idx="8">
                  <c:v>Sep</c:v>
                </c:pt>
                <c:pt idx="9">
                  <c:v>Oct</c:v>
                </c:pt>
                <c:pt idx="10">
                  <c:v>Nov</c:v>
                </c:pt>
                <c:pt idx="11">
                  <c:v>Dec</c:v>
                </c:pt>
              </c:strCache>
            </c:strRef>
          </c:cat>
          <c:val>
            <c:numRef>
              <c:f>'Pivot Table'!$B$88:$M$88</c:f>
              <c:numCache>
                <c:formatCode>General</c:formatCode>
                <c:ptCount val="12"/>
                <c:pt idx="0">
                  <c:v>371</c:v>
                </c:pt>
                <c:pt idx="1">
                  <c:v>329</c:v>
                </c:pt>
                <c:pt idx="2">
                  <c:v>157</c:v>
                </c:pt>
                <c:pt idx="3">
                  <c:v>325</c:v>
                </c:pt>
                <c:pt idx="4">
                  <c:v>88</c:v>
                </c:pt>
                <c:pt idx="5">
                  <c:v>47</c:v>
                </c:pt>
                <c:pt idx="6">
                  <c:v>205</c:v>
                </c:pt>
                <c:pt idx="7">
                  <c:v>164</c:v>
                </c:pt>
                <c:pt idx="8">
                  <c:v>146</c:v>
                </c:pt>
                <c:pt idx="9">
                  <c:v>93</c:v>
                </c:pt>
                <c:pt idx="10">
                  <c:v>327</c:v>
                </c:pt>
                <c:pt idx="11">
                  <c:v>29</c:v>
                </c:pt>
              </c:numCache>
            </c:numRef>
          </c:val>
          <c:smooth val="0"/>
          <c:extLst>
            <c:ext xmlns:c16="http://schemas.microsoft.com/office/drawing/2014/chart" uri="{C3380CC4-5D6E-409C-BE32-E72D297353CC}">
              <c16:uniqueId val="{00000000-574E-4D4E-9324-B71703A3C041}"/>
            </c:ext>
          </c:extLst>
        </c:ser>
        <c:ser>
          <c:idx val="1"/>
          <c:order val="1"/>
          <c:tx>
            <c:strRef>
              <c:f>'Pivot Table'!$A$89</c:f>
              <c:strCache>
                <c:ptCount val="1"/>
                <c:pt idx="0">
                  <c:v>Deaths</c:v>
                </c:pt>
              </c:strCache>
            </c:strRef>
          </c:tx>
          <c:spPr>
            <a:ln w="28575" cap="rnd">
              <a:solidFill>
                <a:schemeClr val="accent2"/>
              </a:solidFill>
              <a:round/>
            </a:ln>
            <a:effectLst/>
          </c:spPr>
          <c:marker>
            <c:symbol val="none"/>
          </c:marker>
          <c:cat>
            <c:strRef>
              <c:f>'Pivot Table'!$B$87:$M$87</c:f>
              <c:strCache>
                <c:ptCount val="12"/>
                <c:pt idx="0">
                  <c:v>Jan</c:v>
                </c:pt>
                <c:pt idx="1">
                  <c:v>feb</c:v>
                </c:pt>
                <c:pt idx="2">
                  <c:v>Mar</c:v>
                </c:pt>
                <c:pt idx="3">
                  <c:v>Apr</c:v>
                </c:pt>
                <c:pt idx="4">
                  <c:v>May</c:v>
                </c:pt>
                <c:pt idx="5">
                  <c:v>Jun </c:v>
                </c:pt>
                <c:pt idx="6">
                  <c:v>Jul</c:v>
                </c:pt>
                <c:pt idx="7">
                  <c:v>Aug</c:v>
                </c:pt>
                <c:pt idx="8">
                  <c:v>Sep</c:v>
                </c:pt>
                <c:pt idx="9">
                  <c:v>Oct</c:v>
                </c:pt>
                <c:pt idx="10">
                  <c:v>Nov</c:v>
                </c:pt>
                <c:pt idx="11">
                  <c:v>Dec</c:v>
                </c:pt>
              </c:strCache>
            </c:strRef>
          </c:cat>
          <c:val>
            <c:numRef>
              <c:f>'Pivot Table'!$B$89:$M$89</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574E-4D4E-9324-B71703A3C041}"/>
            </c:ext>
          </c:extLst>
        </c:ser>
        <c:ser>
          <c:idx val="2"/>
          <c:order val="2"/>
          <c:tx>
            <c:strRef>
              <c:f>'Pivot Table'!$A$90</c:f>
              <c:strCache>
                <c:ptCount val="1"/>
                <c:pt idx="0">
                  <c:v>Hospitalizations</c:v>
                </c:pt>
              </c:strCache>
            </c:strRef>
          </c:tx>
          <c:spPr>
            <a:ln w="28575" cap="rnd">
              <a:solidFill>
                <a:schemeClr val="accent3"/>
              </a:solidFill>
              <a:round/>
            </a:ln>
            <a:effectLst/>
          </c:spPr>
          <c:marker>
            <c:symbol val="none"/>
          </c:marker>
          <c:cat>
            <c:strRef>
              <c:f>'Pivot Table'!$B$87:$M$87</c:f>
              <c:strCache>
                <c:ptCount val="12"/>
                <c:pt idx="0">
                  <c:v>Jan</c:v>
                </c:pt>
                <c:pt idx="1">
                  <c:v>feb</c:v>
                </c:pt>
                <c:pt idx="2">
                  <c:v>Mar</c:v>
                </c:pt>
                <c:pt idx="3">
                  <c:v>Apr</c:v>
                </c:pt>
                <c:pt idx="4">
                  <c:v>May</c:v>
                </c:pt>
                <c:pt idx="5">
                  <c:v>Jun </c:v>
                </c:pt>
                <c:pt idx="6">
                  <c:v>Jul</c:v>
                </c:pt>
                <c:pt idx="7">
                  <c:v>Aug</c:v>
                </c:pt>
                <c:pt idx="8">
                  <c:v>Sep</c:v>
                </c:pt>
                <c:pt idx="9">
                  <c:v>Oct</c:v>
                </c:pt>
                <c:pt idx="10">
                  <c:v>Nov</c:v>
                </c:pt>
                <c:pt idx="11">
                  <c:v>Dec</c:v>
                </c:pt>
              </c:strCache>
            </c:strRef>
          </c:cat>
          <c:val>
            <c:numRef>
              <c:f>'Pivot Table'!$B$90:$M$90</c:f>
              <c:numCache>
                <c:formatCode>General</c:formatCode>
                <c:ptCount val="12"/>
                <c:pt idx="0">
                  <c:v>14</c:v>
                </c:pt>
                <c:pt idx="1">
                  <c:v>7</c:v>
                </c:pt>
                <c:pt idx="2">
                  <c:v>5</c:v>
                </c:pt>
                <c:pt idx="3">
                  <c:v>16</c:v>
                </c:pt>
                <c:pt idx="4">
                  <c:v>2</c:v>
                </c:pt>
                <c:pt idx="5">
                  <c:v>2</c:v>
                </c:pt>
                <c:pt idx="6">
                  <c:v>6</c:v>
                </c:pt>
                <c:pt idx="7">
                  <c:v>3</c:v>
                </c:pt>
                <c:pt idx="8">
                  <c:v>5</c:v>
                </c:pt>
                <c:pt idx="9">
                  <c:v>2</c:v>
                </c:pt>
                <c:pt idx="10">
                  <c:v>13</c:v>
                </c:pt>
                <c:pt idx="11">
                  <c:v>2</c:v>
                </c:pt>
              </c:numCache>
            </c:numRef>
          </c:val>
          <c:smooth val="0"/>
          <c:extLst>
            <c:ext xmlns:c16="http://schemas.microsoft.com/office/drawing/2014/chart" uri="{C3380CC4-5D6E-409C-BE32-E72D297353CC}">
              <c16:uniqueId val="{00000002-574E-4D4E-9324-B71703A3C041}"/>
            </c:ext>
          </c:extLst>
        </c:ser>
        <c:dLbls>
          <c:showLegendKey val="0"/>
          <c:showVal val="0"/>
          <c:showCatName val="0"/>
          <c:showSerName val="0"/>
          <c:showPercent val="0"/>
          <c:showBubbleSize val="0"/>
        </c:dLbls>
        <c:smooth val="0"/>
        <c:axId val="603635592"/>
        <c:axId val="603631272"/>
      </c:lineChart>
      <c:catAx>
        <c:axId val="603635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631272"/>
        <c:crosses val="autoZero"/>
        <c:auto val="1"/>
        <c:lblAlgn val="ctr"/>
        <c:lblOffset val="100"/>
        <c:noMultiLvlLbl val="0"/>
      </c:catAx>
      <c:valAx>
        <c:axId val="603631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3635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Table!PivotTable16</c:name>
    <c:fmtId val="1"/>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Table'!$B$103</c:f>
              <c:strCache>
                <c:ptCount val="1"/>
                <c:pt idx="0">
                  <c:v>Sum of Outcome Vaccinated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Table'!$A$104:$A$105</c:f>
              <c:strCache>
                <c:ptCount val="1"/>
                <c:pt idx="0">
                  <c:v>18_29</c:v>
                </c:pt>
              </c:strCache>
            </c:strRef>
          </c:cat>
          <c:val>
            <c:numRef>
              <c:f>'Pivot Table'!$B$104:$B$105</c:f>
              <c:numCache>
                <c:formatCode>General</c:formatCode>
                <c:ptCount val="1"/>
                <c:pt idx="0">
                  <c:v>2358</c:v>
                </c:pt>
              </c:numCache>
            </c:numRef>
          </c:val>
          <c:extLst>
            <c:ext xmlns:c16="http://schemas.microsoft.com/office/drawing/2014/chart" uri="{C3380CC4-5D6E-409C-BE32-E72D297353CC}">
              <c16:uniqueId val="{00000000-277A-40F1-95FC-516AB76598D3}"/>
            </c:ext>
          </c:extLst>
        </c:ser>
        <c:ser>
          <c:idx val="1"/>
          <c:order val="1"/>
          <c:tx>
            <c:strRef>
              <c:f>'Pivot Table'!$C$103</c:f>
              <c:strCache>
                <c:ptCount val="1"/>
                <c:pt idx="0">
                  <c:v>Sum of Outcome Unvaccinated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Table'!$A$104:$A$105</c:f>
              <c:strCache>
                <c:ptCount val="1"/>
                <c:pt idx="0">
                  <c:v>18_29</c:v>
                </c:pt>
              </c:strCache>
            </c:strRef>
          </c:cat>
          <c:val>
            <c:numRef>
              <c:f>'Pivot Table'!$C$104:$C$105</c:f>
              <c:numCache>
                <c:formatCode>General</c:formatCode>
                <c:ptCount val="1"/>
                <c:pt idx="0">
                  <c:v>2816</c:v>
                </c:pt>
              </c:numCache>
            </c:numRef>
          </c:val>
          <c:extLst>
            <c:ext xmlns:c16="http://schemas.microsoft.com/office/drawing/2014/chart" uri="{C3380CC4-5D6E-409C-BE32-E72D297353CC}">
              <c16:uniqueId val="{00000001-277A-40F1-95FC-516AB76598D3}"/>
            </c:ext>
          </c:extLst>
        </c:ser>
        <c:ser>
          <c:idx val="2"/>
          <c:order val="2"/>
          <c:tx>
            <c:strRef>
              <c:f>'Pivot Table'!$D$103</c:f>
              <c:strCache>
                <c:ptCount val="1"/>
                <c:pt idx="0">
                  <c:v>Sum of Outcome Boosted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'Pivot Table'!$A$104:$A$105</c:f>
              <c:strCache>
                <c:ptCount val="1"/>
                <c:pt idx="0">
                  <c:v>18_29</c:v>
                </c:pt>
              </c:strCache>
            </c:strRef>
          </c:cat>
          <c:val>
            <c:numRef>
              <c:f>'Pivot Table'!$D$104:$D$105</c:f>
              <c:numCache>
                <c:formatCode>General</c:formatCode>
                <c:ptCount val="1"/>
                <c:pt idx="0">
                  <c:v>2384</c:v>
                </c:pt>
              </c:numCache>
            </c:numRef>
          </c:val>
          <c:extLst>
            <c:ext xmlns:c16="http://schemas.microsoft.com/office/drawing/2014/chart" uri="{C3380CC4-5D6E-409C-BE32-E72D297353CC}">
              <c16:uniqueId val="{00000002-277A-40F1-95FC-516AB76598D3}"/>
            </c:ext>
          </c:extLst>
        </c:ser>
        <c:dLbls>
          <c:showLegendKey val="0"/>
          <c:showVal val="0"/>
          <c:showCatName val="0"/>
          <c:showSerName val="0"/>
          <c:showPercent val="0"/>
          <c:showBubbleSize val="0"/>
        </c:dLbls>
        <c:axId val="128149768"/>
        <c:axId val="128148688"/>
      </c:radarChart>
      <c:catAx>
        <c:axId val="128149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8688"/>
        <c:crosses val="autoZero"/>
        <c:auto val="1"/>
        <c:lblAlgn val="ctr"/>
        <c:lblOffset val="100"/>
        <c:noMultiLvlLbl val="0"/>
      </c:catAx>
      <c:valAx>
        <c:axId val="128148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9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Table!PivotTable17</c:name>
    <c:fmtId val="2"/>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Table'!$B$128</c:f>
              <c:strCache>
                <c:ptCount val="1"/>
                <c:pt idx="0">
                  <c:v>Average of Crude Vaccinated Ratio</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Table'!$B$129:$B$141</c:f>
              <c:numCache>
                <c:formatCode>General</c:formatCode>
                <c:ptCount val="12"/>
                <c:pt idx="0">
                  <c:v>2.4</c:v>
                </c:pt>
                <c:pt idx="1">
                  <c:v>2.97</c:v>
                </c:pt>
                <c:pt idx="2">
                  <c:v>1.5666666666666669</c:v>
                </c:pt>
                <c:pt idx="3">
                  <c:v>2.1833333333333336</c:v>
                </c:pt>
                <c:pt idx="4">
                  <c:v>2.3083333333333331</c:v>
                </c:pt>
                <c:pt idx="5">
                  <c:v>2.1111111111111112</c:v>
                </c:pt>
                <c:pt idx="6">
                  <c:v>1.9133333333333336</c:v>
                </c:pt>
                <c:pt idx="7">
                  <c:v>1.9750000000000003</c:v>
                </c:pt>
                <c:pt idx="8">
                  <c:v>3.9083333333333337</c:v>
                </c:pt>
                <c:pt idx="9">
                  <c:v>2.3833333333333333</c:v>
                </c:pt>
                <c:pt idx="10">
                  <c:v>2.8642857142857139</c:v>
                </c:pt>
                <c:pt idx="11">
                  <c:v>1.8</c:v>
                </c:pt>
              </c:numCache>
            </c:numRef>
          </c:val>
          <c:extLst>
            <c:ext xmlns:c16="http://schemas.microsoft.com/office/drawing/2014/chart" uri="{C3380CC4-5D6E-409C-BE32-E72D297353CC}">
              <c16:uniqueId val="{00000000-8374-4DF8-9107-4DF0114054C9}"/>
            </c:ext>
          </c:extLst>
        </c:ser>
        <c:ser>
          <c:idx val="1"/>
          <c:order val="1"/>
          <c:tx>
            <c:strRef>
              <c:f>'Pivot Table'!$C$128</c:f>
              <c:strCache>
                <c:ptCount val="1"/>
                <c:pt idx="0">
                  <c:v>Average of Crude Boosted Ratio</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Table'!$C$129:$C$141</c:f>
              <c:numCache>
                <c:formatCode>General</c:formatCode>
                <c:ptCount val="12"/>
                <c:pt idx="0">
                  <c:v>3</c:v>
                </c:pt>
                <c:pt idx="1">
                  <c:v>1.9799999999999998</c:v>
                </c:pt>
                <c:pt idx="2">
                  <c:v>1.2555555555555555</c:v>
                </c:pt>
                <c:pt idx="3">
                  <c:v>2.1833333333333331</c:v>
                </c:pt>
                <c:pt idx="4">
                  <c:v>1.3</c:v>
                </c:pt>
                <c:pt idx="5">
                  <c:v>0.94444444444444442</c:v>
                </c:pt>
                <c:pt idx="6">
                  <c:v>2.1266666666666669</c:v>
                </c:pt>
                <c:pt idx="7">
                  <c:v>1.2416666666666665</c:v>
                </c:pt>
                <c:pt idx="8">
                  <c:v>2.8083333333333336</c:v>
                </c:pt>
                <c:pt idx="9">
                  <c:v>1.9583333333333333</c:v>
                </c:pt>
                <c:pt idx="10">
                  <c:v>2.1428571428571428</c:v>
                </c:pt>
                <c:pt idx="11">
                  <c:v>1.0999999999999999</c:v>
                </c:pt>
              </c:numCache>
            </c:numRef>
          </c:val>
          <c:extLst>
            <c:ext xmlns:c16="http://schemas.microsoft.com/office/drawing/2014/chart" uri="{C3380CC4-5D6E-409C-BE32-E72D297353CC}">
              <c16:uniqueId val="{00000001-8374-4DF8-9107-4DF0114054C9}"/>
            </c:ext>
          </c:extLst>
        </c:ser>
        <c:dLbls>
          <c:showLegendKey val="0"/>
          <c:showVal val="0"/>
          <c:showCatName val="0"/>
          <c:showSerName val="0"/>
          <c:showPercent val="0"/>
          <c:showBubbleSize val="0"/>
        </c:dLbls>
        <c:axId val="128148328"/>
        <c:axId val="128149048"/>
      </c:radarChart>
      <c:catAx>
        <c:axId val="128148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9048"/>
        <c:crosses val="autoZero"/>
        <c:auto val="1"/>
        <c:lblAlgn val="ctr"/>
        <c:lblOffset val="100"/>
        <c:noMultiLvlLbl val="0"/>
      </c:catAx>
      <c:valAx>
        <c:axId val="128149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148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Table!PivotTable18</c:name>
    <c:fmtId val="1"/>
  </c:pivotSource>
  <c:chart>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Table'!$B$150</c:f>
              <c:strCache>
                <c:ptCount val="1"/>
                <c:pt idx="0">
                  <c:v>Average of Age-Adjusted Vaccinated Rate</c:v>
                </c:pt>
              </c:strCache>
            </c:strRef>
          </c:tx>
          <c:spPr>
            <a:ln w="28575" cap="rnd">
              <a:solidFill>
                <a:schemeClr val="accent1"/>
              </a:solidFill>
              <a:round/>
            </a:ln>
            <a:effectLst/>
          </c:spPr>
          <c:marker>
            <c:symbol val="none"/>
          </c:marker>
          <c:cat>
            <c:strRef>
              <c:f>'Pivot Table'!$A$151:$A$152</c:f>
              <c:strCache>
                <c:ptCount val="1"/>
                <c:pt idx="0">
                  <c:v>18_29</c:v>
                </c:pt>
              </c:strCache>
            </c:strRef>
          </c:cat>
          <c:val>
            <c:numRef>
              <c:f>'Pivot Table'!$B$151:$B$152</c:f>
              <c:numCache>
                <c:formatCode>General</c:formatCode>
                <c:ptCount val="1"/>
                <c:pt idx="0">
                  <c:v>1.843971631205674E-2</c:v>
                </c:pt>
              </c:numCache>
            </c:numRef>
          </c:val>
          <c:extLst>
            <c:ext xmlns:c16="http://schemas.microsoft.com/office/drawing/2014/chart" uri="{C3380CC4-5D6E-409C-BE32-E72D297353CC}">
              <c16:uniqueId val="{00000000-CB60-41E8-9F2C-2B2365C06116}"/>
            </c:ext>
          </c:extLst>
        </c:ser>
        <c:ser>
          <c:idx val="1"/>
          <c:order val="1"/>
          <c:tx>
            <c:strRef>
              <c:f>'Pivot Table'!$C$150</c:f>
              <c:strCache>
                <c:ptCount val="1"/>
                <c:pt idx="0">
                  <c:v>Average of Age-Adjusted Boosted Rate</c:v>
                </c:pt>
              </c:strCache>
            </c:strRef>
          </c:tx>
          <c:spPr>
            <a:ln w="28575" cap="rnd">
              <a:solidFill>
                <a:schemeClr val="accent2"/>
              </a:solidFill>
              <a:round/>
            </a:ln>
            <a:effectLst/>
          </c:spPr>
          <c:marker>
            <c:symbol val="none"/>
          </c:marker>
          <c:cat>
            <c:strRef>
              <c:f>'Pivot Table'!$A$151:$A$152</c:f>
              <c:strCache>
                <c:ptCount val="1"/>
                <c:pt idx="0">
                  <c:v>18_29</c:v>
                </c:pt>
              </c:strCache>
            </c:strRef>
          </c:cat>
          <c:val>
            <c:numRef>
              <c:f>'Pivot Table'!$C$151:$C$152</c:f>
              <c:numCache>
                <c:formatCode>General</c:formatCode>
                <c:ptCount val="1"/>
                <c:pt idx="0">
                  <c:v>0</c:v>
                </c:pt>
              </c:numCache>
            </c:numRef>
          </c:val>
          <c:extLst>
            <c:ext xmlns:c16="http://schemas.microsoft.com/office/drawing/2014/chart" uri="{C3380CC4-5D6E-409C-BE32-E72D297353CC}">
              <c16:uniqueId val="{00000001-CB60-41E8-9F2C-2B2365C06116}"/>
            </c:ext>
          </c:extLst>
        </c:ser>
        <c:dLbls>
          <c:showLegendKey val="0"/>
          <c:showVal val="0"/>
          <c:showCatName val="0"/>
          <c:showSerName val="0"/>
          <c:showPercent val="0"/>
          <c:showBubbleSize val="0"/>
        </c:dLbls>
        <c:axId val="607918688"/>
        <c:axId val="607916888"/>
      </c:radarChart>
      <c:catAx>
        <c:axId val="607918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916888"/>
        <c:crosses val="autoZero"/>
        <c:auto val="1"/>
        <c:lblAlgn val="ctr"/>
        <c:lblOffset val="100"/>
        <c:noMultiLvlLbl val="0"/>
      </c:catAx>
      <c:valAx>
        <c:axId val="6079168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79186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Table!PivotTable25</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Table'!$B$216</c:f>
              <c:strCache>
                <c:ptCount val="1"/>
                <c:pt idx="0">
                  <c:v>Average of Vaccinated Rate</c:v>
                </c:pt>
              </c:strCache>
            </c:strRef>
          </c:tx>
          <c:spPr>
            <a:solidFill>
              <a:schemeClr val="accent1"/>
            </a:solidFill>
            <a:ln>
              <a:noFill/>
            </a:ln>
            <a:effectLst/>
          </c:spPr>
          <c:invertIfNegative val="0"/>
          <c:cat>
            <c:strRef>
              <c:f>'Pivot Table'!$A$217:$A$220</c:f>
              <c:strCache>
                <c:ptCount val="3"/>
                <c:pt idx="0">
                  <c:v>Cases</c:v>
                </c:pt>
                <c:pt idx="1">
                  <c:v>Deaths</c:v>
                </c:pt>
                <c:pt idx="2">
                  <c:v>Hospitalizations</c:v>
                </c:pt>
              </c:strCache>
            </c:strRef>
          </c:cat>
          <c:val>
            <c:numRef>
              <c:f>'Pivot Table'!$B$217:$B$220</c:f>
              <c:numCache>
                <c:formatCode>General</c:formatCode>
                <c:ptCount val="3"/>
                <c:pt idx="0">
                  <c:v>22.210416666666671</c:v>
                </c:pt>
                <c:pt idx="1">
                  <c:v>0</c:v>
                </c:pt>
                <c:pt idx="2">
                  <c:v>0.77021276595744659</c:v>
                </c:pt>
              </c:numCache>
            </c:numRef>
          </c:val>
          <c:extLst>
            <c:ext xmlns:c16="http://schemas.microsoft.com/office/drawing/2014/chart" uri="{C3380CC4-5D6E-409C-BE32-E72D297353CC}">
              <c16:uniqueId val="{00000000-B202-4CEB-B88B-63A7FDE32D01}"/>
            </c:ext>
          </c:extLst>
        </c:ser>
        <c:dLbls>
          <c:showLegendKey val="0"/>
          <c:showVal val="0"/>
          <c:showCatName val="0"/>
          <c:showSerName val="0"/>
          <c:showPercent val="0"/>
          <c:showBubbleSize val="0"/>
        </c:dLbls>
        <c:gapWidth val="219"/>
        <c:overlap val="-27"/>
        <c:axId val="743414880"/>
        <c:axId val="743419200"/>
      </c:barChart>
      <c:lineChart>
        <c:grouping val="standard"/>
        <c:varyColors val="0"/>
        <c:ser>
          <c:idx val="1"/>
          <c:order val="1"/>
          <c:tx>
            <c:strRef>
              <c:f>'Pivot Table'!$C$216</c:f>
              <c:strCache>
                <c:ptCount val="1"/>
                <c:pt idx="0">
                  <c:v>Count of Outcome</c:v>
                </c:pt>
              </c:strCache>
            </c:strRef>
          </c:tx>
          <c:spPr>
            <a:ln w="28575" cap="rnd">
              <a:solidFill>
                <a:schemeClr val="accent2"/>
              </a:solidFill>
              <a:round/>
            </a:ln>
            <a:effectLst/>
          </c:spPr>
          <c:marker>
            <c:symbol val="none"/>
          </c:marker>
          <c:cat>
            <c:strRef>
              <c:f>'Pivot Table'!$A$217:$A$220</c:f>
              <c:strCache>
                <c:ptCount val="3"/>
                <c:pt idx="0">
                  <c:v>Cases</c:v>
                </c:pt>
                <c:pt idx="1">
                  <c:v>Deaths</c:v>
                </c:pt>
                <c:pt idx="2">
                  <c:v>Hospitalizations</c:v>
                </c:pt>
              </c:strCache>
            </c:strRef>
          </c:cat>
          <c:val>
            <c:numRef>
              <c:f>'Pivot Table'!$C$217:$C$220</c:f>
              <c:numCache>
                <c:formatCode>General</c:formatCode>
                <c:ptCount val="3"/>
                <c:pt idx="0">
                  <c:v>48</c:v>
                </c:pt>
                <c:pt idx="1">
                  <c:v>46</c:v>
                </c:pt>
                <c:pt idx="2">
                  <c:v>47</c:v>
                </c:pt>
              </c:numCache>
            </c:numRef>
          </c:val>
          <c:smooth val="0"/>
          <c:extLst>
            <c:ext xmlns:c16="http://schemas.microsoft.com/office/drawing/2014/chart" uri="{C3380CC4-5D6E-409C-BE32-E72D297353CC}">
              <c16:uniqueId val="{00000001-B202-4CEB-B88B-63A7FDE32D01}"/>
            </c:ext>
          </c:extLst>
        </c:ser>
        <c:dLbls>
          <c:showLegendKey val="0"/>
          <c:showVal val="0"/>
          <c:showCatName val="0"/>
          <c:showSerName val="0"/>
          <c:showPercent val="0"/>
          <c:showBubbleSize val="0"/>
        </c:dLbls>
        <c:marker val="1"/>
        <c:smooth val="0"/>
        <c:axId val="743424960"/>
        <c:axId val="743431080"/>
      </c:lineChart>
      <c:catAx>
        <c:axId val="7434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19200"/>
        <c:crosses val="autoZero"/>
        <c:auto val="1"/>
        <c:lblAlgn val="ctr"/>
        <c:lblOffset val="100"/>
        <c:noMultiLvlLbl val="0"/>
      </c:catAx>
      <c:valAx>
        <c:axId val="743419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14880"/>
        <c:crosses val="autoZero"/>
        <c:crossBetween val="between"/>
      </c:valAx>
      <c:valAx>
        <c:axId val="743431080"/>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24960"/>
        <c:crosses val="max"/>
        <c:crossBetween val="between"/>
      </c:valAx>
      <c:catAx>
        <c:axId val="743424960"/>
        <c:scaling>
          <c:orientation val="minMax"/>
        </c:scaling>
        <c:delete val="1"/>
        <c:axPos val="b"/>
        <c:numFmt formatCode="General" sourceLinked="1"/>
        <c:majorTickMark val="out"/>
        <c:minorTickMark val="none"/>
        <c:tickLblPos val="nextTo"/>
        <c:crossAx val="7434310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Table!PivotTable26</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Table'!$B$233:$B$234</c:f>
              <c:strCache>
                <c:ptCount val="1"/>
                <c:pt idx="0">
                  <c:v>18_29</c:v>
                </c:pt>
              </c:strCache>
            </c:strRef>
          </c:tx>
          <c:spPr>
            <a:solidFill>
              <a:schemeClr val="accent1"/>
            </a:solidFill>
            <a:ln w="25400">
              <a:noFill/>
            </a:ln>
            <a:effectLst/>
          </c:spPr>
          <c:cat>
            <c:strRef>
              <c:f>'Pivot Table'!$A$235:$A$238</c:f>
              <c:strCache>
                <c:ptCount val="3"/>
                <c:pt idx="0">
                  <c:v>Cases</c:v>
                </c:pt>
                <c:pt idx="1">
                  <c:v>Deaths</c:v>
                </c:pt>
                <c:pt idx="2">
                  <c:v>Hospitalizations</c:v>
                </c:pt>
              </c:strCache>
            </c:strRef>
          </c:cat>
          <c:val>
            <c:numRef>
              <c:f>'Pivot Table'!$B$235:$B$238</c:f>
              <c:numCache>
                <c:formatCode>General</c:formatCode>
                <c:ptCount val="3"/>
                <c:pt idx="0">
                  <c:v>163.6</c:v>
                </c:pt>
                <c:pt idx="1">
                  <c:v>0</c:v>
                </c:pt>
                <c:pt idx="2">
                  <c:v>11.4</c:v>
                </c:pt>
              </c:numCache>
            </c:numRef>
          </c:val>
          <c:extLst>
            <c:ext xmlns:c16="http://schemas.microsoft.com/office/drawing/2014/chart" uri="{C3380CC4-5D6E-409C-BE32-E72D297353CC}">
              <c16:uniqueId val="{0000002C-5D81-4A31-BC41-AECF771503CD}"/>
            </c:ext>
          </c:extLst>
        </c:ser>
        <c:dLbls>
          <c:showLegendKey val="0"/>
          <c:showVal val="0"/>
          <c:showCatName val="0"/>
          <c:showSerName val="0"/>
          <c:showPercent val="0"/>
          <c:showBubbleSize val="0"/>
        </c:dLbls>
        <c:axId val="743426760"/>
        <c:axId val="743421000"/>
      </c:areaChart>
      <c:catAx>
        <c:axId val="7434267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21000"/>
        <c:crosses val="autoZero"/>
        <c:auto val="1"/>
        <c:lblAlgn val="ctr"/>
        <c:lblOffset val="100"/>
        <c:noMultiLvlLbl val="0"/>
      </c:catAx>
      <c:valAx>
        <c:axId val="743421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3426760"/>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Table!PivotTable10</c:name>
    <c:fmtId val="1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s>
    <c:plotArea>
      <c:layout/>
      <c:doughnutChart>
        <c:varyColors val="1"/>
        <c:ser>
          <c:idx val="0"/>
          <c:order val="0"/>
          <c:tx>
            <c:strRef>
              <c:f>'Pivot Table'!$B$49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B8D-4AEC-9918-A772138E37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B8D-4AEC-9918-A772138E37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B8D-4AEC-9918-A772138E37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B8D-4AEC-9918-A772138E37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B8D-4AEC-9918-A772138E37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B8D-4AEC-9918-A772138E37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B8D-4AEC-9918-A772138E37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B8D-4AEC-9918-A772138E37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B8D-4AEC-9918-A772138E37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B8D-4AEC-9918-A772138E37AF}"/>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B8D-4AEC-9918-A772138E37A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B8D-4AEC-9918-A772138E37AF}"/>
              </c:ext>
            </c:extLst>
          </c:dPt>
          <c:cat>
            <c:strRef>
              <c:f>'Pivot Table'!$A$50:$A$62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Table'!$B$50:$B$62</c:f>
              <c:numCache>
                <c:formatCode>General</c:formatCode>
                <c:ptCount val="12"/>
                <c:pt idx="0">
                  <c:v>3202053</c:v>
                </c:pt>
                <c:pt idx="1">
                  <c:v>2138916</c:v>
                </c:pt>
                <c:pt idx="2">
                  <c:v>1924836</c:v>
                </c:pt>
                <c:pt idx="3">
                  <c:v>3852087</c:v>
                </c:pt>
                <c:pt idx="4">
                  <c:v>2569614</c:v>
                </c:pt>
                <c:pt idx="5">
                  <c:v>1927206</c:v>
                </c:pt>
                <c:pt idx="6">
                  <c:v>3208980</c:v>
                </c:pt>
                <c:pt idx="7">
                  <c:v>2568939</c:v>
                </c:pt>
                <c:pt idx="8">
                  <c:v>2569524</c:v>
                </c:pt>
                <c:pt idx="9">
                  <c:v>2574825</c:v>
                </c:pt>
                <c:pt idx="10">
                  <c:v>3004129</c:v>
                </c:pt>
                <c:pt idx="11">
                  <c:v>642399</c:v>
                </c:pt>
              </c:numCache>
            </c:numRef>
          </c:val>
          <c:extLst>
            <c:ext xmlns:c16="http://schemas.microsoft.com/office/drawing/2014/chart" uri="{C3380CC4-5D6E-409C-BE32-E72D297353CC}">
              <c16:uniqueId val="{00000000-34D5-40FA-89A1-55F86E0E9E50}"/>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Table'!$B$176</c:f>
              <c:strCache>
                <c:ptCount val="1"/>
                <c:pt idx="0">
                  <c:v>Qtr1</c:v>
                </c:pt>
              </c:strCache>
            </c:strRef>
          </c:tx>
          <c:spPr>
            <a:solidFill>
              <a:schemeClr val="accent1"/>
            </a:solidFill>
            <a:ln>
              <a:noFill/>
            </a:ln>
            <a:effectLst/>
          </c:spPr>
          <c:invertIfNegative val="0"/>
          <c:cat>
            <c:strRef>
              <c:f>'Pivot Table'!$A$177:$A$179</c:f>
              <c:strCache>
                <c:ptCount val="3"/>
                <c:pt idx="0">
                  <c:v>Cases</c:v>
                </c:pt>
                <c:pt idx="1">
                  <c:v>Deaths</c:v>
                </c:pt>
                <c:pt idx="2">
                  <c:v>Hospitalizations</c:v>
                </c:pt>
              </c:strCache>
            </c:strRef>
          </c:cat>
          <c:val>
            <c:numRef>
              <c:f>'Pivot Table'!$B$177:$B$179</c:f>
              <c:numCache>
                <c:formatCode>General</c:formatCode>
                <c:ptCount val="3"/>
                <c:pt idx="0">
                  <c:v>12</c:v>
                </c:pt>
                <c:pt idx="1">
                  <c:v>11</c:v>
                </c:pt>
                <c:pt idx="2">
                  <c:v>11</c:v>
                </c:pt>
              </c:numCache>
            </c:numRef>
          </c:val>
          <c:extLst>
            <c:ext xmlns:c16="http://schemas.microsoft.com/office/drawing/2014/chart" uri="{C3380CC4-5D6E-409C-BE32-E72D297353CC}">
              <c16:uniqueId val="{00000000-1B58-422D-B85C-4ADAFB528671}"/>
            </c:ext>
          </c:extLst>
        </c:ser>
        <c:ser>
          <c:idx val="1"/>
          <c:order val="1"/>
          <c:tx>
            <c:strRef>
              <c:f>'Pivot Table'!$C$176</c:f>
              <c:strCache>
                <c:ptCount val="1"/>
                <c:pt idx="0">
                  <c:v>Qtr2</c:v>
                </c:pt>
              </c:strCache>
            </c:strRef>
          </c:tx>
          <c:spPr>
            <a:solidFill>
              <a:schemeClr val="accent2"/>
            </a:solidFill>
            <a:ln>
              <a:noFill/>
            </a:ln>
            <a:effectLst/>
          </c:spPr>
          <c:invertIfNegative val="0"/>
          <c:cat>
            <c:strRef>
              <c:f>'Pivot Table'!$A$177:$A$179</c:f>
              <c:strCache>
                <c:ptCount val="3"/>
                <c:pt idx="0">
                  <c:v>Cases</c:v>
                </c:pt>
                <c:pt idx="1">
                  <c:v>Deaths</c:v>
                </c:pt>
                <c:pt idx="2">
                  <c:v>Hospitalizations</c:v>
                </c:pt>
              </c:strCache>
            </c:strRef>
          </c:cat>
          <c:val>
            <c:numRef>
              <c:f>'Pivot Table'!$C$177:$C$179</c:f>
              <c:numCache>
                <c:formatCode>General</c:formatCode>
                <c:ptCount val="3"/>
                <c:pt idx="0">
                  <c:v>13</c:v>
                </c:pt>
                <c:pt idx="1">
                  <c:v>13</c:v>
                </c:pt>
                <c:pt idx="2">
                  <c:v>13</c:v>
                </c:pt>
              </c:numCache>
            </c:numRef>
          </c:val>
          <c:extLst>
            <c:ext xmlns:c16="http://schemas.microsoft.com/office/drawing/2014/chart" uri="{C3380CC4-5D6E-409C-BE32-E72D297353CC}">
              <c16:uniqueId val="{00000001-1B58-422D-B85C-4ADAFB528671}"/>
            </c:ext>
          </c:extLst>
        </c:ser>
        <c:ser>
          <c:idx val="2"/>
          <c:order val="2"/>
          <c:tx>
            <c:strRef>
              <c:f>'Pivot Table'!$D$176</c:f>
              <c:strCache>
                <c:ptCount val="1"/>
                <c:pt idx="0">
                  <c:v>Qtr3</c:v>
                </c:pt>
              </c:strCache>
            </c:strRef>
          </c:tx>
          <c:spPr>
            <a:solidFill>
              <a:schemeClr val="accent3"/>
            </a:solidFill>
            <a:ln>
              <a:noFill/>
            </a:ln>
            <a:effectLst/>
          </c:spPr>
          <c:invertIfNegative val="0"/>
          <c:cat>
            <c:strRef>
              <c:f>'Pivot Table'!$A$177:$A$179</c:f>
              <c:strCache>
                <c:ptCount val="3"/>
                <c:pt idx="0">
                  <c:v>Cases</c:v>
                </c:pt>
                <c:pt idx="1">
                  <c:v>Deaths</c:v>
                </c:pt>
                <c:pt idx="2">
                  <c:v>Hospitalizations</c:v>
                </c:pt>
              </c:strCache>
            </c:strRef>
          </c:cat>
          <c:val>
            <c:numRef>
              <c:f>'Pivot Table'!$D$177:$D$179</c:f>
              <c:numCache>
                <c:formatCode>General</c:formatCode>
                <c:ptCount val="3"/>
                <c:pt idx="0">
                  <c:v>13</c:v>
                </c:pt>
                <c:pt idx="1">
                  <c:v>13</c:v>
                </c:pt>
                <c:pt idx="2">
                  <c:v>13</c:v>
                </c:pt>
              </c:numCache>
            </c:numRef>
          </c:val>
          <c:extLst>
            <c:ext xmlns:c16="http://schemas.microsoft.com/office/drawing/2014/chart" uri="{C3380CC4-5D6E-409C-BE32-E72D297353CC}">
              <c16:uniqueId val="{00000002-1B58-422D-B85C-4ADAFB528671}"/>
            </c:ext>
          </c:extLst>
        </c:ser>
        <c:ser>
          <c:idx val="3"/>
          <c:order val="3"/>
          <c:tx>
            <c:strRef>
              <c:f>'Pivot Table'!$E$176</c:f>
              <c:strCache>
                <c:ptCount val="1"/>
                <c:pt idx="0">
                  <c:v>Qtr 4</c:v>
                </c:pt>
              </c:strCache>
            </c:strRef>
          </c:tx>
          <c:spPr>
            <a:solidFill>
              <a:schemeClr val="accent4"/>
            </a:solidFill>
            <a:ln>
              <a:noFill/>
            </a:ln>
            <a:effectLst/>
          </c:spPr>
          <c:invertIfNegative val="0"/>
          <c:cat>
            <c:strRef>
              <c:f>'Pivot Table'!$A$177:$A$179</c:f>
              <c:strCache>
                <c:ptCount val="3"/>
                <c:pt idx="0">
                  <c:v>Cases</c:v>
                </c:pt>
                <c:pt idx="1">
                  <c:v>Deaths</c:v>
                </c:pt>
                <c:pt idx="2">
                  <c:v>Hospitalizations</c:v>
                </c:pt>
              </c:strCache>
            </c:strRef>
          </c:cat>
          <c:val>
            <c:numRef>
              <c:f>'Pivot Table'!$E$177:$E$179</c:f>
              <c:numCache>
                <c:formatCode>General</c:formatCode>
                <c:ptCount val="3"/>
                <c:pt idx="0">
                  <c:v>10</c:v>
                </c:pt>
                <c:pt idx="1">
                  <c:v>9</c:v>
                </c:pt>
                <c:pt idx="2">
                  <c:v>10</c:v>
                </c:pt>
              </c:numCache>
            </c:numRef>
          </c:val>
          <c:extLst>
            <c:ext xmlns:c16="http://schemas.microsoft.com/office/drawing/2014/chart" uri="{C3380CC4-5D6E-409C-BE32-E72D297353CC}">
              <c16:uniqueId val="{00000003-1B58-422D-B85C-4ADAFB528671}"/>
            </c:ext>
          </c:extLst>
        </c:ser>
        <c:dLbls>
          <c:showLegendKey val="0"/>
          <c:showVal val="0"/>
          <c:showCatName val="0"/>
          <c:showSerName val="0"/>
          <c:showPercent val="0"/>
          <c:showBubbleSize val="0"/>
        </c:dLbls>
        <c:gapWidth val="182"/>
        <c:axId val="1035897928"/>
        <c:axId val="1035897568"/>
      </c:barChart>
      <c:catAx>
        <c:axId val="1035897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897568"/>
        <c:crosses val="autoZero"/>
        <c:auto val="1"/>
        <c:lblAlgn val="ctr"/>
        <c:lblOffset val="100"/>
        <c:noMultiLvlLbl val="0"/>
      </c:catAx>
      <c:valAx>
        <c:axId val="1035897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5897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Table!PivotTable22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Table'!$B$190:$B$191</c:f>
              <c:strCache>
                <c:ptCount val="1"/>
                <c:pt idx="0">
                  <c:v>Cases</c:v>
                </c:pt>
              </c:strCache>
            </c:strRef>
          </c:tx>
          <c:spPr>
            <a:solidFill>
              <a:schemeClr val="accent1"/>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Table'!$B$192:$B$204</c:f>
              <c:numCache>
                <c:formatCode>General</c:formatCode>
                <c:ptCount val="12"/>
                <c:pt idx="0">
                  <c:v>384757</c:v>
                </c:pt>
                <c:pt idx="1">
                  <c:v>295242</c:v>
                </c:pt>
                <c:pt idx="2">
                  <c:v>227397</c:v>
                </c:pt>
                <c:pt idx="3">
                  <c:v>450769</c:v>
                </c:pt>
                <c:pt idx="4">
                  <c:v>298689</c:v>
                </c:pt>
                <c:pt idx="5">
                  <c:v>224217</c:v>
                </c:pt>
                <c:pt idx="6">
                  <c:v>372541</c:v>
                </c:pt>
                <c:pt idx="7">
                  <c:v>296968</c:v>
                </c:pt>
                <c:pt idx="8">
                  <c:v>291794</c:v>
                </c:pt>
                <c:pt idx="9">
                  <c:v>286636</c:v>
                </c:pt>
                <c:pt idx="10">
                  <c:v>358930</c:v>
                </c:pt>
                <c:pt idx="11">
                  <c:v>73575</c:v>
                </c:pt>
              </c:numCache>
            </c:numRef>
          </c:val>
          <c:extLst>
            <c:ext xmlns:c16="http://schemas.microsoft.com/office/drawing/2014/chart" uri="{C3380CC4-5D6E-409C-BE32-E72D297353CC}">
              <c16:uniqueId val="{00000000-C07E-40E2-9409-22AF1C3D20C8}"/>
            </c:ext>
          </c:extLst>
        </c:ser>
        <c:ser>
          <c:idx val="1"/>
          <c:order val="1"/>
          <c:tx>
            <c:strRef>
              <c:f>'Pivot Table'!$C$190:$C$191</c:f>
              <c:strCache>
                <c:ptCount val="1"/>
                <c:pt idx="0">
                  <c:v>Deaths</c:v>
                </c:pt>
              </c:strCache>
            </c:strRef>
          </c:tx>
          <c:spPr>
            <a:solidFill>
              <a:schemeClr val="accent2"/>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Table'!$C$192:$C$204</c:f>
              <c:numCache>
                <c:formatCode>General</c:formatCode>
                <c:ptCount val="12"/>
                <c:pt idx="0">
                  <c:v>384757</c:v>
                </c:pt>
                <c:pt idx="1">
                  <c:v>227385</c:v>
                </c:pt>
                <c:pt idx="2">
                  <c:v>227397</c:v>
                </c:pt>
                <c:pt idx="3">
                  <c:v>450769</c:v>
                </c:pt>
                <c:pt idx="4">
                  <c:v>298689</c:v>
                </c:pt>
                <c:pt idx="5">
                  <c:v>224217</c:v>
                </c:pt>
                <c:pt idx="6">
                  <c:v>372541</c:v>
                </c:pt>
                <c:pt idx="7">
                  <c:v>296968</c:v>
                </c:pt>
                <c:pt idx="8">
                  <c:v>291794</c:v>
                </c:pt>
                <c:pt idx="9">
                  <c:v>286636</c:v>
                </c:pt>
                <c:pt idx="10">
                  <c:v>291027</c:v>
                </c:pt>
                <c:pt idx="11">
                  <c:v>73575</c:v>
                </c:pt>
              </c:numCache>
            </c:numRef>
          </c:val>
          <c:extLst>
            <c:ext xmlns:c16="http://schemas.microsoft.com/office/drawing/2014/chart" uri="{C3380CC4-5D6E-409C-BE32-E72D297353CC}">
              <c16:uniqueId val="{00000000-3864-445E-848E-56B728A663B3}"/>
            </c:ext>
          </c:extLst>
        </c:ser>
        <c:ser>
          <c:idx val="2"/>
          <c:order val="2"/>
          <c:tx>
            <c:strRef>
              <c:f>'Pivot Table'!$D$190:$D$191</c:f>
              <c:strCache>
                <c:ptCount val="1"/>
                <c:pt idx="0">
                  <c:v>Hospitalizations</c:v>
                </c:pt>
              </c:strCache>
            </c:strRef>
          </c:tx>
          <c:spPr>
            <a:solidFill>
              <a:schemeClr val="accent3"/>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Table'!$D$192:$D$204</c:f>
              <c:numCache>
                <c:formatCode>General</c:formatCode>
                <c:ptCount val="12"/>
                <c:pt idx="0">
                  <c:v>384757</c:v>
                </c:pt>
                <c:pt idx="1">
                  <c:v>227385</c:v>
                </c:pt>
                <c:pt idx="2">
                  <c:v>227397</c:v>
                </c:pt>
                <c:pt idx="3">
                  <c:v>450769</c:v>
                </c:pt>
                <c:pt idx="4">
                  <c:v>298689</c:v>
                </c:pt>
                <c:pt idx="5">
                  <c:v>224217</c:v>
                </c:pt>
                <c:pt idx="6">
                  <c:v>372541</c:v>
                </c:pt>
                <c:pt idx="7">
                  <c:v>296968</c:v>
                </c:pt>
                <c:pt idx="8">
                  <c:v>291794</c:v>
                </c:pt>
                <c:pt idx="9">
                  <c:v>286636</c:v>
                </c:pt>
                <c:pt idx="10">
                  <c:v>358930</c:v>
                </c:pt>
                <c:pt idx="11">
                  <c:v>73575</c:v>
                </c:pt>
              </c:numCache>
            </c:numRef>
          </c:val>
          <c:extLst>
            <c:ext xmlns:c16="http://schemas.microsoft.com/office/drawing/2014/chart" uri="{C3380CC4-5D6E-409C-BE32-E72D297353CC}">
              <c16:uniqueId val="{00000001-3864-445E-848E-56B728A663B3}"/>
            </c:ext>
          </c:extLst>
        </c:ser>
        <c:dLbls>
          <c:showLegendKey val="0"/>
          <c:showVal val="0"/>
          <c:showCatName val="0"/>
          <c:showSerName val="0"/>
          <c:showPercent val="0"/>
          <c:showBubbleSize val="0"/>
        </c:dLbls>
        <c:gapWidth val="219"/>
        <c:overlap val="-27"/>
        <c:axId val="849079672"/>
        <c:axId val="849081472"/>
      </c:barChart>
      <c:catAx>
        <c:axId val="849079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081472"/>
        <c:crosses val="autoZero"/>
        <c:auto val="1"/>
        <c:lblAlgn val="ctr"/>
        <c:lblOffset val="100"/>
        <c:noMultiLvlLbl val="0"/>
      </c:catAx>
      <c:valAx>
        <c:axId val="849081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49079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Table!PivotTable12</c:name>
    <c:fmtId val="9"/>
  </c:pivotSource>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Vaccination Outcomes</a:t>
            </a:r>
          </a:p>
        </c:rich>
      </c:tx>
      <c:layout>
        <c:manualLayout>
          <c:xMode val="edge"/>
          <c:yMode val="edge"/>
          <c:x val="0.24303878097632051"/>
          <c:y val="6.0065059445490723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tx1">
                <a:lumMod val="95000"/>
                <a:lumOff val="5000"/>
              </a:schemeClr>
            </a:solidFill>
          </a:ln>
          <a:effectLst/>
          <a:sp3d contourW="25400">
            <a:contourClr>
              <a:schemeClr val="tx1">
                <a:lumMod val="95000"/>
                <a:lumOff val="5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4682B4"/>
          </a:solidFill>
          <a:ln w="25400">
            <a:solidFill>
              <a:schemeClr val="tx1">
                <a:lumMod val="95000"/>
                <a:lumOff val="5000"/>
              </a:schemeClr>
            </a:solidFill>
          </a:ln>
          <a:effectLst/>
          <a:sp3d contourW="25400">
            <a:contourClr>
              <a:schemeClr val="tx1">
                <a:lumMod val="95000"/>
                <a:lumOff val="5000"/>
              </a:schemeClr>
            </a:contourClr>
          </a:sp3d>
        </c:spPr>
      </c:pivotFmt>
      <c:pivotFmt>
        <c:idx val="10"/>
        <c:spPr>
          <a:solidFill>
            <a:srgbClr val="4169E1"/>
          </a:solidFill>
          <a:ln w="25400">
            <a:solidFill>
              <a:schemeClr val="tx1">
                <a:lumMod val="95000"/>
                <a:lumOff val="5000"/>
              </a:schemeClr>
            </a:solidFill>
          </a:ln>
          <a:effectLst/>
          <a:sp3d contourW="25400">
            <a:contourClr>
              <a:schemeClr val="tx1">
                <a:lumMod val="95000"/>
                <a:lumOff val="5000"/>
              </a:schemeClr>
            </a:contourClr>
          </a:sp3d>
        </c:spPr>
      </c:pivotFmt>
      <c:pivotFmt>
        <c:idx val="11"/>
        <c:spPr>
          <a:solidFill>
            <a:srgbClr val="7FB3D5"/>
          </a:solidFill>
          <a:ln w="25400">
            <a:solidFill>
              <a:schemeClr val="tx1">
                <a:lumMod val="95000"/>
                <a:lumOff val="5000"/>
              </a:schemeClr>
            </a:solidFill>
          </a:ln>
          <a:effectLst/>
          <a:sp3d contourW="25400">
            <a:contourClr>
              <a:schemeClr val="tx1">
                <a:lumMod val="95000"/>
                <a:lumOff val="5000"/>
              </a:schemeClr>
            </a:contourClr>
          </a:sp3d>
        </c:spPr>
      </c:pivotFmt>
      <c:pivotFmt>
        <c:idx val="12"/>
        <c:spPr>
          <a:solidFill>
            <a:schemeClr val="accent1"/>
          </a:solidFill>
          <a:ln w="25400">
            <a:solidFill>
              <a:schemeClr val="tx1">
                <a:lumMod val="95000"/>
                <a:lumOff val="5000"/>
              </a:schemeClr>
            </a:solidFill>
          </a:ln>
          <a:effectLst/>
          <a:sp3d contourW="25400">
            <a:contourClr>
              <a:schemeClr val="tx1">
                <a:lumMod val="95000"/>
                <a:lumOff val="5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4682B4"/>
          </a:solidFill>
          <a:ln w="25400">
            <a:solidFill>
              <a:schemeClr val="tx1">
                <a:lumMod val="95000"/>
                <a:lumOff val="5000"/>
              </a:schemeClr>
            </a:solidFill>
          </a:ln>
          <a:effectLst/>
          <a:sp3d contourW="25400">
            <a:contourClr>
              <a:schemeClr val="tx1">
                <a:lumMod val="95000"/>
                <a:lumOff val="5000"/>
              </a:schemeClr>
            </a:contourClr>
          </a:sp3d>
        </c:spPr>
      </c:pivotFmt>
      <c:pivotFmt>
        <c:idx val="14"/>
        <c:spPr>
          <a:solidFill>
            <a:srgbClr val="4169E1"/>
          </a:solidFill>
          <a:ln w="25400">
            <a:solidFill>
              <a:schemeClr val="tx1">
                <a:lumMod val="95000"/>
                <a:lumOff val="5000"/>
              </a:schemeClr>
            </a:solidFill>
          </a:ln>
          <a:effectLst/>
          <a:sp3d contourW="25400">
            <a:contourClr>
              <a:schemeClr val="tx1">
                <a:lumMod val="95000"/>
                <a:lumOff val="5000"/>
              </a:schemeClr>
            </a:contourClr>
          </a:sp3d>
        </c:spPr>
      </c:pivotFmt>
      <c:pivotFmt>
        <c:idx val="15"/>
        <c:spPr>
          <a:solidFill>
            <a:srgbClr val="7FB3D5"/>
          </a:solidFill>
          <a:ln w="25400">
            <a:solidFill>
              <a:schemeClr val="tx1">
                <a:lumMod val="95000"/>
                <a:lumOff val="5000"/>
              </a:schemeClr>
            </a:solidFill>
          </a:ln>
          <a:effectLst/>
          <a:sp3d contourW="25400">
            <a:contourClr>
              <a:schemeClr val="tx1">
                <a:lumMod val="95000"/>
                <a:lumOff val="5000"/>
              </a:schemeClr>
            </a:contourClr>
          </a:sp3d>
        </c:spPr>
      </c:pivotFmt>
      <c:pivotFmt>
        <c:idx val="16"/>
        <c:spPr>
          <a:solidFill>
            <a:schemeClr val="accent1"/>
          </a:solidFill>
          <a:ln w="25400">
            <a:solidFill>
              <a:schemeClr val="tx1">
                <a:lumMod val="95000"/>
                <a:lumOff val="5000"/>
              </a:schemeClr>
            </a:solidFill>
          </a:ln>
          <a:effectLst/>
          <a:sp3d contourW="25400">
            <a:contourClr>
              <a:schemeClr val="tx1">
                <a:lumMod val="95000"/>
                <a:lumOff val="5000"/>
              </a:schemeClr>
            </a:contourClr>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4682B4"/>
          </a:solidFill>
          <a:ln w="25400">
            <a:solidFill>
              <a:schemeClr val="tx1">
                <a:lumMod val="95000"/>
                <a:lumOff val="5000"/>
              </a:schemeClr>
            </a:solidFill>
          </a:ln>
          <a:effectLst/>
          <a:sp3d contourW="25400">
            <a:contourClr>
              <a:schemeClr val="tx1">
                <a:lumMod val="95000"/>
                <a:lumOff val="5000"/>
              </a:schemeClr>
            </a:contourClr>
          </a:sp3d>
        </c:spPr>
      </c:pivotFmt>
      <c:pivotFmt>
        <c:idx val="18"/>
        <c:spPr>
          <a:solidFill>
            <a:srgbClr val="4169E1"/>
          </a:solidFill>
          <a:ln w="25400">
            <a:solidFill>
              <a:schemeClr val="tx1">
                <a:lumMod val="95000"/>
                <a:lumOff val="5000"/>
              </a:schemeClr>
            </a:solidFill>
          </a:ln>
          <a:effectLst/>
          <a:sp3d contourW="25400">
            <a:contourClr>
              <a:schemeClr val="tx1">
                <a:lumMod val="95000"/>
                <a:lumOff val="5000"/>
              </a:schemeClr>
            </a:contourClr>
          </a:sp3d>
        </c:spPr>
      </c:pivotFmt>
      <c:pivotFmt>
        <c:idx val="19"/>
        <c:spPr>
          <a:solidFill>
            <a:srgbClr val="7FB3D5"/>
          </a:solidFill>
          <a:ln w="25400">
            <a:solidFill>
              <a:schemeClr val="tx1">
                <a:lumMod val="95000"/>
                <a:lumOff val="5000"/>
              </a:schemeClr>
            </a:solidFill>
          </a:ln>
          <a:effectLst/>
          <a:sp3d contourW="25400">
            <a:contourClr>
              <a:schemeClr val="tx1">
                <a:lumMod val="95000"/>
                <a:lumOff val="5000"/>
              </a:schemeClr>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9473871094168148E-2"/>
          <c:y val="0.23909440808485158"/>
          <c:w val="0.96378219127294307"/>
          <c:h val="0.76090559191514839"/>
        </c:manualLayout>
      </c:layout>
      <c:pie3DChart>
        <c:varyColors val="1"/>
        <c:ser>
          <c:idx val="0"/>
          <c:order val="0"/>
          <c:tx>
            <c:strRef>
              <c:f>'Pivot Table'!$B$68</c:f>
              <c:strCache>
                <c:ptCount val="1"/>
                <c:pt idx="0">
                  <c:v>Total</c:v>
                </c:pt>
              </c:strCache>
            </c:strRef>
          </c:tx>
          <c:spPr>
            <a:ln>
              <a:solidFill>
                <a:schemeClr val="tx1">
                  <a:lumMod val="95000"/>
                  <a:lumOff val="5000"/>
                </a:schemeClr>
              </a:solidFill>
            </a:ln>
          </c:spPr>
          <c:explosion val="9"/>
          <c:dPt>
            <c:idx val="0"/>
            <c:bubble3D val="0"/>
            <c:spPr>
              <a:solidFill>
                <a:srgbClr val="4682B4"/>
              </a:solidFill>
              <a:ln w="25400">
                <a:solidFill>
                  <a:schemeClr val="tx1">
                    <a:lumMod val="95000"/>
                    <a:lumOff val="5000"/>
                  </a:schemeClr>
                </a:solidFill>
              </a:ln>
              <a:effectLst/>
              <a:sp3d contourW="25400">
                <a:contourClr>
                  <a:schemeClr val="tx1">
                    <a:lumMod val="95000"/>
                    <a:lumOff val="5000"/>
                  </a:schemeClr>
                </a:contourClr>
              </a:sp3d>
            </c:spPr>
            <c:extLst>
              <c:ext xmlns:c16="http://schemas.microsoft.com/office/drawing/2014/chart" uri="{C3380CC4-5D6E-409C-BE32-E72D297353CC}">
                <c16:uniqueId val="{00000001-E68F-4C08-81A7-0293EEE0CA47}"/>
              </c:ext>
            </c:extLst>
          </c:dPt>
          <c:dPt>
            <c:idx val="1"/>
            <c:bubble3D val="0"/>
            <c:spPr>
              <a:solidFill>
                <a:srgbClr val="4169E1"/>
              </a:solidFill>
              <a:ln w="25400">
                <a:solidFill>
                  <a:schemeClr val="tx1">
                    <a:lumMod val="95000"/>
                    <a:lumOff val="5000"/>
                  </a:schemeClr>
                </a:solidFill>
              </a:ln>
              <a:effectLst/>
              <a:sp3d contourW="25400">
                <a:contourClr>
                  <a:schemeClr val="tx1">
                    <a:lumMod val="95000"/>
                    <a:lumOff val="5000"/>
                  </a:schemeClr>
                </a:contourClr>
              </a:sp3d>
            </c:spPr>
            <c:extLst>
              <c:ext xmlns:c16="http://schemas.microsoft.com/office/drawing/2014/chart" uri="{C3380CC4-5D6E-409C-BE32-E72D297353CC}">
                <c16:uniqueId val="{00000003-E68F-4C08-81A7-0293EEE0CA47}"/>
              </c:ext>
            </c:extLst>
          </c:dPt>
          <c:dPt>
            <c:idx val="2"/>
            <c:bubble3D val="0"/>
            <c:spPr>
              <a:solidFill>
                <a:srgbClr val="7FB3D5"/>
              </a:solidFill>
              <a:ln w="25400">
                <a:solidFill>
                  <a:schemeClr val="tx1">
                    <a:lumMod val="95000"/>
                    <a:lumOff val="5000"/>
                  </a:schemeClr>
                </a:solidFill>
              </a:ln>
              <a:effectLst/>
              <a:sp3d contourW="25400">
                <a:contourClr>
                  <a:schemeClr val="tx1">
                    <a:lumMod val="95000"/>
                    <a:lumOff val="5000"/>
                  </a:schemeClr>
                </a:contourClr>
              </a:sp3d>
            </c:spPr>
            <c:extLst>
              <c:ext xmlns:c16="http://schemas.microsoft.com/office/drawing/2014/chart" uri="{C3380CC4-5D6E-409C-BE32-E72D297353CC}">
                <c16:uniqueId val="{00000005-E68F-4C08-81A7-0293EEE0CA47}"/>
              </c:ext>
            </c:extLst>
          </c:dPt>
          <c:dLbls>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Table'!$A$69:$A$72</c:f>
              <c:strCache>
                <c:ptCount val="3"/>
                <c:pt idx="0">
                  <c:v>Cases</c:v>
                </c:pt>
                <c:pt idx="1">
                  <c:v>Deaths</c:v>
                </c:pt>
                <c:pt idx="2">
                  <c:v>Hospitalizations</c:v>
                </c:pt>
              </c:strCache>
            </c:strRef>
          </c:cat>
          <c:val>
            <c:numRef>
              <c:f>'Pivot Table'!$B$69:$B$72</c:f>
              <c:numCache>
                <c:formatCode>0.00%</c:formatCode>
                <c:ptCount val="3"/>
                <c:pt idx="0">
                  <c:v>0.34042553191489361</c:v>
                </c:pt>
                <c:pt idx="1">
                  <c:v>0.32624113475177308</c:v>
                </c:pt>
                <c:pt idx="2">
                  <c:v>0.33333333333333331</c:v>
                </c:pt>
              </c:numCache>
            </c:numRef>
          </c:val>
          <c:extLst>
            <c:ext xmlns:c16="http://schemas.microsoft.com/office/drawing/2014/chart" uri="{C3380CC4-5D6E-409C-BE32-E72D297353CC}">
              <c16:uniqueId val="{00000006-E68F-4C08-81A7-0293EEE0CA47}"/>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16293016575619099"/>
          <c:y val="0.10903510920962894"/>
          <c:w val="0.68970047758694863"/>
          <c:h val="0.11270989336123478"/>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2">
              <a:lumMod val="75000"/>
              <a:lumOff val="25000"/>
            </a:schemeClr>
          </a:solidFill>
          <a:latin typeface="+mn-lt"/>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Table!PivotTable7</c:name>
    <c:fmtId val="56"/>
  </c:pivotSource>
  <c:chart>
    <c:title>
      <c:tx>
        <c:rich>
          <a:bodyPr rot="0" spcFirstLastPara="1" vertOverflow="ellipsis" vert="horz" wrap="square" anchor="ctr" anchorCtr="1"/>
          <a:lstStyle/>
          <a:p>
            <a:pPr>
              <a:defRPr sz="1680" b="0" i="0" u="none" strike="noStrike" kern="1200" spc="0" baseline="0">
                <a:solidFill>
                  <a:schemeClr val="tx2">
                    <a:lumMod val="75000"/>
                    <a:lumOff val="25000"/>
                  </a:schemeClr>
                </a:solidFill>
                <a:latin typeface="+mn-lt"/>
                <a:ea typeface="Lato black" panose="020F0502020204030203" pitchFamily="34" charset="0"/>
                <a:cs typeface="Lato black" panose="020F0502020204030203" pitchFamily="34" charset="0"/>
              </a:defRPr>
            </a:pPr>
            <a:r>
              <a:rPr lang="en-US"/>
              <a:t>Average Rates</a:t>
            </a:r>
          </a:p>
          <a:p>
            <a:pPr>
              <a:defRPr/>
            </a:pPr>
            <a:endParaRPr lang="en-US"/>
          </a:p>
        </c:rich>
      </c:tx>
      <c:overlay val="0"/>
      <c:spPr>
        <a:noFill/>
        <a:ln>
          <a:noFill/>
        </a:ln>
        <a:effectLst/>
      </c:spPr>
      <c:txPr>
        <a:bodyPr rot="0" spcFirstLastPara="1" vertOverflow="ellipsis" vert="horz" wrap="square" anchor="ctr" anchorCtr="1"/>
        <a:lstStyle/>
        <a:p>
          <a:pPr>
            <a:defRPr sz="1680" b="0" i="0" u="none" strike="noStrike" kern="1200" spc="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000080"/>
            </a:solidFill>
            <a:round/>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0000CD"/>
            </a:solidFill>
            <a:round/>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6495ED"/>
            </a:solidFill>
            <a:round/>
          </a:ln>
          <a:effectLst/>
        </c:spPr>
        <c:marker>
          <c:symbol val="none"/>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rgbClr val="00008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rgbClr val="0000C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6495E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rgbClr val="00008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rgbClr val="0000C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6495ED"/>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1764705882352942E-2"/>
          <c:y val="0.50443004239854639"/>
          <c:w val="0.89647058823529413"/>
          <c:h val="0.34180467360934724"/>
        </c:manualLayout>
      </c:layout>
      <c:lineChart>
        <c:grouping val="standard"/>
        <c:varyColors val="0"/>
        <c:ser>
          <c:idx val="0"/>
          <c:order val="0"/>
          <c:tx>
            <c:strRef>
              <c:f>'Pivot Table'!$B$32</c:f>
              <c:strCache>
                <c:ptCount val="1"/>
                <c:pt idx="0">
                  <c:v>Average of Vaccinated Rate</c:v>
                </c:pt>
              </c:strCache>
            </c:strRef>
          </c:tx>
          <c:spPr>
            <a:ln w="28575" cap="rnd">
              <a:solidFill>
                <a:srgbClr val="000080"/>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Table'!$B$33:$B$45</c:f>
              <c:numCache>
                <c:formatCode>General</c:formatCode>
                <c:ptCount val="12"/>
                <c:pt idx="0">
                  <c:v>12.026666666666669</c:v>
                </c:pt>
                <c:pt idx="1">
                  <c:v>15.7</c:v>
                </c:pt>
                <c:pt idx="2">
                  <c:v>8.4111111111111132</c:v>
                </c:pt>
                <c:pt idx="3">
                  <c:v>8.85</c:v>
                </c:pt>
                <c:pt idx="4">
                  <c:v>3.5083333333333342</c:v>
                </c:pt>
                <c:pt idx="5">
                  <c:v>2.5444444444444443</c:v>
                </c:pt>
                <c:pt idx="6">
                  <c:v>6.5866666666666669</c:v>
                </c:pt>
                <c:pt idx="7">
                  <c:v>6.5</c:v>
                </c:pt>
                <c:pt idx="8">
                  <c:v>5.8833333333333329</c:v>
                </c:pt>
                <c:pt idx="9">
                  <c:v>3.6999999999999997</c:v>
                </c:pt>
                <c:pt idx="10">
                  <c:v>11.335714285714287</c:v>
                </c:pt>
                <c:pt idx="11">
                  <c:v>4.8</c:v>
                </c:pt>
              </c:numCache>
            </c:numRef>
          </c:val>
          <c:smooth val="0"/>
          <c:extLst>
            <c:ext xmlns:c16="http://schemas.microsoft.com/office/drawing/2014/chart" uri="{C3380CC4-5D6E-409C-BE32-E72D297353CC}">
              <c16:uniqueId val="{00000000-9E8A-4C70-B691-53EFDD996806}"/>
            </c:ext>
          </c:extLst>
        </c:ser>
        <c:ser>
          <c:idx val="1"/>
          <c:order val="1"/>
          <c:tx>
            <c:strRef>
              <c:f>'Pivot Table'!$C$32</c:f>
              <c:strCache>
                <c:ptCount val="1"/>
                <c:pt idx="0">
                  <c:v>Average of Boosted Rate</c:v>
                </c:pt>
              </c:strCache>
            </c:strRef>
          </c:tx>
          <c:spPr>
            <a:ln w="28575" cap="rnd">
              <a:solidFill>
                <a:srgbClr val="0000CD"/>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Table'!$C$33:$C$45</c:f>
              <c:numCache>
                <c:formatCode>General</c:formatCode>
                <c:ptCount val="12"/>
                <c:pt idx="0">
                  <c:v>15.253333333333332</c:v>
                </c:pt>
                <c:pt idx="1">
                  <c:v>20.139999999999997</c:v>
                </c:pt>
                <c:pt idx="2">
                  <c:v>11.411111111111111</c:v>
                </c:pt>
                <c:pt idx="3">
                  <c:v>11.944444444444445</c:v>
                </c:pt>
                <c:pt idx="4">
                  <c:v>4.9416666666666664</c:v>
                </c:pt>
                <c:pt idx="5">
                  <c:v>3.3</c:v>
                </c:pt>
                <c:pt idx="6">
                  <c:v>9.0733333333333324</c:v>
                </c:pt>
                <c:pt idx="7">
                  <c:v>7.8833333333333337</c:v>
                </c:pt>
                <c:pt idx="8">
                  <c:v>9.4749999999999996</c:v>
                </c:pt>
                <c:pt idx="9">
                  <c:v>5.3999999999999995</c:v>
                </c:pt>
                <c:pt idx="10">
                  <c:v>14.407142857142857</c:v>
                </c:pt>
                <c:pt idx="11">
                  <c:v>8.4333333333333336</c:v>
                </c:pt>
              </c:numCache>
            </c:numRef>
          </c:val>
          <c:smooth val="0"/>
          <c:extLst>
            <c:ext xmlns:c16="http://schemas.microsoft.com/office/drawing/2014/chart" uri="{C3380CC4-5D6E-409C-BE32-E72D297353CC}">
              <c16:uniqueId val="{00000001-9E8A-4C70-B691-53EFDD996806}"/>
            </c:ext>
          </c:extLst>
        </c:ser>
        <c:ser>
          <c:idx val="2"/>
          <c:order val="2"/>
          <c:tx>
            <c:strRef>
              <c:f>'Pivot Table'!$D$32</c:f>
              <c:strCache>
                <c:ptCount val="1"/>
                <c:pt idx="0">
                  <c:v>Average of Unvaccinated Rate</c:v>
                </c:pt>
              </c:strCache>
            </c:strRef>
          </c:tx>
          <c:spPr>
            <a:ln w="28575" cap="rnd">
              <a:solidFill>
                <a:srgbClr val="6495ED"/>
              </a:solidFill>
              <a:round/>
            </a:ln>
            <a:effectLst/>
          </c:spPr>
          <c:marker>
            <c:symbol val="none"/>
          </c:marker>
          <c:cat>
            <c:strRef>
              <c:f>'Pivot Table'!$A$33:$A$45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Table'!$D$33:$D$45</c:f>
              <c:numCache>
                <c:formatCode>General</c:formatCode>
                <c:ptCount val="12"/>
                <c:pt idx="0">
                  <c:v>35.580000000000005</c:v>
                </c:pt>
                <c:pt idx="1">
                  <c:v>50.55</c:v>
                </c:pt>
                <c:pt idx="2">
                  <c:v>22.733333333333334</c:v>
                </c:pt>
                <c:pt idx="3">
                  <c:v>32.349999999999994</c:v>
                </c:pt>
                <c:pt idx="4">
                  <c:v>15.491666666666665</c:v>
                </c:pt>
                <c:pt idx="5">
                  <c:v>10.666666666666666</c:v>
                </c:pt>
                <c:pt idx="6">
                  <c:v>21.033333333333335</c:v>
                </c:pt>
                <c:pt idx="7">
                  <c:v>21.766666666666669</c:v>
                </c:pt>
                <c:pt idx="8">
                  <c:v>26.25</c:v>
                </c:pt>
                <c:pt idx="9">
                  <c:v>17.408333333333331</c:v>
                </c:pt>
                <c:pt idx="10">
                  <c:v>35.728571428571435</c:v>
                </c:pt>
                <c:pt idx="11">
                  <c:v>17.666666666666668</c:v>
                </c:pt>
              </c:numCache>
            </c:numRef>
          </c:val>
          <c:smooth val="0"/>
          <c:extLst>
            <c:ext xmlns:c16="http://schemas.microsoft.com/office/drawing/2014/chart" uri="{C3380CC4-5D6E-409C-BE32-E72D297353CC}">
              <c16:uniqueId val="{00000002-9E8A-4C70-B691-53EFDD996806}"/>
            </c:ext>
          </c:extLst>
        </c:ser>
        <c:dLbls>
          <c:showLegendKey val="0"/>
          <c:showVal val="0"/>
          <c:showCatName val="0"/>
          <c:showSerName val="0"/>
          <c:showPercent val="0"/>
          <c:showBubbleSize val="0"/>
        </c:dLbls>
        <c:smooth val="0"/>
        <c:axId val="603598512"/>
        <c:axId val="603605352"/>
      </c:lineChart>
      <c:catAx>
        <c:axId val="603598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crossAx val="603605352"/>
        <c:crosses val="autoZero"/>
        <c:auto val="1"/>
        <c:lblAlgn val="ctr"/>
        <c:lblOffset val="100"/>
        <c:noMultiLvlLbl val="0"/>
      </c:catAx>
      <c:valAx>
        <c:axId val="603605352"/>
        <c:scaling>
          <c:orientation val="minMax"/>
        </c:scaling>
        <c:delete val="1"/>
        <c:axPos val="l"/>
        <c:numFmt formatCode="General" sourceLinked="1"/>
        <c:majorTickMark val="none"/>
        <c:minorTickMark val="none"/>
        <c:tickLblPos val="nextTo"/>
        <c:crossAx val="603598512"/>
        <c:crosses val="autoZero"/>
        <c:crossBetween val="between"/>
      </c:valAx>
      <c:spPr>
        <a:noFill/>
        <a:ln>
          <a:noFill/>
        </a:ln>
        <a:effectLst/>
      </c:spPr>
    </c:plotArea>
    <c:legend>
      <c:legendPos val="t"/>
      <c:layout>
        <c:manualLayout>
          <c:xMode val="edge"/>
          <c:yMode val="edge"/>
          <c:x val="3.6131691592242256E-2"/>
          <c:y val="0.25"/>
          <c:w val="0.96386830840775772"/>
          <c:h val="0.2223863347726695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400">
          <a:solidFill>
            <a:schemeClr val="tx2">
              <a:lumMod val="75000"/>
              <a:lumOff val="25000"/>
            </a:schemeClr>
          </a:solidFill>
          <a:latin typeface="+mn-lt"/>
          <a:ea typeface="Lato black" panose="020F0502020204030203" pitchFamily="34" charset="0"/>
          <a:cs typeface="Lato black" panose="020F050202020403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Table!PivotTable10</c:name>
    <c:fmtId val="30"/>
  </c:pivotSource>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Sum of Popullation vaccinated</a:t>
            </a:r>
          </a:p>
        </c:rich>
      </c:tx>
      <c:layout>
        <c:manualLayout>
          <c:xMode val="edge"/>
          <c:yMode val="edge"/>
          <c:x val="0.14318422713278461"/>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tx1">
                <a:lumMod val="85000"/>
                <a:lumOff val="15000"/>
              </a:schemeClr>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B0D9F2">
              <a:alpha val="95294"/>
            </a:srgbClr>
          </a:solidFill>
          <a:ln w="19050">
            <a:solidFill>
              <a:schemeClr val="tx1">
                <a:lumMod val="85000"/>
                <a:lumOff val="15000"/>
              </a:schemeClr>
            </a:solidFill>
          </a:ln>
          <a:effectLst/>
        </c:spPr>
      </c:pivotFmt>
      <c:pivotFmt>
        <c:idx val="16"/>
        <c:spPr>
          <a:solidFill>
            <a:srgbClr val="7FB3D5"/>
          </a:solidFill>
          <a:ln w="19050">
            <a:solidFill>
              <a:schemeClr val="tx1">
                <a:lumMod val="85000"/>
                <a:lumOff val="15000"/>
              </a:schemeClr>
            </a:solidFill>
          </a:ln>
          <a:effectLst/>
        </c:spPr>
      </c:pivotFmt>
      <c:pivotFmt>
        <c:idx val="17"/>
        <c:spPr>
          <a:solidFill>
            <a:srgbClr val="85C1E9"/>
          </a:solidFill>
          <a:ln w="19050">
            <a:solidFill>
              <a:schemeClr val="tx1">
                <a:lumMod val="85000"/>
                <a:lumOff val="15000"/>
              </a:schemeClr>
            </a:solidFill>
          </a:ln>
          <a:effectLst/>
        </c:spPr>
      </c:pivotFmt>
      <c:pivotFmt>
        <c:idx val="18"/>
        <c:spPr>
          <a:solidFill>
            <a:srgbClr val="5DADE2"/>
          </a:solidFill>
          <a:ln w="19050">
            <a:solidFill>
              <a:schemeClr val="tx1">
                <a:lumMod val="85000"/>
                <a:lumOff val="15000"/>
              </a:schemeClr>
            </a:solidFill>
          </a:ln>
          <a:effectLst/>
        </c:spPr>
      </c:pivotFmt>
      <c:pivotFmt>
        <c:idx val="19"/>
        <c:spPr>
          <a:solidFill>
            <a:srgbClr val="4682B4"/>
          </a:solidFill>
          <a:ln w="19050">
            <a:solidFill>
              <a:schemeClr val="tx1">
                <a:lumMod val="85000"/>
                <a:lumOff val="15000"/>
              </a:schemeClr>
            </a:solidFill>
          </a:ln>
          <a:effectLst/>
        </c:spPr>
      </c:pivotFmt>
      <c:pivotFmt>
        <c:idx val="20"/>
        <c:spPr>
          <a:solidFill>
            <a:srgbClr val="6495ED"/>
          </a:solidFill>
          <a:ln w="19050">
            <a:solidFill>
              <a:schemeClr val="tx1">
                <a:lumMod val="85000"/>
                <a:lumOff val="15000"/>
              </a:schemeClr>
            </a:solidFill>
          </a:ln>
          <a:effectLst/>
        </c:spPr>
      </c:pivotFmt>
      <c:pivotFmt>
        <c:idx val="21"/>
        <c:spPr>
          <a:solidFill>
            <a:srgbClr val="4169E1"/>
          </a:solidFill>
          <a:ln w="19050">
            <a:solidFill>
              <a:schemeClr val="tx1">
                <a:lumMod val="85000"/>
                <a:lumOff val="15000"/>
              </a:schemeClr>
            </a:solidFill>
          </a:ln>
          <a:effectLst/>
        </c:spPr>
      </c:pivotFmt>
      <c:pivotFmt>
        <c:idx val="22"/>
        <c:spPr>
          <a:solidFill>
            <a:srgbClr val="2A52BE"/>
          </a:solidFill>
          <a:ln w="19050">
            <a:solidFill>
              <a:schemeClr val="tx1">
                <a:lumMod val="85000"/>
                <a:lumOff val="15000"/>
              </a:schemeClr>
            </a:solidFill>
          </a:ln>
          <a:effectLst/>
        </c:spPr>
      </c:pivotFmt>
      <c:pivotFmt>
        <c:idx val="23"/>
        <c:spPr>
          <a:solidFill>
            <a:srgbClr val="27408B"/>
          </a:solidFill>
          <a:ln w="19050">
            <a:solidFill>
              <a:schemeClr val="tx1">
                <a:lumMod val="85000"/>
                <a:lumOff val="15000"/>
              </a:schemeClr>
            </a:solidFill>
          </a:ln>
          <a:effectLst/>
        </c:spPr>
      </c:pivotFmt>
      <c:pivotFmt>
        <c:idx val="24"/>
        <c:spPr>
          <a:solidFill>
            <a:srgbClr val="003153"/>
          </a:solidFill>
          <a:ln w="19050">
            <a:solidFill>
              <a:schemeClr val="tx1">
                <a:lumMod val="85000"/>
                <a:lumOff val="15000"/>
              </a:schemeClr>
            </a:solidFill>
          </a:ln>
          <a:effectLst/>
        </c:spPr>
      </c:pivotFmt>
      <c:pivotFmt>
        <c:idx val="25"/>
        <c:spPr>
          <a:solidFill>
            <a:srgbClr val="191970"/>
          </a:solidFill>
          <a:ln w="19050">
            <a:solidFill>
              <a:schemeClr val="tx1">
                <a:lumMod val="85000"/>
                <a:lumOff val="15000"/>
              </a:schemeClr>
            </a:solidFill>
          </a:ln>
          <a:effectLst/>
        </c:spPr>
      </c:pivotFmt>
      <c:pivotFmt>
        <c:idx val="26"/>
        <c:spPr>
          <a:solidFill>
            <a:srgbClr val="D6EAF8"/>
          </a:solidFill>
          <a:ln w="19050">
            <a:solidFill>
              <a:schemeClr val="tx1">
                <a:lumMod val="85000"/>
                <a:lumOff val="15000"/>
              </a:schemeClr>
            </a:solidFill>
          </a:ln>
          <a:effectLst/>
        </c:spPr>
      </c:pivotFmt>
      <c:pivotFmt>
        <c:idx val="27"/>
        <c:spPr>
          <a:solidFill>
            <a:schemeClr val="accent1"/>
          </a:solidFill>
          <a:ln w="19050">
            <a:solidFill>
              <a:schemeClr val="tx1">
                <a:lumMod val="85000"/>
                <a:lumOff val="1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rgbClr val="B0D9F2">
              <a:alpha val="95294"/>
            </a:srgbClr>
          </a:solidFill>
          <a:ln w="19050">
            <a:solidFill>
              <a:schemeClr val="tx1">
                <a:lumMod val="85000"/>
                <a:lumOff val="15000"/>
              </a:schemeClr>
            </a:solidFill>
          </a:ln>
          <a:effectLst/>
        </c:spPr>
      </c:pivotFmt>
      <c:pivotFmt>
        <c:idx val="29"/>
        <c:spPr>
          <a:solidFill>
            <a:srgbClr val="7FB3D5"/>
          </a:solidFill>
          <a:ln w="19050">
            <a:solidFill>
              <a:schemeClr val="tx1">
                <a:lumMod val="85000"/>
                <a:lumOff val="15000"/>
              </a:schemeClr>
            </a:solidFill>
          </a:ln>
          <a:effectLst/>
        </c:spPr>
      </c:pivotFmt>
      <c:pivotFmt>
        <c:idx val="30"/>
        <c:spPr>
          <a:solidFill>
            <a:srgbClr val="85C1E9"/>
          </a:solidFill>
          <a:ln w="19050">
            <a:solidFill>
              <a:schemeClr val="tx1">
                <a:lumMod val="85000"/>
                <a:lumOff val="15000"/>
              </a:schemeClr>
            </a:solidFill>
          </a:ln>
          <a:effectLst/>
        </c:spPr>
      </c:pivotFmt>
      <c:pivotFmt>
        <c:idx val="31"/>
        <c:spPr>
          <a:solidFill>
            <a:srgbClr val="5DADE2"/>
          </a:solidFill>
          <a:ln w="19050">
            <a:solidFill>
              <a:schemeClr val="tx1">
                <a:lumMod val="85000"/>
                <a:lumOff val="15000"/>
              </a:schemeClr>
            </a:solidFill>
          </a:ln>
          <a:effectLst/>
        </c:spPr>
      </c:pivotFmt>
      <c:pivotFmt>
        <c:idx val="32"/>
        <c:spPr>
          <a:solidFill>
            <a:srgbClr val="4682B4"/>
          </a:solidFill>
          <a:ln w="19050">
            <a:solidFill>
              <a:schemeClr val="tx1">
                <a:lumMod val="85000"/>
                <a:lumOff val="15000"/>
              </a:schemeClr>
            </a:solidFill>
          </a:ln>
          <a:effectLst/>
        </c:spPr>
      </c:pivotFmt>
      <c:pivotFmt>
        <c:idx val="33"/>
        <c:spPr>
          <a:solidFill>
            <a:srgbClr val="6495ED"/>
          </a:solidFill>
          <a:ln w="19050">
            <a:solidFill>
              <a:schemeClr val="tx1">
                <a:lumMod val="85000"/>
                <a:lumOff val="15000"/>
              </a:schemeClr>
            </a:solidFill>
          </a:ln>
          <a:effectLst/>
        </c:spPr>
      </c:pivotFmt>
      <c:pivotFmt>
        <c:idx val="34"/>
        <c:spPr>
          <a:solidFill>
            <a:srgbClr val="4169E1"/>
          </a:solidFill>
          <a:ln w="19050">
            <a:solidFill>
              <a:schemeClr val="tx1">
                <a:lumMod val="85000"/>
                <a:lumOff val="15000"/>
              </a:schemeClr>
            </a:solidFill>
          </a:ln>
          <a:effectLst/>
        </c:spPr>
      </c:pivotFmt>
      <c:pivotFmt>
        <c:idx val="35"/>
        <c:spPr>
          <a:solidFill>
            <a:srgbClr val="2A52BE"/>
          </a:solidFill>
          <a:ln w="19050">
            <a:solidFill>
              <a:schemeClr val="tx1">
                <a:lumMod val="85000"/>
                <a:lumOff val="15000"/>
              </a:schemeClr>
            </a:solidFill>
          </a:ln>
          <a:effectLst/>
        </c:spPr>
      </c:pivotFmt>
      <c:pivotFmt>
        <c:idx val="36"/>
        <c:spPr>
          <a:solidFill>
            <a:srgbClr val="27408B"/>
          </a:solidFill>
          <a:ln w="19050">
            <a:solidFill>
              <a:schemeClr val="tx1">
                <a:lumMod val="85000"/>
                <a:lumOff val="15000"/>
              </a:schemeClr>
            </a:solidFill>
          </a:ln>
          <a:effectLst/>
        </c:spPr>
      </c:pivotFmt>
      <c:pivotFmt>
        <c:idx val="37"/>
        <c:spPr>
          <a:solidFill>
            <a:srgbClr val="003153"/>
          </a:solidFill>
          <a:ln w="19050">
            <a:solidFill>
              <a:schemeClr val="tx1">
                <a:lumMod val="85000"/>
                <a:lumOff val="15000"/>
              </a:schemeClr>
            </a:solidFill>
          </a:ln>
          <a:effectLst/>
        </c:spPr>
      </c:pivotFmt>
      <c:pivotFmt>
        <c:idx val="38"/>
        <c:spPr>
          <a:solidFill>
            <a:srgbClr val="191970"/>
          </a:solidFill>
          <a:ln w="19050">
            <a:solidFill>
              <a:schemeClr val="tx1">
                <a:lumMod val="85000"/>
                <a:lumOff val="15000"/>
              </a:schemeClr>
            </a:solidFill>
          </a:ln>
          <a:effectLst/>
        </c:spPr>
      </c:pivotFmt>
      <c:pivotFmt>
        <c:idx val="39"/>
        <c:spPr>
          <a:solidFill>
            <a:srgbClr val="D6EAF8"/>
          </a:solidFill>
          <a:ln w="19050">
            <a:solidFill>
              <a:schemeClr val="tx1">
                <a:lumMod val="85000"/>
                <a:lumOff val="15000"/>
              </a:schemeClr>
            </a:solidFill>
          </a:ln>
          <a:effectLst/>
        </c:spPr>
      </c:pivotFmt>
      <c:pivotFmt>
        <c:idx val="40"/>
        <c:spPr>
          <a:solidFill>
            <a:schemeClr val="accent1"/>
          </a:solidFill>
          <a:ln w="19050">
            <a:solidFill>
              <a:schemeClr val="tx1">
                <a:lumMod val="85000"/>
                <a:lumOff val="1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rgbClr val="B0D9F2">
              <a:alpha val="95294"/>
            </a:srgbClr>
          </a:solidFill>
          <a:ln w="19050">
            <a:solidFill>
              <a:schemeClr val="tx1">
                <a:lumMod val="85000"/>
                <a:lumOff val="15000"/>
              </a:schemeClr>
            </a:solidFill>
          </a:ln>
          <a:effectLst/>
        </c:spPr>
      </c:pivotFmt>
      <c:pivotFmt>
        <c:idx val="42"/>
        <c:spPr>
          <a:solidFill>
            <a:srgbClr val="7FB3D5"/>
          </a:solidFill>
          <a:ln w="19050">
            <a:solidFill>
              <a:schemeClr val="tx1">
                <a:lumMod val="85000"/>
                <a:lumOff val="15000"/>
              </a:schemeClr>
            </a:solidFill>
          </a:ln>
          <a:effectLst/>
        </c:spPr>
      </c:pivotFmt>
      <c:pivotFmt>
        <c:idx val="43"/>
        <c:spPr>
          <a:solidFill>
            <a:srgbClr val="85C1E9"/>
          </a:solidFill>
          <a:ln w="19050">
            <a:solidFill>
              <a:schemeClr val="tx1">
                <a:lumMod val="85000"/>
                <a:lumOff val="15000"/>
              </a:schemeClr>
            </a:solidFill>
          </a:ln>
          <a:effectLst/>
        </c:spPr>
      </c:pivotFmt>
      <c:pivotFmt>
        <c:idx val="44"/>
        <c:spPr>
          <a:solidFill>
            <a:srgbClr val="5DADE2"/>
          </a:solidFill>
          <a:ln w="19050">
            <a:solidFill>
              <a:schemeClr val="tx1">
                <a:lumMod val="85000"/>
                <a:lumOff val="15000"/>
              </a:schemeClr>
            </a:solidFill>
          </a:ln>
          <a:effectLst/>
        </c:spPr>
      </c:pivotFmt>
      <c:pivotFmt>
        <c:idx val="45"/>
        <c:spPr>
          <a:solidFill>
            <a:srgbClr val="4682B4"/>
          </a:solidFill>
          <a:ln w="19050">
            <a:solidFill>
              <a:schemeClr val="tx1">
                <a:lumMod val="85000"/>
                <a:lumOff val="15000"/>
              </a:schemeClr>
            </a:solidFill>
          </a:ln>
          <a:effectLst/>
        </c:spPr>
      </c:pivotFmt>
      <c:pivotFmt>
        <c:idx val="46"/>
        <c:spPr>
          <a:solidFill>
            <a:srgbClr val="6495ED"/>
          </a:solidFill>
          <a:ln w="19050">
            <a:solidFill>
              <a:schemeClr val="tx1">
                <a:lumMod val="85000"/>
                <a:lumOff val="15000"/>
              </a:schemeClr>
            </a:solidFill>
          </a:ln>
          <a:effectLst/>
        </c:spPr>
      </c:pivotFmt>
      <c:pivotFmt>
        <c:idx val="47"/>
        <c:spPr>
          <a:solidFill>
            <a:srgbClr val="4169E1"/>
          </a:solidFill>
          <a:ln w="19050">
            <a:solidFill>
              <a:schemeClr val="tx1">
                <a:lumMod val="85000"/>
                <a:lumOff val="15000"/>
              </a:schemeClr>
            </a:solidFill>
          </a:ln>
          <a:effectLst/>
        </c:spPr>
      </c:pivotFmt>
      <c:pivotFmt>
        <c:idx val="48"/>
        <c:spPr>
          <a:solidFill>
            <a:srgbClr val="2A52BE"/>
          </a:solidFill>
          <a:ln w="19050">
            <a:solidFill>
              <a:schemeClr val="tx1">
                <a:lumMod val="85000"/>
                <a:lumOff val="15000"/>
              </a:schemeClr>
            </a:solidFill>
          </a:ln>
          <a:effectLst/>
        </c:spPr>
      </c:pivotFmt>
      <c:pivotFmt>
        <c:idx val="49"/>
        <c:spPr>
          <a:solidFill>
            <a:srgbClr val="27408B"/>
          </a:solidFill>
          <a:ln w="19050">
            <a:solidFill>
              <a:schemeClr val="tx1">
                <a:lumMod val="85000"/>
                <a:lumOff val="15000"/>
              </a:schemeClr>
            </a:solidFill>
          </a:ln>
          <a:effectLst/>
        </c:spPr>
      </c:pivotFmt>
      <c:pivotFmt>
        <c:idx val="50"/>
        <c:spPr>
          <a:solidFill>
            <a:srgbClr val="003153"/>
          </a:solidFill>
          <a:ln w="19050">
            <a:solidFill>
              <a:schemeClr val="tx1">
                <a:lumMod val="85000"/>
                <a:lumOff val="15000"/>
              </a:schemeClr>
            </a:solidFill>
          </a:ln>
          <a:effectLst/>
        </c:spPr>
      </c:pivotFmt>
      <c:pivotFmt>
        <c:idx val="51"/>
        <c:spPr>
          <a:solidFill>
            <a:srgbClr val="191970"/>
          </a:solidFill>
          <a:ln w="19050">
            <a:solidFill>
              <a:schemeClr val="tx1">
                <a:lumMod val="85000"/>
                <a:lumOff val="15000"/>
              </a:schemeClr>
            </a:solidFill>
          </a:ln>
          <a:effectLst/>
        </c:spPr>
      </c:pivotFmt>
      <c:pivotFmt>
        <c:idx val="52"/>
        <c:spPr>
          <a:solidFill>
            <a:srgbClr val="D6EAF8"/>
          </a:solidFill>
          <a:ln w="19050">
            <a:solidFill>
              <a:schemeClr val="tx1">
                <a:lumMod val="85000"/>
                <a:lumOff val="15000"/>
              </a:schemeClr>
            </a:solidFill>
          </a:ln>
          <a:effectLst/>
        </c:spPr>
      </c:pivotFmt>
    </c:pivotFmts>
    <c:plotArea>
      <c:layout>
        <c:manualLayout>
          <c:layoutTarget val="inner"/>
          <c:xMode val="edge"/>
          <c:yMode val="edge"/>
          <c:x val="0.22674311927874991"/>
          <c:y val="0.34649136330152602"/>
          <c:w val="0.4562503995552103"/>
          <c:h val="0.61242455728074485"/>
        </c:manualLayout>
      </c:layout>
      <c:doughnutChart>
        <c:varyColors val="1"/>
        <c:ser>
          <c:idx val="0"/>
          <c:order val="0"/>
          <c:tx>
            <c:strRef>
              <c:f>'Pivot Table'!$B$49</c:f>
              <c:strCache>
                <c:ptCount val="1"/>
                <c:pt idx="0">
                  <c:v>Total</c:v>
                </c:pt>
              </c:strCache>
            </c:strRef>
          </c:tx>
          <c:spPr>
            <a:ln>
              <a:solidFill>
                <a:schemeClr val="tx1">
                  <a:lumMod val="85000"/>
                  <a:lumOff val="15000"/>
                </a:schemeClr>
              </a:solidFill>
            </a:ln>
          </c:spPr>
          <c:dPt>
            <c:idx val="0"/>
            <c:bubble3D val="0"/>
            <c:spPr>
              <a:solidFill>
                <a:srgbClr val="B0D9F2">
                  <a:alpha val="95294"/>
                </a:srgbClr>
              </a:solidFill>
              <a:ln w="19050">
                <a:solidFill>
                  <a:schemeClr val="tx1">
                    <a:lumMod val="85000"/>
                    <a:lumOff val="15000"/>
                  </a:schemeClr>
                </a:solidFill>
              </a:ln>
              <a:effectLst/>
            </c:spPr>
            <c:extLst>
              <c:ext xmlns:c16="http://schemas.microsoft.com/office/drawing/2014/chart" uri="{C3380CC4-5D6E-409C-BE32-E72D297353CC}">
                <c16:uniqueId val="{00000001-E910-4F80-B08D-17B9AAB12233}"/>
              </c:ext>
            </c:extLst>
          </c:dPt>
          <c:dPt>
            <c:idx val="1"/>
            <c:bubble3D val="0"/>
            <c:spPr>
              <a:solidFill>
                <a:srgbClr val="7FB3D5"/>
              </a:solidFill>
              <a:ln w="19050">
                <a:solidFill>
                  <a:schemeClr val="tx1">
                    <a:lumMod val="85000"/>
                    <a:lumOff val="15000"/>
                  </a:schemeClr>
                </a:solidFill>
              </a:ln>
              <a:effectLst/>
            </c:spPr>
            <c:extLst>
              <c:ext xmlns:c16="http://schemas.microsoft.com/office/drawing/2014/chart" uri="{C3380CC4-5D6E-409C-BE32-E72D297353CC}">
                <c16:uniqueId val="{00000003-E910-4F80-B08D-17B9AAB12233}"/>
              </c:ext>
            </c:extLst>
          </c:dPt>
          <c:dPt>
            <c:idx val="2"/>
            <c:bubble3D val="0"/>
            <c:spPr>
              <a:solidFill>
                <a:srgbClr val="85C1E9"/>
              </a:solidFill>
              <a:ln w="19050">
                <a:solidFill>
                  <a:schemeClr val="tx1">
                    <a:lumMod val="85000"/>
                    <a:lumOff val="15000"/>
                  </a:schemeClr>
                </a:solidFill>
              </a:ln>
              <a:effectLst/>
            </c:spPr>
            <c:extLst>
              <c:ext xmlns:c16="http://schemas.microsoft.com/office/drawing/2014/chart" uri="{C3380CC4-5D6E-409C-BE32-E72D297353CC}">
                <c16:uniqueId val="{00000005-E910-4F80-B08D-17B9AAB12233}"/>
              </c:ext>
            </c:extLst>
          </c:dPt>
          <c:dPt>
            <c:idx val="3"/>
            <c:bubble3D val="0"/>
            <c:spPr>
              <a:solidFill>
                <a:srgbClr val="5DADE2"/>
              </a:solidFill>
              <a:ln w="19050">
                <a:solidFill>
                  <a:schemeClr val="tx1">
                    <a:lumMod val="85000"/>
                    <a:lumOff val="15000"/>
                  </a:schemeClr>
                </a:solidFill>
              </a:ln>
              <a:effectLst/>
            </c:spPr>
            <c:extLst>
              <c:ext xmlns:c16="http://schemas.microsoft.com/office/drawing/2014/chart" uri="{C3380CC4-5D6E-409C-BE32-E72D297353CC}">
                <c16:uniqueId val="{00000007-E910-4F80-B08D-17B9AAB12233}"/>
              </c:ext>
            </c:extLst>
          </c:dPt>
          <c:dPt>
            <c:idx val="4"/>
            <c:bubble3D val="0"/>
            <c:spPr>
              <a:solidFill>
                <a:srgbClr val="4682B4"/>
              </a:solidFill>
              <a:ln w="19050">
                <a:solidFill>
                  <a:schemeClr val="tx1">
                    <a:lumMod val="85000"/>
                    <a:lumOff val="15000"/>
                  </a:schemeClr>
                </a:solidFill>
              </a:ln>
              <a:effectLst/>
            </c:spPr>
            <c:extLst>
              <c:ext xmlns:c16="http://schemas.microsoft.com/office/drawing/2014/chart" uri="{C3380CC4-5D6E-409C-BE32-E72D297353CC}">
                <c16:uniqueId val="{00000009-E910-4F80-B08D-17B9AAB12233}"/>
              </c:ext>
            </c:extLst>
          </c:dPt>
          <c:dPt>
            <c:idx val="5"/>
            <c:bubble3D val="0"/>
            <c:spPr>
              <a:solidFill>
                <a:srgbClr val="6495ED"/>
              </a:solidFill>
              <a:ln w="19050">
                <a:solidFill>
                  <a:schemeClr val="tx1">
                    <a:lumMod val="85000"/>
                    <a:lumOff val="15000"/>
                  </a:schemeClr>
                </a:solidFill>
              </a:ln>
              <a:effectLst/>
            </c:spPr>
            <c:extLst>
              <c:ext xmlns:c16="http://schemas.microsoft.com/office/drawing/2014/chart" uri="{C3380CC4-5D6E-409C-BE32-E72D297353CC}">
                <c16:uniqueId val="{0000000B-E910-4F80-B08D-17B9AAB12233}"/>
              </c:ext>
            </c:extLst>
          </c:dPt>
          <c:dPt>
            <c:idx val="6"/>
            <c:bubble3D val="0"/>
            <c:spPr>
              <a:solidFill>
                <a:srgbClr val="4169E1"/>
              </a:solidFill>
              <a:ln w="19050">
                <a:solidFill>
                  <a:schemeClr val="tx1">
                    <a:lumMod val="85000"/>
                    <a:lumOff val="15000"/>
                  </a:schemeClr>
                </a:solidFill>
              </a:ln>
              <a:effectLst/>
            </c:spPr>
            <c:extLst>
              <c:ext xmlns:c16="http://schemas.microsoft.com/office/drawing/2014/chart" uri="{C3380CC4-5D6E-409C-BE32-E72D297353CC}">
                <c16:uniqueId val="{0000000D-E910-4F80-B08D-17B9AAB12233}"/>
              </c:ext>
            </c:extLst>
          </c:dPt>
          <c:dPt>
            <c:idx val="7"/>
            <c:bubble3D val="0"/>
            <c:spPr>
              <a:solidFill>
                <a:srgbClr val="2A52BE"/>
              </a:solidFill>
              <a:ln w="19050">
                <a:solidFill>
                  <a:schemeClr val="tx1">
                    <a:lumMod val="85000"/>
                    <a:lumOff val="15000"/>
                  </a:schemeClr>
                </a:solidFill>
              </a:ln>
              <a:effectLst/>
            </c:spPr>
            <c:extLst>
              <c:ext xmlns:c16="http://schemas.microsoft.com/office/drawing/2014/chart" uri="{C3380CC4-5D6E-409C-BE32-E72D297353CC}">
                <c16:uniqueId val="{0000000F-E910-4F80-B08D-17B9AAB12233}"/>
              </c:ext>
            </c:extLst>
          </c:dPt>
          <c:dPt>
            <c:idx val="8"/>
            <c:bubble3D val="0"/>
            <c:spPr>
              <a:solidFill>
                <a:srgbClr val="27408B"/>
              </a:solidFill>
              <a:ln w="19050">
                <a:solidFill>
                  <a:schemeClr val="tx1">
                    <a:lumMod val="85000"/>
                    <a:lumOff val="15000"/>
                  </a:schemeClr>
                </a:solidFill>
              </a:ln>
              <a:effectLst/>
            </c:spPr>
            <c:extLst>
              <c:ext xmlns:c16="http://schemas.microsoft.com/office/drawing/2014/chart" uri="{C3380CC4-5D6E-409C-BE32-E72D297353CC}">
                <c16:uniqueId val="{00000011-E910-4F80-B08D-17B9AAB12233}"/>
              </c:ext>
            </c:extLst>
          </c:dPt>
          <c:dPt>
            <c:idx val="9"/>
            <c:bubble3D val="0"/>
            <c:spPr>
              <a:solidFill>
                <a:srgbClr val="003153"/>
              </a:solidFill>
              <a:ln w="19050">
                <a:solidFill>
                  <a:schemeClr val="tx1">
                    <a:lumMod val="85000"/>
                    <a:lumOff val="15000"/>
                  </a:schemeClr>
                </a:solidFill>
              </a:ln>
              <a:effectLst/>
            </c:spPr>
            <c:extLst>
              <c:ext xmlns:c16="http://schemas.microsoft.com/office/drawing/2014/chart" uri="{C3380CC4-5D6E-409C-BE32-E72D297353CC}">
                <c16:uniqueId val="{00000013-E910-4F80-B08D-17B9AAB12233}"/>
              </c:ext>
            </c:extLst>
          </c:dPt>
          <c:dPt>
            <c:idx val="10"/>
            <c:bubble3D val="0"/>
            <c:spPr>
              <a:solidFill>
                <a:srgbClr val="191970"/>
              </a:solidFill>
              <a:ln w="19050">
                <a:solidFill>
                  <a:schemeClr val="tx1">
                    <a:lumMod val="85000"/>
                    <a:lumOff val="15000"/>
                  </a:schemeClr>
                </a:solidFill>
              </a:ln>
              <a:effectLst/>
            </c:spPr>
            <c:extLst>
              <c:ext xmlns:c16="http://schemas.microsoft.com/office/drawing/2014/chart" uri="{C3380CC4-5D6E-409C-BE32-E72D297353CC}">
                <c16:uniqueId val="{00000015-E910-4F80-B08D-17B9AAB12233}"/>
              </c:ext>
            </c:extLst>
          </c:dPt>
          <c:dPt>
            <c:idx val="11"/>
            <c:bubble3D val="0"/>
            <c:spPr>
              <a:solidFill>
                <a:srgbClr val="D6EAF8"/>
              </a:solidFill>
              <a:ln w="19050">
                <a:solidFill>
                  <a:schemeClr val="tx1">
                    <a:lumMod val="85000"/>
                    <a:lumOff val="15000"/>
                  </a:schemeClr>
                </a:solidFill>
              </a:ln>
              <a:effectLst/>
            </c:spPr>
            <c:extLst>
              <c:ext xmlns:c16="http://schemas.microsoft.com/office/drawing/2014/chart" uri="{C3380CC4-5D6E-409C-BE32-E72D297353CC}">
                <c16:uniqueId val="{00000017-E910-4F80-B08D-17B9AAB12233}"/>
              </c:ext>
            </c:extLst>
          </c:dPt>
          <c:cat>
            <c:strRef>
              <c:f>'Pivot Table'!$A$50:$A$62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Table'!$B$50:$B$62</c:f>
              <c:numCache>
                <c:formatCode>General</c:formatCode>
                <c:ptCount val="12"/>
                <c:pt idx="0">
                  <c:v>3202053</c:v>
                </c:pt>
                <c:pt idx="1">
                  <c:v>2138916</c:v>
                </c:pt>
                <c:pt idx="2">
                  <c:v>1924836</c:v>
                </c:pt>
                <c:pt idx="3">
                  <c:v>3852087</c:v>
                </c:pt>
                <c:pt idx="4">
                  <c:v>2569614</c:v>
                </c:pt>
                <c:pt idx="5">
                  <c:v>1927206</c:v>
                </c:pt>
                <c:pt idx="6">
                  <c:v>3208980</c:v>
                </c:pt>
                <c:pt idx="7">
                  <c:v>2568939</c:v>
                </c:pt>
                <c:pt idx="8">
                  <c:v>2569524</c:v>
                </c:pt>
                <c:pt idx="9">
                  <c:v>2574825</c:v>
                </c:pt>
                <c:pt idx="10">
                  <c:v>3004129</c:v>
                </c:pt>
                <c:pt idx="11">
                  <c:v>642399</c:v>
                </c:pt>
              </c:numCache>
            </c:numRef>
          </c:val>
          <c:extLst>
            <c:ext xmlns:c16="http://schemas.microsoft.com/office/drawing/2014/chart" uri="{C3380CC4-5D6E-409C-BE32-E72D297353CC}">
              <c16:uniqueId val="{00000018-E910-4F80-B08D-17B9AAB12233}"/>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8.5802914471791933E-2"/>
          <c:y val="0.1511261941232124"/>
          <c:w val="0.80316530562322597"/>
          <c:h val="0.1679615190560382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Table!PivotTable1</c:name>
    <c:fmtId val="15"/>
  </c:pivotSource>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Vaccinated vs Unvaccinated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FB3D5"/>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4169E1"/>
          </a:solidFill>
          <a:ln>
            <a:noFill/>
          </a:ln>
          <a:effectLst/>
          <a:sp3d/>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7FB3D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4169E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7FB3D5"/>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4169E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1968114035050393E-2"/>
          <c:y val="0.3084524130975877"/>
          <c:w val="0.92368259501816452"/>
          <c:h val="0.61137830116368197"/>
        </c:manualLayout>
      </c:layout>
      <c:bar3DChart>
        <c:barDir val="col"/>
        <c:grouping val="standard"/>
        <c:varyColors val="0"/>
        <c:ser>
          <c:idx val="0"/>
          <c:order val="0"/>
          <c:tx>
            <c:strRef>
              <c:f>'Pivot Table'!$B$2</c:f>
              <c:strCache>
                <c:ptCount val="1"/>
                <c:pt idx="0">
                  <c:v>Sum of Population Unvaccinated</c:v>
                </c:pt>
              </c:strCache>
            </c:strRef>
          </c:tx>
          <c:spPr>
            <a:solidFill>
              <a:srgbClr val="7FB3D5"/>
            </a:solidFill>
            <a:ln>
              <a:noFill/>
            </a:ln>
            <a:effectLst/>
            <a:sp3d/>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Table'!$B$3:$B$15</c:f>
              <c:numCache>
                <c:formatCode>General</c:formatCode>
                <c:ptCount val="12"/>
                <c:pt idx="0">
                  <c:v>1154271</c:v>
                </c:pt>
                <c:pt idx="1">
                  <c:v>750012</c:v>
                </c:pt>
                <c:pt idx="2">
                  <c:v>682191</c:v>
                </c:pt>
                <c:pt idx="3">
                  <c:v>1352307</c:v>
                </c:pt>
                <c:pt idx="4">
                  <c:v>896067</c:v>
                </c:pt>
                <c:pt idx="5">
                  <c:v>672651</c:v>
                </c:pt>
                <c:pt idx="6">
                  <c:v>1117623</c:v>
                </c:pt>
                <c:pt idx="7">
                  <c:v>890904</c:v>
                </c:pt>
                <c:pt idx="8">
                  <c:v>875382</c:v>
                </c:pt>
                <c:pt idx="9">
                  <c:v>859908</c:v>
                </c:pt>
                <c:pt idx="10">
                  <c:v>1008887</c:v>
                </c:pt>
                <c:pt idx="11">
                  <c:v>220725</c:v>
                </c:pt>
              </c:numCache>
            </c:numRef>
          </c:val>
          <c:extLst>
            <c:ext xmlns:c16="http://schemas.microsoft.com/office/drawing/2014/chart" uri="{C3380CC4-5D6E-409C-BE32-E72D297353CC}">
              <c16:uniqueId val="{00000000-3111-47CB-B684-E212D74B0F41}"/>
            </c:ext>
          </c:extLst>
        </c:ser>
        <c:ser>
          <c:idx val="1"/>
          <c:order val="1"/>
          <c:tx>
            <c:strRef>
              <c:f>'Pivot Table'!$C$2</c:f>
              <c:strCache>
                <c:ptCount val="1"/>
                <c:pt idx="0">
                  <c:v>Sum of Population Vaccinated</c:v>
                </c:pt>
              </c:strCache>
            </c:strRef>
          </c:tx>
          <c:spPr>
            <a:solidFill>
              <a:srgbClr val="4169E1"/>
            </a:solidFill>
            <a:ln>
              <a:noFill/>
            </a:ln>
            <a:effectLst/>
            <a:sp3d/>
          </c:spPr>
          <c:invertIfNegative val="0"/>
          <c:cat>
            <c:strRef>
              <c:f>'Pivot Table'!$A$3:$A$15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Table'!$C$3:$C$15</c:f>
              <c:numCache>
                <c:formatCode>General</c:formatCode>
                <c:ptCount val="12"/>
                <c:pt idx="0">
                  <c:v>3202053</c:v>
                </c:pt>
                <c:pt idx="1">
                  <c:v>2138916</c:v>
                </c:pt>
                <c:pt idx="2">
                  <c:v>1924836</c:v>
                </c:pt>
                <c:pt idx="3">
                  <c:v>3852087</c:v>
                </c:pt>
                <c:pt idx="4">
                  <c:v>2569614</c:v>
                </c:pt>
                <c:pt idx="5">
                  <c:v>1927206</c:v>
                </c:pt>
                <c:pt idx="6">
                  <c:v>3208980</c:v>
                </c:pt>
                <c:pt idx="7">
                  <c:v>2568939</c:v>
                </c:pt>
                <c:pt idx="8">
                  <c:v>2569524</c:v>
                </c:pt>
                <c:pt idx="9">
                  <c:v>2574825</c:v>
                </c:pt>
                <c:pt idx="10">
                  <c:v>3004129</c:v>
                </c:pt>
                <c:pt idx="11">
                  <c:v>642399</c:v>
                </c:pt>
              </c:numCache>
            </c:numRef>
          </c:val>
          <c:extLst>
            <c:ext xmlns:c16="http://schemas.microsoft.com/office/drawing/2014/chart" uri="{C3380CC4-5D6E-409C-BE32-E72D297353CC}">
              <c16:uniqueId val="{00000001-3111-47CB-B684-E212D74B0F41}"/>
            </c:ext>
          </c:extLst>
        </c:ser>
        <c:dLbls>
          <c:showLegendKey val="0"/>
          <c:showVal val="0"/>
          <c:showCatName val="0"/>
          <c:showSerName val="0"/>
          <c:showPercent val="0"/>
          <c:showBubbleSize val="0"/>
        </c:dLbls>
        <c:gapWidth val="219"/>
        <c:shape val="box"/>
        <c:axId val="468714880"/>
        <c:axId val="468712360"/>
        <c:axId val="837885576"/>
      </c:bar3DChart>
      <c:catAx>
        <c:axId val="468714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468712360"/>
        <c:crosses val="autoZero"/>
        <c:auto val="1"/>
        <c:lblAlgn val="ctr"/>
        <c:lblOffset val="100"/>
        <c:noMultiLvlLbl val="0"/>
      </c:catAx>
      <c:valAx>
        <c:axId val="468712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468714880"/>
        <c:crosses val="autoZero"/>
        <c:crossBetween val="between"/>
      </c:valAx>
      <c:serAx>
        <c:axId val="837885576"/>
        <c:scaling>
          <c:orientation val="minMax"/>
        </c:scaling>
        <c:delete val="1"/>
        <c:axPos val="b"/>
        <c:majorTickMark val="out"/>
        <c:minorTickMark val="none"/>
        <c:tickLblPos val="nextTo"/>
        <c:crossAx val="468712360"/>
        <c:crosses val="autoZero"/>
      </c:serAx>
      <c:spPr>
        <a:noFill/>
        <a:ln>
          <a:noFill/>
        </a:ln>
        <a:effectLst/>
      </c:spPr>
    </c:plotArea>
    <c:legend>
      <c:legendPos val="r"/>
      <c:layout>
        <c:manualLayout>
          <c:xMode val="edge"/>
          <c:yMode val="edge"/>
          <c:x val="0.19450762781150521"/>
          <c:y val="0.14515977471724395"/>
          <c:w val="0.61747861272883586"/>
          <c:h val="0.1288319483973960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Table!PivotTable22</c:name>
    <c:fmtId val="8"/>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7FB3D5"/>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0000CD"/>
          </a:solidFill>
          <a:ln>
            <a:noFill/>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tx2">
                <a:lumMod val="90000"/>
                <a:lumOff val="10000"/>
              </a:schemeClr>
            </a:solidFill>
            <a:round/>
          </a:ln>
          <a:effectLst/>
        </c:spPr>
        <c:marker>
          <c:symbol val="none"/>
        </c:marker>
        <c:dLbl>
          <c:idx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7FB3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0000C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tx2">
                <a:lumMod val="90000"/>
                <a:lumOff val="1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7FB3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0000C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solidFill>
              <a:schemeClr val="tx2">
                <a:lumMod val="90000"/>
                <a:lumOff val="1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15356505847368"/>
          <c:y val="0.14357689003420648"/>
          <c:w val="0.83532304433508575"/>
          <c:h val="0.73502473979421512"/>
        </c:manualLayout>
      </c:layout>
      <c:barChart>
        <c:barDir val="col"/>
        <c:grouping val="clustered"/>
        <c:varyColors val="0"/>
        <c:ser>
          <c:idx val="0"/>
          <c:order val="0"/>
          <c:tx>
            <c:strRef>
              <c:f>'Pivot Table'!$B$190:$B$191</c:f>
              <c:strCache>
                <c:ptCount val="1"/>
                <c:pt idx="0">
                  <c:v>Cases</c:v>
                </c:pt>
              </c:strCache>
            </c:strRef>
          </c:tx>
          <c:spPr>
            <a:solidFill>
              <a:srgbClr val="7FB3D5"/>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Table'!$B$192:$B$204</c:f>
              <c:numCache>
                <c:formatCode>General</c:formatCode>
                <c:ptCount val="12"/>
                <c:pt idx="0">
                  <c:v>384757</c:v>
                </c:pt>
                <c:pt idx="1">
                  <c:v>295242</c:v>
                </c:pt>
                <c:pt idx="2">
                  <c:v>227397</c:v>
                </c:pt>
                <c:pt idx="3">
                  <c:v>450769</c:v>
                </c:pt>
                <c:pt idx="4">
                  <c:v>298689</c:v>
                </c:pt>
                <c:pt idx="5">
                  <c:v>224217</c:v>
                </c:pt>
                <c:pt idx="6">
                  <c:v>372541</c:v>
                </c:pt>
                <c:pt idx="7">
                  <c:v>296968</c:v>
                </c:pt>
                <c:pt idx="8">
                  <c:v>291794</c:v>
                </c:pt>
                <c:pt idx="9">
                  <c:v>286636</c:v>
                </c:pt>
                <c:pt idx="10">
                  <c:v>358930</c:v>
                </c:pt>
                <c:pt idx="11">
                  <c:v>73575</c:v>
                </c:pt>
              </c:numCache>
            </c:numRef>
          </c:val>
          <c:extLst>
            <c:ext xmlns:c16="http://schemas.microsoft.com/office/drawing/2014/chart" uri="{C3380CC4-5D6E-409C-BE32-E72D297353CC}">
              <c16:uniqueId val="{00000000-0C47-46DF-AE51-053A50FD1910}"/>
            </c:ext>
          </c:extLst>
        </c:ser>
        <c:ser>
          <c:idx val="1"/>
          <c:order val="1"/>
          <c:tx>
            <c:strRef>
              <c:f>'Pivot Table'!$C$190:$C$191</c:f>
              <c:strCache>
                <c:ptCount val="1"/>
                <c:pt idx="0">
                  <c:v>Deaths</c:v>
                </c:pt>
              </c:strCache>
            </c:strRef>
          </c:tx>
          <c:spPr>
            <a:solidFill>
              <a:srgbClr val="0000CD"/>
            </a:solidFill>
            <a:ln>
              <a:no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Table'!$C$192:$C$204</c:f>
              <c:numCache>
                <c:formatCode>General</c:formatCode>
                <c:ptCount val="12"/>
                <c:pt idx="0">
                  <c:v>384757</c:v>
                </c:pt>
                <c:pt idx="1">
                  <c:v>227385</c:v>
                </c:pt>
                <c:pt idx="2">
                  <c:v>227397</c:v>
                </c:pt>
                <c:pt idx="3">
                  <c:v>450769</c:v>
                </c:pt>
                <c:pt idx="4">
                  <c:v>298689</c:v>
                </c:pt>
                <c:pt idx="5">
                  <c:v>224217</c:v>
                </c:pt>
                <c:pt idx="6">
                  <c:v>372541</c:v>
                </c:pt>
                <c:pt idx="7">
                  <c:v>296968</c:v>
                </c:pt>
                <c:pt idx="8">
                  <c:v>291794</c:v>
                </c:pt>
                <c:pt idx="9">
                  <c:v>286636</c:v>
                </c:pt>
                <c:pt idx="10">
                  <c:v>291027</c:v>
                </c:pt>
                <c:pt idx="11">
                  <c:v>73575</c:v>
                </c:pt>
              </c:numCache>
            </c:numRef>
          </c:val>
          <c:extLst>
            <c:ext xmlns:c16="http://schemas.microsoft.com/office/drawing/2014/chart" uri="{C3380CC4-5D6E-409C-BE32-E72D297353CC}">
              <c16:uniqueId val="{00000001-8B25-4FC4-8605-1D2B9AAC04D6}"/>
            </c:ext>
          </c:extLst>
        </c:ser>
        <c:ser>
          <c:idx val="2"/>
          <c:order val="2"/>
          <c:tx>
            <c:strRef>
              <c:f>'Pivot Table'!$D$190:$D$191</c:f>
              <c:strCache>
                <c:ptCount val="1"/>
                <c:pt idx="0">
                  <c:v>Hospitalizations</c:v>
                </c:pt>
              </c:strCache>
            </c:strRef>
          </c:tx>
          <c:spPr>
            <a:solidFill>
              <a:schemeClr val="accent3"/>
            </a:solidFill>
            <a:ln>
              <a:solidFill>
                <a:schemeClr val="tx2">
                  <a:lumMod val="90000"/>
                  <a:lumOff val="10000"/>
                </a:schemeClr>
              </a:solidFill>
            </a:ln>
            <a:effectLst/>
          </c:spPr>
          <c:invertIfNegative val="0"/>
          <c:cat>
            <c:strRef>
              <c:f>'Pivot Table'!$A$192:$A$204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Table'!$D$192:$D$204</c:f>
              <c:numCache>
                <c:formatCode>General</c:formatCode>
                <c:ptCount val="12"/>
                <c:pt idx="0">
                  <c:v>384757</c:v>
                </c:pt>
                <c:pt idx="1">
                  <c:v>227385</c:v>
                </c:pt>
                <c:pt idx="2">
                  <c:v>227397</c:v>
                </c:pt>
                <c:pt idx="3">
                  <c:v>450769</c:v>
                </c:pt>
                <c:pt idx="4">
                  <c:v>298689</c:v>
                </c:pt>
                <c:pt idx="5">
                  <c:v>224217</c:v>
                </c:pt>
                <c:pt idx="6">
                  <c:v>372541</c:v>
                </c:pt>
                <c:pt idx="7">
                  <c:v>296968</c:v>
                </c:pt>
                <c:pt idx="8">
                  <c:v>291794</c:v>
                </c:pt>
                <c:pt idx="9">
                  <c:v>286636</c:v>
                </c:pt>
                <c:pt idx="10">
                  <c:v>358930</c:v>
                </c:pt>
                <c:pt idx="11">
                  <c:v>73575</c:v>
                </c:pt>
              </c:numCache>
            </c:numRef>
          </c:val>
          <c:extLst>
            <c:ext xmlns:c16="http://schemas.microsoft.com/office/drawing/2014/chart" uri="{C3380CC4-5D6E-409C-BE32-E72D297353CC}">
              <c16:uniqueId val="{00000002-8B25-4FC4-8605-1D2B9AAC04D6}"/>
            </c:ext>
          </c:extLst>
        </c:ser>
        <c:dLbls>
          <c:showLegendKey val="0"/>
          <c:showVal val="0"/>
          <c:showCatName val="0"/>
          <c:showSerName val="0"/>
          <c:showPercent val="0"/>
          <c:showBubbleSize val="0"/>
        </c:dLbls>
        <c:gapWidth val="219"/>
        <c:overlap val="-27"/>
        <c:axId val="849079672"/>
        <c:axId val="849081472"/>
      </c:barChart>
      <c:catAx>
        <c:axId val="8490796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crossAx val="849081472"/>
        <c:crosses val="autoZero"/>
        <c:auto val="1"/>
        <c:lblAlgn val="ctr"/>
        <c:lblOffset val="100"/>
        <c:noMultiLvlLbl val="0"/>
      </c:catAx>
      <c:valAx>
        <c:axId val="84908147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crossAx val="849079672"/>
        <c:crosses val="autoZero"/>
        <c:crossBetween val="between"/>
      </c:valAx>
      <c:spPr>
        <a:noFill/>
        <a:ln>
          <a:noFill/>
        </a:ln>
        <a:effectLst/>
      </c:spPr>
    </c:plotArea>
    <c:legend>
      <c:legendPos val="r"/>
      <c:layout>
        <c:manualLayout>
          <c:xMode val="edge"/>
          <c:yMode val="edge"/>
          <c:x val="0.40085673542600114"/>
          <c:y val="0.17074755245414522"/>
          <c:w val="0.2455525773993438"/>
          <c:h val="0.3150385547930588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100">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r>
              <a:rPr lang="en-US"/>
              <a:t>Ouarter wise Outcomes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2">
                  <a:lumMod val="75000"/>
                  <a:lumOff val="25000"/>
                </a:schemeClr>
              </a:solidFill>
              <a:latin typeface="+mn-lt"/>
              <a:ea typeface="+mn-ea"/>
              <a:cs typeface="+mn-cs"/>
            </a:defRPr>
          </a:pPr>
          <a:endParaRPr lang="en-US"/>
        </a:p>
      </c:txPr>
    </c:title>
    <c:autoTitleDeleted val="0"/>
    <c:plotArea>
      <c:layout>
        <c:manualLayout>
          <c:layoutTarget val="inner"/>
          <c:xMode val="edge"/>
          <c:yMode val="edge"/>
          <c:x val="0.24659956084321258"/>
          <c:y val="0.36508594635687097"/>
          <c:w val="0.71049305808631302"/>
          <c:h val="0.53309441399567592"/>
        </c:manualLayout>
      </c:layout>
      <c:barChart>
        <c:barDir val="bar"/>
        <c:grouping val="clustered"/>
        <c:varyColors val="0"/>
        <c:ser>
          <c:idx val="0"/>
          <c:order val="0"/>
          <c:tx>
            <c:strRef>
              <c:f>'Pivot Table'!$B$176</c:f>
              <c:strCache>
                <c:ptCount val="1"/>
                <c:pt idx="0">
                  <c:v>Qtr1</c:v>
                </c:pt>
              </c:strCache>
            </c:strRef>
          </c:tx>
          <c:spPr>
            <a:solidFill>
              <a:srgbClr val="003153"/>
            </a:solidFill>
            <a:ln>
              <a:noFill/>
            </a:ln>
            <a:effectLst/>
          </c:spPr>
          <c:invertIfNegative val="0"/>
          <c:cat>
            <c:strRef>
              <c:f>'Pivot Table'!$A$177:$A$179</c:f>
              <c:strCache>
                <c:ptCount val="3"/>
                <c:pt idx="0">
                  <c:v>Cases</c:v>
                </c:pt>
                <c:pt idx="1">
                  <c:v>Deaths</c:v>
                </c:pt>
                <c:pt idx="2">
                  <c:v>Hospitalizations</c:v>
                </c:pt>
              </c:strCache>
            </c:strRef>
          </c:cat>
          <c:val>
            <c:numRef>
              <c:f>'Pivot Table'!$B$177:$B$179</c:f>
              <c:numCache>
                <c:formatCode>General</c:formatCode>
                <c:ptCount val="3"/>
                <c:pt idx="0">
                  <c:v>12</c:v>
                </c:pt>
                <c:pt idx="1">
                  <c:v>11</c:v>
                </c:pt>
                <c:pt idx="2">
                  <c:v>11</c:v>
                </c:pt>
              </c:numCache>
            </c:numRef>
          </c:val>
          <c:extLst>
            <c:ext xmlns:c16="http://schemas.microsoft.com/office/drawing/2014/chart" uri="{C3380CC4-5D6E-409C-BE32-E72D297353CC}">
              <c16:uniqueId val="{00000000-AD7E-4FDD-87C8-41B1D2C1AA91}"/>
            </c:ext>
          </c:extLst>
        </c:ser>
        <c:ser>
          <c:idx val="1"/>
          <c:order val="1"/>
          <c:tx>
            <c:strRef>
              <c:f>'Pivot Table'!$C$176</c:f>
              <c:strCache>
                <c:ptCount val="1"/>
                <c:pt idx="0">
                  <c:v>Qtr2</c:v>
                </c:pt>
              </c:strCache>
            </c:strRef>
          </c:tx>
          <c:spPr>
            <a:solidFill>
              <a:srgbClr val="4169E1"/>
            </a:solidFill>
            <a:ln>
              <a:noFill/>
            </a:ln>
            <a:effectLst/>
          </c:spPr>
          <c:invertIfNegative val="0"/>
          <c:cat>
            <c:strRef>
              <c:f>'Pivot Table'!$A$177:$A$179</c:f>
              <c:strCache>
                <c:ptCount val="3"/>
                <c:pt idx="0">
                  <c:v>Cases</c:v>
                </c:pt>
                <c:pt idx="1">
                  <c:v>Deaths</c:v>
                </c:pt>
                <c:pt idx="2">
                  <c:v>Hospitalizations</c:v>
                </c:pt>
              </c:strCache>
            </c:strRef>
          </c:cat>
          <c:val>
            <c:numRef>
              <c:f>'Pivot Table'!$C$177:$C$179</c:f>
              <c:numCache>
                <c:formatCode>General</c:formatCode>
                <c:ptCount val="3"/>
                <c:pt idx="0">
                  <c:v>13</c:v>
                </c:pt>
                <c:pt idx="1">
                  <c:v>13</c:v>
                </c:pt>
                <c:pt idx="2">
                  <c:v>13</c:v>
                </c:pt>
              </c:numCache>
            </c:numRef>
          </c:val>
          <c:extLst>
            <c:ext xmlns:c16="http://schemas.microsoft.com/office/drawing/2014/chart" uri="{C3380CC4-5D6E-409C-BE32-E72D297353CC}">
              <c16:uniqueId val="{00000001-AD7E-4FDD-87C8-41B1D2C1AA91}"/>
            </c:ext>
          </c:extLst>
        </c:ser>
        <c:ser>
          <c:idx val="2"/>
          <c:order val="2"/>
          <c:tx>
            <c:strRef>
              <c:f>'Pivot Table'!$D$176</c:f>
              <c:strCache>
                <c:ptCount val="1"/>
                <c:pt idx="0">
                  <c:v>Qtr3</c:v>
                </c:pt>
              </c:strCache>
            </c:strRef>
          </c:tx>
          <c:spPr>
            <a:solidFill>
              <a:srgbClr val="6495ED"/>
            </a:solidFill>
            <a:ln>
              <a:noFill/>
            </a:ln>
            <a:effectLst/>
          </c:spPr>
          <c:invertIfNegative val="0"/>
          <c:cat>
            <c:strRef>
              <c:f>'Pivot Table'!$A$177:$A$179</c:f>
              <c:strCache>
                <c:ptCount val="3"/>
                <c:pt idx="0">
                  <c:v>Cases</c:v>
                </c:pt>
                <c:pt idx="1">
                  <c:v>Deaths</c:v>
                </c:pt>
                <c:pt idx="2">
                  <c:v>Hospitalizations</c:v>
                </c:pt>
              </c:strCache>
            </c:strRef>
          </c:cat>
          <c:val>
            <c:numRef>
              <c:f>'Pivot Table'!$D$177:$D$179</c:f>
              <c:numCache>
                <c:formatCode>General</c:formatCode>
                <c:ptCount val="3"/>
                <c:pt idx="0">
                  <c:v>13</c:v>
                </c:pt>
                <c:pt idx="1">
                  <c:v>13</c:v>
                </c:pt>
                <c:pt idx="2">
                  <c:v>13</c:v>
                </c:pt>
              </c:numCache>
            </c:numRef>
          </c:val>
          <c:extLst>
            <c:ext xmlns:c16="http://schemas.microsoft.com/office/drawing/2014/chart" uri="{C3380CC4-5D6E-409C-BE32-E72D297353CC}">
              <c16:uniqueId val="{00000002-AD7E-4FDD-87C8-41B1D2C1AA91}"/>
            </c:ext>
          </c:extLst>
        </c:ser>
        <c:ser>
          <c:idx val="3"/>
          <c:order val="3"/>
          <c:tx>
            <c:strRef>
              <c:f>'Pivot Table'!$E$176</c:f>
              <c:strCache>
                <c:ptCount val="1"/>
                <c:pt idx="0">
                  <c:v>Qtr 4</c:v>
                </c:pt>
              </c:strCache>
            </c:strRef>
          </c:tx>
          <c:spPr>
            <a:solidFill>
              <a:srgbClr val="89CFF0"/>
            </a:solidFill>
            <a:ln>
              <a:noFill/>
            </a:ln>
            <a:effectLst/>
          </c:spPr>
          <c:invertIfNegative val="0"/>
          <c:cat>
            <c:strRef>
              <c:f>'Pivot Table'!$A$177:$A$179</c:f>
              <c:strCache>
                <c:ptCount val="3"/>
                <c:pt idx="0">
                  <c:v>Cases</c:v>
                </c:pt>
                <c:pt idx="1">
                  <c:v>Deaths</c:v>
                </c:pt>
                <c:pt idx="2">
                  <c:v>Hospitalizations</c:v>
                </c:pt>
              </c:strCache>
            </c:strRef>
          </c:cat>
          <c:val>
            <c:numRef>
              <c:f>'Pivot Table'!$E$177:$E$179</c:f>
              <c:numCache>
                <c:formatCode>General</c:formatCode>
                <c:ptCount val="3"/>
                <c:pt idx="0">
                  <c:v>10</c:v>
                </c:pt>
                <c:pt idx="1">
                  <c:v>9</c:v>
                </c:pt>
                <c:pt idx="2">
                  <c:v>10</c:v>
                </c:pt>
              </c:numCache>
            </c:numRef>
          </c:val>
          <c:extLst>
            <c:ext xmlns:c16="http://schemas.microsoft.com/office/drawing/2014/chart" uri="{C3380CC4-5D6E-409C-BE32-E72D297353CC}">
              <c16:uniqueId val="{00000003-AD7E-4FDD-87C8-41B1D2C1AA91}"/>
            </c:ext>
          </c:extLst>
        </c:ser>
        <c:dLbls>
          <c:showLegendKey val="0"/>
          <c:showVal val="0"/>
          <c:showCatName val="0"/>
          <c:showSerName val="0"/>
          <c:showPercent val="0"/>
          <c:showBubbleSize val="0"/>
        </c:dLbls>
        <c:gapWidth val="182"/>
        <c:axId val="1035897928"/>
        <c:axId val="1035897568"/>
      </c:barChart>
      <c:catAx>
        <c:axId val="1035897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1035897568"/>
        <c:crosses val="autoZero"/>
        <c:auto val="1"/>
        <c:lblAlgn val="ctr"/>
        <c:lblOffset val="100"/>
        <c:noMultiLvlLbl val="0"/>
      </c:catAx>
      <c:valAx>
        <c:axId val="103589756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crossAx val="1035897928"/>
        <c:crosses val="autoZero"/>
        <c:crossBetween val="between"/>
      </c:valAx>
      <c:spPr>
        <a:noFill/>
        <a:ln>
          <a:noFill/>
        </a:ln>
        <a:effectLst/>
      </c:spPr>
    </c:plotArea>
    <c:legend>
      <c:legendPos val="b"/>
      <c:layout>
        <c:manualLayout>
          <c:xMode val="edge"/>
          <c:yMode val="edge"/>
          <c:x val="0.26887867668824739"/>
          <c:y val="0.17460257055849426"/>
          <c:w val="0.4221422904828751"/>
          <c:h val="9.48334836351021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2">
                  <a:lumMod val="75000"/>
                  <a:lumOff val="2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solidFill>
            <a:schemeClr val="tx2">
              <a:lumMod val="75000"/>
              <a:lumOff val="25000"/>
            </a:schemeClr>
          </a:solidFill>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[dashboard3 (1) (1).xlsm]Pivot Table!PivotTable17</c:name>
    <c:fmtId val="12"/>
  </c:pivotSource>
  <c:chart>
    <c:title>
      <c:overlay val="0"/>
      <c:spPr>
        <a:noFill/>
        <a:ln>
          <a:noFill/>
        </a:ln>
        <a:effectLst/>
      </c:spPr>
      <c:txPr>
        <a:bodyPr rot="0" spcFirstLastPara="1" vertOverflow="ellipsis" vert="horz" wrap="square" anchor="ctr" anchorCtr="1"/>
        <a:lstStyle/>
        <a:p>
          <a:pPr>
            <a:defRPr sz="1260" b="0" i="0" u="none" strike="noStrike" kern="1200" spc="0" baseline="0">
              <a:solidFill>
                <a:schemeClr val="tx2">
                  <a:lumMod val="75000"/>
                  <a:lumOff val="2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1E90FF"/>
            </a:solidFill>
            <a:round/>
          </a:ln>
          <a:effectLst/>
        </c:spPr>
        <c:marker>
          <c:symbol val="circle"/>
          <c:size val="5"/>
          <c:spPr>
            <a:solidFill>
              <a:srgbClr val="1E90FF"/>
            </a:solidFill>
            <a:ln w="9525">
              <a:solidFill>
                <a:srgbClr val="1E90FF"/>
              </a:solidFill>
            </a:ln>
            <a:effectLst/>
          </c:spPr>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000080"/>
            </a:solidFill>
            <a:round/>
          </a:ln>
          <a:effectLst/>
        </c:spPr>
        <c:marker>
          <c:symbol val="circle"/>
          <c:size val="5"/>
          <c:spPr>
            <a:solidFill>
              <a:srgbClr val="000080"/>
            </a:solidFill>
            <a:ln w="9525">
              <a:solidFill>
                <a:srgbClr val="000080"/>
              </a:solidFill>
            </a:ln>
            <a:effectLst/>
          </c:spPr>
        </c:marker>
        <c:dLbl>
          <c:idx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1E90FF"/>
            </a:solidFill>
            <a:round/>
          </a:ln>
          <a:effectLst/>
        </c:spPr>
        <c:marker>
          <c:symbol val="circle"/>
          <c:size val="5"/>
          <c:spPr>
            <a:solidFill>
              <a:srgbClr val="1E90FF"/>
            </a:solidFill>
            <a:ln w="9525">
              <a:solidFill>
                <a:srgbClr val="1E90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000080"/>
            </a:solidFill>
            <a:round/>
          </a:ln>
          <a:effectLst/>
        </c:spPr>
        <c:marker>
          <c:symbol val="circle"/>
          <c:size val="5"/>
          <c:spPr>
            <a:solidFill>
              <a:srgbClr val="000080"/>
            </a:solidFill>
            <a:ln w="9525">
              <a:solidFill>
                <a:srgbClr val="00008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rgbClr val="1E90FF"/>
            </a:solidFill>
            <a:round/>
          </a:ln>
          <a:effectLst/>
        </c:spPr>
        <c:marker>
          <c:symbol val="circle"/>
          <c:size val="5"/>
          <c:spPr>
            <a:solidFill>
              <a:srgbClr val="1E90FF"/>
            </a:solidFill>
            <a:ln w="9525">
              <a:solidFill>
                <a:srgbClr val="1E90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rgbClr val="000080"/>
            </a:solidFill>
            <a:round/>
          </a:ln>
          <a:effectLst/>
        </c:spPr>
        <c:marker>
          <c:symbol val="circle"/>
          <c:size val="5"/>
          <c:spPr>
            <a:solidFill>
              <a:srgbClr val="000080"/>
            </a:solidFill>
            <a:ln w="9525">
              <a:solidFill>
                <a:srgbClr val="00008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2">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radarChart>
        <c:radarStyle val="marker"/>
        <c:varyColors val="0"/>
        <c:ser>
          <c:idx val="0"/>
          <c:order val="0"/>
          <c:tx>
            <c:strRef>
              <c:f>'Pivot Table'!$B$128</c:f>
              <c:strCache>
                <c:ptCount val="1"/>
                <c:pt idx="0">
                  <c:v>Average of Crude Vaccinated Ratio</c:v>
                </c:pt>
              </c:strCache>
            </c:strRef>
          </c:tx>
          <c:spPr>
            <a:ln w="28575" cap="rnd">
              <a:solidFill>
                <a:srgbClr val="1E90FF"/>
              </a:solidFill>
              <a:round/>
            </a:ln>
            <a:effectLst/>
          </c:spPr>
          <c:marker>
            <c:symbol val="circle"/>
            <c:size val="5"/>
            <c:spPr>
              <a:solidFill>
                <a:srgbClr val="1E90FF"/>
              </a:solidFill>
              <a:ln w="9525">
                <a:solidFill>
                  <a:srgbClr val="1E90FF"/>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Table'!$B$129:$B$141</c:f>
              <c:numCache>
                <c:formatCode>General</c:formatCode>
                <c:ptCount val="12"/>
                <c:pt idx="0">
                  <c:v>2.4</c:v>
                </c:pt>
                <c:pt idx="1">
                  <c:v>2.97</c:v>
                </c:pt>
                <c:pt idx="2">
                  <c:v>1.5666666666666669</c:v>
                </c:pt>
                <c:pt idx="3">
                  <c:v>2.1833333333333336</c:v>
                </c:pt>
                <c:pt idx="4">
                  <c:v>2.3083333333333331</c:v>
                </c:pt>
                <c:pt idx="5">
                  <c:v>2.1111111111111112</c:v>
                </c:pt>
                <c:pt idx="6">
                  <c:v>1.9133333333333336</c:v>
                </c:pt>
                <c:pt idx="7">
                  <c:v>1.9750000000000003</c:v>
                </c:pt>
                <c:pt idx="8">
                  <c:v>3.9083333333333337</c:v>
                </c:pt>
                <c:pt idx="9">
                  <c:v>2.3833333333333333</c:v>
                </c:pt>
                <c:pt idx="10">
                  <c:v>2.8642857142857139</c:v>
                </c:pt>
                <c:pt idx="11">
                  <c:v>1.8</c:v>
                </c:pt>
              </c:numCache>
            </c:numRef>
          </c:val>
          <c:extLst>
            <c:ext xmlns:c16="http://schemas.microsoft.com/office/drawing/2014/chart" uri="{C3380CC4-5D6E-409C-BE32-E72D297353CC}">
              <c16:uniqueId val="{00000000-9D01-47B5-ADDD-D49F5D9EC101}"/>
            </c:ext>
          </c:extLst>
        </c:ser>
        <c:ser>
          <c:idx val="1"/>
          <c:order val="1"/>
          <c:tx>
            <c:strRef>
              <c:f>'Pivot Table'!$C$128</c:f>
              <c:strCache>
                <c:ptCount val="1"/>
                <c:pt idx="0">
                  <c:v>Average of Crude Boosted Ratio</c:v>
                </c:pt>
              </c:strCache>
            </c:strRef>
          </c:tx>
          <c:spPr>
            <a:ln w="28575" cap="rnd">
              <a:solidFill>
                <a:srgbClr val="000080"/>
              </a:solidFill>
              <a:round/>
            </a:ln>
            <a:effectLst/>
          </c:spPr>
          <c:marker>
            <c:symbol val="circle"/>
            <c:size val="5"/>
            <c:spPr>
              <a:solidFill>
                <a:srgbClr val="000080"/>
              </a:solidFill>
              <a:ln w="9525">
                <a:solidFill>
                  <a:srgbClr val="000080"/>
                </a:solidFill>
              </a:ln>
              <a:effectLst/>
            </c:spPr>
          </c:marker>
          <c:cat>
            <c:strRef>
              <c:f>'Pivot Table'!$A$129:$A$141</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Table'!$C$129:$C$141</c:f>
              <c:numCache>
                <c:formatCode>General</c:formatCode>
                <c:ptCount val="12"/>
                <c:pt idx="0">
                  <c:v>3</c:v>
                </c:pt>
                <c:pt idx="1">
                  <c:v>1.9799999999999998</c:v>
                </c:pt>
                <c:pt idx="2">
                  <c:v>1.2555555555555555</c:v>
                </c:pt>
                <c:pt idx="3">
                  <c:v>2.1833333333333331</c:v>
                </c:pt>
                <c:pt idx="4">
                  <c:v>1.3</c:v>
                </c:pt>
                <c:pt idx="5">
                  <c:v>0.94444444444444442</c:v>
                </c:pt>
                <c:pt idx="6">
                  <c:v>2.1266666666666669</c:v>
                </c:pt>
                <c:pt idx="7">
                  <c:v>1.2416666666666665</c:v>
                </c:pt>
                <c:pt idx="8">
                  <c:v>2.8083333333333336</c:v>
                </c:pt>
                <c:pt idx="9">
                  <c:v>1.9583333333333333</c:v>
                </c:pt>
                <c:pt idx="10">
                  <c:v>2.1428571428571428</c:v>
                </c:pt>
                <c:pt idx="11">
                  <c:v>1.0999999999999999</c:v>
                </c:pt>
              </c:numCache>
            </c:numRef>
          </c:val>
          <c:extLst>
            <c:ext xmlns:c16="http://schemas.microsoft.com/office/drawing/2014/chart" uri="{C3380CC4-5D6E-409C-BE32-E72D297353CC}">
              <c16:uniqueId val="{00000001-9D01-47B5-ADDD-D49F5D9EC101}"/>
            </c:ext>
          </c:extLst>
        </c:ser>
        <c:dLbls>
          <c:showLegendKey val="0"/>
          <c:showVal val="0"/>
          <c:showCatName val="0"/>
          <c:showSerName val="0"/>
          <c:showPercent val="0"/>
          <c:showBubbleSize val="0"/>
        </c:dLbls>
        <c:axId val="128148328"/>
        <c:axId val="128149048"/>
      </c:radarChart>
      <c:catAx>
        <c:axId val="128148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crossAx val="128149048"/>
        <c:crosses val="autoZero"/>
        <c:auto val="1"/>
        <c:lblAlgn val="ctr"/>
        <c:lblOffset val="100"/>
        <c:noMultiLvlLbl val="0"/>
      </c:catAx>
      <c:valAx>
        <c:axId val="1281490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crossAx val="1281483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50" b="0" i="0" u="none" strike="noStrike" kern="1200" baseline="0">
              <a:solidFill>
                <a:schemeClr val="tx2">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solidFill>
            <a:schemeClr val="tx2">
              <a:lumMod val="75000"/>
              <a:lumOff val="2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data id="1">
      <cx:strDim type="cat">
        <cx:f>_xlchart.v1.0</cx:f>
      </cx:strDim>
      <cx:numDim type="val">
        <cx:f>_xlchart.v1.4</cx:f>
      </cx:numDim>
    </cx:data>
    <cx:data id="2">
      <cx:strDim type="cat">
        <cx:f>_xlchart.v1.0</cx:f>
      </cx:strDim>
      <cx:numDim type="val">
        <cx:f>_xlchart.v1.6</cx:f>
      </cx:numDim>
    </cx:data>
  </cx:chartData>
  <cx:chart>
    <cx:title pos="t" align="ctr" overlay="0"/>
    <cx:plotArea>
      <cx:plotAreaRegion>
        <cx:series layoutId="boxWhisker" uniqueId="{EF3D18D1-C8DA-4695-A755-296B13DB1ABB}">
          <cx:tx>
            <cx:txData>
              <cx:f>_xlchart.v1.1</cx:f>
              <cx:v>Average Vaccinated Rate</cx:v>
            </cx:txData>
          </cx:tx>
          <cx:dataId val="0"/>
          <cx:layoutPr>
            <cx:visibility meanLine="0" meanMarker="1" nonoutliers="0" outliers="1"/>
            <cx:statistics quartileMethod="exclusive"/>
          </cx:layoutPr>
        </cx:series>
        <cx:series layoutId="boxWhisker" uniqueId="{612D18E8-E4F7-4625-9FE3-D6AB806B3EEE}">
          <cx:tx>
            <cx:txData>
              <cx:f>_xlchart.v1.3</cx:f>
              <cx:v>Average Unvaccinated Rate</cx:v>
            </cx:txData>
          </cx:tx>
          <cx:dataId val="1"/>
          <cx:layoutPr>
            <cx:visibility meanLine="0" meanMarker="1" nonoutliers="0" outliers="1"/>
            <cx:statistics quartileMethod="exclusive"/>
          </cx:layoutPr>
        </cx:series>
        <cx:series layoutId="boxWhisker" uniqueId="{6AFF3EB6-9285-4C93-8A53-2387C2F51AC4}">
          <cx:tx>
            <cx:txData>
              <cx:f>_xlchart.v1.5</cx:f>
              <cx:v>Average Bossted Rate</cx:v>
            </cx:txData>
          </cx:tx>
          <cx:dataId val="2"/>
          <cx:layoutPr>
            <cx:visibility meanLine="0" meanMarker="1" nonoutliers="0" outliers="1"/>
            <cx:statistics quartileMethod="exclusive"/>
          </cx:layoutPr>
        </cx:series>
      </cx:plotAreaRegion>
      <cx:axis id="0">
        <cx:catScaling gapWidth="1"/>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hyperlink" Target="#Dashboard!A1"/><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hyperlink" Target="#'Pivot Table'!A1"/><Relationship Id="rId1" Type="http://schemas.openxmlformats.org/officeDocument/2006/relationships/hyperlink" Target="#data!A1"/><Relationship Id="rId6" Type="http://schemas.openxmlformats.org/officeDocument/2006/relationships/image" Target="../media/image2.svg"/><Relationship Id="rId11" Type="http://schemas.openxmlformats.org/officeDocument/2006/relationships/image" Target="../media/image7.png"/><Relationship Id="rId5" Type="http://schemas.openxmlformats.org/officeDocument/2006/relationships/image" Target="../media/image1.png"/><Relationship Id="rId10" Type="http://schemas.openxmlformats.org/officeDocument/2006/relationships/image" Target="../media/image6.svg"/><Relationship Id="rId4" Type="http://schemas.openxmlformats.org/officeDocument/2006/relationships/hyperlink" Target="https://www.data.gov.in/" TargetMode="External"/><Relationship Id="rId9" Type="http://schemas.openxmlformats.org/officeDocument/2006/relationships/image" Target="../media/image5.png"/></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chart" Target="../charts/chart12.xml"/><Relationship Id="rId3" Type="http://schemas.microsoft.com/office/2014/relationships/chartEx" Target="../charts/chartEx1.xml"/><Relationship Id="rId7" Type="http://schemas.openxmlformats.org/officeDocument/2006/relationships/chart" Target="../charts/chart6.xml"/><Relationship Id="rId12" Type="http://schemas.openxmlformats.org/officeDocument/2006/relationships/chart" Target="../charts/chart1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11" Type="http://schemas.openxmlformats.org/officeDocument/2006/relationships/chart" Target="../charts/chart10.xml"/><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s>
</file>

<file path=xl/drawings/_rels/drawing3.xml.rels><?xml version="1.0" encoding="UTF-8" standalone="yes"?>
<Relationships xmlns="http://schemas.openxmlformats.org/package/2006/relationships"><Relationship Id="rId8" Type="http://schemas.openxmlformats.org/officeDocument/2006/relationships/hyperlink" Target="#data!A1"/><Relationship Id="rId13" Type="http://schemas.openxmlformats.org/officeDocument/2006/relationships/image" Target="../media/image4.svg"/><Relationship Id="rId3" Type="http://schemas.openxmlformats.org/officeDocument/2006/relationships/chart" Target="../charts/chart15.xml"/><Relationship Id="rId7" Type="http://schemas.openxmlformats.org/officeDocument/2006/relationships/chart" Target="../charts/chart19.xml"/><Relationship Id="rId12" Type="http://schemas.openxmlformats.org/officeDocument/2006/relationships/image" Target="../media/image3.pn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11" Type="http://schemas.openxmlformats.org/officeDocument/2006/relationships/hyperlink" Target="#'Pivot Table'!A1"/><Relationship Id="rId5" Type="http://schemas.openxmlformats.org/officeDocument/2006/relationships/chart" Target="../charts/chart17.xml"/><Relationship Id="rId10" Type="http://schemas.openxmlformats.org/officeDocument/2006/relationships/image" Target="../media/image2.svg"/><Relationship Id="rId4" Type="http://schemas.openxmlformats.org/officeDocument/2006/relationships/chart" Target="../charts/chart16.xml"/><Relationship Id="rId9"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539750</xdr:colOff>
      <xdr:row>3</xdr:row>
      <xdr:rowOff>177800</xdr:rowOff>
    </xdr:from>
    <xdr:to>
      <xdr:col>7</xdr:col>
      <xdr:colOff>488950</xdr:colOff>
      <xdr:row>10</xdr:row>
      <xdr:rowOff>44450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BA160844-5E9C-0B27-4EA9-82A837BE53A1}"/>
            </a:ext>
          </a:extLst>
        </xdr:cNvPr>
        <xdr:cNvSpPr/>
      </xdr:nvSpPr>
      <xdr:spPr>
        <a:xfrm>
          <a:off x="1758950" y="730250"/>
          <a:ext cx="2997200" cy="1155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a:p>
        <a:p>
          <a:pPr algn="ctr"/>
          <a:endParaRPr lang="en-US" sz="1600" b="1"/>
        </a:p>
        <a:p>
          <a:pPr algn="ctr"/>
          <a:r>
            <a:rPr lang="en-US" sz="2000" b="1"/>
            <a:t>  DATASET </a:t>
          </a:r>
        </a:p>
      </xdr:txBody>
    </xdr:sp>
    <xdr:clientData/>
  </xdr:twoCellAnchor>
  <xdr:twoCellAnchor>
    <xdr:from>
      <xdr:col>10</xdr:col>
      <xdr:colOff>19050</xdr:colOff>
      <xdr:row>3</xdr:row>
      <xdr:rowOff>177800</xdr:rowOff>
    </xdr:from>
    <xdr:to>
      <xdr:col>15</xdr:col>
      <xdr:colOff>82550</xdr:colOff>
      <xdr:row>10</xdr:row>
      <xdr:rowOff>57150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C871C37E-20E4-4418-BFE1-AB9F5AEAE5E0}"/>
            </a:ext>
          </a:extLst>
        </xdr:cNvPr>
        <xdr:cNvSpPr/>
      </xdr:nvSpPr>
      <xdr:spPr>
        <a:xfrm>
          <a:off x="6115050" y="730250"/>
          <a:ext cx="3111500" cy="11684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3200" b="1"/>
        </a:p>
        <a:p>
          <a:pPr algn="ctr"/>
          <a:r>
            <a:rPr lang="en-US" sz="1800" b="1"/>
            <a:t>PIVOT TABLE </a:t>
          </a:r>
        </a:p>
      </xdr:txBody>
    </xdr:sp>
    <xdr:clientData/>
  </xdr:twoCellAnchor>
  <xdr:twoCellAnchor>
    <xdr:from>
      <xdr:col>2</xdr:col>
      <xdr:colOff>590550</xdr:colOff>
      <xdr:row>12</xdr:row>
      <xdr:rowOff>6350</xdr:rowOff>
    </xdr:from>
    <xdr:to>
      <xdr:col>7</xdr:col>
      <xdr:colOff>457200</xdr:colOff>
      <xdr:row>17</xdr:row>
      <xdr:rowOff>152400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166431AE-DC60-4DC6-98E3-9A302C24762C}"/>
            </a:ext>
          </a:extLst>
        </xdr:cNvPr>
        <xdr:cNvSpPr/>
      </xdr:nvSpPr>
      <xdr:spPr>
        <a:xfrm>
          <a:off x="1809750" y="2216150"/>
          <a:ext cx="2914650" cy="10668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3200" b="1"/>
        </a:p>
        <a:p>
          <a:pPr algn="ctr"/>
          <a:r>
            <a:rPr lang="en-US" sz="1800" b="1"/>
            <a:t>DAHBOARD</a:t>
          </a:r>
        </a:p>
      </xdr:txBody>
    </xdr:sp>
    <xdr:clientData/>
  </xdr:twoCellAnchor>
  <xdr:twoCellAnchor>
    <xdr:from>
      <xdr:col>10</xdr:col>
      <xdr:colOff>101600</xdr:colOff>
      <xdr:row>11</xdr:row>
      <xdr:rowOff>165100</xdr:rowOff>
    </xdr:from>
    <xdr:to>
      <xdr:col>15</xdr:col>
      <xdr:colOff>0</xdr:colOff>
      <xdr:row>17</xdr:row>
      <xdr:rowOff>139700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8A651C5D-9D88-43F4-8F18-6B16D5B54339}"/>
            </a:ext>
          </a:extLst>
        </xdr:cNvPr>
        <xdr:cNvSpPr/>
      </xdr:nvSpPr>
      <xdr:spPr>
        <a:xfrm>
          <a:off x="6197600" y="2190750"/>
          <a:ext cx="2946400" cy="1079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800" b="1"/>
        </a:p>
        <a:p>
          <a:pPr algn="ctr"/>
          <a:r>
            <a:rPr lang="en-US" sz="1800" b="1"/>
            <a:t>      </a:t>
          </a:r>
        </a:p>
        <a:p>
          <a:pPr algn="ctr"/>
          <a:r>
            <a:rPr lang="en-US" sz="1800" b="1"/>
            <a:t>      DATASET</a:t>
          </a:r>
          <a:r>
            <a:rPr lang="en-US" sz="1800" b="1" baseline="0"/>
            <a:t> LINK</a:t>
          </a:r>
          <a:endParaRPr lang="en-US" sz="1800" b="1"/>
        </a:p>
      </xdr:txBody>
    </xdr:sp>
    <xdr:clientData/>
  </xdr:twoCellAnchor>
  <xdr:twoCellAnchor editAs="oneCell">
    <xdr:from>
      <xdr:col>4</xdr:col>
      <xdr:colOff>539750</xdr:colOff>
      <xdr:row>4</xdr:row>
      <xdr:rowOff>95250</xdr:rowOff>
    </xdr:from>
    <xdr:to>
      <xdr:col>5</xdr:col>
      <xdr:colOff>552450</xdr:colOff>
      <xdr:row>7</xdr:row>
      <xdr:rowOff>165100</xdr:rowOff>
    </xdr:to>
    <xdr:pic>
      <xdr:nvPicPr>
        <xdr:cNvPr id="8" name="Graphic 7" descr="Database with solid fill">
          <a:extLst>
            <a:ext uri="{FF2B5EF4-FFF2-40B4-BE49-F238E27FC236}">
              <a16:creationId xmlns:a16="http://schemas.microsoft.com/office/drawing/2014/main" id="{752042B0-48A4-9F65-4B06-C168EDBE79F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978150" y="831850"/>
          <a:ext cx="622300" cy="622300"/>
        </a:xfrm>
        <a:prstGeom prst="rect">
          <a:avLst/>
        </a:prstGeom>
      </xdr:spPr>
    </xdr:pic>
    <xdr:clientData/>
  </xdr:twoCellAnchor>
  <xdr:twoCellAnchor editAs="oneCell">
    <xdr:from>
      <xdr:col>12</xdr:col>
      <xdr:colOff>101600</xdr:colOff>
      <xdr:row>4</xdr:row>
      <xdr:rowOff>38100</xdr:rowOff>
    </xdr:from>
    <xdr:to>
      <xdr:col>13</xdr:col>
      <xdr:colOff>209550</xdr:colOff>
      <xdr:row>8</xdr:row>
      <xdr:rowOff>19050</xdr:rowOff>
    </xdr:to>
    <xdr:pic>
      <xdr:nvPicPr>
        <xdr:cNvPr id="10" name="Graphic 9" descr="Network diagram with solid fill">
          <a:extLst>
            <a:ext uri="{FF2B5EF4-FFF2-40B4-BE49-F238E27FC236}">
              <a16:creationId xmlns:a16="http://schemas.microsoft.com/office/drawing/2014/main" id="{09F07ABF-1E6C-D90E-62A7-C4EAB930DED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7416800" y="774700"/>
          <a:ext cx="717550" cy="717550"/>
        </a:xfrm>
        <a:prstGeom prst="rect">
          <a:avLst/>
        </a:prstGeom>
      </xdr:spPr>
    </xdr:pic>
    <xdr:clientData/>
  </xdr:twoCellAnchor>
  <xdr:twoCellAnchor editAs="oneCell">
    <xdr:from>
      <xdr:col>4</xdr:col>
      <xdr:colOff>444500</xdr:colOff>
      <xdr:row>11</xdr:row>
      <xdr:rowOff>171450</xdr:rowOff>
    </xdr:from>
    <xdr:to>
      <xdr:col>5</xdr:col>
      <xdr:colOff>552450</xdr:colOff>
      <xdr:row>15</xdr:row>
      <xdr:rowOff>152400</xdr:rowOff>
    </xdr:to>
    <xdr:pic>
      <xdr:nvPicPr>
        <xdr:cNvPr id="12" name="Graphic 11" descr="Bar chart with solid fill">
          <a:extLst>
            <a:ext uri="{FF2B5EF4-FFF2-40B4-BE49-F238E27FC236}">
              <a16:creationId xmlns:a16="http://schemas.microsoft.com/office/drawing/2014/main" id="{895277B2-5BF4-2954-05E6-C18B7F4E71B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882900" y="2197100"/>
          <a:ext cx="717550" cy="717550"/>
        </a:xfrm>
        <a:prstGeom prst="rect">
          <a:avLst/>
        </a:prstGeom>
      </xdr:spPr>
    </xdr:pic>
    <xdr:clientData/>
  </xdr:twoCellAnchor>
  <xdr:twoCellAnchor editAs="oneCell">
    <xdr:from>
      <xdr:col>12</xdr:col>
      <xdr:colOff>38100</xdr:colOff>
      <xdr:row>12</xdr:row>
      <xdr:rowOff>38100</xdr:rowOff>
    </xdr:from>
    <xdr:to>
      <xdr:col>13</xdr:col>
      <xdr:colOff>88900</xdr:colOff>
      <xdr:row>15</xdr:row>
      <xdr:rowOff>146050</xdr:rowOff>
    </xdr:to>
    <xdr:pic>
      <xdr:nvPicPr>
        <xdr:cNvPr id="14" name="Graphic 13" descr="Link with solid fill">
          <a:extLst>
            <a:ext uri="{FF2B5EF4-FFF2-40B4-BE49-F238E27FC236}">
              <a16:creationId xmlns:a16="http://schemas.microsoft.com/office/drawing/2014/main" id="{80302A4D-E85C-178E-EE61-7D239C34B30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7353300" y="2247900"/>
          <a:ext cx="660400" cy="660400"/>
        </a:xfrm>
        <a:prstGeom prst="rect">
          <a:avLst/>
        </a:prstGeom>
      </xdr:spPr>
    </xdr:pic>
    <xdr:clientData/>
  </xdr:twoCellAnchor>
  <xdr:twoCellAnchor>
    <xdr:from>
      <xdr:col>5</xdr:col>
      <xdr:colOff>209550</xdr:colOff>
      <xdr:row>0</xdr:row>
      <xdr:rowOff>38100</xdr:rowOff>
    </xdr:from>
    <xdr:to>
      <xdr:col>12</xdr:col>
      <xdr:colOff>381000</xdr:colOff>
      <xdr:row>2</xdr:row>
      <xdr:rowOff>165100</xdr:rowOff>
    </xdr:to>
    <xdr:sp macro="" textlink="">
      <xdr:nvSpPr>
        <xdr:cNvPr id="15" name="Rectangle: Rounded Corners 14">
          <a:extLst>
            <a:ext uri="{FF2B5EF4-FFF2-40B4-BE49-F238E27FC236}">
              <a16:creationId xmlns:a16="http://schemas.microsoft.com/office/drawing/2014/main" id="{0D179358-5A31-4838-84C8-220F80B3D411}"/>
            </a:ext>
          </a:extLst>
        </xdr:cNvPr>
        <xdr:cNvSpPr/>
      </xdr:nvSpPr>
      <xdr:spPr>
        <a:xfrm>
          <a:off x="3257550" y="38100"/>
          <a:ext cx="4438650" cy="4953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MAIN PAGE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407147</xdr:colOff>
      <xdr:row>0</xdr:row>
      <xdr:rowOff>81429</xdr:rowOff>
    </xdr:from>
    <xdr:to>
      <xdr:col>13</xdr:col>
      <xdr:colOff>272676</xdr:colOff>
      <xdr:row>15</xdr:row>
      <xdr:rowOff>23158</xdr:rowOff>
    </xdr:to>
    <xdr:graphicFrame macro="">
      <xdr:nvGraphicFramePr>
        <xdr:cNvPr id="2" name="Chart 1">
          <a:extLst>
            <a:ext uri="{FF2B5EF4-FFF2-40B4-BE49-F238E27FC236}">
              <a16:creationId xmlns:a16="http://schemas.microsoft.com/office/drawing/2014/main" id="{3AF5AB43-EC3E-0605-4C16-E3442A4761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52295</xdr:colOff>
      <xdr:row>30</xdr:row>
      <xdr:rowOff>156135</xdr:rowOff>
    </xdr:from>
    <xdr:to>
      <xdr:col>16</xdr:col>
      <xdr:colOff>141942</xdr:colOff>
      <xdr:row>45</xdr:row>
      <xdr:rowOff>97864</xdr:rowOff>
    </xdr:to>
    <xdr:graphicFrame macro="">
      <xdr:nvGraphicFramePr>
        <xdr:cNvPr id="5" name="Chart 4">
          <a:extLst>
            <a:ext uri="{FF2B5EF4-FFF2-40B4-BE49-F238E27FC236}">
              <a16:creationId xmlns:a16="http://schemas.microsoft.com/office/drawing/2014/main" id="{338FACE3-5E77-7D87-EB91-D7AD357201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298823</xdr:colOff>
      <xdr:row>16</xdr:row>
      <xdr:rowOff>17929</xdr:rowOff>
    </xdr:from>
    <xdr:to>
      <xdr:col>23</xdr:col>
      <xdr:colOff>179294</xdr:colOff>
      <xdr:row>30</xdr:row>
      <xdr:rowOff>146423</xdr:rowOff>
    </xdr:to>
    <mc:AlternateContent xmlns:mc="http://schemas.openxmlformats.org/markup-compatibility/2006">
      <mc:Choice xmlns:cx1="http://schemas.microsoft.com/office/drawing/2015/9/8/chartex" Requires="cx1">
        <xdr:graphicFrame macro="">
          <xdr:nvGraphicFramePr>
            <xdr:cNvPr id="6" name="Chart 5">
              <a:extLst>
                <a:ext uri="{FF2B5EF4-FFF2-40B4-BE49-F238E27FC236}">
                  <a16:creationId xmlns:a16="http://schemas.microsoft.com/office/drawing/2014/main" id="{955FB919-F0A9-F5D2-B471-881350660F9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8229973" y="2964329"/>
              <a:ext cx="3766671" cy="270659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6</xdr:col>
      <xdr:colOff>54909</xdr:colOff>
      <xdr:row>63</xdr:row>
      <xdr:rowOff>163608</xdr:rowOff>
    </xdr:from>
    <xdr:to>
      <xdr:col>14</xdr:col>
      <xdr:colOff>381000</xdr:colOff>
      <xdr:row>78</xdr:row>
      <xdr:rowOff>105337</xdr:rowOff>
    </xdr:to>
    <xdr:graphicFrame macro="">
      <xdr:nvGraphicFramePr>
        <xdr:cNvPr id="8" name="Chart 7">
          <a:extLst>
            <a:ext uri="{FF2B5EF4-FFF2-40B4-BE49-F238E27FC236}">
              <a16:creationId xmlns:a16="http://schemas.microsoft.com/office/drawing/2014/main" id="{42B89C76-E0DC-8D50-DD5F-802E05D601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216647</xdr:colOff>
      <xdr:row>78</xdr:row>
      <xdr:rowOff>92636</xdr:rowOff>
    </xdr:from>
    <xdr:to>
      <xdr:col>24</xdr:col>
      <xdr:colOff>381000</xdr:colOff>
      <xdr:row>93</xdr:row>
      <xdr:rowOff>34365</xdr:rowOff>
    </xdr:to>
    <xdr:graphicFrame macro="">
      <xdr:nvGraphicFramePr>
        <xdr:cNvPr id="9" name="Chart 8">
          <a:extLst>
            <a:ext uri="{FF2B5EF4-FFF2-40B4-BE49-F238E27FC236}">
              <a16:creationId xmlns:a16="http://schemas.microsoft.com/office/drawing/2014/main" id="{69ABDBEE-5387-3558-1A99-1F51889435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112059</xdr:colOff>
      <xdr:row>101</xdr:row>
      <xdr:rowOff>156135</xdr:rowOff>
    </xdr:from>
    <xdr:to>
      <xdr:col>16</xdr:col>
      <xdr:colOff>201706</xdr:colOff>
      <xdr:row>116</xdr:row>
      <xdr:rowOff>97864</xdr:rowOff>
    </xdr:to>
    <xdr:graphicFrame macro="">
      <xdr:nvGraphicFramePr>
        <xdr:cNvPr id="3" name="Chart 2">
          <a:extLst>
            <a:ext uri="{FF2B5EF4-FFF2-40B4-BE49-F238E27FC236}">
              <a16:creationId xmlns:a16="http://schemas.microsoft.com/office/drawing/2014/main" id="{08528156-06D1-2E14-C9C5-0C0065D18A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29883</xdr:colOff>
      <xdr:row>126</xdr:row>
      <xdr:rowOff>186017</xdr:rowOff>
    </xdr:from>
    <xdr:to>
      <xdr:col>15</xdr:col>
      <xdr:colOff>44824</xdr:colOff>
      <xdr:row>141</xdr:row>
      <xdr:rowOff>127746</xdr:rowOff>
    </xdr:to>
    <xdr:graphicFrame macro="">
      <xdr:nvGraphicFramePr>
        <xdr:cNvPr id="4" name="Chart 3">
          <a:extLst>
            <a:ext uri="{FF2B5EF4-FFF2-40B4-BE49-F238E27FC236}">
              <a16:creationId xmlns:a16="http://schemas.microsoft.com/office/drawing/2014/main" id="{2D14998A-C87E-2B9C-9D75-312700D1F3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239060</xdr:colOff>
      <xdr:row>147</xdr:row>
      <xdr:rowOff>92635</xdr:rowOff>
    </xdr:from>
    <xdr:to>
      <xdr:col>15</xdr:col>
      <xdr:colOff>254001</xdr:colOff>
      <xdr:row>162</xdr:row>
      <xdr:rowOff>34365</xdr:rowOff>
    </xdr:to>
    <xdr:graphicFrame macro="">
      <xdr:nvGraphicFramePr>
        <xdr:cNvPr id="10" name="Chart 9">
          <a:extLst>
            <a:ext uri="{FF2B5EF4-FFF2-40B4-BE49-F238E27FC236}">
              <a16:creationId xmlns:a16="http://schemas.microsoft.com/office/drawing/2014/main" id="{5A59AA0C-7C97-C69D-2CF8-3411E9D2A8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261471</xdr:colOff>
      <xdr:row>214</xdr:row>
      <xdr:rowOff>36605</xdr:rowOff>
    </xdr:from>
    <xdr:to>
      <xdr:col>13</xdr:col>
      <xdr:colOff>127000</xdr:colOff>
      <xdr:row>228</xdr:row>
      <xdr:rowOff>165099</xdr:rowOff>
    </xdr:to>
    <xdr:graphicFrame macro="">
      <xdr:nvGraphicFramePr>
        <xdr:cNvPr id="13" name="Chart 12">
          <a:extLst>
            <a:ext uri="{FF2B5EF4-FFF2-40B4-BE49-F238E27FC236}">
              <a16:creationId xmlns:a16="http://schemas.microsoft.com/office/drawing/2014/main" id="{414C87F3-47D8-031E-38C7-C90CFE11EF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239058</xdr:colOff>
      <xdr:row>232</xdr:row>
      <xdr:rowOff>51547</xdr:rowOff>
    </xdr:from>
    <xdr:to>
      <xdr:col>20</xdr:col>
      <xdr:colOff>112058</xdr:colOff>
      <xdr:row>246</xdr:row>
      <xdr:rowOff>180041</xdr:rowOff>
    </xdr:to>
    <xdr:graphicFrame macro="">
      <xdr:nvGraphicFramePr>
        <xdr:cNvPr id="14" name="Chart 13">
          <a:extLst>
            <a:ext uri="{FF2B5EF4-FFF2-40B4-BE49-F238E27FC236}">
              <a16:creationId xmlns:a16="http://schemas.microsoft.com/office/drawing/2014/main" id="{A9C73393-0D0B-E218-ED88-2EC7A72539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179294</xdr:colOff>
      <xdr:row>46</xdr:row>
      <xdr:rowOff>144929</xdr:rowOff>
    </xdr:from>
    <xdr:to>
      <xdr:col>15</xdr:col>
      <xdr:colOff>104588</xdr:colOff>
      <xdr:row>63</xdr:row>
      <xdr:rowOff>127000</xdr:rowOff>
    </xdr:to>
    <xdr:graphicFrame macro="">
      <xdr:nvGraphicFramePr>
        <xdr:cNvPr id="15" name="Chart 14">
          <a:extLst>
            <a:ext uri="{FF2B5EF4-FFF2-40B4-BE49-F238E27FC236}">
              <a16:creationId xmlns:a16="http://schemas.microsoft.com/office/drawing/2014/main" id="{AFAF0DED-0356-370D-8925-AA0DCDC08B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17</xdr:col>
      <xdr:colOff>101225</xdr:colOff>
      <xdr:row>1</xdr:row>
      <xdr:rowOff>70597</xdr:rowOff>
    </xdr:from>
    <xdr:to>
      <xdr:col>21</xdr:col>
      <xdr:colOff>156507</xdr:colOff>
      <xdr:row>15</xdr:row>
      <xdr:rowOff>75263</xdr:rowOff>
    </xdr:to>
    <mc:AlternateContent xmlns:mc="http://schemas.openxmlformats.org/markup-compatibility/2006" xmlns:a14="http://schemas.microsoft.com/office/drawing/2010/main">
      <mc:Choice Requires="a14">
        <xdr:graphicFrame macro="">
          <xdr:nvGraphicFramePr>
            <xdr:cNvPr id="7" name="Outcome">
              <a:extLst>
                <a:ext uri="{FF2B5EF4-FFF2-40B4-BE49-F238E27FC236}">
                  <a16:creationId xmlns:a16="http://schemas.microsoft.com/office/drawing/2014/main" id="{6B0EA499-9D24-308B-4AEC-C28A1AC3DCC3}"/>
                </a:ext>
              </a:extLst>
            </xdr:cNvPr>
            <xdr:cNvGraphicFramePr/>
          </xdr:nvGraphicFramePr>
          <xdr:xfrm>
            <a:off x="0" y="0"/>
            <a:ext cx="0" cy="0"/>
          </xdr:xfrm>
          <a:graphic>
            <a:graphicData uri="http://schemas.microsoft.com/office/drawing/2010/slicer">
              <sle:slicer xmlns:sle="http://schemas.microsoft.com/office/drawing/2010/slicer" name="Outcome"/>
            </a:graphicData>
          </a:graphic>
        </xdr:graphicFrame>
      </mc:Choice>
      <mc:Fallback xmlns="">
        <xdr:sp macro="" textlink="">
          <xdr:nvSpPr>
            <xdr:cNvPr id="0" name=""/>
            <xdr:cNvSpPr>
              <a:spLocks noTextEdit="1"/>
            </xdr:cNvSpPr>
          </xdr:nvSpPr>
          <xdr:spPr>
            <a:xfrm>
              <a:off x="10518213" y="249891"/>
              <a:ext cx="1776506" cy="25147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429933</xdr:colOff>
      <xdr:row>2</xdr:row>
      <xdr:rowOff>98612</xdr:rowOff>
    </xdr:from>
    <xdr:to>
      <xdr:col>27</xdr:col>
      <xdr:colOff>54910</xdr:colOff>
      <xdr:row>16</xdr:row>
      <xdr:rowOff>103278</xdr:rowOff>
    </xdr:to>
    <mc:AlternateContent xmlns:mc="http://schemas.openxmlformats.org/markup-compatibility/2006" xmlns:a14="http://schemas.microsoft.com/office/drawing/2010/main">
      <mc:Choice Requires="a14">
        <xdr:graphicFrame macro="">
          <xdr:nvGraphicFramePr>
            <xdr:cNvPr id="16" name="Age Group">
              <a:extLst>
                <a:ext uri="{FF2B5EF4-FFF2-40B4-BE49-F238E27FC236}">
                  <a16:creationId xmlns:a16="http://schemas.microsoft.com/office/drawing/2014/main" id="{8DCFEDCA-05DD-D929-76EC-8EF5628AC243}"/>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14713698" y="472141"/>
              <a:ext cx="1828800" cy="261937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15688</xdr:colOff>
      <xdr:row>18</xdr:row>
      <xdr:rowOff>44450</xdr:rowOff>
    </xdr:from>
    <xdr:to>
      <xdr:col>30</xdr:col>
      <xdr:colOff>79934</xdr:colOff>
      <xdr:row>32</xdr:row>
      <xdr:rowOff>49116</xdr:rowOff>
    </xdr:to>
    <mc:AlternateContent xmlns:mc="http://schemas.openxmlformats.org/markup-compatibility/2006" xmlns:a14="http://schemas.microsoft.com/office/drawing/2010/main">
      <mc:Choice Requires="a14">
        <xdr:graphicFrame macro="">
          <xdr:nvGraphicFramePr>
            <xdr:cNvPr id="17" name="Years (Weekend)">
              <a:extLst>
                <a:ext uri="{FF2B5EF4-FFF2-40B4-BE49-F238E27FC236}">
                  <a16:creationId xmlns:a16="http://schemas.microsoft.com/office/drawing/2014/main" id="{18AE5E2B-6A1F-1598-EA7C-80B816983BF2}"/>
                </a:ext>
              </a:extLst>
            </xdr:cNvPr>
            <xdr:cNvGraphicFramePr/>
          </xdr:nvGraphicFramePr>
          <xdr:xfrm>
            <a:off x="0" y="0"/>
            <a:ext cx="0" cy="0"/>
          </xdr:xfrm>
          <a:graphic>
            <a:graphicData uri="http://schemas.microsoft.com/office/drawing/2010/slicer">
              <sle:slicer xmlns:sle="http://schemas.microsoft.com/office/drawing/2010/slicer" name="Years (Weekend)"/>
            </a:graphicData>
          </a:graphic>
        </xdr:graphicFrame>
      </mc:Choice>
      <mc:Fallback xmlns="">
        <xdr:sp macro="" textlink="">
          <xdr:nvSpPr>
            <xdr:cNvPr id="0" name=""/>
            <xdr:cNvSpPr>
              <a:spLocks noTextEdit="1"/>
            </xdr:cNvSpPr>
          </xdr:nvSpPr>
          <xdr:spPr>
            <a:xfrm>
              <a:off x="14305429" y="3271744"/>
              <a:ext cx="1785470" cy="25147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14941</xdr:colOff>
      <xdr:row>167</xdr:row>
      <xdr:rowOff>70223</xdr:rowOff>
    </xdr:from>
    <xdr:to>
      <xdr:col>15</xdr:col>
      <xdr:colOff>321235</xdr:colOff>
      <xdr:row>182</xdr:row>
      <xdr:rowOff>11953</xdr:rowOff>
    </xdr:to>
    <xdr:graphicFrame macro="">
      <xdr:nvGraphicFramePr>
        <xdr:cNvPr id="18" name="Chart 17">
          <a:extLst>
            <a:ext uri="{FF2B5EF4-FFF2-40B4-BE49-F238E27FC236}">
              <a16:creationId xmlns:a16="http://schemas.microsoft.com/office/drawing/2014/main" id="{C4ADFAA5-060D-0FB7-24B7-89D7B571D3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4</xdr:col>
      <xdr:colOff>720911</xdr:colOff>
      <xdr:row>188</xdr:row>
      <xdr:rowOff>159870</xdr:rowOff>
    </xdr:from>
    <xdr:to>
      <xdr:col>14</xdr:col>
      <xdr:colOff>183029</xdr:colOff>
      <xdr:row>203</xdr:row>
      <xdr:rowOff>101600</xdr:rowOff>
    </xdr:to>
    <xdr:graphicFrame macro="">
      <xdr:nvGraphicFramePr>
        <xdr:cNvPr id="20" name="Chart 19">
          <a:extLst>
            <a:ext uri="{FF2B5EF4-FFF2-40B4-BE49-F238E27FC236}">
              <a16:creationId xmlns:a16="http://schemas.microsoft.com/office/drawing/2014/main" id="{687A9F80-2424-1197-F4C4-DC52182D78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78806</xdr:colOff>
      <xdr:row>3</xdr:row>
      <xdr:rowOff>144976</xdr:rowOff>
    </xdr:from>
    <xdr:to>
      <xdr:col>3</xdr:col>
      <xdr:colOff>95089</xdr:colOff>
      <xdr:row>9</xdr:row>
      <xdr:rowOff>10942</xdr:rowOff>
    </xdr:to>
    <xdr:sp macro="" textlink="">
      <xdr:nvSpPr>
        <xdr:cNvPr id="46" name="Rectangle: Rounded Corners 45">
          <a:extLst>
            <a:ext uri="{FF2B5EF4-FFF2-40B4-BE49-F238E27FC236}">
              <a16:creationId xmlns:a16="http://schemas.microsoft.com/office/drawing/2014/main" id="{1F1F11CE-C611-937E-C9F8-87EEC18550A0}"/>
            </a:ext>
          </a:extLst>
        </xdr:cNvPr>
        <xdr:cNvSpPr/>
      </xdr:nvSpPr>
      <xdr:spPr>
        <a:xfrm>
          <a:off x="78806" y="693616"/>
          <a:ext cx="1845083" cy="96324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23762</xdr:colOff>
      <xdr:row>10</xdr:row>
      <xdr:rowOff>36229</xdr:rowOff>
    </xdr:from>
    <xdr:to>
      <xdr:col>3</xdr:col>
      <xdr:colOff>14797</xdr:colOff>
      <xdr:row>16</xdr:row>
      <xdr:rowOff>156153</xdr:rowOff>
    </xdr:to>
    <mc:AlternateContent xmlns:mc="http://schemas.openxmlformats.org/markup-compatibility/2006" xmlns:a14="http://schemas.microsoft.com/office/drawing/2010/main">
      <mc:Choice Requires="a14">
        <xdr:graphicFrame macro="">
          <xdr:nvGraphicFramePr>
            <xdr:cNvPr id="9" name="Outcome 1">
              <a:extLst>
                <a:ext uri="{FF2B5EF4-FFF2-40B4-BE49-F238E27FC236}">
                  <a16:creationId xmlns:a16="http://schemas.microsoft.com/office/drawing/2014/main" id="{D25D4B9C-69CA-43FC-90CC-6A05181F1957}"/>
                </a:ext>
              </a:extLst>
            </xdr:cNvPr>
            <xdr:cNvGraphicFramePr/>
          </xdr:nvGraphicFramePr>
          <xdr:xfrm>
            <a:off x="0" y="0"/>
            <a:ext cx="0" cy="0"/>
          </xdr:xfrm>
          <a:graphic>
            <a:graphicData uri="http://schemas.microsoft.com/office/drawing/2010/slicer">
              <sle:slicer xmlns:sle="http://schemas.microsoft.com/office/drawing/2010/slicer" name="Outcome 1"/>
            </a:graphicData>
          </a:graphic>
        </xdr:graphicFrame>
      </mc:Choice>
      <mc:Fallback xmlns="">
        <xdr:sp macro="" textlink="">
          <xdr:nvSpPr>
            <xdr:cNvPr id="0" name=""/>
            <xdr:cNvSpPr>
              <a:spLocks noTextEdit="1"/>
            </xdr:cNvSpPr>
          </xdr:nvSpPr>
          <xdr:spPr>
            <a:xfrm>
              <a:off x="23762" y="1908665"/>
              <a:ext cx="1822766" cy="12433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21546</xdr:colOff>
      <xdr:row>22</xdr:row>
      <xdr:rowOff>166929</xdr:rowOff>
    </xdr:from>
    <xdr:to>
      <xdr:col>3</xdr:col>
      <xdr:colOff>12581</xdr:colOff>
      <xdr:row>36</xdr:row>
      <xdr:rowOff>171595</xdr:rowOff>
    </xdr:to>
    <mc:AlternateContent xmlns:mc="http://schemas.openxmlformats.org/markup-compatibility/2006" xmlns:a14="http://schemas.microsoft.com/office/drawing/2010/main">
      <mc:Choice Requires="a14">
        <xdr:graphicFrame macro="">
          <xdr:nvGraphicFramePr>
            <xdr:cNvPr id="10" name="Age Group 1">
              <a:extLst>
                <a:ext uri="{FF2B5EF4-FFF2-40B4-BE49-F238E27FC236}">
                  <a16:creationId xmlns:a16="http://schemas.microsoft.com/office/drawing/2014/main" id="{C85E580F-33A1-469F-8DA0-D83026EA7FFA}"/>
                </a:ext>
              </a:extLst>
            </xdr:cNvPr>
            <xdr:cNvGraphicFramePr/>
          </xdr:nvGraphicFramePr>
          <xdr:xfrm>
            <a:off x="0" y="0"/>
            <a:ext cx="0" cy="0"/>
          </xdr:xfrm>
          <a:graphic>
            <a:graphicData uri="http://schemas.microsoft.com/office/drawing/2010/slicer">
              <sle:slicer xmlns:sle="http://schemas.microsoft.com/office/drawing/2010/slicer" name="Age Group 1"/>
            </a:graphicData>
          </a:graphic>
        </xdr:graphicFrame>
      </mc:Choice>
      <mc:Fallback xmlns="">
        <xdr:sp macro="" textlink="">
          <xdr:nvSpPr>
            <xdr:cNvPr id="0" name=""/>
            <xdr:cNvSpPr>
              <a:spLocks noTextEdit="1"/>
            </xdr:cNvSpPr>
          </xdr:nvSpPr>
          <xdr:spPr>
            <a:xfrm>
              <a:off x="21546" y="4286288"/>
              <a:ext cx="1822766" cy="26260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16</xdr:row>
      <xdr:rowOff>160634</xdr:rowOff>
    </xdr:from>
    <xdr:to>
      <xdr:col>2</xdr:col>
      <xdr:colOff>599371</xdr:colOff>
      <xdr:row>23</xdr:row>
      <xdr:rowOff>21950</xdr:rowOff>
    </xdr:to>
    <mc:AlternateContent xmlns:mc="http://schemas.openxmlformats.org/markup-compatibility/2006" xmlns:a14="http://schemas.microsoft.com/office/drawing/2010/main">
      <mc:Choice Requires="a14">
        <xdr:graphicFrame macro="">
          <xdr:nvGraphicFramePr>
            <xdr:cNvPr id="11" name="Years (Weekend) 1">
              <a:extLst>
                <a:ext uri="{FF2B5EF4-FFF2-40B4-BE49-F238E27FC236}">
                  <a16:creationId xmlns:a16="http://schemas.microsoft.com/office/drawing/2014/main" id="{7022C0E5-30D1-4125-AE68-B820A0EB27A6}"/>
                </a:ext>
              </a:extLst>
            </xdr:cNvPr>
            <xdr:cNvGraphicFramePr/>
          </xdr:nvGraphicFramePr>
          <xdr:xfrm>
            <a:off x="0" y="0"/>
            <a:ext cx="0" cy="0"/>
          </xdr:xfrm>
          <a:graphic>
            <a:graphicData uri="http://schemas.microsoft.com/office/drawing/2010/slicer">
              <sle:slicer xmlns:sle="http://schemas.microsoft.com/office/drawing/2010/slicer" name="Years (Weekend) 1"/>
            </a:graphicData>
          </a:graphic>
        </xdr:graphicFrame>
      </mc:Choice>
      <mc:Fallback xmlns="">
        <xdr:sp macro="" textlink="">
          <xdr:nvSpPr>
            <xdr:cNvPr id="0" name=""/>
            <xdr:cNvSpPr>
              <a:spLocks noTextEdit="1"/>
            </xdr:cNvSpPr>
          </xdr:nvSpPr>
          <xdr:spPr>
            <a:xfrm>
              <a:off x="0" y="3156531"/>
              <a:ext cx="1820525" cy="117202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16282</xdr:colOff>
      <xdr:row>0</xdr:row>
      <xdr:rowOff>51462</xdr:rowOff>
    </xdr:from>
    <xdr:to>
      <xdr:col>8</xdr:col>
      <xdr:colOff>504744</xdr:colOff>
      <xdr:row>3</xdr:row>
      <xdr:rowOff>61231</xdr:rowOff>
    </xdr:to>
    <xdr:sp macro="" textlink="">
      <xdr:nvSpPr>
        <xdr:cNvPr id="4" name="Rectangle: Rounded Corners 3">
          <a:extLst>
            <a:ext uri="{FF2B5EF4-FFF2-40B4-BE49-F238E27FC236}">
              <a16:creationId xmlns:a16="http://schemas.microsoft.com/office/drawing/2014/main" id="{8581C809-51C7-9357-6178-585EC37F2937}"/>
            </a:ext>
          </a:extLst>
        </xdr:cNvPr>
        <xdr:cNvSpPr/>
      </xdr:nvSpPr>
      <xdr:spPr>
        <a:xfrm>
          <a:off x="16282" y="51462"/>
          <a:ext cx="5373077" cy="571500"/>
        </a:xfrm>
        <a:prstGeom prst="roundRect">
          <a:avLst/>
        </a:prstGeom>
        <a:solidFill>
          <a:schemeClr val="accent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solidFill>
                <a:schemeClr val="bg1"/>
              </a:solidFill>
            </a:rPr>
            <a:t>Covid</a:t>
          </a:r>
          <a:r>
            <a:rPr lang="en-US" sz="2000" baseline="0">
              <a:solidFill>
                <a:schemeClr val="bg1"/>
              </a:solidFill>
            </a:rPr>
            <a:t>-19 Vaccination Analysis In city of Chicagho</a:t>
          </a:r>
        </a:p>
        <a:p>
          <a:pPr algn="ctr"/>
          <a:endParaRPr lang="en-US" sz="2400">
            <a:solidFill>
              <a:schemeClr val="bg1"/>
            </a:solidFill>
          </a:endParaRPr>
        </a:p>
      </xdr:txBody>
    </xdr:sp>
    <xdr:clientData/>
  </xdr:twoCellAnchor>
  <xdr:twoCellAnchor>
    <xdr:from>
      <xdr:col>17</xdr:col>
      <xdr:colOff>360420</xdr:colOff>
      <xdr:row>15</xdr:row>
      <xdr:rowOff>10425</xdr:rowOff>
    </xdr:from>
    <xdr:to>
      <xdr:col>23</xdr:col>
      <xdr:colOff>121920</xdr:colOff>
      <xdr:row>27</xdr:row>
      <xdr:rowOff>99060</xdr:rowOff>
    </xdr:to>
    <xdr:grpSp>
      <xdr:nvGrpSpPr>
        <xdr:cNvPr id="16" name="Group 15">
          <a:extLst>
            <a:ext uri="{FF2B5EF4-FFF2-40B4-BE49-F238E27FC236}">
              <a16:creationId xmlns:a16="http://schemas.microsoft.com/office/drawing/2014/main" id="{088F1C77-9B6E-E68D-2C87-4D682C062616}"/>
            </a:ext>
          </a:extLst>
        </xdr:cNvPr>
        <xdr:cNvGrpSpPr/>
      </xdr:nvGrpSpPr>
      <xdr:grpSpPr>
        <a:xfrm>
          <a:off x="10774420" y="2811896"/>
          <a:ext cx="3437029" cy="2329811"/>
          <a:chOff x="3997260" y="695366"/>
          <a:chExt cx="4466525" cy="2550762"/>
        </a:xfrm>
      </xdr:grpSpPr>
      <xdr:sp macro="" textlink="">
        <xdr:nvSpPr>
          <xdr:cNvPr id="12" name="Rectangle: Rounded Corners 11">
            <a:extLst>
              <a:ext uri="{FF2B5EF4-FFF2-40B4-BE49-F238E27FC236}">
                <a16:creationId xmlns:a16="http://schemas.microsoft.com/office/drawing/2014/main" id="{4A461F8A-3503-F012-21FC-A7684BCAB449}"/>
              </a:ext>
            </a:extLst>
          </xdr:cNvPr>
          <xdr:cNvSpPr/>
        </xdr:nvSpPr>
        <xdr:spPr>
          <a:xfrm>
            <a:off x="3997260" y="695366"/>
            <a:ext cx="4466525" cy="2550762"/>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4" name="Chart 13">
            <a:extLst>
              <a:ext uri="{FF2B5EF4-FFF2-40B4-BE49-F238E27FC236}">
                <a16:creationId xmlns:a16="http://schemas.microsoft.com/office/drawing/2014/main" id="{648842D2-4310-4ED1-808D-33DD70E67219}"/>
              </a:ext>
            </a:extLst>
          </xdr:cNvPr>
          <xdr:cNvGraphicFramePr>
            <a:graphicFrameLocks/>
          </xdr:cNvGraphicFramePr>
        </xdr:nvGraphicFramePr>
        <xdr:xfrm>
          <a:off x="4111357" y="778193"/>
          <a:ext cx="4283559" cy="2386047"/>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8</xdr:col>
      <xdr:colOff>89009</xdr:colOff>
      <xdr:row>3</xdr:row>
      <xdr:rowOff>145822</xdr:rowOff>
    </xdr:from>
    <xdr:to>
      <xdr:col>21</xdr:col>
      <xdr:colOff>426721</xdr:colOff>
      <xdr:row>14</xdr:row>
      <xdr:rowOff>121920</xdr:rowOff>
    </xdr:to>
    <xdr:grpSp>
      <xdr:nvGrpSpPr>
        <xdr:cNvPr id="19" name="Group 18">
          <a:extLst>
            <a:ext uri="{FF2B5EF4-FFF2-40B4-BE49-F238E27FC236}">
              <a16:creationId xmlns:a16="http://schemas.microsoft.com/office/drawing/2014/main" id="{E74FDE8B-5B01-27B5-034A-D21B887B9B0F}"/>
            </a:ext>
          </a:extLst>
        </xdr:cNvPr>
        <xdr:cNvGrpSpPr/>
      </xdr:nvGrpSpPr>
      <xdr:grpSpPr>
        <a:xfrm>
          <a:off x="4989715" y="706116"/>
          <a:ext cx="8301359" cy="2030510"/>
          <a:chOff x="9957876" y="418307"/>
          <a:chExt cx="9104649" cy="2432373"/>
        </a:xfrm>
      </xdr:grpSpPr>
      <xdr:sp macro="" textlink="">
        <xdr:nvSpPr>
          <xdr:cNvPr id="17" name="Rectangle: Rounded Corners 16">
            <a:extLst>
              <a:ext uri="{FF2B5EF4-FFF2-40B4-BE49-F238E27FC236}">
                <a16:creationId xmlns:a16="http://schemas.microsoft.com/office/drawing/2014/main" id="{336EBA7D-6281-EC5D-451A-CB46FB6A3483}"/>
              </a:ext>
            </a:extLst>
          </xdr:cNvPr>
          <xdr:cNvSpPr/>
        </xdr:nvSpPr>
        <xdr:spPr>
          <a:xfrm>
            <a:off x="10032609" y="418307"/>
            <a:ext cx="9029916" cy="2432373"/>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8" name="Chart 17">
            <a:extLst>
              <a:ext uri="{FF2B5EF4-FFF2-40B4-BE49-F238E27FC236}">
                <a16:creationId xmlns:a16="http://schemas.microsoft.com/office/drawing/2014/main" id="{ABBAA093-393C-40CB-A398-70DFF4D8353D}"/>
              </a:ext>
            </a:extLst>
          </xdr:cNvPr>
          <xdr:cNvGraphicFramePr>
            <a:graphicFrameLocks/>
          </xdr:cNvGraphicFramePr>
        </xdr:nvGraphicFramePr>
        <xdr:xfrm>
          <a:off x="9957876" y="525935"/>
          <a:ext cx="8707034" cy="2238642"/>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xdr:col>
      <xdr:colOff>175261</xdr:colOff>
      <xdr:row>3</xdr:row>
      <xdr:rowOff>106828</xdr:rowOff>
    </xdr:from>
    <xdr:to>
      <xdr:col>8</xdr:col>
      <xdr:colOff>291353</xdr:colOff>
      <xdr:row>14</xdr:row>
      <xdr:rowOff>106680</xdr:rowOff>
    </xdr:to>
    <xdr:grpSp>
      <xdr:nvGrpSpPr>
        <xdr:cNvPr id="22" name="Group 21">
          <a:extLst>
            <a:ext uri="{FF2B5EF4-FFF2-40B4-BE49-F238E27FC236}">
              <a16:creationId xmlns:a16="http://schemas.microsoft.com/office/drawing/2014/main" id="{15CE3F0D-5DFA-5AE4-99A5-64F9FC8179C4}"/>
            </a:ext>
          </a:extLst>
        </xdr:cNvPr>
        <xdr:cNvGrpSpPr/>
      </xdr:nvGrpSpPr>
      <xdr:grpSpPr>
        <a:xfrm>
          <a:off x="2013026" y="667122"/>
          <a:ext cx="3179033" cy="2054264"/>
          <a:chOff x="7609238" y="3551694"/>
          <a:chExt cx="3832683" cy="2679915"/>
        </a:xfrm>
      </xdr:grpSpPr>
      <xdr:sp macro="" textlink="">
        <xdr:nvSpPr>
          <xdr:cNvPr id="20" name="Rectangle: Rounded Corners 19">
            <a:extLst>
              <a:ext uri="{FF2B5EF4-FFF2-40B4-BE49-F238E27FC236}">
                <a16:creationId xmlns:a16="http://schemas.microsoft.com/office/drawing/2014/main" id="{78E5FD7F-8C6C-55C7-59DD-4CFDBFDD88DB}"/>
              </a:ext>
            </a:extLst>
          </xdr:cNvPr>
          <xdr:cNvSpPr/>
        </xdr:nvSpPr>
        <xdr:spPr>
          <a:xfrm>
            <a:off x="7609238" y="3551694"/>
            <a:ext cx="3605508" cy="2679915"/>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1" name="Chart 20">
            <a:extLst>
              <a:ext uri="{FF2B5EF4-FFF2-40B4-BE49-F238E27FC236}">
                <a16:creationId xmlns:a16="http://schemas.microsoft.com/office/drawing/2014/main" id="{CCD8D233-A26E-4629-94A3-E19410B22222}"/>
              </a:ext>
            </a:extLst>
          </xdr:cNvPr>
          <xdr:cNvGraphicFramePr>
            <a:graphicFrameLocks/>
          </xdr:cNvGraphicFramePr>
        </xdr:nvGraphicFramePr>
        <xdr:xfrm>
          <a:off x="7734111" y="3592106"/>
          <a:ext cx="3707810" cy="2638894"/>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3</xdr:col>
      <xdr:colOff>4089</xdr:colOff>
      <xdr:row>28</xdr:row>
      <xdr:rowOff>11236</xdr:rowOff>
    </xdr:from>
    <xdr:to>
      <xdr:col>15</xdr:col>
      <xdr:colOff>252046</xdr:colOff>
      <xdr:row>40</xdr:row>
      <xdr:rowOff>28070</xdr:rowOff>
    </xdr:to>
    <xdr:grpSp>
      <xdr:nvGrpSpPr>
        <xdr:cNvPr id="25" name="Group 24">
          <a:extLst>
            <a:ext uri="{FF2B5EF4-FFF2-40B4-BE49-F238E27FC236}">
              <a16:creationId xmlns:a16="http://schemas.microsoft.com/office/drawing/2014/main" id="{E41FBB5A-32B2-C08E-746D-B63FC7D769CB}"/>
            </a:ext>
          </a:extLst>
        </xdr:cNvPr>
        <xdr:cNvGrpSpPr/>
      </xdr:nvGrpSpPr>
      <xdr:grpSpPr>
        <a:xfrm>
          <a:off x="1841854" y="5240648"/>
          <a:ext cx="7599016" cy="2258010"/>
          <a:chOff x="3196525" y="6274661"/>
          <a:chExt cx="7555424" cy="3271864"/>
        </a:xfrm>
      </xdr:grpSpPr>
      <xdr:sp macro="" textlink="">
        <xdr:nvSpPr>
          <xdr:cNvPr id="23" name="Rectangle: Rounded Corners 22">
            <a:extLst>
              <a:ext uri="{FF2B5EF4-FFF2-40B4-BE49-F238E27FC236}">
                <a16:creationId xmlns:a16="http://schemas.microsoft.com/office/drawing/2014/main" id="{3F90F1CA-C611-49CF-94E4-B96B8EB8EDA4}"/>
              </a:ext>
            </a:extLst>
          </xdr:cNvPr>
          <xdr:cNvSpPr/>
        </xdr:nvSpPr>
        <xdr:spPr>
          <a:xfrm>
            <a:off x="3196525" y="6274661"/>
            <a:ext cx="7555424" cy="3271864"/>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4" name="Chart 23">
            <a:extLst>
              <a:ext uri="{FF2B5EF4-FFF2-40B4-BE49-F238E27FC236}">
                <a16:creationId xmlns:a16="http://schemas.microsoft.com/office/drawing/2014/main" id="{903F4481-94AF-46AA-81C0-27744AF7DA5C}"/>
              </a:ext>
            </a:extLst>
          </xdr:cNvPr>
          <xdr:cNvGraphicFramePr>
            <a:graphicFrameLocks/>
          </xdr:cNvGraphicFramePr>
        </xdr:nvGraphicFramePr>
        <xdr:xfrm>
          <a:off x="3347203" y="6328475"/>
          <a:ext cx="7340170" cy="3164237"/>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3</xdr:col>
      <xdr:colOff>83497</xdr:colOff>
      <xdr:row>15</xdr:row>
      <xdr:rowOff>4564</xdr:rowOff>
    </xdr:from>
    <xdr:to>
      <xdr:col>10</xdr:col>
      <xdr:colOff>426720</xdr:colOff>
      <xdr:row>27</xdr:row>
      <xdr:rowOff>160020</xdr:rowOff>
    </xdr:to>
    <xdr:grpSp>
      <xdr:nvGrpSpPr>
        <xdr:cNvPr id="28" name="Group 27">
          <a:extLst>
            <a:ext uri="{FF2B5EF4-FFF2-40B4-BE49-F238E27FC236}">
              <a16:creationId xmlns:a16="http://schemas.microsoft.com/office/drawing/2014/main" id="{8A144FBD-D72D-9F6A-C7F8-4E56753F0B15}"/>
            </a:ext>
          </a:extLst>
        </xdr:cNvPr>
        <xdr:cNvGrpSpPr/>
      </xdr:nvGrpSpPr>
      <xdr:grpSpPr>
        <a:xfrm>
          <a:off x="1921262" y="2806035"/>
          <a:ext cx="4631340" cy="2396632"/>
          <a:chOff x="3766949" y="3465593"/>
          <a:chExt cx="5301965" cy="3271865"/>
        </a:xfrm>
      </xdr:grpSpPr>
      <xdr:sp macro="" textlink="">
        <xdr:nvSpPr>
          <xdr:cNvPr id="26" name="Rectangle: Rounded Corners 25">
            <a:extLst>
              <a:ext uri="{FF2B5EF4-FFF2-40B4-BE49-F238E27FC236}">
                <a16:creationId xmlns:a16="http://schemas.microsoft.com/office/drawing/2014/main" id="{74001A4B-BCCD-5BC6-731C-F05F8CC556DB}"/>
              </a:ext>
            </a:extLst>
          </xdr:cNvPr>
          <xdr:cNvSpPr/>
        </xdr:nvSpPr>
        <xdr:spPr>
          <a:xfrm>
            <a:off x="3766949" y="3465593"/>
            <a:ext cx="5301965" cy="3271865"/>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27" name="Chart 26">
            <a:extLst>
              <a:ext uri="{FF2B5EF4-FFF2-40B4-BE49-F238E27FC236}">
                <a16:creationId xmlns:a16="http://schemas.microsoft.com/office/drawing/2014/main" id="{4C25C9E4-93F7-4545-AEA7-36BA3A61F2CC}"/>
              </a:ext>
            </a:extLst>
          </xdr:cNvPr>
          <xdr:cNvGraphicFramePr>
            <a:graphicFrameLocks/>
          </xdr:cNvGraphicFramePr>
        </xdr:nvGraphicFramePr>
        <xdr:xfrm>
          <a:off x="3766949" y="3465594"/>
          <a:ext cx="5267980" cy="318576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10</xdr:col>
      <xdr:colOff>475436</xdr:colOff>
      <xdr:row>15</xdr:row>
      <xdr:rowOff>1515</xdr:rowOff>
    </xdr:from>
    <xdr:to>
      <xdr:col>17</xdr:col>
      <xdr:colOff>327660</xdr:colOff>
      <xdr:row>27</xdr:row>
      <xdr:rowOff>175260</xdr:rowOff>
    </xdr:to>
    <xdr:grpSp>
      <xdr:nvGrpSpPr>
        <xdr:cNvPr id="31" name="Group 30">
          <a:extLst>
            <a:ext uri="{FF2B5EF4-FFF2-40B4-BE49-F238E27FC236}">
              <a16:creationId xmlns:a16="http://schemas.microsoft.com/office/drawing/2014/main" id="{0094E54E-472B-98EF-D145-10A2676A5976}"/>
            </a:ext>
          </a:extLst>
        </xdr:cNvPr>
        <xdr:cNvGrpSpPr/>
      </xdr:nvGrpSpPr>
      <xdr:grpSpPr>
        <a:xfrm>
          <a:off x="6601318" y="2802986"/>
          <a:ext cx="4140342" cy="2414921"/>
          <a:chOff x="10203051" y="3896102"/>
          <a:chExt cx="3497881" cy="2098729"/>
        </a:xfrm>
      </xdr:grpSpPr>
      <xdr:sp macro="" textlink="">
        <xdr:nvSpPr>
          <xdr:cNvPr id="29" name="Rectangle: Rounded Corners 28">
            <a:extLst>
              <a:ext uri="{FF2B5EF4-FFF2-40B4-BE49-F238E27FC236}">
                <a16:creationId xmlns:a16="http://schemas.microsoft.com/office/drawing/2014/main" id="{FF0539FD-5BE6-C260-7DFB-D186E02AF5F9}"/>
              </a:ext>
            </a:extLst>
          </xdr:cNvPr>
          <xdr:cNvSpPr/>
        </xdr:nvSpPr>
        <xdr:spPr>
          <a:xfrm>
            <a:off x="10203051" y="3896102"/>
            <a:ext cx="3497881" cy="209872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0" name="Chart 29">
            <a:extLst>
              <a:ext uri="{FF2B5EF4-FFF2-40B4-BE49-F238E27FC236}">
                <a16:creationId xmlns:a16="http://schemas.microsoft.com/office/drawing/2014/main" id="{B4542178-3805-4325-953D-CF06453D901A}"/>
              </a:ext>
            </a:extLst>
          </xdr:cNvPr>
          <xdr:cNvGraphicFramePr>
            <a:graphicFrameLocks/>
          </xdr:cNvGraphicFramePr>
        </xdr:nvGraphicFramePr>
        <xdr:xfrm>
          <a:off x="10203051" y="3896102"/>
          <a:ext cx="3357966" cy="1958813"/>
        </xdr:xfrm>
        <a:graphic>
          <a:graphicData uri="http://schemas.openxmlformats.org/drawingml/2006/chart">
            <c:chart xmlns:c="http://schemas.openxmlformats.org/drawingml/2006/chart" xmlns:r="http://schemas.openxmlformats.org/officeDocument/2006/relationships" r:id="rId6"/>
          </a:graphicData>
        </a:graphic>
      </xdr:graphicFrame>
    </xdr:grpSp>
    <xdr:clientData/>
  </xdr:twoCellAnchor>
  <xdr:twoCellAnchor>
    <xdr:from>
      <xdr:col>15</xdr:col>
      <xdr:colOff>329320</xdr:colOff>
      <xdr:row>27</xdr:row>
      <xdr:rowOff>148964</xdr:rowOff>
    </xdr:from>
    <xdr:to>
      <xdr:col>21</xdr:col>
      <xdr:colOff>350520</xdr:colOff>
      <xdr:row>40</xdr:row>
      <xdr:rowOff>53340</xdr:rowOff>
    </xdr:to>
    <xdr:grpSp>
      <xdr:nvGrpSpPr>
        <xdr:cNvPr id="34" name="Group 33">
          <a:extLst>
            <a:ext uri="{FF2B5EF4-FFF2-40B4-BE49-F238E27FC236}">
              <a16:creationId xmlns:a16="http://schemas.microsoft.com/office/drawing/2014/main" id="{952DE256-B5D9-93BF-C7D0-30F384F00FFD}"/>
            </a:ext>
          </a:extLst>
        </xdr:cNvPr>
        <xdr:cNvGrpSpPr/>
      </xdr:nvGrpSpPr>
      <xdr:grpSpPr>
        <a:xfrm>
          <a:off x="9518144" y="5191611"/>
          <a:ext cx="3696729" cy="2332317"/>
          <a:chOff x="11612966" y="6597542"/>
          <a:chExt cx="3401017" cy="1969577"/>
        </a:xfrm>
        <a:solidFill>
          <a:schemeClr val="bg1">
            <a:lumMod val="95000"/>
          </a:schemeClr>
        </a:solidFill>
      </xdr:grpSpPr>
      <xdr:sp macro="" textlink="">
        <xdr:nvSpPr>
          <xdr:cNvPr id="32" name="Rectangle: Rounded Corners 31">
            <a:extLst>
              <a:ext uri="{FF2B5EF4-FFF2-40B4-BE49-F238E27FC236}">
                <a16:creationId xmlns:a16="http://schemas.microsoft.com/office/drawing/2014/main" id="{8EAFE707-B96D-8A09-22A9-4E5F6502118A}"/>
              </a:ext>
            </a:extLst>
          </xdr:cNvPr>
          <xdr:cNvSpPr/>
        </xdr:nvSpPr>
        <xdr:spPr>
          <a:xfrm>
            <a:off x="11612966" y="6597542"/>
            <a:ext cx="3401017" cy="1969577"/>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33" name="Chart 32">
            <a:extLst>
              <a:ext uri="{FF2B5EF4-FFF2-40B4-BE49-F238E27FC236}">
                <a16:creationId xmlns:a16="http://schemas.microsoft.com/office/drawing/2014/main" id="{E0F392AF-2937-4546-B8CC-4BC15D6D1B90}"/>
              </a:ext>
            </a:extLst>
          </xdr:cNvPr>
          <xdr:cNvGraphicFramePr>
            <a:graphicFrameLocks/>
          </xdr:cNvGraphicFramePr>
        </xdr:nvGraphicFramePr>
        <xdr:xfrm>
          <a:off x="11612966" y="6597542"/>
          <a:ext cx="3228814" cy="1818899"/>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9</xdr:col>
      <xdr:colOff>296275</xdr:colOff>
      <xdr:row>0</xdr:row>
      <xdr:rowOff>88287</xdr:rowOff>
    </xdr:from>
    <xdr:to>
      <xdr:col>12</xdr:col>
      <xdr:colOff>98881</xdr:colOff>
      <xdr:row>3</xdr:row>
      <xdr:rowOff>88287</xdr:rowOff>
    </xdr:to>
    <xdr:grpSp>
      <xdr:nvGrpSpPr>
        <xdr:cNvPr id="37" name="Group 36">
          <a:extLst>
            <a:ext uri="{FF2B5EF4-FFF2-40B4-BE49-F238E27FC236}">
              <a16:creationId xmlns:a16="http://schemas.microsoft.com/office/drawing/2014/main" id="{726D13F6-4A4D-0746-4F5F-ABE139EC9E1C}"/>
            </a:ext>
          </a:extLst>
        </xdr:cNvPr>
        <xdr:cNvGrpSpPr/>
      </xdr:nvGrpSpPr>
      <xdr:grpSpPr>
        <a:xfrm>
          <a:off x="5809569" y="88287"/>
          <a:ext cx="1640371" cy="560294"/>
          <a:chOff x="5542315" y="90093"/>
          <a:chExt cx="1758462" cy="569872"/>
        </a:xfrm>
      </xdr:grpSpPr>
      <xdr:sp macro="" textlink="">
        <xdr:nvSpPr>
          <xdr:cNvPr id="35" name="Rectangle: Rounded Corners 34">
            <a:extLst>
              <a:ext uri="{FF2B5EF4-FFF2-40B4-BE49-F238E27FC236}">
                <a16:creationId xmlns:a16="http://schemas.microsoft.com/office/drawing/2014/main" id="{61904FF1-C21A-3D77-42E7-B59919626C78}"/>
              </a:ext>
            </a:extLst>
          </xdr:cNvPr>
          <xdr:cNvSpPr/>
        </xdr:nvSpPr>
        <xdr:spPr>
          <a:xfrm>
            <a:off x="5542315" y="90093"/>
            <a:ext cx="1758462" cy="56987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t>CASES</a:t>
            </a:r>
            <a:r>
              <a:rPr lang="en-US" sz="1100" baseline="0"/>
              <a:t> </a:t>
            </a:r>
          </a:p>
          <a:p>
            <a:pPr algn="ctr"/>
            <a:endParaRPr lang="en-US" sz="1100"/>
          </a:p>
        </xdr:txBody>
      </xdr:sp>
      <xdr:sp macro="" textlink="'Pivot Table'!B77">
        <xdr:nvSpPr>
          <xdr:cNvPr id="36" name="TextBox 35">
            <a:extLst>
              <a:ext uri="{FF2B5EF4-FFF2-40B4-BE49-F238E27FC236}">
                <a16:creationId xmlns:a16="http://schemas.microsoft.com/office/drawing/2014/main" id="{1A51EDC6-891A-1D0D-A088-4BFC6581E470}"/>
              </a:ext>
            </a:extLst>
          </xdr:cNvPr>
          <xdr:cNvSpPr txBox="1"/>
        </xdr:nvSpPr>
        <xdr:spPr>
          <a:xfrm>
            <a:off x="5878217" y="345722"/>
            <a:ext cx="879230" cy="203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i="0" u="none" strike="noStrike">
                <a:solidFill>
                  <a:schemeClr val="bg1"/>
                </a:solidFill>
                <a:latin typeface="Aptos Narrow"/>
              </a:rPr>
              <a:t>       </a:t>
            </a:r>
            <a:fld id="{FC92B16D-50DB-4BFB-B332-C9BC1DBF3791}" type="TxLink">
              <a:rPr lang="en-US" sz="1100" b="1" i="0" u="none" strike="noStrike">
                <a:solidFill>
                  <a:schemeClr val="bg1"/>
                </a:solidFill>
                <a:latin typeface="Aptos Narrow"/>
              </a:rPr>
              <a:pPr algn="ctr"/>
              <a:t>48</a:t>
            </a:fld>
            <a:endParaRPr lang="en-US" sz="1100" b="1">
              <a:solidFill>
                <a:schemeClr val="bg1"/>
              </a:solidFill>
            </a:endParaRPr>
          </a:p>
        </xdr:txBody>
      </xdr:sp>
    </xdr:grpSp>
    <xdr:clientData/>
  </xdr:twoCellAnchor>
  <xdr:twoCellAnchor>
    <xdr:from>
      <xdr:col>12</xdr:col>
      <xdr:colOff>227622</xdr:colOff>
      <xdr:row>0</xdr:row>
      <xdr:rowOff>101470</xdr:rowOff>
    </xdr:from>
    <xdr:to>
      <xdr:col>15</xdr:col>
      <xdr:colOff>32239</xdr:colOff>
      <xdr:row>3</xdr:row>
      <xdr:rowOff>101470</xdr:rowOff>
    </xdr:to>
    <xdr:grpSp>
      <xdr:nvGrpSpPr>
        <xdr:cNvPr id="62" name="Group 61">
          <a:extLst>
            <a:ext uri="{FF2B5EF4-FFF2-40B4-BE49-F238E27FC236}">
              <a16:creationId xmlns:a16="http://schemas.microsoft.com/office/drawing/2014/main" id="{544CDF78-4577-DDF3-82E0-239899DD192A}"/>
            </a:ext>
          </a:extLst>
        </xdr:cNvPr>
        <xdr:cNvGrpSpPr/>
      </xdr:nvGrpSpPr>
      <xdr:grpSpPr>
        <a:xfrm>
          <a:off x="7578681" y="101470"/>
          <a:ext cx="1642382" cy="560294"/>
          <a:chOff x="7349066" y="30285"/>
          <a:chExt cx="1636348" cy="561731"/>
        </a:xfrm>
      </xdr:grpSpPr>
      <xdr:sp macro="" textlink="">
        <xdr:nvSpPr>
          <xdr:cNvPr id="41" name="Rectangle: Rounded Corners 40">
            <a:extLst>
              <a:ext uri="{FF2B5EF4-FFF2-40B4-BE49-F238E27FC236}">
                <a16:creationId xmlns:a16="http://schemas.microsoft.com/office/drawing/2014/main" id="{FCE1CA64-60C4-4CE1-ADE7-A62E52FA3E8F}"/>
              </a:ext>
            </a:extLst>
          </xdr:cNvPr>
          <xdr:cNvSpPr/>
        </xdr:nvSpPr>
        <xdr:spPr>
          <a:xfrm>
            <a:off x="7349066" y="30285"/>
            <a:ext cx="1636348" cy="56173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t>DEATHS</a:t>
            </a:r>
            <a:r>
              <a:rPr lang="en-US" sz="1100" baseline="0"/>
              <a:t> </a:t>
            </a:r>
          </a:p>
          <a:p>
            <a:pPr algn="ctr"/>
            <a:endParaRPr lang="en-US" sz="1100"/>
          </a:p>
        </xdr:txBody>
      </xdr:sp>
      <xdr:sp macro="" textlink="'Pivot Table'!C77">
        <xdr:nvSpPr>
          <xdr:cNvPr id="42" name="TextBox 41">
            <a:extLst>
              <a:ext uri="{FF2B5EF4-FFF2-40B4-BE49-F238E27FC236}">
                <a16:creationId xmlns:a16="http://schemas.microsoft.com/office/drawing/2014/main" id="{226E9EE8-0BB0-CF35-2C48-BB1FEE62E3D7}"/>
              </a:ext>
            </a:extLst>
          </xdr:cNvPr>
          <xdr:cNvSpPr txBox="1"/>
        </xdr:nvSpPr>
        <xdr:spPr>
          <a:xfrm>
            <a:off x="7758398" y="301218"/>
            <a:ext cx="765256" cy="1791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3FDE6B14-9891-4E0C-A06A-82BE1256ADB7}" type="TxLink">
              <a:rPr lang="en-US" sz="1100" b="1" i="0" u="none" strike="noStrike">
                <a:solidFill>
                  <a:schemeClr val="bg1"/>
                </a:solidFill>
                <a:latin typeface="Aptos Narrow"/>
              </a:rPr>
              <a:pPr algn="ctr"/>
              <a:t>46</a:t>
            </a:fld>
            <a:endParaRPr lang="en-US" sz="1100" b="1">
              <a:solidFill>
                <a:schemeClr val="bg1"/>
              </a:solidFill>
            </a:endParaRPr>
          </a:p>
        </xdr:txBody>
      </xdr:sp>
    </xdr:grpSp>
    <xdr:clientData/>
  </xdr:twoCellAnchor>
  <xdr:twoCellAnchor>
    <xdr:from>
      <xdr:col>15</xdr:col>
      <xdr:colOff>252047</xdr:colOff>
      <xdr:row>0</xdr:row>
      <xdr:rowOff>95608</xdr:rowOff>
    </xdr:from>
    <xdr:to>
      <xdr:col>18</xdr:col>
      <xdr:colOff>82177</xdr:colOff>
      <xdr:row>3</xdr:row>
      <xdr:rowOff>97118</xdr:rowOff>
    </xdr:to>
    <xdr:grpSp>
      <xdr:nvGrpSpPr>
        <xdr:cNvPr id="61" name="Group 60">
          <a:extLst>
            <a:ext uri="{FF2B5EF4-FFF2-40B4-BE49-F238E27FC236}">
              <a16:creationId xmlns:a16="http://schemas.microsoft.com/office/drawing/2014/main" id="{B04FE734-B8D8-906B-90BE-4692B8370837}"/>
            </a:ext>
          </a:extLst>
        </xdr:cNvPr>
        <xdr:cNvGrpSpPr/>
      </xdr:nvGrpSpPr>
      <xdr:grpSpPr>
        <a:xfrm>
          <a:off x="9440871" y="95608"/>
          <a:ext cx="1667894" cy="561804"/>
          <a:chOff x="9052821" y="40705"/>
          <a:chExt cx="1636348" cy="561731"/>
        </a:xfrm>
      </xdr:grpSpPr>
      <xdr:sp macro="" textlink="">
        <xdr:nvSpPr>
          <xdr:cNvPr id="40" name="Rectangle: Rounded Corners 39">
            <a:extLst>
              <a:ext uri="{FF2B5EF4-FFF2-40B4-BE49-F238E27FC236}">
                <a16:creationId xmlns:a16="http://schemas.microsoft.com/office/drawing/2014/main" id="{BFDBD490-6FB6-484B-AE8E-17426B81FD1E}"/>
              </a:ext>
            </a:extLst>
          </xdr:cNvPr>
          <xdr:cNvSpPr/>
        </xdr:nvSpPr>
        <xdr:spPr>
          <a:xfrm>
            <a:off x="9052821" y="40705"/>
            <a:ext cx="1636348" cy="56173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t>HOSPITLIZATIONS</a:t>
            </a:r>
          </a:p>
          <a:p>
            <a:pPr algn="ctr"/>
            <a:endParaRPr lang="en-US" sz="1100"/>
          </a:p>
        </xdr:txBody>
      </xdr:sp>
      <xdr:sp macro="" textlink="'Pivot Table'!D77">
        <xdr:nvSpPr>
          <xdr:cNvPr id="43" name="TextBox 42">
            <a:extLst>
              <a:ext uri="{FF2B5EF4-FFF2-40B4-BE49-F238E27FC236}">
                <a16:creationId xmlns:a16="http://schemas.microsoft.com/office/drawing/2014/main" id="{0DF0A1AF-0C80-FC5E-B417-F8B3EFF34B09}"/>
              </a:ext>
            </a:extLst>
          </xdr:cNvPr>
          <xdr:cNvSpPr txBox="1"/>
        </xdr:nvSpPr>
        <xdr:spPr>
          <a:xfrm>
            <a:off x="9419167" y="284937"/>
            <a:ext cx="862948" cy="2523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61ECC99-2035-4F23-904B-8F79F591DF11}" type="TxLink">
              <a:rPr lang="en-US" sz="1100" b="1" i="0" u="none" strike="noStrike">
                <a:solidFill>
                  <a:schemeClr val="bg1"/>
                </a:solidFill>
                <a:latin typeface="Aptos Narrow"/>
              </a:rPr>
              <a:pPr algn="ctr"/>
              <a:t>47</a:t>
            </a:fld>
            <a:endParaRPr lang="en-US" sz="1100" b="1">
              <a:solidFill>
                <a:schemeClr val="bg1"/>
              </a:solidFill>
            </a:endParaRPr>
          </a:p>
        </xdr:txBody>
      </xdr:sp>
    </xdr:grpSp>
    <xdr:clientData/>
  </xdr:twoCellAnchor>
  <xdr:twoCellAnchor>
    <xdr:from>
      <xdr:col>18</xdr:col>
      <xdr:colOff>274189</xdr:colOff>
      <xdr:row>0</xdr:row>
      <xdr:rowOff>88510</xdr:rowOff>
    </xdr:from>
    <xdr:to>
      <xdr:col>21</xdr:col>
      <xdr:colOff>78807</xdr:colOff>
      <xdr:row>3</xdr:row>
      <xdr:rowOff>88510</xdr:rowOff>
    </xdr:to>
    <xdr:grpSp>
      <xdr:nvGrpSpPr>
        <xdr:cNvPr id="63" name="Group 62">
          <a:extLst>
            <a:ext uri="{FF2B5EF4-FFF2-40B4-BE49-F238E27FC236}">
              <a16:creationId xmlns:a16="http://schemas.microsoft.com/office/drawing/2014/main" id="{A92346D2-3233-6FF7-3D07-43EE412BE336}"/>
            </a:ext>
          </a:extLst>
        </xdr:cNvPr>
        <xdr:cNvGrpSpPr/>
      </xdr:nvGrpSpPr>
      <xdr:grpSpPr>
        <a:xfrm>
          <a:off x="11300777" y="88510"/>
          <a:ext cx="1642383" cy="560294"/>
          <a:chOff x="10746154" y="24423"/>
          <a:chExt cx="1636348" cy="561731"/>
        </a:xfrm>
      </xdr:grpSpPr>
      <xdr:sp macro="" textlink="">
        <xdr:nvSpPr>
          <xdr:cNvPr id="44" name="Rectangle: Rounded Corners 43">
            <a:extLst>
              <a:ext uri="{FF2B5EF4-FFF2-40B4-BE49-F238E27FC236}">
                <a16:creationId xmlns:a16="http://schemas.microsoft.com/office/drawing/2014/main" id="{3B495917-3D84-4B5F-84C2-7220727B9CB7}"/>
              </a:ext>
            </a:extLst>
          </xdr:cNvPr>
          <xdr:cNvSpPr/>
        </xdr:nvSpPr>
        <xdr:spPr>
          <a:xfrm>
            <a:off x="10746154" y="24423"/>
            <a:ext cx="1636348" cy="56173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t>VACCINATIONS</a:t>
            </a:r>
          </a:p>
          <a:p>
            <a:pPr algn="ctr"/>
            <a:endParaRPr lang="en-US" sz="1100"/>
          </a:p>
        </xdr:txBody>
      </xdr:sp>
      <xdr:sp macro="" textlink="'Pivot Table'!B248">
        <xdr:nvSpPr>
          <xdr:cNvPr id="45" name="TextBox 44">
            <a:extLst>
              <a:ext uri="{FF2B5EF4-FFF2-40B4-BE49-F238E27FC236}">
                <a16:creationId xmlns:a16="http://schemas.microsoft.com/office/drawing/2014/main" id="{D6720C57-CA2A-C8C0-98B4-1DFFBC215130}"/>
              </a:ext>
            </a:extLst>
          </xdr:cNvPr>
          <xdr:cNvSpPr txBox="1"/>
        </xdr:nvSpPr>
        <xdr:spPr>
          <a:xfrm>
            <a:off x="11096218" y="301217"/>
            <a:ext cx="830385" cy="260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F79946C-C1F9-4E65-AB72-28D69D08C87C}" type="TxLink">
              <a:rPr lang="en-US" sz="1100" b="1" i="0" u="none" strike="noStrike">
                <a:solidFill>
                  <a:schemeClr val="bg1"/>
                </a:solidFill>
                <a:latin typeface="Aptos Narrow"/>
              </a:rPr>
              <a:pPr/>
              <a:t>30183508</a:t>
            </a:fld>
            <a:endParaRPr lang="en-US" sz="1100" b="1">
              <a:solidFill>
                <a:schemeClr val="bg1"/>
              </a:solidFill>
            </a:endParaRPr>
          </a:p>
        </xdr:txBody>
      </xdr:sp>
    </xdr:grpSp>
    <xdr:clientData/>
  </xdr:twoCellAnchor>
  <xdr:twoCellAnchor editAs="oneCell">
    <xdr:from>
      <xdr:col>0</xdr:col>
      <xdr:colOff>0</xdr:colOff>
      <xdr:row>3</xdr:row>
      <xdr:rowOff>89552</xdr:rowOff>
    </xdr:from>
    <xdr:to>
      <xdr:col>1</xdr:col>
      <xdr:colOff>303823</xdr:colOff>
      <xdr:row>8</xdr:row>
      <xdr:rowOff>67734</xdr:rowOff>
    </xdr:to>
    <xdr:pic>
      <xdr:nvPicPr>
        <xdr:cNvPr id="56" name="Graphic 55" descr="Database with solid fill">
          <a:hlinkClick xmlns:r="http://schemas.openxmlformats.org/officeDocument/2006/relationships" r:id="rId8"/>
          <a:extLst>
            <a:ext uri="{FF2B5EF4-FFF2-40B4-BE49-F238E27FC236}">
              <a16:creationId xmlns:a16="http://schemas.microsoft.com/office/drawing/2014/main" id="{52B4B523-9E60-8AF1-F5BE-D86A08D5EDA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0" y="651283"/>
          <a:ext cx="914400" cy="914400"/>
        </a:xfrm>
        <a:prstGeom prst="rect">
          <a:avLst/>
        </a:prstGeom>
      </xdr:spPr>
    </xdr:pic>
    <xdr:clientData/>
  </xdr:twoCellAnchor>
  <xdr:twoCellAnchor>
    <xdr:from>
      <xdr:col>0</xdr:col>
      <xdr:colOff>260513</xdr:colOff>
      <xdr:row>7</xdr:row>
      <xdr:rowOff>130256</xdr:rowOff>
    </xdr:from>
    <xdr:to>
      <xdr:col>1</xdr:col>
      <xdr:colOff>154679</xdr:colOff>
      <xdr:row>8</xdr:row>
      <xdr:rowOff>138395</xdr:rowOff>
    </xdr:to>
    <xdr:sp macro="" textlink="">
      <xdr:nvSpPr>
        <xdr:cNvPr id="59" name="TextBox 58">
          <a:hlinkClick xmlns:r="http://schemas.openxmlformats.org/officeDocument/2006/relationships" r:id="rId8"/>
          <a:extLst>
            <a:ext uri="{FF2B5EF4-FFF2-40B4-BE49-F238E27FC236}">
              <a16:creationId xmlns:a16="http://schemas.microsoft.com/office/drawing/2014/main" id="{AB702AF0-820E-1EFB-5497-2267805C9936}"/>
            </a:ext>
          </a:extLst>
        </xdr:cNvPr>
        <xdr:cNvSpPr txBox="1"/>
      </xdr:nvSpPr>
      <xdr:spPr>
        <a:xfrm>
          <a:off x="260513" y="1440961"/>
          <a:ext cx="504743" cy="195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DATA</a:t>
          </a:r>
        </a:p>
      </xdr:txBody>
    </xdr:sp>
    <xdr:clientData/>
  </xdr:twoCellAnchor>
  <xdr:twoCellAnchor>
    <xdr:from>
      <xdr:col>1</xdr:col>
      <xdr:colOff>293075</xdr:colOff>
      <xdr:row>7</xdr:row>
      <xdr:rowOff>122116</xdr:rowOff>
    </xdr:from>
    <xdr:to>
      <xdr:col>3</xdr:col>
      <xdr:colOff>170960</xdr:colOff>
      <xdr:row>8</xdr:row>
      <xdr:rowOff>179103</xdr:rowOff>
    </xdr:to>
    <xdr:sp macro="" textlink="">
      <xdr:nvSpPr>
        <xdr:cNvPr id="60" name="TextBox 59">
          <a:hlinkClick xmlns:r="http://schemas.openxmlformats.org/officeDocument/2006/relationships" r:id="rId11"/>
          <a:extLst>
            <a:ext uri="{FF2B5EF4-FFF2-40B4-BE49-F238E27FC236}">
              <a16:creationId xmlns:a16="http://schemas.microsoft.com/office/drawing/2014/main" id="{76534853-7857-D250-19D5-C37CBF8D8586}"/>
            </a:ext>
          </a:extLst>
        </xdr:cNvPr>
        <xdr:cNvSpPr txBox="1"/>
      </xdr:nvSpPr>
      <xdr:spPr>
        <a:xfrm>
          <a:off x="903652" y="1432821"/>
          <a:ext cx="1099039" cy="244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 PIVOT</a:t>
          </a:r>
          <a:r>
            <a:rPr lang="en-US" sz="1100" baseline="0">
              <a:solidFill>
                <a:schemeClr val="bg1"/>
              </a:solidFill>
            </a:rPr>
            <a:t> TABLE</a:t>
          </a:r>
          <a:endParaRPr lang="en-US" sz="1100">
            <a:solidFill>
              <a:schemeClr val="bg1"/>
            </a:solidFill>
          </a:endParaRPr>
        </a:p>
      </xdr:txBody>
    </xdr:sp>
    <xdr:clientData/>
  </xdr:twoCellAnchor>
  <xdr:twoCellAnchor editAs="oneCell">
    <xdr:from>
      <xdr:col>1</xdr:col>
      <xdr:colOff>440136</xdr:colOff>
      <xdr:row>3</xdr:row>
      <xdr:rowOff>122115</xdr:rowOff>
    </xdr:from>
    <xdr:to>
      <xdr:col>3</xdr:col>
      <xdr:colOff>133382</xdr:colOff>
      <xdr:row>8</xdr:row>
      <xdr:rowOff>100297</xdr:rowOff>
    </xdr:to>
    <xdr:pic>
      <xdr:nvPicPr>
        <xdr:cNvPr id="58" name="Graphic 57" descr="Network diagram with solid fill">
          <a:hlinkClick xmlns:r="http://schemas.openxmlformats.org/officeDocument/2006/relationships" r:id="rId11"/>
          <a:extLst>
            <a:ext uri="{FF2B5EF4-FFF2-40B4-BE49-F238E27FC236}">
              <a16:creationId xmlns:a16="http://schemas.microsoft.com/office/drawing/2014/main" id="{84115D64-3524-FA62-82A6-53FCA19EA16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49736" y="670755"/>
          <a:ext cx="912446" cy="89258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760.969412268518" createdVersion="8" refreshedVersion="8" minRefreshableVersion="3" recordCount="3753" xr:uid="{AA1AFC2F-4CF9-4DE5-8BB2-19A97886394E}">
  <cacheSource type="worksheet">
    <worksheetSource ref="A1:U3754" sheet="data"/>
  </cacheSource>
  <cacheFields count="24">
    <cacheField name="Outcome" numFmtId="0">
      <sharedItems count="3">
        <s v="Deaths"/>
        <s v="Hospitalizations"/>
        <s v="Cases"/>
      </sharedItems>
    </cacheField>
    <cacheField name="Weekend" numFmtId="14">
      <sharedItems containsSemiMixedTypes="0" containsNonDate="0" containsDate="1" containsString="0" minDate="2021-01-05T00:00:00" maxDate="2023-12-09T00:00:00" count="140">
        <d v="2022-01-10T00:00:00"/>
        <d v="2023-04-02T00:00:00"/>
        <d v="2022-10-09T00:00:00"/>
        <d v="2021-11-20T00:00:00"/>
        <d v="2022-09-04T00:00:00"/>
        <d v="2021-09-18T00:00:00"/>
        <d v="2022-09-17T00:00:00"/>
        <d v="2021-04-12T00:00:00"/>
        <d v="2021-05-15T00:00:00"/>
        <d v="2021-08-21T00:00:00"/>
        <d v="2022-12-31T00:00:00"/>
        <d v="2023-06-05T00:00:00"/>
        <d v="2021-07-24T00:00:00"/>
        <d v="2022-01-22T00:00:00"/>
        <d v="2021-05-29T00:00:00"/>
        <d v="2022-08-20T00:00:00"/>
        <d v="2022-01-01T00:00:00"/>
        <d v="2023-01-07T00:00:00"/>
        <d v="2022-04-06T00:00:00"/>
        <d v="2022-12-17T00:00:00"/>
        <d v="2021-07-31T00:00:00"/>
        <d v="2021-10-16T00:00:00"/>
        <d v="2022-10-12T00:00:00"/>
        <d v="2022-03-12T00:00:00"/>
        <d v="2023-12-08T00:00:00"/>
        <d v="2022-01-29T00:00:00"/>
        <d v="2023-01-14T00:00:00"/>
        <d v="2023-11-18T00:00:00"/>
        <d v="2023-04-03T00:00:00"/>
        <d v="2022-06-25T00:00:00"/>
        <d v="2022-12-11T00:00:00"/>
        <d v="2022-09-07T00:00:00"/>
        <d v="2022-11-26T00:00:00"/>
        <d v="2023-07-15T00:00:00"/>
        <d v="2021-12-18T00:00:00"/>
        <d v="2023-04-11T00:00:00"/>
        <d v="2023-02-18T00:00:00"/>
        <d v="2023-07-29T00:00:00"/>
        <d v="2023-09-09T00:00:00"/>
        <d v="2022-10-15T00:00:00"/>
        <d v="2021-09-10T00:00:00"/>
        <d v="2022-08-13T00:00:00"/>
        <d v="2022-02-04T00:00:00"/>
        <d v="2023-07-22T00:00:00"/>
        <d v="2022-02-26T00:00:00"/>
        <d v="2021-01-05T00:00:00"/>
        <d v="2023-02-12T00:00:00"/>
        <d v="2022-12-24T00:00:00"/>
        <d v="2023-10-14T00:00:00"/>
        <d v="2023-08-19T00:00:00"/>
        <d v="2022-06-18T00:00:00"/>
        <d v="2022-07-23T00:00:00"/>
        <d v="2022-08-27T00:00:00"/>
        <d v="2023-05-27T00:00:00"/>
        <d v="2023-10-28T00:00:00"/>
        <d v="2023-08-26T00:00:00"/>
        <d v="2022-03-26T00:00:00"/>
        <d v="2021-10-30T00:00:00"/>
        <d v="2022-11-19T00:00:00"/>
        <d v="2021-11-09T00:00:00"/>
        <d v="2022-05-02T00:00:00"/>
        <d v="2023-09-23T00:00:00"/>
        <d v="2023-05-08T00:00:00"/>
        <d v="2022-05-11T00:00:00"/>
        <d v="2023-04-29T00:00:00"/>
        <d v="2021-06-19T00:00:00"/>
        <d v="2021-11-13T00:00:00"/>
        <d v="2023-02-25T00:00:00"/>
        <d v="2022-04-16T00:00:00"/>
        <d v="2022-02-19T00:00:00"/>
        <d v="2023-04-15T00:00:00"/>
        <d v="2021-06-26T00:00:00"/>
        <d v="2023-05-13T00:00:00"/>
        <d v="2022-02-07T00:00:00"/>
        <d v="2023-10-21T00:00:00"/>
        <d v="2022-07-30T00:00:00"/>
        <d v="2023-03-06T00:00:00"/>
        <d v="2023-03-25T00:00:00"/>
        <d v="2021-10-04T00:00:00"/>
        <d v="2023-05-20T00:00:00"/>
        <d v="2022-04-30T00:00:00"/>
        <d v="2021-07-08T00:00:00"/>
        <d v="2023-08-07T00:00:00"/>
        <d v="2022-07-05T00:00:00"/>
        <d v="2023-09-30T00:00:00"/>
        <d v="2022-08-01T00:00:00"/>
        <d v="2023-07-01T00:00:00"/>
        <d v="2021-06-11T00:00:00"/>
        <d v="2021-02-10T00:00:00"/>
        <d v="2021-03-07T00:00:00"/>
        <d v="2022-05-28T00:00:00"/>
        <d v="2022-10-29T00:00:00"/>
        <d v="2023-08-04T00:00:00"/>
        <d v="2021-08-14T00:00:00"/>
        <d v="2023-01-28T00:00:00"/>
        <d v="2022-07-16T00:00:00"/>
        <d v="2023-11-03T00:00:00"/>
        <d v="2021-11-12T00:00:00"/>
        <d v="2023-10-06T00:00:00"/>
        <d v="2022-12-02T00:00:00"/>
        <d v="2022-11-06T00:00:00"/>
        <d v="2022-05-03T00:00:00"/>
        <d v="2022-12-03T00:00:00"/>
        <d v="2021-07-17T00:00:00"/>
        <d v="2021-11-27T00:00:00"/>
        <d v="2022-06-08T00:00:00"/>
        <d v="2021-09-25T00:00:00"/>
        <d v="2021-12-06T00:00:00"/>
        <d v="2023-11-02T00:00:00"/>
        <d v="2023-01-21T00:00:00"/>
        <d v="2022-08-10T00:00:00"/>
        <d v="2022-03-09T00:00:00"/>
        <d v="2021-05-22T00:00:00"/>
        <d v="2023-07-10T00:00:00"/>
        <d v="2022-10-22T00:00:00"/>
        <d v="2022-04-23T00:00:00"/>
        <d v="2023-02-09T00:00:00"/>
        <d v="2022-09-24T00:00:00"/>
        <d v="2022-03-19T00:00:00"/>
        <d v="2023-11-11T00:00:00"/>
        <d v="2023-01-04T00:00:00"/>
        <d v="2021-04-24T00:00:00"/>
        <d v="2021-04-17T00:00:00"/>
        <d v="2023-03-18T00:00:00"/>
        <d v="2021-12-25T00:00:00"/>
        <d v="2021-05-06T00:00:00"/>
        <d v="2023-09-16T00:00:00"/>
        <d v="2022-01-15T00:00:00"/>
        <d v="2023-04-22T00:00:00"/>
        <d v="2023-06-17T00:00:00"/>
        <d v="2021-08-28T00:00:00"/>
        <d v="2021-10-23T00:00:00"/>
        <d v="2022-05-14T00:00:00"/>
        <d v="2021-08-05T00:00:00"/>
        <d v="2022-05-21T00:00:00"/>
        <d v="2021-10-07T00:00:00"/>
        <d v="2021-04-09T00:00:00"/>
        <d v="2023-11-25T00:00:00"/>
        <d v="2021-03-04T00:00:00"/>
        <d v="2023-06-24T00:00:00"/>
      </sharedItems>
      <fieldGroup par="23"/>
    </cacheField>
    <cacheField name="Age Group" numFmtId="0">
      <sharedItems count="9">
        <s v="All"/>
        <s v="50_64"/>
        <s v="5_11"/>
        <s v="18_29"/>
        <s v="1_12"/>
        <s v="30_49"/>
        <s v="80+"/>
        <s v="65_79"/>
        <s v="0_4"/>
      </sharedItems>
    </cacheField>
    <cacheField name="Unvaccinated Rate" numFmtId="0">
      <sharedItems containsSemiMixedTypes="0" containsString="0" containsNumber="1" minValue="0" maxValue="3690.9" count="1287">
        <n v="0.3"/>
        <n v="2.9"/>
        <n v="0"/>
        <n v="123"/>
        <n v="37.700000000000003"/>
        <n v="171.7"/>
        <n v="34.6"/>
        <n v="17.100000000000001"/>
        <n v="3.3"/>
        <n v="582.4"/>
        <n v="63.9"/>
        <n v="422"/>
        <n v="34.9"/>
        <n v="2547.5"/>
        <n v="10.5"/>
        <n v="30.4"/>
        <n v="63.5"/>
        <n v="8.6"/>
        <n v="0.4"/>
        <n v="25.4"/>
        <n v="2.5"/>
        <n v="12.7"/>
        <n v="82.4"/>
        <n v="10.3"/>
        <n v="19.2"/>
        <n v="3.4"/>
        <n v="2.6"/>
        <n v="129.6"/>
        <n v="1.9"/>
        <n v="81.599999999999994"/>
        <n v="92.7"/>
        <n v="7.4"/>
        <n v="8.3000000000000007"/>
        <n v="12.8"/>
        <n v="200.5"/>
        <n v="83.7"/>
        <n v="215.7"/>
        <n v="5.5"/>
        <n v="81"/>
        <n v="19.5"/>
        <n v="6.1"/>
        <n v="4.9000000000000004"/>
        <n v="10.199999999999999"/>
        <n v="3.7"/>
        <n v="1.3"/>
        <n v="16.399999999999999"/>
        <n v="28.7"/>
        <n v="9.4"/>
        <n v="46.1"/>
        <n v="67.7"/>
        <n v="1706.3"/>
        <n v="127.4"/>
        <n v="112.1"/>
        <n v="65.3"/>
        <n v="1.1000000000000001"/>
        <n v="73.599999999999994"/>
        <n v="114.5"/>
        <n v="15.7"/>
        <n v="13.6"/>
        <n v="5.2"/>
        <n v="2.8"/>
        <n v="34.4"/>
        <n v="143.6"/>
        <n v="6.4"/>
        <n v="9"/>
        <n v="64"/>
        <n v="16.100000000000001"/>
        <n v="74.900000000000006"/>
        <n v="31"/>
        <n v="39.200000000000003"/>
        <n v="60.8"/>
        <n v="54.1"/>
        <n v="17.2"/>
        <n v="41.3"/>
        <n v="229.4"/>
        <n v="2.2000000000000002"/>
        <n v="1.6"/>
        <n v="200"/>
        <n v="36.6"/>
        <n v="219.1"/>
        <n v="250"/>
        <n v="175"/>
        <n v="4.0999999999999996"/>
        <n v="178.3"/>
        <n v="61.7"/>
        <n v="168.7"/>
        <n v="0.8"/>
        <n v="14.6"/>
        <n v="127.6"/>
        <n v="14.3"/>
        <n v="274.7"/>
        <n v="11.4"/>
        <n v="4.5"/>
        <n v="1.4"/>
        <n v="13.5"/>
        <n v="158.9"/>
        <n v="2614"/>
        <n v="1.8"/>
        <n v="169.9"/>
        <n v="2.1"/>
        <n v="43.8"/>
        <n v="7.1"/>
        <n v="4"/>
        <n v="3"/>
        <n v="6.5"/>
        <n v="26"/>
        <n v="129.4"/>
        <n v="106.8"/>
        <n v="1.2"/>
        <n v="21.5"/>
        <n v="121.4"/>
        <n v="81.8"/>
        <n v="160.5"/>
        <n v="0.2"/>
        <n v="8.6999999999999993"/>
        <n v="8.1999999999999993"/>
        <n v="241.2"/>
        <n v="7.6"/>
        <n v="172.3"/>
        <n v="37.1"/>
        <n v="32.799999999999997"/>
        <n v="34.299999999999997"/>
        <n v="28.4"/>
        <n v="77.5"/>
        <n v="79.099999999999994"/>
        <n v="24.2"/>
        <n v="71.2"/>
        <n v="58.7"/>
        <n v="17.399999999999999"/>
        <n v="49.3"/>
        <n v="127.9"/>
        <n v="23.1"/>
        <n v="3.1"/>
        <n v="5.3"/>
        <n v="12.1"/>
        <n v="167.8"/>
        <n v="329.7"/>
        <n v="17.899999999999999"/>
        <n v="45.8"/>
        <n v="690.6"/>
        <n v="432.4"/>
        <n v="390.5"/>
        <n v="111.1"/>
        <n v="3690.9"/>
        <n v="129.1"/>
        <n v="35.6"/>
        <n v="18.399999999999999"/>
        <n v="0.7"/>
        <n v="238.1"/>
        <n v="282"/>
        <n v="153.6"/>
        <n v="38.9"/>
        <n v="25.8"/>
        <n v="13.7"/>
        <n v="32.9"/>
        <n v="4.4000000000000004"/>
        <n v="156.69999999999999"/>
        <n v="141.6"/>
        <n v="180.7"/>
        <n v="7.8"/>
        <n v="15.6"/>
        <n v="9.8000000000000007"/>
        <n v="11.5"/>
        <n v="50.4"/>
        <n v="21.8"/>
        <n v="47.5"/>
        <n v="42.6"/>
        <n v="269.10000000000002"/>
        <n v="4.7"/>
        <n v="10.8"/>
        <n v="71.8"/>
        <n v="57.7"/>
        <n v="131.6"/>
        <n v="146.1"/>
        <n v="38.1"/>
        <n v="22.1"/>
        <n v="13.9"/>
        <n v="5.7"/>
        <n v="8.9"/>
        <n v="236.3"/>
        <n v="115.8"/>
        <n v="2593.8000000000002"/>
        <n v="18.600000000000001"/>
        <n v="230"/>
        <n v="115"/>
        <n v="11.1"/>
        <n v="47.3"/>
        <n v="205.2"/>
        <n v="3.9"/>
        <n v="45.5"/>
        <n v="183.3"/>
        <n v="186.3"/>
        <n v="17.600000000000001"/>
        <n v="24.6"/>
        <n v="423.6"/>
        <n v="26.4"/>
        <n v="61.3"/>
        <n v="2.7"/>
        <n v="8"/>
        <n v="312"/>
        <n v="79.900000000000006"/>
        <n v="10.9"/>
        <n v="125"/>
        <n v="11.7"/>
        <n v="1063.3"/>
        <n v="6.7"/>
        <n v="35.5"/>
        <n v="304.39999999999998"/>
        <n v="176.3"/>
        <n v="167"/>
        <n v="3.8"/>
        <n v="423.9"/>
        <n v="0.9"/>
        <n v="44"/>
        <n v="279.3"/>
        <n v="9.1999999999999993"/>
        <n v="20.9"/>
        <n v="333.4"/>
        <n v="365.2"/>
        <n v="0.6"/>
        <n v="6.2"/>
        <n v="62.7"/>
        <n v="14.4"/>
        <n v="685.6"/>
        <n v="171.5"/>
        <n v="18.8"/>
        <n v="102"/>
        <n v="192.9"/>
        <n v="272.39999999999998"/>
        <n v="74.7"/>
        <n v="123.9"/>
        <n v="229.8"/>
        <n v="1791"/>
        <n v="175.6"/>
        <n v="2.2999999999999998"/>
        <n v="36.9"/>
        <n v="41"/>
        <n v="355.8"/>
        <n v="236.2"/>
        <n v="192.4"/>
        <n v="191.1"/>
        <n v="0.5"/>
        <n v="173.4"/>
        <n v="185.3"/>
        <n v="104.5"/>
        <n v="3677.7"/>
        <n v="371.1"/>
        <n v="136.6"/>
        <n v="193.6"/>
        <n v="18.100000000000001"/>
        <n v="273.5"/>
        <n v="6.3"/>
        <n v="31.3"/>
        <n v="63"/>
        <n v="53.5"/>
        <n v="32.1"/>
        <n v="21"/>
        <n v="671"/>
        <n v="34.5"/>
        <n v="130.80000000000001"/>
        <n v="272.2"/>
        <n v="30.8"/>
        <n v="56.6"/>
        <n v="20"/>
        <n v="52.2"/>
        <n v="17.7"/>
        <n v="90.2"/>
        <n v="462.4"/>
        <n v="83.5"/>
        <n v="194.3"/>
        <n v="144.19999999999999"/>
        <n v="12.4"/>
        <n v="177.7"/>
        <n v="42.7"/>
        <n v="476.3"/>
        <n v="104.9"/>
        <n v="68.7"/>
        <n v="125.7"/>
        <n v="9.1"/>
        <n v="182.8"/>
        <n v="66"/>
        <n v="12.2"/>
        <n v="24.5"/>
        <n v="58.8"/>
        <n v="33.299999999999997"/>
        <n v="111.7"/>
        <n v="1"/>
        <n v="3.5"/>
        <n v="1116.3"/>
        <n v="37.9"/>
        <n v="52"/>
        <n v="136.69999999999999"/>
        <n v="98.6"/>
        <n v="46.4"/>
        <n v="212.3"/>
        <n v="34.799999999999997"/>
        <n v="47.6"/>
        <n v="99.1"/>
        <n v="2"/>
        <n v="45.1"/>
        <n v="5.9"/>
        <n v="125.4"/>
        <n v="41.7"/>
        <n v="41.8"/>
        <n v="79.599999999999994"/>
        <n v="86.5"/>
        <n v="107.5"/>
        <n v="38"/>
        <n v="61.8"/>
        <n v="142.4"/>
        <n v="36.4"/>
        <n v="13.3"/>
        <n v="295.89999999999998"/>
        <n v="24.4"/>
        <n v="61.2"/>
        <n v="388.8"/>
        <n v="55.4"/>
        <n v="7.7"/>
        <n v="143.1"/>
        <n v="268.10000000000002"/>
        <n v="86.6"/>
        <n v="23.8"/>
        <n v="11.2"/>
        <n v="96.7"/>
        <n v="256.7"/>
        <n v="287.3"/>
        <n v="109.8"/>
        <n v="135.9"/>
        <n v="134.5"/>
        <n v="55.9"/>
        <n v="44.4"/>
        <n v="11"/>
        <n v="45.9"/>
        <n v="181.6"/>
        <n v="8.5"/>
        <n v="68.5"/>
        <n v="47.4"/>
        <n v="58.4"/>
        <n v="117.8"/>
        <n v="394.8"/>
        <n v="67.099999999999994"/>
        <n v="9.6999999999999993"/>
        <n v="221.3"/>
        <n v="24.1"/>
        <n v="73.8"/>
        <n v="250.9"/>
        <n v="34.1"/>
        <n v="20.2"/>
        <n v="5.6"/>
        <n v="101.2"/>
        <n v="99.2"/>
        <n v="12"/>
        <n v="19.600000000000001"/>
        <n v="178.2"/>
        <n v="206.3"/>
        <n v="109.4"/>
        <n v="21.4"/>
        <n v="7"/>
        <n v="133.19999999999999"/>
        <n v="35.700000000000003"/>
        <n v="38.5"/>
        <n v="94.9"/>
        <n v="264.7"/>
        <n v="20.5"/>
        <n v="442"/>
        <n v="7.9"/>
        <n v="142.30000000000001"/>
        <n v="1450.9"/>
        <n v="49.4"/>
        <n v="20.399999999999999"/>
        <n v="10.4"/>
        <n v="12.3"/>
        <n v="5.8"/>
        <n v="39.700000000000003"/>
        <n v="85.5"/>
        <n v="129.9"/>
        <n v="221"/>
        <n v="195.4"/>
        <n v="91.6"/>
        <n v="116.5"/>
        <n v="75.099999999999994"/>
        <n v="200.4"/>
        <n v="43"/>
        <n v="20.8"/>
        <n v="47.7"/>
        <n v="150.19999999999999"/>
        <n v="67.2"/>
        <n v="308.89999999999998"/>
        <n v="5.4"/>
        <n v="36.5"/>
        <n v="92"/>
        <n v="7.3"/>
        <n v="16"/>
        <n v="1.5"/>
        <n v="42.8"/>
        <n v="5.0999999999999996"/>
        <n v="72.3"/>
        <n v="30.3"/>
        <n v="28.5"/>
        <n v="77"/>
        <n v="19"/>
        <n v="21.9"/>
        <n v="174.3"/>
        <n v="62.2"/>
        <n v="153.80000000000001"/>
        <n v="12.9"/>
        <n v="18.5"/>
        <n v="53.1"/>
        <n v="2.4"/>
        <n v="49.5"/>
        <n v="398.9"/>
        <n v="62"/>
        <n v="67.3"/>
        <n v="283.5"/>
        <n v="168.8"/>
        <n v="213.5"/>
        <n v="223.1"/>
        <n v="3.2"/>
        <n v="69.7"/>
        <n v="37.6"/>
        <n v="55.6"/>
        <n v="28.8"/>
        <n v="14.1"/>
        <n v="38.299999999999997"/>
        <n v="65.900000000000006"/>
        <n v="45.4"/>
        <n v="15.4"/>
        <n v="4.3"/>
        <n v="66.900000000000006"/>
        <n v="42.4"/>
        <n v="30.5"/>
        <n v="1.7"/>
        <n v="304.2"/>
        <n v="35.9"/>
        <n v="226.5"/>
        <n v="2075.1999999999998"/>
        <n v="234.4"/>
        <n v="105.1"/>
        <n v="15.9"/>
        <n v="79.3"/>
        <n v="155.9"/>
        <n v="223.8"/>
        <n v="11.6"/>
        <n v="469.6"/>
        <n v="28"/>
        <n v="87.2"/>
        <n v="311.89999999999998"/>
        <n v="303.7"/>
        <n v="69.5"/>
        <n v="22"/>
        <n v="25.7"/>
        <n v="164.3"/>
        <n v="31.8"/>
        <n v="266.39999999999998"/>
        <n v="20.3"/>
        <n v="172.7"/>
        <n v="40.200000000000003"/>
        <n v="142.6"/>
        <n v="66.2"/>
        <n v="184.8"/>
        <n v="22.7"/>
        <n v="9.6"/>
        <n v="58.6"/>
        <n v="66.400000000000006"/>
        <n v="260.39999999999998"/>
        <n v="210.1"/>
        <n v="365.6"/>
        <n v="40.9"/>
        <n v="42.5"/>
        <n v="42.3"/>
        <n v="76.5"/>
        <n v="52.1"/>
        <n v="6.8"/>
        <n v="2103.6"/>
        <n v="45"/>
        <n v="23"/>
        <n v="40.4"/>
        <n v="16.8"/>
        <n v="137.4"/>
        <n v="5"/>
        <n v="32.4"/>
        <n v="493.5"/>
        <n v="122.4"/>
        <n v="210.6"/>
        <n v="25.5"/>
        <n v="750.4"/>
        <n v="52.3"/>
        <n v="154.4"/>
        <n v="317.7"/>
        <n v="86.8"/>
        <n v="155.6"/>
        <n v="33.200000000000003"/>
        <n v="289.3"/>
        <n v="199.5"/>
        <n v="13.8"/>
        <n v="106.7"/>
        <n v="351.7"/>
        <n v="481"/>
        <n v="102.2"/>
        <n v="6.9"/>
        <n v="27.5"/>
        <n v="15"/>
        <n v="20.7"/>
        <n v="4.2"/>
        <n v="149.4"/>
        <n v="224.4"/>
        <n v="13.2"/>
        <n v="27.4"/>
        <n v="234.8"/>
        <n v="37.799999999999997"/>
        <n v="37.4"/>
        <n v="16.600000000000001"/>
        <n v="10.6"/>
        <n v="166.4"/>
        <n v="14.7"/>
        <n v="308"/>
        <n v="75.900000000000006"/>
        <n v="8.4"/>
        <n v="134.9"/>
        <n v="336.3"/>
        <n v="845.2"/>
        <n v="137.5"/>
        <n v="138.4"/>
        <n v="116.2"/>
        <n v="117.5"/>
        <n v="547.6"/>
        <n v="220.7"/>
        <n v="53.6"/>
        <n v="13"/>
        <n v="117.3"/>
        <n v="15.3"/>
        <n v="118.8"/>
        <n v="405.7"/>
        <n v="160.80000000000001"/>
        <n v="546.5"/>
        <n v="339.9"/>
        <n v="75"/>
        <n v="9.3000000000000007"/>
        <n v="92.9"/>
        <n v="69.599999999999994"/>
        <n v="119.2"/>
        <n v="118.6"/>
        <n v="14.9"/>
        <n v="185.9"/>
        <n v="30.7"/>
        <n v="73.3"/>
        <n v="1359.4"/>
        <n v="77.2"/>
        <n v="22.4"/>
        <n v="44.5"/>
        <n v="149.19999999999999"/>
        <n v="27.1"/>
        <n v="207.8"/>
        <n v="38.6"/>
        <n v="109.3"/>
        <n v="10"/>
        <n v="35.799999999999997"/>
        <n v="59"/>
        <n v="46.7"/>
        <n v="96.3"/>
        <n v="87"/>
        <n v="777.2"/>
        <n v="57.5"/>
        <n v="208.4"/>
        <n v="16.5"/>
        <n v="48"/>
        <n v="91.4"/>
        <n v="6"/>
        <n v="60.3"/>
        <n v="265.8"/>
        <n v="10.1"/>
        <n v="627.5"/>
        <n v="16.899999999999999"/>
        <n v="33.1"/>
        <n v="72.2"/>
        <n v="31.9"/>
        <n v="107.7"/>
        <n v="33"/>
        <n v="95.7"/>
        <n v="178.1"/>
        <n v="71.599999999999994"/>
        <n v="188.7"/>
        <n v="29.5"/>
        <n v="43.7"/>
        <n v="16.7"/>
        <n v="162"/>
        <n v="356.7"/>
        <n v="38.700000000000003"/>
        <n v="67.900000000000006"/>
        <n v="90.4"/>
        <n v="111.2"/>
        <n v="78.400000000000006"/>
        <n v="170.9"/>
        <n v="69.3"/>
        <n v="1471.3"/>
        <n v="112.6"/>
        <n v="306.10000000000002"/>
        <n v="446.4"/>
        <n v="61.5"/>
        <n v="68.2"/>
        <n v="119.3"/>
        <n v="13.4"/>
        <n v="164.2"/>
        <n v="175.8"/>
        <n v="15.8"/>
        <n v="145.1"/>
        <n v="57.2"/>
        <n v="76.8"/>
        <n v="95.3"/>
        <n v="168.5"/>
        <n v="48.9"/>
        <n v="101.7"/>
        <n v="211.9"/>
        <n v="33.5"/>
        <n v="135"/>
        <n v="28.6"/>
        <n v="276.7"/>
        <n v="136.19999999999999"/>
        <n v="70"/>
        <n v="304.10000000000002"/>
        <n v="8.1"/>
        <n v="305.10000000000002"/>
        <n v="175.4"/>
        <n v="51.6"/>
        <n v="151.9"/>
        <n v="2516.1"/>
        <n v="57.6"/>
        <n v="400.7"/>
        <n v="15.2"/>
        <n v="106.9"/>
        <n v="119.9"/>
        <n v="62.4"/>
        <n v="797.5"/>
        <n v="16.2"/>
        <n v="39.4"/>
        <n v="19.899999999999999"/>
        <n v="170.8"/>
        <n v="448.6"/>
        <n v="17.8"/>
        <n v="23.6"/>
        <n v="78.2"/>
        <n v="21.2"/>
        <n v="100.2"/>
        <n v="168"/>
        <n v="345.9"/>
        <n v="14.8"/>
        <n v="233"/>
        <n v="169.7"/>
        <n v="450.2"/>
        <n v="116.6"/>
        <n v="7.2"/>
        <n v="325.5"/>
        <n v="10.7"/>
        <n v="24.3"/>
        <n v="190.5"/>
        <n v="115.1"/>
        <n v="421.6"/>
        <n v="80.599999999999994"/>
        <n v="176.4"/>
        <n v="251.2"/>
        <n v="82.7"/>
        <n v="11.8"/>
        <n v="117.6"/>
        <n v="79.400000000000006"/>
        <n v="117.4"/>
        <n v="103.3"/>
        <n v="331.7"/>
        <n v="141.1"/>
        <n v="80.5"/>
        <n v="110.7"/>
        <n v="381.5"/>
        <n v="154.69999999999999"/>
        <n v="44.3"/>
        <n v="50.8"/>
        <n v="29.9"/>
        <n v="39.5"/>
        <n v="243.6"/>
        <n v="133.9"/>
        <n v="100.5"/>
        <n v="220"/>
        <n v="25.2"/>
        <n v="45.6"/>
        <n v="55.3"/>
        <n v="40.6"/>
        <n v="129.80000000000001"/>
        <n v="48.3"/>
        <n v="197.1"/>
        <n v="80.3"/>
        <n v="105.5"/>
        <n v="430.2"/>
        <n v="1314.3"/>
        <n v="63.3"/>
        <n v="87.9"/>
        <n v="89.2"/>
        <n v="396.3"/>
        <n v="56"/>
        <n v="164.4"/>
        <n v="131.9"/>
        <n v="6.6"/>
        <n v="181.2"/>
        <n v="121.2"/>
        <n v="44.6"/>
        <n v="23.5"/>
        <n v="88.7"/>
        <n v="55"/>
        <n v="48.6"/>
        <n v="54.7"/>
        <n v="133"/>
        <n v="74.400000000000006"/>
        <n v="122.1"/>
        <n v="97.1"/>
        <n v="76.400000000000006"/>
        <n v="242.7"/>
        <n v="324.5"/>
        <n v="40.700000000000003"/>
        <n v="215.6"/>
        <n v="513.70000000000005"/>
        <n v="50.9"/>
        <n v="102.8"/>
        <n v="28.3"/>
        <n v="89.3"/>
        <n v="86.4"/>
        <n v="211.6"/>
        <n v="693"/>
        <n v="194"/>
        <n v="59.4"/>
        <n v="35.1"/>
        <n v="1044.5999999999999"/>
        <n v="38.799999999999997"/>
        <n v="60.4"/>
        <n v="221.9"/>
        <n v="64.3"/>
        <n v="47.8"/>
        <n v="506"/>
        <n v="41.2"/>
        <n v="190"/>
        <n v="112.3"/>
        <n v="67.599999999999994"/>
        <n v="201.6"/>
        <n v="117"/>
        <n v="184.7"/>
        <n v="64.900000000000006"/>
        <n v="113.1"/>
        <n v="43.4"/>
        <n v="359.8"/>
        <n v="75.599999999999994"/>
        <n v="238.4"/>
        <n v="174.7"/>
        <n v="125.5"/>
        <n v="376.7"/>
        <n v="57.8"/>
        <n v="59.2"/>
        <n v="13.1"/>
        <n v="98.1"/>
        <n v="135.1"/>
        <n v="16.3"/>
        <n v="286.60000000000002"/>
        <n v="128.19999999999999"/>
        <n v="39.1"/>
        <n v="19.100000000000001"/>
        <n v="89.8"/>
        <n v="301.89999999999998"/>
        <n v="29.7"/>
        <n v="12.6"/>
        <n v="224.9"/>
        <n v="238.7"/>
        <n v="7.5"/>
        <n v="53.4"/>
        <n v="18.3"/>
        <n v="52.5"/>
        <n v="286.2"/>
        <n v="34.700000000000003"/>
        <n v="72.5"/>
        <n v="96.9"/>
        <n v="187.4"/>
        <n v="77.7"/>
        <n v="235.6"/>
        <n v="516.6"/>
        <n v="121.8"/>
        <n v="537.29999999999995"/>
        <n v="259.3"/>
        <n v="188.9"/>
        <n v="229.9"/>
        <n v="126.7"/>
        <n v="174.6"/>
        <n v="208"/>
        <n v="278.10000000000002"/>
        <n v="130.1"/>
        <n v="154.9"/>
        <n v="124.4"/>
        <n v="122.9"/>
        <n v="99"/>
        <n v="150.5"/>
        <n v="95.5"/>
        <n v="24"/>
        <n v="30.1"/>
        <n v="27.7"/>
        <n v="63.7"/>
        <n v="210.8"/>
        <n v="20.6"/>
        <n v="17.3"/>
        <n v="111.6"/>
        <n v="171.6"/>
        <n v="28.2"/>
        <n v="54"/>
        <n v="35"/>
        <n v="4.8"/>
        <n v="425.7"/>
        <n v="24.7"/>
        <n v="46.2"/>
        <n v="354.1"/>
        <n v="289.7"/>
        <n v="328.8"/>
        <n v="79"/>
        <n v="314.39999999999998"/>
        <n v="251.7"/>
        <n v="69.900000000000006"/>
        <n v="414.2"/>
        <n v="151.19999999999999"/>
        <n v="56.7"/>
        <n v="11.3"/>
        <n v="261.5"/>
        <n v="236.6"/>
        <n v="3158.2"/>
        <n v="43.6"/>
        <n v="101.4"/>
        <n v="147.69999999999999"/>
        <n v="54.8"/>
        <n v="68.400000000000006"/>
        <n v="73.099999999999994"/>
        <n v="33.9"/>
        <n v="1269.0999999999999"/>
        <n v="119.7"/>
        <n v="98.8"/>
        <n v="100.3"/>
        <n v="72.599999999999994"/>
        <n v="173.3"/>
        <n v="152.9"/>
        <n v="185.6"/>
        <n v="232.8"/>
        <n v="85.6"/>
        <n v="304.7"/>
        <n v="27.6"/>
        <n v="149"/>
        <n v="23.9"/>
        <n v="209"/>
        <n v="82.1"/>
        <n v="217.9"/>
        <n v="125.3"/>
        <n v="134.1"/>
        <n v="301.8"/>
        <n v="11.9"/>
        <n v="137.6"/>
        <n v="433.7"/>
        <n v="139.69999999999999"/>
        <n v="240.6"/>
        <n v="87.4"/>
        <n v="53.2"/>
        <n v="177.5"/>
        <n v="97.9"/>
        <n v="79.5"/>
        <n v="241.5"/>
        <n v="264.5"/>
        <n v="53"/>
        <n v="55.7"/>
        <n v="96.8"/>
        <n v="137.1"/>
        <n v="315.60000000000002"/>
        <n v="202.7"/>
        <n v="26.6"/>
        <n v="15.1"/>
        <n v="262"/>
        <n v="117.7"/>
        <n v="17"/>
        <n v="26.2"/>
        <n v="91.9"/>
        <n v="120.2"/>
        <n v="208.7"/>
        <n v="47.1"/>
        <n v="65"/>
        <n v="205.3"/>
        <n v="119.8"/>
        <n v="39"/>
        <n v="377.9"/>
        <n v="54.2"/>
        <n v="87.3"/>
        <n v="148.6"/>
        <n v="94.5"/>
        <n v="452.2"/>
        <n v="59.6"/>
        <n v="155"/>
        <n v="2798.7"/>
        <n v="3.6"/>
        <n v="223.3"/>
        <n v="102.1"/>
        <n v="162.19999999999999"/>
        <n v="44.7"/>
        <n v="120.5"/>
        <n v="148.80000000000001"/>
        <n v="28.1"/>
        <n v="246"/>
        <n v="53.8"/>
        <n v="189.6"/>
        <n v="28.9"/>
        <n v="152"/>
        <n v="77.099999999999994"/>
        <n v="97.5"/>
        <n v="58"/>
        <n v="160.6"/>
        <n v="48.8"/>
        <n v="274.2"/>
        <n v="127.3"/>
        <n v="32.5"/>
        <n v="65.400000000000006"/>
        <n v="185.4"/>
        <n v="39.9"/>
        <n v="235"/>
        <n v="196"/>
        <n v="236.5"/>
        <n v="1662.3"/>
        <n v="51"/>
        <n v="91"/>
        <n v="159.69999999999999"/>
        <n v="240.7"/>
        <n v="63.4"/>
        <n v="161"/>
        <n v="67"/>
        <n v="109.1"/>
        <n v="253.7"/>
        <n v="2211.1999999999998"/>
        <n v="29.2"/>
        <n v="182.3"/>
        <n v="71.900000000000006"/>
        <n v="49"/>
        <n v="72.8"/>
        <n v="8.8000000000000007"/>
        <n v="114.8"/>
        <n v="81.900000000000006"/>
        <n v="88.3"/>
        <n v="2442.1999999999998"/>
        <n v="21.7"/>
        <n v="389.3"/>
        <n v="121.9"/>
        <n v="36"/>
        <n v="124.2"/>
        <n v="299.2"/>
        <n v="21.6"/>
        <n v="27.9"/>
        <n v="504.4"/>
        <n v="213.6"/>
        <n v="118.5"/>
        <n v="654.1"/>
        <n v="126.4"/>
        <n v="48.5"/>
        <n v="35.200000000000003"/>
        <n v="54.6"/>
        <n v="624"/>
        <n v="163.6"/>
        <n v="69.400000000000006"/>
        <n v="23.7"/>
        <n v="252.3"/>
        <n v="188.6"/>
        <n v="146.4"/>
        <n v="274"/>
        <n v="90.5"/>
        <n v="43.9"/>
        <n v="1718.4"/>
        <n v="105.4"/>
        <n v="175.7"/>
        <n v="31.1"/>
        <n v="263.89999999999998"/>
        <n v="177.9"/>
        <n v="66.3"/>
        <n v="68"/>
        <n v="257.39999999999998"/>
        <n v="65.7"/>
        <n v="4.5999999999999996"/>
        <n v="167.4"/>
        <n v="145.6"/>
        <n v="57.1"/>
        <n v="1702.9"/>
        <n v="129.30000000000001"/>
        <n v="865.7"/>
        <n v="63.8"/>
        <n v="49.7"/>
        <n v="3171.7"/>
        <n v="226.6"/>
        <n v="351.9"/>
        <n v="246.1"/>
        <n v="228.4"/>
        <n v="63.1"/>
        <n v="64.599999999999994"/>
        <n v="75.3"/>
        <n v="157.6"/>
        <n v="136.5"/>
        <n v="382.1"/>
        <n v="20.100000000000001"/>
        <n v="381.9"/>
        <n v="220.1"/>
        <n v="44.8"/>
        <n v="18.7"/>
        <n v="227.9"/>
        <n v="388.7"/>
        <n v="1358.3"/>
        <n v="129.69999999999999"/>
        <n v="267.39999999999998"/>
        <n v="384.8"/>
        <n v="40.799999999999997"/>
        <n v="25.3"/>
        <n v="481.6"/>
        <n v="134.19999999999999"/>
        <n v="31.7"/>
        <n v="238.3"/>
        <n v="32"/>
        <n v="60"/>
        <n v="69"/>
        <n v="367.4"/>
        <n v="84.4"/>
        <n v="43.3"/>
        <n v="283.10000000000002"/>
        <n v="260.2"/>
        <n v="227.1"/>
        <n v="193.1"/>
        <n v="188.4"/>
        <n v="366.5"/>
        <n v="427.9"/>
        <n v="88.1"/>
        <n v="150.9"/>
        <n v="138.30000000000001"/>
        <n v="87.6"/>
        <n v="152.30000000000001"/>
        <n v="61.4"/>
        <n v="760.3"/>
        <n v="81.099999999999994"/>
        <n v="154.6"/>
        <n v="111.5"/>
        <n v="132.6"/>
        <n v="156.80000000000001"/>
        <n v="60.1"/>
        <n v="46.3"/>
        <n v="260.3"/>
        <n v="50.2"/>
        <n v="192.5"/>
        <n v="365.3"/>
        <n v="245.3"/>
        <n v="145"/>
        <n v="23.2"/>
        <n v="352"/>
        <n v="444.5"/>
        <n v="222.6"/>
        <n v="182.6"/>
        <n v="74.8"/>
        <n v="226.3"/>
        <n v="257.8"/>
        <n v="1160.2"/>
        <n v="32.6"/>
        <n v="65.5"/>
        <n v="97.2"/>
        <n v="106.5"/>
        <n v="56.1"/>
        <n v="95.2"/>
        <n v="167.1"/>
        <n v="46.6"/>
        <n v="267"/>
        <n v="142.1"/>
        <n v="155.30000000000001"/>
        <n v="26.3"/>
        <n v="64.400000000000006"/>
        <n v="146.6"/>
        <n v="223.2"/>
        <n v="462.8"/>
        <n v="2182.1"/>
        <n v="182.2"/>
        <n v="81.7"/>
        <n v="40.1"/>
        <n v="54.4"/>
        <n v="120.8"/>
        <n v="181.4"/>
        <n v="142.69999999999999"/>
        <n v="175.9"/>
        <n v="33.6"/>
        <n v="266.60000000000002"/>
        <n v="143.19999999999999"/>
        <n v="214.2"/>
        <n v="74.099999999999994"/>
        <n v="68.099999999999994"/>
        <n v="30.2"/>
        <n v="99.7"/>
        <n v="85.1"/>
        <n v="410.2"/>
        <n v="581.20000000000005"/>
        <n v="255.2"/>
        <n v="339.1"/>
        <n v="56.2"/>
        <n v="61.9"/>
        <n v="159.5"/>
        <n v="163"/>
        <n v="41.4"/>
        <n v="58.3"/>
        <n v="354.9"/>
        <n v="84.8"/>
        <n v="2493.6"/>
        <n v="122.8"/>
        <n v="68.599999999999994"/>
        <n v="131.30000000000001"/>
        <n v="337.8"/>
        <n v="313.5"/>
        <n v="214.8"/>
        <n v="71.3"/>
        <n v="147.80000000000001"/>
        <n v="106.1"/>
        <n v="105.2"/>
        <n v="88.5"/>
        <n v="61.1"/>
        <n v="73.2"/>
        <n v="42.9"/>
        <n v="22.3"/>
        <n v="222.9"/>
        <n v="242.4"/>
        <n v="397.9"/>
        <n v="118.7"/>
        <n v="123.8"/>
        <n v="24.8"/>
        <n v="18.899999999999999"/>
        <n v="453.3"/>
        <n v="105.7"/>
        <n v="38.200000000000003"/>
        <n v="109.7"/>
        <n v="295.2"/>
        <n v="240.8"/>
        <n v="141.19999999999999"/>
        <n v="112.7"/>
        <n v="12.5"/>
        <n v="332.6"/>
        <n v="335.4"/>
        <n v="361.8"/>
        <n v="108.5"/>
        <n v="155.1"/>
        <n v="107.4"/>
        <n v="669.8"/>
        <n v="243.9"/>
        <n v="23.3"/>
        <n v="47"/>
        <n v="146.69999999999999"/>
        <n v="59.5"/>
        <n v="242.9"/>
        <n v="1268.0999999999999"/>
        <n v="1199.7"/>
        <n v="22.2"/>
        <n v="51.3"/>
        <n v="49.1"/>
        <n v="22.8"/>
        <n v="262.60000000000002"/>
        <n v="270.89999999999998"/>
        <n v="105.8"/>
        <n v="240"/>
        <n v="126.8"/>
        <n v="296.7"/>
        <n v="155.80000000000001"/>
        <n v="198.9"/>
        <n v="329.5"/>
        <n v="144.9"/>
        <n v="17.5"/>
        <n v="190.2"/>
        <n v="1705.5"/>
        <n v="307.5"/>
        <n v="76.3"/>
        <n v="150.1"/>
        <n v="277.7"/>
        <n v="190.8"/>
        <n v="59.7"/>
        <n v="195.9"/>
        <n v="2019"/>
        <n v="163.1"/>
        <n v="163.30000000000001"/>
        <n v="308.39999999999998"/>
        <n v="197.2"/>
        <n v="365.4"/>
        <n v="376.4"/>
        <n v="191.7"/>
        <n v="170.2"/>
        <n v="191.6"/>
        <n v="27.2"/>
        <n v="234.5"/>
        <n v="437.3"/>
        <n v="226.4"/>
        <n v="113.4"/>
        <n v="65.099999999999994"/>
        <n v="103.2"/>
        <n v="22.9"/>
        <n v="304.8"/>
        <n v="156"/>
        <n v="108.6"/>
        <n v="31.2"/>
        <n v="14"/>
        <n v="262.5"/>
        <n v="311.5"/>
        <n v="239.8"/>
        <n v="247.7"/>
        <n v="51.8"/>
        <n v="178.4"/>
        <n v="49.2"/>
        <n v="19.7"/>
        <n v="120.4"/>
        <n v="198.7"/>
        <n v="128.80000000000001"/>
        <n v="48.4"/>
        <n v="622.9"/>
        <n v="87.7"/>
        <n v="203.5"/>
        <n v="178.9"/>
        <n v="145.69999999999999"/>
        <n v="75.400000000000006"/>
        <n v="85.4"/>
        <n v="164.5"/>
        <n v="590.79999999999995"/>
        <n v="22.5"/>
        <n v="165.8"/>
        <n v="151.6"/>
        <n v="76.599999999999994"/>
        <n v="209.4"/>
        <n v="150.69999999999999"/>
        <n v="109.9"/>
        <n v="246.3"/>
        <n v="200.2"/>
        <n v="241.4"/>
        <n v="148.69999999999999"/>
        <n v="280.10000000000002"/>
        <n v="315.2"/>
        <n v="61"/>
        <n v="93.1"/>
        <n v="200.7"/>
        <n v="64.7"/>
        <n v="892.8"/>
        <n v="269.3"/>
        <n v="86.3"/>
        <n v="216.1"/>
        <n v="50.5"/>
        <n v="77.8"/>
        <n v="42.2"/>
        <n v="104"/>
        <n v="68.8"/>
        <n v="120.9"/>
        <n v="285.10000000000002"/>
        <n v="90"/>
        <n v="102.3"/>
        <n v="547.29999999999995"/>
        <n v="986.3"/>
        <n v="198.1"/>
        <n v="180.2"/>
        <n v="146.30000000000001"/>
        <n v="196.4"/>
        <n v="339.4"/>
        <n v="241.3"/>
        <n v="38.4"/>
        <n v="235.5"/>
        <n v="254.7"/>
        <n v="170.1"/>
        <n v="520.20000000000005"/>
        <n v="1057.4000000000001"/>
        <n v="91.2"/>
        <n v="125.9"/>
        <n v="39.799999999999997"/>
        <n v="43.5"/>
        <n v="123.7"/>
        <n v="143.5"/>
        <n v="42.1"/>
        <n v="186.8"/>
        <n v="719.2"/>
        <n v="224.7"/>
        <n v="56.8"/>
        <n v="114.4"/>
        <n v="115.6"/>
        <n v="435.8"/>
        <n v="393"/>
        <n v="198.2"/>
        <n v="252.1"/>
        <n v="52.9"/>
        <n v="1213.5"/>
        <n v="276.5"/>
        <n v="44.9"/>
        <n v="70.7"/>
        <n v="293.39999999999998"/>
        <n v="144.80000000000001"/>
        <n v="109"/>
        <n v="80.099999999999994"/>
        <n v="19.399999999999999"/>
      </sharedItems>
    </cacheField>
    <cacheField name="Vaccinated Rate" numFmtId="0">
      <sharedItems containsSemiMixedTypes="0" containsString="0" containsNumber="1" minValue="0" maxValue="2009.5" count="915">
        <n v="0.1"/>
        <n v="0.8"/>
        <n v="0"/>
        <n v="119.8"/>
        <n v="3.8"/>
        <n v="14.1"/>
        <n v="15.1"/>
        <n v="8.6999999999999993"/>
        <n v="1.3"/>
        <n v="416.6"/>
        <n v="6.8"/>
        <n v="150.5"/>
        <n v="9.6"/>
        <n v="0.6"/>
        <n v="1827.4"/>
        <n v="5.5"/>
        <n v="41.5"/>
        <n v="1.2"/>
        <n v="11.3"/>
        <n v="0.4"/>
        <n v="7.3"/>
        <n v="3.2"/>
        <n v="87.9"/>
        <n v="0.5"/>
        <n v="126.7"/>
        <n v="6.4"/>
        <n v="80.400000000000006"/>
        <n v="41.3"/>
        <n v="9.6999999999999993"/>
        <n v="20.6"/>
        <n v="102.9"/>
        <n v="156.80000000000001"/>
        <n v="219.7"/>
        <n v="3.9"/>
        <n v="2.2999999999999998"/>
        <n v="14.2"/>
        <n v="2.5"/>
        <n v="5.7"/>
        <n v="0.7"/>
        <n v="22.3"/>
        <n v="13.5"/>
        <n v="970.4"/>
        <n v="108.3"/>
        <n v="12.9"/>
        <n v="23.2"/>
        <n v="44.2"/>
        <n v="31"/>
        <n v="9.9"/>
        <n v="0.9"/>
        <n v="1"/>
        <n v="52.3"/>
        <n v="3.1"/>
        <n v="28.9"/>
        <n v="5.4"/>
        <n v="37.5"/>
        <n v="10"/>
        <n v="5.6"/>
        <n v="22.6"/>
        <n v="1.8"/>
        <n v="69.7"/>
        <n v="17.7"/>
        <n v="2.2000000000000002"/>
        <n v="8.8000000000000007"/>
        <n v="136.19999999999999"/>
        <n v="102.2"/>
        <n v="131.6"/>
        <n v="17.600000000000001"/>
        <n v="62.2"/>
        <n v="65.599999999999994"/>
        <n v="127.4"/>
        <n v="6.2"/>
        <n v="104.6"/>
        <n v="17.3"/>
        <n v="1.1000000000000001"/>
        <n v="56.5"/>
        <n v="1690.1"/>
        <n v="181.4"/>
        <n v="2"/>
        <n v="7.2"/>
        <n v="16.100000000000001"/>
        <n v="89.6"/>
        <n v="179"/>
        <n v="0.2"/>
        <n v="3.7"/>
        <n v="74.099999999999994"/>
        <n v="107.7"/>
        <n v="21.3"/>
        <n v="0.3"/>
        <n v="8.3000000000000007"/>
        <n v="84.5"/>
        <n v="10.3"/>
        <n v="15.3"/>
        <n v="25.4"/>
        <n v="96.6"/>
        <n v="21.9"/>
        <n v="5"/>
        <n v="26.4"/>
        <n v="19.5"/>
        <n v="117.2"/>
        <n v="62.3"/>
        <n v="4.2"/>
        <n v="88.8"/>
        <n v="139.6"/>
        <n v="3.3"/>
        <n v="124.4"/>
        <n v="420.1"/>
        <n v="159.9"/>
        <n v="144"/>
        <n v="1569.6"/>
        <n v="9.3000000000000007"/>
        <n v="4.3"/>
        <n v="78.900000000000006"/>
        <n v="127.8"/>
        <n v="103.7"/>
        <n v="70.3"/>
        <n v="41.2"/>
        <n v="2.1"/>
        <n v="55.8"/>
        <n v="80.2"/>
        <n v="75.400000000000006"/>
        <n v="7.9"/>
        <n v="4.0999999999999996"/>
        <n v="37"/>
        <n v="8"/>
        <n v="16.5"/>
        <n v="2.8"/>
        <n v="222.8"/>
        <n v="2.9"/>
        <n v="47.4"/>
        <n v="46.1"/>
        <n v="168.2"/>
        <n v="1.9"/>
        <n v="10.4"/>
        <n v="10.1"/>
        <n v="110.7"/>
        <n v="12.4"/>
        <n v="1568.9"/>
        <n v="47.2"/>
        <n v="28.2"/>
        <n v="38.700000000000003"/>
        <n v="124.5"/>
        <n v="1.4"/>
        <n v="7.4"/>
        <n v="73.400000000000006"/>
        <n v="82.7"/>
        <n v="1.6"/>
        <n v="155.6"/>
        <n v="20.8"/>
        <n v="163.19999999999999"/>
        <n v="20.399999999999999"/>
        <n v="20.9"/>
        <n v="1662.4"/>
        <n v="5.0999999999999996"/>
        <n v="214.4"/>
        <n v="121.2"/>
        <n v="35.299999999999997"/>
        <n v="53"/>
        <n v="8.1999999999999993"/>
        <n v="256.7"/>
        <n v="6.7"/>
        <n v="29.1"/>
        <n v="286.10000000000002"/>
        <n v="3"/>
        <n v="10.6"/>
        <n v="90.2"/>
        <n v="444.6"/>
        <n v="5.8"/>
        <n v="103.4"/>
        <n v="267.60000000000002"/>
        <n v="4.7"/>
        <n v="41.4"/>
        <n v="47.7"/>
        <n v="114.4"/>
        <n v="58.1"/>
        <n v="157.69999999999999"/>
        <n v="505.9"/>
        <n v="4.9000000000000004"/>
        <n v="83.8"/>
        <n v="18.7"/>
        <n v="76.7"/>
        <n v="109.8"/>
        <n v="65.3"/>
        <n v="45.7"/>
        <n v="387.1"/>
        <n v="1686.1"/>
        <n v="145.9"/>
        <n v="108.8"/>
        <n v="52.8"/>
        <n v="120.8"/>
        <n v="10.9"/>
        <n v="34"/>
        <n v="51"/>
        <n v="183.7"/>
        <n v="19.600000000000001"/>
        <n v="153.6"/>
        <n v="65.8"/>
        <n v="23"/>
        <n v="8.5"/>
        <n v="25.5"/>
        <n v="69.5"/>
        <n v="426.1"/>
        <n v="61.6"/>
        <n v="191.4"/>
        <n v="69.900000000000006"/>
        <n v="139.4"/>
        <n v="23.1"/>
        <n v="153.1"/>
        <n v="120.5"/>
        <n v="13.9"/>
        <n v="123.1"/>
        <n v="66.8"/>
        <n v="50.5"/>
        <n v="34.700000000000003"/>
        <n v="44.6"/>
        <n v="12.1"/>
        <n v="875.7"/>
        <n v="22.1"/>
        <n v="22.8"/>
        <n v="4.5999999999999996"/>
        <n v="243.6"/>
        <n v="79.599999999999994"/>
        <n v="2.4"/>
        <n v="22"/>
        <n v="43.9"/>
        <n v="11.7"/>
        <n v="15.8"/>
        <n v="233.1"/>
        <n v="15.7"/>
        <n v="13.6"/>
        <n v="186.1"/>
        <n v="9.4"/>
        <n v="16.3"/>
        <n v="122.3"/>
        <n v="504.4"/>
        <n v="196.2"/>
        <n v="4"/>
        <n v="75.900000000000006"/>
        <n v="13.8"/>
        <n v="93.4"/>
        <n v="98.2"/>
        <n v="105.4"/>
        <n v="6.9"/>
        <n v="149.9"/>
        <n v="114.6"/>
        <n v="71.900000000000006"/>
        <n v="94.2"/>
        <n v="18.3"/>
        <n v="33.799999999999997"/>
        <n v="22.7"/>
        <n v="62.5"/>
        <n v="220.9"/>
        <n v="65.5"/>
        <n v="104.5"/>
        <n v="30.1"/>
        <n v="390.3"/>
        <n v="5.2"/>
        <n v="60.1"/>
        <n v="2.6"/>
        <n v="72.900000000000006"/>
        <n v="122"/>
        <n v="140.6"/>
        <n v="48.4"/>
        <n v="20.7"/>
        <n v="86.3"/>
        <n v="176.5"/>
        <n v="6.6"/>
        <n v="152.6"/>
        <n v="57.7"/>
        <n v="824.5"/>
        <n v="27.5"/>
        <n v="131.80000000000001"/>
        <n v="263.60000000000002"/>
        <n v="77.900000000000006"/>
        <n v="9.1999999999999993"/>
        <n v="64.3"/>
        <n v="122.6"/>
        <n v="4.8"/>
        <n v="83.9"/>
        <n v="14"/>
        <n v="152.19999999999999"/>
        <n v="15.9"/>
        <n v="39.200000000000003"/>
        <n v="39.1"/>
        <n v="16.399999999999999"/>
        <n v="25.3"/>
        <n v="27.7"/>
        <n v="78.099999999999994"/>
        <n v="135.6"/>
        <n v="5.3"/>
        <n v="9.8000000000000007"/>
        <n v="52.7"/>
        <n v="21.8"/>
        <n v="36.799999999999997"/>
        <n v="546.5"/>
        <n v="13.1"/>
        <n v="22.5"/>
        <n v="203.7"/>
        <n v="185.5"/>
        <n v="81.5"/>
        <n v="128.30000000000001"/>
        <n v="22.4"/>
        <n v="35.1"/>
        <n v="30.8"/>
        <n v="12.7"/>
        <n v="54.7"/>
        <n v="21"/>
        <n v="119.3"/>
        <n v="24.2"/>
        <n v="15.4"/>
        <n v="24.4"/>
        <n v="1841.8"/>
        <n v="114"/>
        <n v="9"/>
        <n v="31.9"/>
        <n v="213"/>
        <n v="80.099999999999994"/>
        <n v="144.4"/>
        <n v="29.9"/>
        <n v="170.5"/>
        <n v="94.5"/>
        <n v="83.3"/>
        <n v="67.2"/>
        <n v="11.8"/>
        <n v="61.5"/>
        <n v="74.400000000000006"/>
        <n v="103.5"/>
        <n v="67.8"/>
        <n v="8.6"/>
        <n v="92.6"/>
        <n v="86.9"/>
        <n v="167.9"/>
        <n v="12.6"/>
        <n v="799.1"/>
        <n v="15"/>
        <n v="30"/>
        <n v="35.4"/>
        <n v="70"/>
        <n v="79.099999999999994"/>
        <n v="119.6"/>
        <n v="32.700000000000003"/>
        <n v="211.1"/>
        <n v="134.9"/>
        <n v="8.9"/>
        <n v="422.5"/>
        <n v="43.8"/>
        <n v="104.3"/>
        <n v="125.9"/>
        <n v="194.8"/>
        <n v="42"/>
        <n v="127.7"/>
        <n v="7.1"/>
        <n v="6.1"/>
        <n v="48.6"/>
        <n v="43.5"/>
        <n v="143.6"/>
        <n v="50.8"/>
        <n v="17.399999999999999"/>
        <n v="6.3"/>
        <n v="4.5"/>
        <n v="116.7"/>
        <n v="28.5"/>
        <n v="134.5"/>
        <n v="41.6"/>
        <n v="54.6"/>
        <n v="45.8"/>
        <n v="495.4"/>
        <n v="52.5"/>
        <n v="41.7"/>
        <n v="124.2"/>
        <n v="50.7"/>
        <n v="248.2"/>
        <n v="300.5"/>
        <n v="85.1"/>
        <n v="549"/>
        <n v="12.3"/>
        <n v="193.9"/>
        <n v="38.4"/>
        <n v="158.4"/>
        <n v="42.6"/>
        <n v="3.6"/>
        <n v="61.4"/>
        <n v="20.2"/>
        <n v="19"/>
        <n v="62.9"/>
        <n v="7.5"/>
        <n v="13.2"/>
        <n v="14.6"/>
        <n v="7.7"/>
        <n v="18.399999999999999"/>
        <n v="74"/>
        <n v="11.5"/>
        <n v="14.5"/>
        <n v="16"/>
        <n v="38"/>
        <n v="54.1"/>
        <n v="6.5"/>
        <n v="873"/>
        <n v="11.2"/>
        <n v="82.8"/>
        <n v="178.1"/>
        <n v="15.2"/>
        <n v="28.3"/>
        <n v="14.4"/>
        <n v="47.3"/>
        <n v="11.9"/>
        <n v="138.4"/>
        <n v="184"/>
        <n v="42.3"/>
        <n v="34.4"/>
        <n v="56.8"/>
        <n v="25.9"/>
        <n v="10.7"/>
        <n v="169.3"/>
        <n v="77.5"/>
        <n v="36.9"/>
        <n v="1531.7"/>
        <n v="26.2"/>
        <n v="148.5"/>
        <n v="42.8"/>
        <n v="76.8"/>
        <n v="48"/>
        <n v="576.9"/>
        <n v="36.4"/>
        <n v="144.6"/>
        <n v="100"/>
        <n v="198.1"/>
        <n v="49.3"/>
        <n v="142.4"/>
        <n v="128.9"/>
        <n v="62.6"/>
        <n v="139"/>
        <n v="2.7"/>
        <n v="101.4"/>
        <n v="173.8"/>
        <n v="221.7"/>
        <n v="52"/>
        <n v="20.3"/>
        <n v="39.299999999999997"/>
        <n v="214.3"/>
        <n v="99.3"/>
        <n v="49.5"/>
        <n v="32.200000000000003"/>
        <n v="168.9"/>
        <n v="188.3"/>
        <n v="115.9"/>
        <n v="61.2"/>
        <n v="17.899999999999999"/>
        <n v="30.2"/>
        <n v="23.8"/>
        <n v="60.3"/>
        <n v="117.1"/>
        <n v="8.1"/>
        <n v="149.5"/>
        <n v="70.599999999999994"/>
        <n v="248.7"/>
        <n v="25.8"/>
        <n v="69.8"/>
        <n v="26.6"/>
        <n v="189.9"/>
        <n v="808.7"/>
        <n v="1.5"/>
        <n v="658"/>
        <n v="59.4"/>
        <n v="65.7"/>
        <n v="85.7"/>
        <n v="39.700000000000003"/>
        <n v="57.8"/>
        <n v="137.80000000000001"/>
        <n v="158.30000000000001"/>
        <n v="27.8"/>
        <n v="165.8"/>
        <n v="181.5"/>
        <n v="38.5"/>
        <n v="136.4"/>
        <n v="363.3"/>
        <n v="6"/>
        <n v="107.8"/>
        <n v="688"/>
        <n v="24.6"/>
        <n v="18.600000000000001"/>
        <n v="58.9"/>
        <n v="35.9"/>
        <n v="244.5"/>
        <n v="44.5"/>
        <n v="38.200000000000003"/>
        <n v="47.8"/>
        <n v="211"/>
        <n v="4.4000000000000004"/>
        <n v="9.1"/>
        <n v="61.1"/>
        <n v="12.8"/>
        <n v="44.1"/>
        <n v="103.8"/>
        <n v="122.7"/>
        <n v="46.9"/>
        <n v="87.7"/>
        <n v="144.9"/>
        <n v="59.9"/>
        <n v="70.400000000000006"/>
        <n v="77.8"/>
        <n v="115.2"/>
        <n v="166"/>
        <n v="71.7"/>
        <n v="58.4"/>
        <n v="27.4"/>
        <n v="96.2"/>
        <n v="143"/>
        <n v="37.700000000000003"/>
        <n v="31.2"/>
        <n v="53.8"/>
        <n v="798.1"/>
        <n v="61.9"/>
        <n v="203.8"/>
        <n v="67.900000000000006"/>
        <n v="63"/>
        <n v="72.099999999999994"/>
        <n v="86.4"/>
        <n v="80.5"/>
        <n v="534.79999999999995"/>
        <n v="1.7"/>
        <n v="68.900000000000006"/>
        <n v="46"/>
        <n v="73.099999999999994"/>
        <n v="106"/>
        <n v="54"/>
        <n v="58.8"/>
        <n v="128.5"/>
        <n v="33.1"/>
        <n v="93.3"/>
        <n v="177.6"/>
        <n v="43.7"/>
        <n v="21.2"/>
        <n v="129.4"/>
        <n v="150.30000000000001"/>
        <n v="131.5"/>
        <n v="118.6"/>
        <n v="55.5"/>
        <n v="70.5"/>
        <n v="24.7"/>
        <n v="157.19999999999999"/>
        <n v="25"/>
        <n v="212.6"/>
        <n v="82.9"/>
        <n v="114.3"/>
        <n v="19.2"/>
        <n v="14.3"/>
        <n v="1882.2"/>
        <n v="18.5"/>
        <n v="98.6"/>
        <n v="11.6"/>
        <n v="49.9"/>
        <n v="29.7"/>
        <n v="172.6"/>
        <n v="156.1"/>
        <n v="28.4"/>
        <n v="29.2"/>
        <n v="12.5"/>
        <n v="1641.7"/>
        <n v="56.3"/>
        <n v="38.799999999999997"/>
        <n v="24.1"/>
        <n v="28.7"/>
        <n v="82.2"/>
        <n v="98.5"/>
        <n v="20.5"/>
        <n v="139.1"/>
        <n v="38.299999999999997"/>
        <n v="223.1"/>
        <n v="108"/>
        <n v="10.8"/>
        <n v="474.8"/>
        <n v="174"/>
        <n v="68.5"/>
        <n v="50.1"/>
        <n v="385.1"/>
        <n v="89.1"/>
        <n v="144.69999999999999"/>
        <n v="50.4"/>
        <n v="95.5"/>
        <n v="84.3"/>
        <n v="155.1"/>
        <n v="95.9"/>
        <n v="68.7"/>
        <n v="191"/>
        <n v="199.6"/>
        <n v="71.400000000000006"/>
        <n v="246.3"/>
        <n v="234.9"/>
        <n v="24.9"/>
        <n v="16.600000000000001"/>
        <n v="44"/>
        <n v="17.100000000000001"/>
        <n v="13.3"/>
        <n v="79.2"/>
        <n v="78"/>
        <n v="42.5"/>
        <n v="145.1"/>
        <n v="55.7"/>
        <n v="69"/>
        <n v="46.8"/>
        <n v="7.8"/>
        <n v="233.6"/>
        <n v="45.3"/>
        <n v="271.2"/>
        <n v="213.5"/>
        <n v="1702.3"/>
        <n v="157.1"/>
        <n v="104.2"/>
        <n v="209.3"/>
        <n v="7.6"/>
        <n v="8.4"/>
        <n v="327.9"/>
        <n v="16.7"/>
        <n v="219.2"/>
        <n v="94.4"/>
        <n v="21.5"/>
        <n v="67.400000000000006"/>
        <n v="32.299999999999997"/>
        <n v="28.8"/>
        <n v="51.9"/>
        <n v="211.6"/>
        <n v="1359.4"/>
        <n v="85.4"/>
        <n v="42.4"/>
        <n v="9.5"/>
        <n v="35.700000000000003"/>
        <n v="91.4"/>
        <n v="43"/>
        <n v="81.2"/>
        <n v="1608.9"/>
        <n v="23.4"/>
        <n v="274.3"/>
        <n v="57.6"/>
        <n v="32.1"/>
        <n v="16.2"/>
        <n v="49.7"/>
        <n v="1834.6"/>
        <n v="121.6"/>
        <n v="54.9"/>
        <n v="19.899999999999999"/>
        <n v="112.8"/>
        <n v="212"/>
        <n v="70.8"/>
        <n v="68.400000000000006"/>
        <n v="448.4"/>
        <n v="112.9"/>
        <n v="13.7"/>
        <n v="322.3"/>
        <n v="62.4"/>
        <n v="66.099999999999994"/>
        <n v="93.5"/>
        <n v="91.7"/>
        <n v="266.8"/>
        <n v="32"/>
        <n v="970.8"/>
        <n v="70.2"/>
        <n v="3.4"/>
        <n v="263.8"/>
        <n v="184.1"/>
        <n v="179.9"/>
        <n v="55"/>
        <n v="34.299999999999997"/>
        <n v="31.6"/>
        <n v="20.100000000000001"/>
        <n v="126.5"/>
        <n v="43.6"/>
        <n v="73.3"/>
        <n v="13"/>
        <n v="1460.4"/>
        <n v="72.400000000000006"/>
        <n v="2009.5"/>
        <n v="138.19999999999999"/>
        <n v="36"/>
        <n v="96"/>
        <n v="64.599999999999994"/>
        <n v="65.900000000000006"/>
        <n v="53.6"/>
        <n v="11.4"/>
        <n v="100.3"/>
        <n v="232.4"/>
        <n v="175.6"/>
        <n v="49.8"/>
        <n v="89.2"/>
        <n v="224.2"/>
        <n v="27.6"/>
        <n v="922.8"/>
        <n v="73.5"/>
        <n v="75.8"/>
        <n v="89.4"/>
        <n v="39.799999999999997"/>
        <n v="27.1"/>
        <n v="255.9"/>
        <n v="131.9"/>
        <n v="66.599999999999994"/>
        <n v="58.7"/>
        <n v="98.3"/>
        <n v="77.599999999999994"/>
        <n v="40.799999999999997"/>
        <n v="193.6"/>
        <n v="40.1"/>
        <n v="195.3"/>
        <n v="69.599999999999994"/>
        <n v="30.6"/>
        <n v="91.5"/>
        <n v="161.5"/>
        <n v="149.19999999999999"/>
        <n v="43.2"/>
        <n v="63.4"/>
        <n v="180.8"/>
        <n v="175.7"/>
        <n v="181.6"/>
        <n v="97.1"/>
        <n v="133.9"/>
        <n v="51.3"/>
        <n v="75.3"/>
        <n v="52.6"/>
        <n v="25.7"/>
        <n v="77.3"/>
        <n v="107.3"/>
        <n v="143.9"/>
        <n v="118.3"/>
        <n v="10.199999999999999"/>
        <n v="165.3"/>
        <n v="33.4"/>
        <n v="29.3"/>
        <n v="64.8"/>
        <n v="93.2"/>
        <n v="1259.0999999999999"/>
        <n v="76.900000000000006"/>
        <n v="42.2"/>
        <n v="115.4"/>
        <n v="194.6"/>
        <n v="105.9"/>
        <n v="42.7"/>
        <n v="193.5"/>
        <n v="139.19999999999999"/>
        <n v="177.4"/>
        <n v="1041.7"/>
        <n v="55.9"/>
        <n v="195.7"/>
        <n v="48.9"/>
        <n v="105.5"/>
        <n v="71.2"/>
        <n v="157.6"/>
        <n v="35.6"/>
        <n v="74.2"/>
        <n v="175.2"/>
        <n v="73.7"/>
        <n v="79.7"/>
        <n v="36.6"/>
        <n v="76.099999999999994"/>
        <n v="169.2"/>
        <n v="316.10000000000002"/>
        <n v="202.5"/>
        <n v="147.19999999999999"/>
        <n v="26.7"/>
        <n v="162.9"/>
        <n v="33.200000000000003"/>
        <n v="42.1"/>
        <n v="38.6"/>
        <n v="98.9"/>
        <n v="1654.3"/>
        <n v="63.7"/>
        <n v="163.1"/>
        <n v="159.1"/>
        <n v="3.5"/>
        <n v="63.9"/>
        <n v="21.7"/>
        <n v="117.7"/>
        <n v="219.8"/>
        <n v="80.7"/>
        <n v="82"/>
        <n v="32.799999999999997"/>
        <n v="67.5"/>
        <n v="122.8"/>
        <n v="101.3"/>
        <n v="137.9"/>
        <n v="549.20000000000005"/>
        <n v="49.6"/>
        <n v="118"/>
        <n v="46.6"/>
        <n v="142.30000000000001"/>
        <n v="64.5"/>
        <n v="351.8"/>
        <n v="60.5"/>
        <n v="123.4"/>
        <n v="18.100000000000001"/>
        <n v="177.2"/>
        <n v="36.700000000000003"/>
        <n v="108.7"/>
        <n v="55.2"/>
        <n v="7"/>
        <n v="258.5"/>
        <n v="84.4"/>
        <n v="75.2"/>
        <n v="132"/>
        <n v="148"/>
        <n v="94.3"/>
        <n v="35.200000000000003"/>
        <n v="24"/>
        <n v="731.4"/>
        <n v="436.5"/>
        <n v="96.7"/>
        <n v="167"/>
        <n v="209.9"/>
        <n v="116"/>
        <n v="41.9"/>
        <n v="59"/>
        <n v="72.8"/>
        <n v="80.8"/>
        <n v="174.9"/>
        <n v="17.8"/>
        <n v="79"/>
        <n v="50.9"/>
        <n v="1411"/>
        <n v="182.8"/>
        <n v="66.900000000000006"/>
        <n v="24.3"/>
        <n v="46.7"/>
        <n v="59.3"/>
        <n v="61.3"/>
        <n v="123.5"/>
        <n v="62.7"/>
        <n v="109.2"/>
        <n v="1500.2"/>
        <n v="50.3"/>
        <n v="23.7"/>
        <n v="125.2"/>
        <n v="141.1"/>
        <n v="265.8"/>
        <n v="140.4"/>
        <n v="34.799999999999997"/>
        <n v="77"/>
        <n v="17.2"/>
        <n v="90.6"/>
        <n v="110.2"/>
        <n v="180.6"/>
        <n v="27"/>
        <n v="112.1"/>
        <n v="111.4"/>
        <n v="56.9"/>
        <n v="170.8"/>
        <n v="88.1"/>
        <n v="99.5"/>
        <n v="191.5"/>
        <n v="30.3"/>
        <n v="121.3"/>
        <n v="269.8"/>
        <n v="202.3"/>
        <n v="21.1"/>
        <n v="57.2"/>
        <n v="37.6"/>
        <n v="231.2"/>
        <n v="219.4"/>
        <n v="57"/>
        <n v="37.9"/>
        <n v="95"/>
        <n v="12.2"/>
        <n v="158.6"/>
        <n v="25.1"/>
        <n v="201"/>
        <n v="229"/>
        <n v="274.89999999999998"/>
        <n v="193.3"/>
        <n v="14.7"/>
        <n v="127.2"/>
        <n v="50.6"/>
        <n v="34.6"/>
        <n v="31.1"/>
        <n v="122.2"/>
        <n v="120.1"/>
        <n v="193.4"/>
        <n v="124.9"/>
        <n v="202.2"/>
        <n v="68.3"/>
        <n v="51.1"/>
        <n v="705.2"/>
        <n v="155.9"/>
        <n v="18"/>
        <n v="76.5"/>
        <n v="35.799999999999997"/>
        <n v="173.2"/>
        <n v="1032.4000000000001"/>
        <n v="130.6"/>
        <n v="369.2"/>
        <n v="75.599999999999994"/>
        <n v="163.5"/>
        <n v="60.6"/>
        <n v="11.1"/>
        <n v="82.1"/>
        <n v="77.400000000000006"/>
        <n v="78.5"/>
        <n v="81.3"/>
        <n v="410.5"/>
        <n v="49.2"/>
        <n v="51.4"/>
        <n v="187.4"/>
        <n v="187.5"/>
        <n v="395.7"/>
        <n v="123"/>
        <n v="71.8"/>
        <n v="251.5"/>
        <n v="39"/>
        <n v="52.9"/>
        <n v="103.1"/>
        <n v="24.5"/>
        <n v="57.5"/>
        <n v="63.3"/>
        <n v="830.7"/>
        <n v="309.2"/>
        <n v="184.7"/>
        <n v="19.100000000000001"/>
        <n v="65.400000000000006"/>
        <n v="79.3"/>
        <n v="40"/>
      </sharedItems>
    </cacheField>
    <cacheField name="Boosted Rate" numFmtId="0">
      <sharedItems containsSemiMixedTypes="0" containsString="0" containsNumber="1" minValue="0" maxValue="1520.3"/>
    </cacheField>
    <cacheField name="Crude Vaccinated Ratio" numFmtId="0">
      <sharedItems containsSemiMixedTypes="0" containsString="0" containsNumber="1" minValue="0" maxValue="152.19999999999999"/>
    </cacheField>
    <cacheField name="Crude Boosted Ratio" numFmtId="0">
      <sharedItems containsSemiMixedTypes="0" containsString="0" containsNumber="1" minValue="0" maxValue="73"/>
    </cacheField>
    <cacheField name="Age-Adjusted Unvaccinated Rate" numFmtId="0">
      <sharedItems containsSemiMixedTypes="0" containsString="0" containsNumber="1" minValue="0" maxValue="2749"/>
    </cacheField>
    <cacheField name="Age-Adjusted Vaccinated Rate" numFmtId="0">
      <sharedItems containsSemiMixedTypes="0" containsString="0" containsNumber="1" minValue="0" maxValue="1671.1"/>
    </cacheField>
    <cacheField name="Age-Adjusted Boosted Rate" numFmtId="0">
      <sharedItems containsSemiMixedTypes="0" containsString="0" containsNumber="1" minValue="0" maxValue="996.1"/>
    </cacheField>
    <cacheField name="Age-Adjusted Vaccinated Ratio" numFmtId="0">
      <sharedItems containsSemiMixedTypes="0" containsString="0" containsNumber="1" minValue="0" maxValue="61.2"/>
    </cacheField>
    <cacheField name="Age-Adjusted Boosted Ratio" numFmtId="0">
      <sharedItems containsSemiMixedTypes="0" containsString="0" containsNumber="1" minValue="0" maxValue="89.9"/>
    </cacheField>
    <cacheField name="Population Unvaccinated" numFmtId="0">
      <sharedItems containsSemiMixedTypes="0" containsString="0" containsNumber="1" containsInteger="1" minValue="23883" maxValue="1827674" count="1088">
        <n v="591822"/>
        <n v="34169"/>
        <n v="95349"/>
        <n v="166798"/>
        <n v="98229"/>
        <n v="71650"/>
        <n v="95128"/>
        <n v="185523"/>
        <n v="338871"/>
        <n v="31765"/>
        <n v="555407"/>
        <n v="537432"/>
        <n v="32759"/>
        <n v="50480"/>
        <n v="1302037"/>
        <n v="40519"/>
        <n v="864337"/>
        <n v="149571"/>
        <n v="53465"/>
        <n v="532370"/>
        <n v="42758"/>
        <n v="40932"/>
        <n v="69459"/>
        <n v="65944"/>
        <n v="560620"/>
        <n v="33965"/>
        <n v="89770"/>
        <n v="145400"/>
        <n v="162642"/>
        <n v="110600"/>
        <n v="635698"/>
        <n v="39014"/>
        <n v="26096"/>
        <n v="93076"/>
        <n v="176574"/>
        <n v="37857"/>
        <n v="40129"/>
        <n v="530107"/>
        <n v="32271"/>
        <n v="94329"/>
        <n v="61521"/>
        <n v="48452"/>
        <n v="90050"/>
        <n v="46700"/>
        <n v="1471355"/>
        <n v="23883"/>
        <n v="40797"/>
        <n v="89235"/>
        <n v="528293"/>
        <n v="24700"/>
        <n v="128401"/>
        <n v="36073"/>
        <n v="95812"/>
        <n v="32906"/>
        <n v="30857"/>
        <n v="39318"/>
        <n v="32441"/>
        <n v="39187"/>
        <n v="27071"/>
        <n v="968843"/>
        <n v="115941"/>
        <n v="185405"/>
        <n v="48776"/>
        <n v="106401"/>
        <n v="32542"/>
        <n v="32496"/>
        <n v="143348"/>
        <n v="40040"/>
        <n v="64234"/>
        <n v="33668"/>
        <n v="93672"/>
        <n v="133230"/>
        <n v="33180"/>
        <n v="114743"/>
        <n v="29306"/>
        <n v="76945"/>
        <n v="37876"/>
        <n v="677481"/>
        <n v="107409"/>
        <n v="998664"/>
        <n v="671890"/>
        <n v="132219"/>
        <n v="33518"/>
        <n v="32822"/>
        <n v="111605"/>
        <n v="90743"/>
        <n v="41916"/>
        <n v="73902"/>
        <n v="31257"/>
        <n v="24189"/>
        <n v="67139"/>
        <n v="46080"/>
        <n v="126589"/>
        <n v="33349"/>
        <n v="96738"/>
        <n v="32855"/>
        <n v="76243"/>
        <n v="177522"/>
        <n v="24557"/>
        <n v="130975"/>
        <n v="206013"/>
        <n v="42281"/>
        <n v="24498"/>
        <n v="38891"/>
        <n v="123875"/>
        <n v="92731"/>
        <n v="128651"/>
        <n v="93236"/>
        <n v="565402"/>
        <n v="112744"/>
        <n v="197658"/>
        <n v="525521"/>
        <n v="26236"/>
        <n v="44596"/>
        <n v="73686"/>
        <n v="94700"/>
        <n v="199928"/>
        <n v="1009399"/>
        <n v="161589"/>
        <n v="109144"/>
        <n v="47077"/>
        <n v="47611"/>
        <n v="54811"/>
        <n v="103249"/>
        <n v="84477"/>
        <n v="25236"/>
        <n v="33591"/>
        <n v="100718"/>
        <n v="108394"/>
        <n v="38416"/>
        <n v="39837"/>
        <n v="29022"/>
        <n v="201742"/>
        <n v="1238489"/>
        <n v="232120"/>
        <n v="549564"/>
        <n v="138684"/>
        <n v="36204"/>
        <n v="98989"/>
        <n v="543537"/>
        <n v="57433"/>
        <n v="24522"/>
        <n v="284798"/>
        <n v="26425"/>
        <n v="90605"/>
        <n v="98178"/>
        <n v="41212"/>
        <n v="847199"/>
        <n v="30481"/>
        <n v="88776"/>
        <n v="24622"/>
        <n v="100172"/>
        <n v="39213"/>
        <n v="289323"/>
        <n v="46352"/>
        <n v="100487"/>
        <n v="218778"/>
        <n v="32887"/>
        <n v="26357"/>
        <n v="110993"/>
        <n v="47714"/>
        <n v="96979"/>
        <n v="31822"/>
        <n v="81744"/>
        <n v="93769"/>
        <n v="33027"/>
        <n v="602393"/>
        <n v="94634"/>
        <n v="55747"/>
        <n v="102695"/>
        <n v="35058"/>
        <n v="42094"/>
        <n v="97780"/>
        <n v="94995"/>
        <n v="97222"/>
        <n v="223214"/>
        <n v="64570"/>
        <n v="300339"/>
        <n v="27168"/>
        <n v="539653"/>
        <n v="33305"/>
        <n v="152721"/>
        <n v="89877"/>
        <n v="232678"/>
        <n v="40373"/>
        <n v="25733"/>
        <n v="95528"/>
        <n v="116651"/>
        <n v="60852"/>
        <n v="23945"/>
        <n v="136624"/>
        <n v="522040"/>
        <n v="165307"/>
        <n v="28242"/>
        <n v="33751"/>
        <n v="77378"/>
        <n v="608684"/>
        <n v="91761"/>
        <n v="34061"/>
        <n v="580379"/>
        <n v="24479"/>
        <n v="131359"/>
        <n v="104915"/>
        <n v="31774"/>
        <n v="32105"/>
        <n v="107297"/>
        <n v="46039"/>
        <n v="627781"/>
        <n v="526704"/>
        <n v="32042"/>
        <n v="41575"/>
        <n v="67653"/>
        <n v="91730"/>
        <n v="91381"/>
        <n v="78128"/>
        <n v="25625"/>
        <n v="31692"/>
        <n v="107746"/>
        <n v="595648"/>
        <n v="35094"/>
        <n v="125684"/>
        <n v="94143"/>
        <n v="96770"/>
        <n v="72891"/>
        <n v="34058"/>
        <n v="32314"/>
        <n v="180456"/>
        <n v="27200"/>
        <n v="27097"/>
        <n v="90894"/>
        <n v="104261"/>
        <n v="40444"/>
        <n v="103609"/>
        <n v="953486"/>
        <n v="455598"/>
        <n v="42493"/>
        <n v="1021435"/>
        <n v="60515"/>
        <n v="32640"/>
        <n v="32614"/>
        <n v="31541"/>
        <n v="657870"/>
        <n v="24925"/>
        <n v="91147"/>
        <n v="31619"/>
        <n v="80946"/>
        <n v="109559"/>
        <n v="32972"/>
        <n v="126294"/>
        <n v="68798"/>
        <n v="301150"/>
        <n v="36564"/>
        <n v="32134"/>
        <n v="45704"/>
        <n v="94416"/>
        <n v="111069"/>
        <n v="27932"/>
        <n v="111793"/>
        <n v="43830"/>
        <n v="294504"/>
        <n v="74266"/>
        <n v="39970"/>
        <n v="53484"/>
        <n v="643200"/>
        <n v="28067"/>
        <n v="89805"/>
        <n v="26451"/>
        <n v="75158"/>
        <n v="40248"/>
        <n v="37034"/>
        <n v="76606"/>
        <n v="106807"/>
        <n v="74734"/>
        <n v="27573"/>
        <n v="1707958"/>
        <n v="32676"/>
        <n v="42974"/>
        <n v="90204"/>
        <n v="36895"/>
        <n v="154759"/>
        <n v="107515"/>
        <n v="33176"/>
        <n v="109408"/>
        <n v="662148"/>
        <n v="32372"/>
        <n v="89285"/>
        <n v="36604"/>
        <n v="771844"/>
        <n v="58493"/>
        <n v="31480"/>
        <n v="228136"/>
        <n v="74137"/>
        <n v="893891"/>
        <n v="26763"/>
        <n v="58116"/>
        <n v="47442"/>
        <n v="56227"/>
        <n v="614334"/>
        <n v="31567"/>
        <n v="35352"/>
        <n v="130179"/>
        <n v="56364"/>
        <n v="147394"/>
        <n v="35269"/>
        <n v="104936"/>
        <n v="97360"/>
        <n v="33780"/>
        <n v="365119"/>
        <n v="620290"/>
        <n v="24824"/>
        <n v="56937"/>
        <n v="102021"/>
        <n v="92439"/>
        <n v="27814"/>
        <n v="77460"/>
        <n v="127190"/>
        <n v="126870"/>
        <n v="83590"/>
        <n v="94340"/>
        <n v="524196"/>
        <n v="85815"/>
        <n v="79293"/>
        <n v="41521"/>
        <n v="43949"/>
        <n v="68485"/>
        <n v="31687"/>
        <n v="24686"/>
        <n v="33280"/>
        <n v="46385"/>
        <n v="215115"/>
        <n v="24805"/>
        <n v="88079"/>
        <n v="24516"/>
        <n v="45457"/>
        <n v="534701"/>
        <n v="49070"/>
        <n v="540406"/>
        <n v="113126"/>
        <n v="27679"/>
        <n v="218646"/>
        <n v="25162"/>
        <n v="40666"/>
        <n v="112361"/>
        <n v="45582"/>
        <n v="32777"/>
        <n v="101766"/>
        <n v="91529"/>
        <n v="531904"/>
        <n v="24736"/>
        <n v="553739"/>
        <n v="109912"/>
        <n v="274095"/>
        <n v="26906"/>
        <n v="28623"/>
        <n v="659972"/>
        <n v="29998"/>
        <n v="210448"/>
        <n v="623694"/>
        <n v="113869"/>
        <n v="588205"/>
        <n v="653769"/>
        <n v="90666"/>
        <n v="50970"/>
        <n v="92294"/>
        <n v="538163"/>
        <n v="39483"/>
        <n v="92141"/>
        <n v="40355"/>
        <n v="31939"/>
        <n v="1279034"/>
        <n v="27390"/>
        <n v="95759"/>
        <n v="181110"/>
        <n v="88935"/>
        <n v="534086"/>
        <n v="1076102"/>
        <n v="96145"/>
        <n v="25857"/>
        <n v="35790"/>
        <n v="168402"/>
        <n v="72516"/>
        <n v="987934"/>
        <n v="89096"/>
        <n v="33600"/>
        <n v="24398"/>
        <n v="92628"/>
        <n v="30620"/>
        <n v="1257017"/>
        <n v="25033"/>
        <n v="71968"/>
        <n v="132228"/>
        <n v="40677"/>
        <n v="39684"/>
        <n v="103071"/>
        <n v="49696"/>
        <n v="36289"/>
        <n v="74493"/>
        <n v="236542"/>
        <n v="155412"/>
        <n v="26685"/>
        <n v="41078"/>
        <n v="519565"/>
        <n v="73298"/>
        <n v="82776"/>
        <n v="98597"/>
        <n v="101061"/>
        <n v="1194853"/>
        <n v="135567"/>
        <n v="89489"/>
        <n v="96186"/>
        <n v="648754"/>
        <n v="75926"/>
        <n v="84837"/>
        <n v="39539"/>
        <n v="552001"/>
        <n v="237570"/>
        <n v="91234"/>
        <n v="24655"/>
        <n v="125146"/>
        <n v="58797"/>
        <n v="89038"/>
        <n v="39162"/>
        <n v="154874"/>
        <n v="157265"/>
        <n v="48633"/>
        <n v="546175"/>
        <n v="45164"/>
        <n v="35761"/>
        <n v="207234"/>
        <n v="24751"/>
        <n v="45801"/>
        <n v="64979"/>
        <n v="507068"/>
        <n v="664996"/>
        <n v="124669"/>
        <n v="128697"/>
        <n v="77858"/>
        <n v="46018"/>
        <n v="32685"/>
        <n v="33097"/>
        <n v="37243"/>
        <n v="1148000"/>
        <n v="33887"/>
        <n v="89396"/>
        <n v="49755"/>
        <n v="100456"/>
        <n v="142252"/>
        <n v="32353"/>
        <n v="24452"/>
        <n v="35638"/>
        <n v="92435"/>
        <n v="35932"/>
        <n v="39441"/>
        <n v="29553"/>
        <n v="32565"/>
        <n v="107897"/>
        <n v="33404"/>
        <n v="1432023"/>
        <n v="63281"/>
        <n v="604544"/>
        <n v="385176"/>
        <n v="90817"/>
        <n v="71101"/>
        <n v="94060"/>
        <n v="28442"/>
        <n v="640279"/>
        <n v="192730"/>
        <n v="45178"/>
        <n v="107073"/>
        <n v="89655"/>
        <n v="48917"/>
        <n v="99599"/>
        <n v="526492"/>
        <n v="24475"/>
        <n v="327658"/>
        <n v="52264"/>
        <n v="644984"/>
        <n v="94508"/>
        <n v="111258"/>
        <n v="527758"/>
        <n v="33548"/>
        <n v="234356"/>
        <n v="102360"/>
        <n v="44338"/>
        <n v="48822"/>
        <n v="39237"/>
        <n v="178597"/>
        <n v="76420"/>
        <n v="27303"/>
        <n v="79080"/>
        <n v="27458"/>
        <n v="73185"/>
        <n v="24509"/>
        <n v="109671"/>
        <n v="71300"/>
        <n v="24446"/>
        <n v="42620"/>
        <n v="531292"/>
        <n v="52767"/>
        <n v="74281"/>
        <n v="24648"/>
        <n v="573510"/>
        <n v="39140"/>
        <n v="260144"/>
        <n v="32091"/>
        <n v="89972"/>
        <n v="119057"/>
        <n v="118282"/>
        <n v="24634"/>
        <n v="33477"/>
        <n v="86807"/>
        <n v="39631"/>
        <n v="133820"/>
        <n v="108055"/>
        <n v="42122"/>
        <n v="27040"/>
        <n v="92929"/>
        <n v="134617"/>
        <n v="24124"/>
        <n v="139578"/>
        <n v="43239"/>
        <n v="24470"/>
        <n v="26990"/>
        <n v="74160"/>
        <n v="115323"/>
        <n v="44059"/>
        <n v="90355"/>
        <n v="33470"/>
        <n v="45860"/>
        <n v="91824"/>
        <n v="76587"/>
        <n v="611563"/>
        <n v="31562"/>
        <n v="75493"/>
        <n v="103859"/>
        <n v="75787"/>
        <n v="102493"/>
        <n v="24292"/>
        <n v="254347"/>
        <n v="26548"/>
        <n v="532973"/>
        <n v="189760"/>
        <n v="509670"/>
        <n v="52868"/>
        <n v="84155"/>
        <n v="32922"/>
        <n v="49452"/>
        <n v="37619"/>
        <n v="31387"/>
        <n v="90556"/>
        <n v="1616421"/>
        <n v="24673"/>
        <n v="113497"/>
        <n v="39028"/>
        <n v="88264"/>
        <n v="88571"/>
        <n v="43533"/>
        <n v="99562"/>
        <n v="34879"/>
        <n v="26292"/>
        <n v="978761"/>
        <n v="39214"/>
        <n v="170186"/>
        <n v="93482"/>
        <n v="39336"/>
        <n v="35208"/>
        <n v="24460"/>
        <n v="73401"/>
        <n v="81009"/>
        <n v="99299"/>
        <n v="34553"/>
        <n v="512405"/>
        <n v="62340"/>
        <n v="40870"/>
        <n v="39417"/>
        <n v="34157"/>
        <n v="92766"/>
        <n v="89733"/>
        <n v="125170"/>
        <n v="107614"/>
        <n v="32964"/>
        <n v="151690"/>
        <n v="188921"/>
        <n v="90904"/>
        <n v="181678"/>
        <n v="24464"/>
        <n v="105935"/>
        <n v="63900"/>
        <n v="94103"/>
        <n v="1046939"/>
        <n v="34448"/>
        <n v="650306"/>
        <n v="36067"/>
        <n v="40561"/>
        <n v="143394"/>
        <n v="132699"/>
        <n v="62283"/>
        <n v="92082"/>
        <n v="107885"/>
        <n v="70306"/>
        <n v="42041"/>
        <n v="35729"/>
        <n v="107080"/>
        <n v="73789"/>
        <n v="74841"/>
        <n v="1181533"/>
        <n v="25326"/>
        <n v="33231"/>
        <n v="542688"/>
        <n v="178794"/>
        <n v="121592"/>
        <n v="419282"/>
        <n v="125403"/>
        <n v="109056"/>
        <n v="110064"/>
        <n v="91467"/>
        <n v="93466"/>
        <n v="37394"/>
        <n v="170936"/>
        <n v="127872"/>
        <n v="75414"/>
        <n v="40317"/>
        <n v="129368"/>
        <n v="37622"/>
        <n v="34672"/>
        <n v="246752"/>
        <n v="25467"/>
        <n v="175617"/>
        <n v="38643"/>
        <n v="668131"/>
        <n v="89422"/>
        <n v="284806"/>
        <n v="32022"/>
        <n v="97719"/>
        <n v="76086"/>
        <n v="617241"/>
        <n v="40183"/>
        <n v="121679"/>
        <n v="63251"/>
        <n v="75004"/>
        <n v="127602"/>
        <n v="76784"/>
        <n v="107930"/>
        <n v="42597"/>
        <n v="514722"/>
        <n v="105017"/>
        <n v="42287"/>
        <n v="137833"/>
        <n v="24080"/>
        <n v="116024"/>
        <n v="37995"/>
        <n v="570386"/>
        <n v="32398"/>
        <n v="584290"/>
        <n v="241512"/>
        <n v="73661"/>
        <n v="151855"/>
        <n v="92531"/>
        <n v="51599"/>
        <n v="24593"/>
        <n v="71806"/>
        <n v="27140"/>
        <n v="36709"/>
        <n v="108712"/>
        <n v="33018"/>
        <n v="33625"/>
        <n v="66724"/>
        <n v="36826"/>
        <n v="353270"/>
        <n v="119967"/>
        <n v="31672"/>
        <n v="55052"/>
        <n v="31598"/>
        <n v="92044"/>
        <n v="40251"/>
        <n v="41269"/>
        <n v="32808"/>
        <n v="32543"/>
        <n v="1165954"/>
        <n v="33129"/>
        <n v="599179"/>
        <n v="26174"/>
        <n v="162718"/>
        <n v="684647"/>
        <n v="533523"/>
        <n v="1387913"/>
        <n v="129750"/>
        <n v="44003"/>
        <n v="1059836"/>
        <n v="31095"/>
        <n v="61336"/>
        <n v="67514"/>
        <n v="175134"/>
        <n v="37697"/>
        <n v="45447"/>
        <n v="314424"/>
        <n v="99511"/>
        <n v="90346"/>
        <n v="34510"/>
        <n v="39376"/>
        <n v="47848"/>
        <n v="214640"/>
        <n v="100910"/>
        <n v="64181"/>
        <n v="24612"/>
        <n v="517086"/>
        <n v="59028"/>
        <n v="26860"/>
        <n v="48295"/>
        <n v="39287"/>
        <n v="31106"/>
        <n v="30106"/>
        <n v="117430"/>
        <n v="73215"/>
        <n v="39089"/>
        <n v="74610"/>
        <n v="34769"/>
        <n v="30320"/>
        <n v="89580"/>
        <n v="210867"/>
        <n v="33207"/>
        <n v="39635"/>
        <n v="82757"/>
        <n v="29835"/>
        <n v="119848"/>
        <n v="280996"/>
        <n v="38227"/>
        <n v="545222"/>
        <n v="44762"/>
        <n v="102426"/>
        <n v="204950"/>
        <n v="89345"/>
        <n v="33852"/>
        <n v="32284"/>
        <n v="77142"/>
        <n v="541142"/>
        <n v="40087"/>
        <n v="30671"/>
        <n v="34140"/>
        <n v="30936"/>
        <n v="37001"/>
        <n v="646969"/>
        <n v="40425"/>
        <n v="39261"/>
        <n v="81874"/>
        <n v="99806"/>
        <n v="89406"/>
        <n v="28858"/>
        <n v="38015"/>
        <n v="91185"/>
        <n v="32548"/>
        <n v="544398"/>
        <n v="562883"/>
        <n v="265014"/>
        <n v="98632"/>
        <n v="243499"/>
        <n v="31636"/>
        <n v="40343"/>
        <n v="24489"/>
        <n v="254572"/>
        <n v="59342"/>
        <n v="91051"/>
        <n v="227597"/>
        <n v="81540"/>
        <n v="77839"/>
        <n v="51071"/>
        <n v="117767"/>
        <n v="105830"/>
        <n v="156736"/>
        <n v="131729"/>
        <n v="724665"/>
        <n v="1221600"/>
        <n v="44900"/>
        <n v="49241"/>
        <n v="25083"/>
        <n v="46831"/>
        <n v="26383"/>
        <n v="641809"/>
        <n v="79968"/>
        <n v="122939"/>
        <n v="541869"/>
        <n v="165568"/>
        <n v="535220"/>
        <n v="528906"/>
        <n v="100114"/>
        <n v="47217"/>
        <n v="266646"/>
        <n v="35274"/>
        <n v="40075"/>
        <n v="36941"/>
        <n v="26586"/>
        <n v="161164"/>
        <n v="33016"/>
        <n v="37479"/>
        <n v="530682"/>
        <n v="37227"/>
        <n v="31377"/>
        <n v="111518"/>
        <n v="186304"/>
        <n v="109729"/>
        <n v="172845"/>
        <n v="32409"/>
        <n v="48067"/>
        <n v="196498"/>
        <n v="129048"/>
        <n v="652046"/>
        <n v="35155"/>
        <n v="33360"/>
        <n v="41738"/>
        <n v="146538"/>
        <n v="110797"/>
        <n v="307403"/>
        <n v="24027"/>
        <n v="655822"/>
        <n v="26485"/>
        <n v="109218"/>
        <n v="24842"/>
        <n v="99220"/>
        <n v="277043"/>
        <n v="36490"/>
        <n v="111576"/>
        <n v="46695"/>
        <n v="37238"/>
        <n v="125545"/>
        <n v="72470"/>
        <n v="101446"/>
        <n v="39363"/>
        <n v="31714"/>
        <n v="34876"/>
        <n v="32602"/>
        <n v="167788"/>
        <n v="90487"/>
        <n v="221917"/>
        <n v="24486"/>
        <n v="33793"/>
        <n v="114456"/>
        <n v="27250"/>
        <n v="39420"/>
        <n v="90116"/>
        <n v="72503"/>
        <n v="24877"/>
        <n v="631303"/>
        <n v="54236"/>
        <n v="32449"/>
        <n v="102168"/>
        <n v="24721"/>
        <n v="66092"/>
        <n v="1207003"/>
        <n v="536622"/>
        <n v="829865"/>
        <n v="88375"/>
        <n v="1335903"/>
        <n v="24542"/>
        <n v="67903"/>
        <n v="29740"/>
        <n v="106855"/>
        <n v="110407"/>
        <n v="32713"/>
        <n v="90486"/>
        <n v="70076"/>
        <n v="1827674"/>
        <n v="33411"/>
        <n v="24777"/>
        <n v="548376"/>
        <n v="32757"/>
        <n v="91732"/>
        <n v="139168"/>
        <n v="31666"/>
        <n v="26205"/>
        <n v="68439"/>
        <n v="87155"/>
        <n v="558425"/>
        <n v="93885"/>
        <n v="32190"/>
        <n v="29770"/>
        <n v="39123"/>
        <n v="39800"/>
        <n v="695615"/>
        <n v="47898"/>
        <n v="24575"/>
        <n v="24472"/>
        <n v="550760"/>
        <n v="75322"/>
        <n v="73575"/>
        <n v="506745"/>
        <n v="38636"/>
        <n v="207114"/>
        <n v="108176"/>
        <n v="94919"/>
        <n v="41351"/>
        <n v="44363"/>
        <n v="94229"/>
        <n v="69457"/>
        <n v="38173"/>
        <n v="1033219"/>
        <n v="101762"/>
        <n v="114339"/>
        <n v="106580"/>
        <n v="108308"/>
        <n v="37746"/>
        <n v="224760"/>
        <n v="70650"/>
        <n v="46481"/>
        <n v="33956"/>
        <n v="24430"/>
        <n v="91121"/>
        <n v="30308"/>
        <n v="24710"/>
        <n v="136458"/>
        <n v="75689"/>
        <n v="96593"/>
        <n v="125984"/>
        <n v="576831"/>
        <n v="65885"/>
        <n v="106946"/>
        <n v="112371"/>
        <n v="38626"/>
        <n v="33710"/>
        <n v="567313"/>
        <n v="24695"/>
        <n v="1127960"/>
        <n v="34344"/>
        <n v="350842"/>
        <n v="135521"/>
        <n v="70859"/>
        <n v="31696"/>
        <n v="814632"/>
        <n v="90262"/>
        <n v="324620"/>
        <n v="99842"/>
        <n v="272185"/>
        <n v="39507"/>
        <n v="107855"/>
        <n v="34246"/>
        <n v="535909"/>
        <n v="90975"/>
        <n v="43523"/>
        <n v="34398"/>
        <n v="26811"/>
        <n v="34669"/>
        <n v="38192"/>
        <n v="39394"/>
        <n v="160183"/>
        <n v="193516"/>
        <n v="26513"/>
        <n v="89403"/>
        <n v="122014"/>
        <n v="26322"/>
        <n v="50056"/>
        <n v="35466"/>
        <n v="45965"/>
        <n v="39878"/>
        <n v="131081"/>
        <n v="1530109"/>
        <n v="386715"/>
        <n v="60107"/>
        <n v="33861"/>
        <n v="25995"/>
        <n v="103457"/>
        <n v="879918"/>
        <n v="90426"/>
        <n v="68264"/>
        <n v="32248"/>
        <n v="77612"/>
        <n v="745375"/>
        <n v="41147"/>
        <n v="38070"/>
        <n v="98738"/>
        <n v="34446"/>
        <n v="547298"/>
        <n v="108868"/>
        <n v="34979"/>
        <n v="33352"/>
        <n v="69301"/>
        <n v="167682"/>
        <n v="139528"/>
        <n v="121106"/>
        <n v="80480"/>
        <n v="168393"/>
        <n v="105323"/>
        <n v="46578"/>
        <n v="147702"/>
        <n v="91300"/>
        <n v="82036"/>
        <n v="32274"/>
        <n v="529533"/>
        <n v="40003"/>
        <n v="26624"/>
        <n v="31452"/>
        <n v="527182"/>
        <n v="65150"/>
        <n v="31954"/>
        <n v="32734"/>
        <n v="79541"/>
        <n v="26217"/>
        <n v="797277"/>
        <n v="210412"/>
        <n v="37341"/>
        <n v="74031"/>
        <n v="34773"/>
        <n v="67857"/>
        <n v="26264"/>
        <n v="75470"/>
        <n v="31883"/>
        <n v="1110584"/>
        <n v="86242"/>
        <n v="45631"/>
        <n v="24536"/>
        <n v="36376"/>
        <n v="39930"/>
        <n v="99368"/>
        <n v="47243"/>
        <n v="249126"/>
        <n v="69960"/>
        <n v="78851"/>
        <n v="54957"/>
        <n v="39763"/>
        <n v="108436"/>
        <n v="606382"/>
        <n v="1093280"/>
        <n v="24605"/>
        <n v="34286"/>
        <n v="556867"/>
        <n v="73481"/>
        <n v="115507"/>
        <n v="122951"/>
        <n v="538932"/>
        <n v="73343"/>
        <n v="39568"/>
        <n v="24581"/>
        <n v="105504"/>
        <n v="33091"/>
        <n v="918456"/>
        <n v="707592"/>
        <n v="110250"/>
        <n v="32320"/>
        <n v="78419"/>
        <n v="130589"/>
        <n v="48719"/>
        <n v="26947"/>
        <n v="95327"/>
        <n v="36276"/>
        <n v="37169"/>
        <n v="107178"/>
        <n v="46947"/>
        <n v="46231"/>
        <n v="108550"/>
        <n v="91431"/>
        <n v="203492"/>
        <n v="35521"/>
        <n v="38433"/>
        <n v="112078"/>
        <n v="91930"/>
        <n v="118225"/>
        <n v="79625"/>
        <n v="24344"/>
        <n v="23887"/>
        <n v="93079"/>
        <n v="32241"/>
        <n v="39752"/>
        <n v="74402"/>
        <n v="114875"/>
        <n v="505147"/>
        <n v="24971"/>
        <n v="101225"/>
        <n v="60117"/>
        <n v="91630"/>
        <n v="57295"/>
        <n v="172892"/>
        <n v="104020"/>
        <n v="105610"/>
        <n v="48264"/>
        <n v="75636"/>
        <n v="43032"/>
        <n v="99854"/>
        <n v="41725"/>
        <n v="38897"/>
        <n v="128173"/>
        <n v="24502"/>
        <n v="505372"/>
        <n v="638877"/>
        <n v="32492"/>
        <n v="77824"/>
        <n v="88222"/>
        <n v="85278"/>
        <n v="128154"/>
        <n v="31447"/>
        <n v="45707"/>
      </sharedItems>
    </cacheField>
    <cacheField name="Population Vaccinated" numFmtId="0">
      <sharedItems containsSemiMixedTypes="0" containsString="0" containsNumber="1" containsInteger="1" minValue="0" maxValue="1519169" count="964">
        <n v="842535"/>
        <n v="125516"/>
        <n v="82126"/>
        <n v="1"/>
        <n v="219416"/>
        <n v="87028"/>
        <n v="81802"/>
        <n v="469462"/>
        <n v="332283"/>
        <n v="52936"/>
        <n v="853931"/>
        <n v="860338"/>
        <n v="52117"/>
        <n v="66009"/>
        <n v="1094752"/>
        <n v="126270"/>
        <n v="1287028"/>
        <n v="332274"/>
        <n v="108405"/>
        <n v="860333"/>
        <n v="131758"/>
        <n v="43361"/>
        <n v="192009"/>
        <n v="97454"/>
        <n v="851689"/>
        <n v="86108"/>
        <n v="82673"/>
        <n v="318707"/>
        <n v="0"/>
        <n v="277895"/>
        <n v="868337"/>
        <n v="125154"/>
        <n v="11381"/>
        <n v="81025"/>
        <n v="429933"/>
        <n v="44044"/>
        <n v="43398"/>
        <n v="860315"/>
        <n v="125723"/>
        <n v="80849"/>
        <n v="191460"/>
        <n v="51564"/>
        <n v="82668"/>
        <n v="145752"/>
        <n v="709078"/>
        <n v="11658"/>
        <n v="43362"/>
        <n v="82644"/>
        <n v="860304"/>
        <n v="11377"/>
        <n v="281885"/>
        <n v="90284"/>
        <n v="83661"/>
        <n v="125743"/>
        <n v="125795"/>
        <n v="43421"/>
        <n v="125727"/>
        <n v="43414"/>
        <n v="14053"/>
        <n v="1483650"/>
        <n v="276754"/>
        <n v="298401"/>
        <n v="157818"/>
        <n v="278395"/>
        <n v="125729"/>
        <n v="125728"/>
        <n v="288118"/>
        <n v="43409"/>
        <n v="270486"/>
        <n v="86208"/>
        <n v="80665"/>
        <n v="291909"/>
        <n v="125733"/>
        <n v="24556"/>
        <n v="40458"/>
        <n v="213529"/>
        <n v="95178"/>
        <n v="910869"/>
        <n v="278402"/>
        <n v="1519169"/>
        <n v="908056"/>
        <n v="289629"/>
        <n v="86264"/>
        <n v="86525"/>
        <n v="294901"/>
        <n v="82680"/>
        <n v="129677"/>
        <n v="214135"/>
        <n v="53008"/>
        <n v="11483"/>
        <n v="95783"/>
        <n v="45341"/>
        <n v="278749"/>
        <n v="125709"/>
        <n v="85405"/>
        <n v="125745"/>
        <n v="213785"/>
        <n v="11384"/>
        <n v="287056"/>
        <n v="282729"/>
        <n v="43326"/>
        <n v="11383"/>
        <n v="43410"/>
        <n v="275892"/>
        <n v="213642"/>
        <n v="256042"/>
        <n v="80867"/>
        <n v="850149"/>
        <n v="277305"/>
        <n v="288634"/>
        <n v="860278"/>
        <n v="11583"/>
        <n v="136888"/>
        <n v="214134"/>
        <n v="81441"/>
        <n v="527699"/>
        <n v="1510653"/>
        <n v="361224"/>
        <n v="300501"/>
        <n v="47959"/>
        <n v="49260"/>
        <n v="194317"/>
        <n v="278946"/>
        <n v="212127"/>
        <n v="11367"/>
        <n v="50911"/>
        <n v="94665"/>
        <n v="225478"/>
        <n v="43494"/>
        <n v="43431"/>
        <n v="36868"/>
        <n v="285632"/>
        <n v="1241729"/>
        <n v="245040"/>
        <n v="855718"/>
        <n v="43394"/>
        <n v="90674"/>
        <n v="89156"/>
        <n v="858035"/>
        <n v="105995"/>
        <n v="107854"/>
        <n v="12088"/>
        <n v="82681"/>
        <n v="87751"/>
        <n v="95886"/>
        <n v="1247588"/>
        <n v="52266"/>
        <n v="82330"/>
        <n v="93140"/>
        <n v="95932"/>
        <n v="463639"/>
        <n v="143917"/>
        <n v="221043"/>
        <n v="533019"/>
        <n v="86505"/>
        <n v="11946"/>
        <n v="277757"/>
        <n v="49691"/>
        <n v="218010"/>
        <n v="86575"/>
        <n v="72763"/>
        <n v="214617"/>
        <n v="51912"/>
        <n v="841160"/>
        <n v="215581"/>
        <n v="122640"/>
        <n v="92456"/>
        <n v="125409"/>
        <n v="130098"/>
        <n v="218922"/>
        <n v="215928"/>
        <n v="86190"/>
        <n v="528608"/>
        <n v="194208"/>
        <n v="438852"/>
        <n v="14574"/>
        <n v="859628"/>
        <n v="86332"/>
        <n v="82672"/>
        <n v="520775"/>
        <n v="43379"/>
        <n v="82574"/>
        <n v="276645"/>
        <n v="182996"/>
        <n v="11637"/>
        <n v="860669"/>
        <n v="313568"/>
        <n v="24945"/>
        <n v="86182"/>
        <n v="213351"/>
        <n v="846709"/>
        <n v="212510"/>
        <n v="86072"/>
        <n v="845220"/>
        <n v="287869"/>
        <n v="86398"/>
        <n v="125718"/>
        <n v="278401"/>
        <n v="142268"/>
        <n v="862137"/>
        <n v="860292"/>
        <n v="52760"/>
        <n v="43350"/>
        <n v="193586"/>
        <n v="82035"/>
        <n v="82312"/>
        <n v="213123"/>
        <n v="11373"/>
        <n v="86574"/>
        <n v="841554"/>
        <n v="85762"/>
        <n v="277226"/>
        <n v="64465"/>
        <n v="316026"/>
        <n v="214123"/>
        <n v="125536"/>
        <n v="125722"/>
        <n v="14818"/>
        <n v="14172"/>
        <n v="82652"/>
        <n v="88478"/>
        <n v="43375"/>
        <n v="221200"/>
        <n v="1465628"/>
        <n v="123661"/>
        <n v="131079"/>
        <n v="1498444"/>
        <n v="241221"/>
        <n v="125730"/>
        <n v="86583"/>
        <n v="86509"/>
        <n v="901409"/>
        <n v="211921"/>
        <n v="86566"/>
        <n v="328443"/>
        <n v="278257"/>
        <n v="86480"/>
        <n v="278159"/>
        <n v="215294"/>
        <n v="85550"/>
        <n v="125287"/>
        <n v="86577"/>
        <n v="140906"/>
        <n v="124678"/>
        <n v="39779"/>
        <n v="20693"/>
        <n v="277548"/>
        <n v="134524"/>
        <n v="450450"/>
        <n v="214137"/>
        <n v="43416"/>
        <n v="94857"/>
        <n v="881598"/>
        <n v="22679"/>
        <n v="211472"/>
        <n v="12179"/>
        <n v="43385"/>
        <n v="93497"/>
        <n v="179075"/>
        <n v="17479"/>
        <n v="396727"/>
        <n v="132464"/>
        <n v="82670"/>
        <n v="125268"/>
        <n v="346990"/>
        <n v="86371"/>
        <n v="278312"/>
        <n v="905646"/>
        <n v="322178"/>
        <n v="92093"/>
        <n v="1058475"/>
        <n v="105452"/>
        <n v="86496"/>
        <n v="254744"/>
        <n v="326932"/>
        <n v="1383374"/>
        <n v="13025"/>
        <n v="160017"/>
        <n v="48816"/>
        <n v="107530"/>
        <n v="850591"/>
        <n v="86534"/>
        <n v="87164"/>
        <n v="285512"/>
        <n v="133667"/>
        <n v="24009"/>
        <n v="125391"/>
        <n v="278564"/>
        <n v="218531"/>
        <n v="125603"/>
        <n v="238588"/>
        <n v="856799"/>
        <n v="206986"/>
        <n v="93311"/>
        <n v="213184"/>
        <n v="19309"/>
        <n v="331279"/>
        <n v="279873"/>
        <n v="279406"/>
        <n v="212234"/>
        <n v="215224"/>
        <n v="860280"/>
        <n v="69935"/>
        <n v="212935"/>
        <n v="128806"/>
        <n v="192863"/>
        <n v="86573"/>
        <n v="45832"/>
        <n v="275913"/>
        <n v="11369"/>
        <n v="211686"/>
        <n v="43539"/>
        <n v="860357"/>
        <n v="54948"/>
        <n v="859347"/>
        <n v="277262"/>
        <n v="18306"/>
        <n v="272102"/>
        <n v="43359"/>
        <n v="277385"/>
        <n v="43748"/>
        <n v="86544"/>
        <n v="279203"/>
        <n v="82191"/>
        <n v="860327"/>
        <n v="11376"/>
        <n v="854331"/>
        <n v="278121"/>
        <n v="132496"/>
        <n v="13471"/>
        <n v="29758"/>
        <n v="904268"/>
        <n v="125698"/>
        <n v="859285"/>
        <n v="277097"/>
        <n v="843467"/>
        <n v="896402"/>
        <n v="82678"/>
        <n v="69775"/>
        <n v="81623"/>
        <n v="860165"/>
        <n v="43434"/>
        <n v="81692"/>
        <n v="95758"/>
        <n v="125717"/>
        <n v="1158544"/>
        <n v="16013"/>
        <n v="216738"/>
        <n v="452975"/>
        <n v="82498"/>
        <n v="860351"/>
        <n v="1450111"/>
        <n v="84646"/>
        <n v="11380"/>
        <n v="89217"/>
        <n v="134446"/>
        <n v="187809"/>
        <n v="1507974"/>
        <n v="82596"/>
        <n v="86240"/>
        <n v="11382"/>
        <n v="81328"/>
        <n v="125775"/>
        <n v="1201445"/>
        <n v="214276"/>
        <n v="46476"/>
        <n v="126700"/>
        <n v="43437"/>
        <n v="91818"/>
        <n v="165132"/>
        <n v="44240"/>
        <n v="236566"/>
        <n v="166702"/>
        <n v="12893"/>
        <n v="127792"/>
        <n v="861107"/>
        <n v="214129"/>
        <n v="212328"/>
        <n v="88329"/>
        <n v="94369"/>
        <n v="1348222"/>
        <n v="295387"/>
        <n v="82669"/>
        <n v="217174"/>
        <n v="888946"/>
        <n v="213911"/>
        <n v="325536"/>
        <n v="854759"/>
        <n v="516114"/>
        <n v="82443"/>
        <n v="50035"/>
        <n v="223663"/>
        <n v="211579"/>
        <n v="305350"/>
        <n v="308782"/>
        <n v="52066"/>
        <n v="856948"/>
        <n v="43419"/>
        <n v="125353"/>
        <n v="80426"/>
        <n v="11374"/>
        <n v="44391"/>
        <n v="99081"/>
        <n v="862707"/>
        <n v="907380"/>
        <n v="276027"/>
        <n v="282377"/>
        <n v="213199"/>
        <n v="104354"/>
        <n v="86582"/>
        <n v="86429"/>
        <n v="44248"/>
        <n v="1398829"/>
        <n v="86131"/>
        <n v="59749"/>
        <n v="94553"/>
        <n v="308500"/>
        <n v="88571"/>
        <n v="81534"/>
        <n v="89736"/>
        <n v="43800"/>
        <n v="74396"/>
        <n v="125694"/>
        <n v="822199"/>
        <n v="101846"/>
        <n v="842367"/>
        <n v="47882"/>
        <n v="82677"/>
        <n v="190176"/>
        <n v="214919"/>
        <n v="27803"/>
        <n v="874417"/>
        <n v="502972"/>
        <n v="138856"/>
        <n v="304806"/>
        <n v="54022"/>
        <n v="91151"/>
        <n v="860284"/>
        <n v="65029"/>
        <n v="79022"/>
        <n v="883996"/>
        <n v="81111"/>
        <n v="277686"/>
        <n v="860290"/>
        <n v="125665"/>
        <n v="66383"/>
        <n v="92950"/>
        <n v="136052"/>
        <n v="53213"/>
        <n v="43418"/>
        <n v="304724"/>
        <n v="213693"/>
        <n v="15497"/>
        <n v="330032"/>
        <n v="16677"/>
        <n v="214126"/>
        <n v="68864"/>
        <n v="214478"/>
        <n v="43357"/>
        <n v="860318"/>
        <n v="184203"/>
        <n v="183897"/>
        <n v="847144"/>
        <n v="43415"/>
        <n v="501004"/>
        <n v="276343"/>
        <n v="13905"/>
        <n v="125679"/>
        <n v="152729"/>
        <n v="292802"/>
        <n v="26360"/>
        <n v="13879"/>
        <n v="81116"/>
        <n v="294114"/>
        <n v="11521"/>
        <n v="302103"/>
        <n v="133132"/>
        <n v="13754"/>
        <n v="214139"/>
        <n v="59100"/>
        <n v="135237"/>
        <n v="140945"/>
        <n v="86275"/>
        <n v="44684"/>
        <n v="81940"/>
        <n v="213618"/>
        <n v="848751"/>
        <n v="53137"/>
        <n v="214091"/>
        <n v="89867"/>
        <n v="213968"/>
        <n v="279053"/>
        <n v="11411"/>
        <n v="182708"/>
        <n v="12467"/>
        <n v="860337"/>
        <n v="487368"/>
        <n v="862682"/>
        <n v="86648"/>
        <n v="160587"/>
        <n v="86490"/>
        <n v="57654"/>
        <n v="94445"/>
        <n v="53047"/>
        <n v="82682"/>
        <n v="475163"/>
        <n v="11378"/>
        <n v="277193"/>
        <n v="81816"/>
        <n v="82151"/>
        <n v="133809"/>
        <n v="279385"/>
        <n v="125419"/>
        <n v="11735"/>
        <n v="1496643"/>
        <n v="43417"/>
        <n v="312457"/>
        <n v="214304"/>
        <n v="43424"/>
        <n v="85939"/>
        <n v="214130"/>
        <n v="212601"/>
        <n v="90057"/>
        <n v="85923"/>
        <n v="862552"/>
        <n v="258308"/>
        <n v="127180"/>
        <n v="125139"/>
        <n v="86027"/>
        <n v="81208"/>
        <n v="67504"/>
        <n v="276368"/>
        <n v="300768"/>
        <n v="294893"/>
        <n v="211667"/>
        <n v="301822"/>
        <n v="91962"/>
        <n v="193739"/>
        <n v="80652"/>
        <n v="1475716"/>
        <n v="49247"/>
        <n v="891088"/>
        <n v="125335"/>
        <n v="37144"/>
        <n v="290611"/>
        <n v="193295"/>
        <n v="212811"/>
        <n v="48259"/>
        <n v="191132"/>
        <n v="43328"/>
        <n v="45820"/>
        <n v="278396"/>
        <n v="1367281"/>
        <n v="11370"/>
        <n v="86353"/>
        <n v="858373"/>
        <n v="270415"/>
        <n v="148748"/>
        <n v="276779"/>
        <n v="278072"/>
        <n v="82250"/>
        <n v="80777"/>
        <n v="44197"/>
        <n v="280840"/>
        <n v="181840"/>
        <n v="43381"/>
        <n v="283855"/>
        <n v="44141"/>
        <n v="85875"/>
        <n v="207387"/>
        <n v="307962"/>
        <n v="43457"/>
        <n v="908622"/>
        <n v="473790"/>
        <n v="86946"/>
        <n v="213847"/>
        <n v="853308"/>
        <n v="43393"/>
        <n v="248007"/>
        <n v="193577"/>
        <n v="214136"/>
        <n v="280376"/>
        <n v="213571"/>
        <n v="278403"/>
        <n v="97526"/>
        <n v="862266"/>
        <n v="308063"/>
        <n v="130631"/>
        <n v="299049"/>
        <n v="11553"/>
        <n v="239720"/>
        <n v="43884"/>
        <n v="848167"/>
        <n v="125726"/>
        <n v="844343"/>
        <n v="225206"/>
        <n v="83778"/>
        <n v="2846"/>
        <n v="81440"/>
        <n v="73634"/>
        <n v="189097"/>
        <n v="14363"/>
        <n v="92398"/>
        <n v="125634"/>
        <n v="194251"/>
        <n v="92726"/>
        <n v="54598"/>
        <n v="276252"/>
        <n v="125732"/>
        <n v="108573"/>
        <n v="86545"/>
        <n v="81778"/>
        <n v="125600"/>
        <n v="128418"/>
        <n v="125744"/>
        <n v="1383641"/>
        <n v="86403"/>
        <n v="840837"/>
        <n v="11409"/>
        <n v="313731"/>
        <n v="914673"/>
        <n v="860344"/>
        <n v="925369"/>
        <n v="284685"/>
        <n v="100652"/>
        <n v="1462025"/>
        <n v="125782"/>
        <n v="102949"/>
        <n v="297169"/>
        <n v="125220"/>
        <n v="140025"/>
        <n v="398788"/>
        <n v="279418"/>
        <n v="82675"/>
        <n v="125451"/>
        <n v="43427"/>
        <n v="152527"/>
        <n v="537114"/>
        <n v="279296"/>
        <n v="100542"/>
        <n v="11385"/>
        <n v="861860"/>
        <n v="168312"/>
        <n v="13328"/>
        <n v="106637"/>
        <n v="43420"/>
        <n v="52895"/>
        <n v="47937"/>
        <n v="276538"/>
        <n v="34683"/>
        <n v="48292"/>
        <n v="49996"/>
        <n v="279504"/>
        <n v="51643"/>
        <n v="95673"/>
        <n v="327000"/>
        <n v="46071"/>
        <n v="54870"/>
        <n v="481217"/>
        <n v="95562"/>
        <n v="857371"/>
        <n v="43407"/>
        <n v="311064"/>
        <n v="82666"/>
        <n v="50423"/>
        <n v="52589"/>
        <n v="213438"/>
        <n v="859045"/>
        <n v="125285"/>
        <n v="52751"/>
        <n v="49948"/>
        <n v="52848"/>
        <n v="42149"/>
        <n v="886432"/>
        <n v="30292"/>
        <n v="166358"/>
        <n v="313577"/>
        <n v="33319"/>
        <n v="38918"/>
        <n v="82489"/>
        <n v="52348"/>
        <n v="857702"/>
        <n v="851081"/>
        <n v="159262"/>
        <n v="61084"/>
        <n v="512355"/>
        <n v="86569"/>
        <n v="125946"/>
        <n v="504735"/>
        <n v="104798"/>
        <n v="82568"/>
        <n v="524734"/>
        <n v="212520"/>
        <n v="175452"/>
        <n v="107463"/>
        <n v="280325"/>
        <n v="278394"/>
        <n v="13"/>
        <n v="288694"/>
        <n v="989128"/>
        <n v="1290050"/>
        <n v="137887"/>
        <n v="56313"/>
        <n v="11368"/>
        <n v="47037"/>
        <n v="12003"/>
        <n v="878533"/>
        <n v="212771"/>
        <n v="11914"/>
        <n v="858761"/>
        <n v="860313"/>
        <n v="279360"/>
        <n v="148975"/>
        <n v="496916"/>
        <n v="86333"/>
        <n v="43402"/>
        <n v="93128"/>
        <n v="12627"/>
        <n v="5"/>
        <n v="86456"/>
        <n v="94246"/>
        <n v="860314"/>
        <n v="44309"/>
        <n v="125742"/>
        <n v="277594"/>
        <n v="101585"/>
        <n v="278197"/>
        <n v="404756"/>
        <n v="86579"/>
        <n v="50646"/>
        <n v="516743"/>
        <n v="283039"/>
        <n v="893938"/>
        <n v="47103"/>
        <n v="51317"/>
        <n v="129197"/>
        <n v="195911"/>
        <n v="277836"/>
        <n v="422678"/>
        <n v="11603"/>
        <n v="898944"/>
        <n v="12274"/>
        <n v="278370"/>
        <n v="220462"/>
        <n v="323733"/>
        <n v="487172"/>
        <n v="91639"/>
        <n v="231646"/>
        <n v="46794"/>
        <n v="125235"/>
        <n v="255939"/>
        <n v="323521"/>
        <n v="94072"/>
        <n v="85807"/>
        <n v="313263"/>
        <n v="211509"/>
        <n v="267760"/>
        <n v="86155"/>
        <n v="287354"/>
        <n v="15168"/>
        <n v="43432"/>
        <n v="865202"/>
        <n v="104235"/>
        <n v="174412"/>
        <n v="86581"/>
        <n v="220893"/>
        <n v="11375"/>
        <n v="285061"/>
        <n v="1324045"/>
        <n v="1210623"/>
        <n v="81993"/>
        <n v="1010820"/>
        <n v="215525"/>
        <n v="125633"/>
        <n v="278397"/>
        <n v="277955"/>
        <n v="125736"/>
        <n v="214953"/>
        <n v="338699"/>
        <n v="86292"/>
        <n v="11372"/>
        <n v="856091"/>
        <n v="125738"/>
        <n v="320054"/>
        <n v="218624"/>
        <n v="86571"/>
        <n v="11466"/>
        <n v="93584"/>
        <n v="211790"/>
        <n v="852606"/>
        <n v="80560"/>
        <n v="125696"/>
        <n v="928537"/>
        <n v="50126"/>
        <n v="855236"/>
        <n v="214133"/>
        <n v="105885"/>
        <n v="125178"/>
        <n v="534216"/>
        <n v="278399"/>
        <n v="81672"/>
        <n v="43349"/>
        <n v="318064"/>
        <n v="215124"/>
        <n v="125196"/>
        <n v="1487228"/>
        <n v="93683"/>
        <n v="276994"/>
        <n v="79595"/>
        <n v="278398"/>
        <n v="94929"/>
        <n v="262359"/>
        <n v="214710"/>
        <n v="46183"/>
        <n v="125555"/>
        <n v="82526"/>
        <n v="296367"/>
        <n v="329389"/>
        <n v="217622"/>
        <n v="277655"/>
        <n v="846073"/>
        <n v="57846"/>
        <n v="194871"/>
        <n v="63443"/>
        <n v="96018"/>
        <n v="125621"/>
        <n v="849096"/>
        <n v="1412725"/>
        <n v="85986"/>
        <n v="287155"/>
        <n v="266118"/>
        <n v="318525"/>
        <n v="1161444"/>
        <n v="366867"/>
        <n v="220707"/>
        <n v="492321"/>
        <n v="43436"/>
        <n v="86007"/>
        <n v="860356"/>
        <n v="82623"/>
        <n v="43397"/>
        <n v="125483"/>
        <n v="13219"/>
        <n v="125434"/>
        <n v="43745"/>
        <n v="43428"/>
        <n v="311808"/>
        <n v="291685"/>
        <n v="12369"/>
        <n v="276030"/>
        <n v="11862"/>
        <n v="62587"/>
        <n v="87908"/>
        <n v="45025"/>
        <n v="43429"/>
        <n v="237808"/>
        <n v="593621"/>
        <n v="193096"/>
        <n v="175204"/>
        <n v="125587"/>
        <n v="90969"/>
        <n v="1338551"/>
        <n v="215430"/>
        <n v="125721"/>
        <n v="213252"/>
        <n v="1023963"/>
        <n v="95325"/>
        <n v="219958"/>
        <n v="85966"/>
        <n v="856543"/>
        <n v="85783"/>
        <n v="86315"/>
        <n v="308448"/>
        <n v="277971"/>
        <n v="276136"/>
        <n v="212671"/>
        <n v="380138"/>
        <n v="53689"/>
        <n v="46462"/>
        <n v="295416"/>
        <n v="82368"/>
        <n v="212422"/>
        <n v="86578"/>
        <n v="12774"/>
        <n v="86469"/>
        <n v="860288"/>
        <n v="194427"/>
        <n v="171129"/>
        <n v="11529"/>
        <n v="1104766"/>
        <n v="535672"/>
        <n v="94014"/>
        <n v="214138"/>
        <n v="85834"/>
        <n v="215628"/>
        <n v="11664"/>
        <n v="79801"/>
        <n v="1424722"/>
        <n v="211934"/>
        <n v="43956"/>
        <n v="91174"/>
        <n v="107437"/>
        <n v="48398"/>
        <n v="508434"/>
        <n v="90234"/>
        <n v="212977"/>
        <n v="111079"/>
        <n v="125132"/>
        <n v="844687"/>
        <n v="1437082"/>
        <n v="125502"/>
        <n v="853365"/>
        <n v="276843"/>
        <n v="275932"/>
        <n v="859890"/>
        <n v="186066"/>
        <n v="222132"/>
        <n v="1426503"/>
        <n v="954511"/>
        <n v="278001"/>
        <n v="213045"/>
        <n v="286382"/>
        <n v="52553"/>
        <n v="13608"/>
        <n v="216374"/>
        <n v="125309"/>
        <n v="93771"/>
        <n v="47490"/>
        <n v="45565"/>
        <n v="212198"/>
        <n v="531626"/>
        <n v="125371"/>
        <n v="95876"/>
        <n v="277463"/>
        <n v="81866"/>
        <n v="276436"/>
        <n v="212863"/>
        <n v="11392"/>
        <n v="11638"/>
        <n v="214025"/>
        <n v="276921"/>
        <n v="862705"/>
        <n v="221226"/>
        <n v="103905"/>
        <n v="82117"/>
        <n v="146087"/>
        <n v="311257"/>
        <n v="278747"/>
        <n v="83554"/>
        <n v="51105"/>
        <n v="214023"/>
        <n v="43378"/>
        <n v="91897"/>
        <n v="43336"/>
        <n v="95971"/>
        <n v="8885"/>
        <n v="862658"/>
        <n v="871208"/>
        <n v="75875"/>
        <n v="81685"/>
        <n v="212032"/>
        <n v="281330"/>
        <n v="86443"/>
        <n v="44146"/>
      </sharedItems>
    </cacheField>
    <cacheField name="Population Boosted" numFmtId="0">
      <sharedItems containsSemiMixedTypes="0" containsString="0" containsNumber="1" containsInteger="1" minValue="0" maxValue="1049342"/>
    </cacheField>
    <cacheField name="Outcome Unvaccinated" numFmtId="0">
      <sharedItems containsSemiMixedTypes="0" containsString="0" containsNumber="1" containsInteger="1" minValue="0" maxValue="19471" count="513">
        <n v="2"/>
        <n v="1"/>
        <n v="0"/>
        <n v="117"/>
        <n v="70"/>
        <n v="582"/>
        <n v="11"/>
        <n v="95"/>
        <n v="18"/>
        <n v="294"/>
        <n v="832"/>
        <n v="171"/>
        <n v="302"/>
        <n v="5"/>
        <n v="1362"/>
        <n v="56"/>
        <n v="13"/>
        <n v="26"/>
        <n v="6"/>
        <n v="37"/>
        <n v="4"/>
        <n v="81"/>
        <n v="134"/>
        <n v="52"/>
        <n v="10"/>
        <n v="77"/>
        <n v="57"/>
        <n v="12"/>
        <n v="2950"/>
        <n v="20"/>
        <n v="88"/>
        <n v="29"/>
        <n v="25"/>
        <n v="8"/>
        <n v="19"/>
        <n v="14"/>
        <n v="15"/>
        <n v="22"/>
        <n v="2446"/>
        <n v="51"/>
        <n v="72"/>
        <n v="98"/>
        <n v="38"/>
        <n v="1434"/>
        <n v="43"/>
        <n v="3"/>
        <n v="21"/>
        <n v="68"/>
        <n v="28"/>
        <n v="154"/>
        <n v="355"/>
        <n v="9"/>
        <n v="287"/>
        <n v="515"/>
        <n v="74"/>
        <n v="290"/>
        <n v="24"/>
        <n v="209"/>
        <n v="119"/>
        <n v="543"/>
        <n v="27"/>
        <n v="1604"/>
        <n v="4224"/>
        <n v="80"/>
        <n v="7"/>
        <n v="124"/>
        <n v="31"/>
        <n v="50"/>
        <n v="667"/>
        <n v="261"/>
        <n v="687"/>
        <n v="30"/>
        <n v="71"/>
        <n v="314"/>
        <n v="126"/>
        <n v="33"/>
        <n v="59"/>
        <n v="142"/>
        <n v="1011"/>
        <n v="312"/>
        <n v="47"/>
        <n v="1033"/>
        <n v="182"/>
        <n v="371"/>
        <n v="108"/>
        <n v="2023"/>
        <n v="210"/>
        <n v="23"/>
        <n v="554"/>
        <n v="569"/>
        <n v="62"/>
        <n v="16"/>
        <n v="259"/>
        <n v="40"/>
        <n v="61"/>
        <n v="214"/>
        <n v="297"/>
        <n v="109"/>
        <n v="3337"/>
        <n v="415"/>
        <n v="187"/>
        <n v="83"/>
        <n v="1748"/>
        <n v="216"/>
        <n v="180"/>
        <n v="394"/>
        <n v="55"/>
        <n v="118"/>
        <n v="1958"/>
        <n v="89"/>
        <n v="150"/>
        <n v="157"/>
        <n v="300"/>
        <n v="123"/>
        <n v="102"/>
        <n v="111"/>
        <n v="401"/>
        <n v="45"/>
        <n v="34"/>
        <n v="143"/>
        <n v="2435"/>
        <n v="1007"/>
        <n v="99"/>
        <n v="195"/>
        <n v="230"/>
        <n v="65"/>
        <n v="198"/>
        <n v="282"/>
        <n v="46"/>
        <n v="170"/>
        <n v="2094"/>
        <n v="343"/>
        <n v="258"/>
        <n v="340"/>
        <n v="17"/>
        <n v="76"/>
        <n v="431"/>
        <n v="35"/>
        <n v="243"/>
        <n v="92"/>
        <n v="107"/>
        <n v="128"/>
        <n v="79"/>
        <n v="162"/>
        <n v="168"/>
        <n v="96"/>
        <n v="696"/>
        <n v="148"/>
        <n v="388"/>
        <n v="235"/>
        <n v="280"/>
        <n v="84"/>
        <n v="2285"/>
        <n v="1239"/>
        <n v="82"/>
        <n v="39"/>
        <n v="90"/>
        <n v="189"/>
        <n v="103"/>
        <n v="299"/>
        <n v="292"/>
        <n v="374"/>
        <n v="790"/>
        <n v="637"/>
        <n v="1577"/>
        <n v="445"/>
        <n v="744"/>
        <n v="742"/>
        <n v="315"/>
        <n v="574"/>
        <n v="75"/>
        <n v="120"/>
        <n v="252"/>
        <n v="550"/>
        <n v="175"/>
        <n v="1247"/>
        <n v="86"/>
        <n v="58"/>
        <n v="1695"/>
        <n v="1379"/>
        <n v="2562"/>
        <n v="260"/>
        <n v="32"/>
        <n v="144"/>
        <n v="326"/>
        <n v="49"/>
        <n v="224"/>
        <n v="93"/>
        <n v="133"/>
        <n v="104"/>
        <n v="349"/>
        <n v="186"/>
        <n v="64"/>
        <n v="163"/>
        <n v="36"/>
        <n v="94"/>
        <n v="151"/>
        <n v="460"/>
        <n v="54"/>
        <n v="130"/>
        <n v="277"/>
        <n v="155"/>
        <n v="1251"/>
        <n v="336"/>
        <n v="69"/>
        <n v="256"/>
        <n v="295"/>
        <n v="459"/>
        <n v="3661"/>
        <n v="2744"/>
        <n v="266"/>
        <n v="41"/>
        <n v="191"/>
        <n v="159"/>
        <n v="246"/>
        <n v="105"/>
        <n v="492"/>
        <n v="465"/>
        <n v="78"/>
        <n v="1110"/>
        <n v="122"/>
        <n v="121"/>
        <n v="173"/>
        <n v="53"/>
        <n v="325"/>
        <n v="320"/>
        <n v="455"/>
        <n v="172"/>
        <n v="146"/>
        <n v="87"/>
        <n v="526"/>
        <n v="73"/>
        <n v="100"/>
        <n v="135"/>
        <n v="1188"/>
        <n v="1212"/>
        <n v="165"/>
        <n v="352"/>
        <n v="250"/>
        <n v="112"/>
        <n v="226"/>
        <n v="359"/>
        <n v="217"/>
        <n v="1101"/>
        <n v="152"/>
        <n v="1740"/>
        <n v="441"/>
        <n v="399"/>
        <n v="2211"/>
        <n v="208"/>
        <n v="91"/>
        <n v="1264"/>
        <n v="313"/>
        <n v="339"/>
        <n v="220"/>
        <n v="42"/>
        <n v="752"/>
        <n v="234"/>
        <n v="365"/>
        <n v="48"/>
        <n v="125"/>
        <n v="44"/>
        <n v="147"/>
        <n v="278"/>
        <n v="2393"/>
        <n v="237"/>
        <n v="393"/>
        <n v="193"/>
        <n v="251"/>
        <n v="267"/>
        <n v="286"/>
        <n v="236"/>
        <n v="274"/>
        <n v="136"/>
        <n v="284"/>
        <n v="450"/>
        <n v="361"/>
        <n v="115"/>
        <n v="200"/>
        <n v="247"/>
        <n v="1285"/>
        <n v="97"/>
        <n v="369"/>
        <n v="367"/>
        <n v="3877"/>
        <n v="424"/>
        <n v="448"/>
        <n v="1481"/>
        <n v="184"/>
        <n v="206"/>
        <n v="307"/>
        <n v="158"/>
        <n v="149"/>
        <n v="468"/>
        <n v="167"/>
        <n v="428"/>
        <n v="131"/>
        <n v="233"/>
        <n v="484"/>
        <n v="1009"/>
        <n v="63"/>
        <n v="357"/>
        <n v="603"/>
        <n v="60"/>
        <n v="66"/>
        <n v="440"/>
        <n v="169"/>
        <n v="480"/>
        <n v="2034"/>
        <n v="145"/>
        <n v="402"/>
        <n v="346"/>
        <n v="164"/>
        <n v="255"/>
        <n v="137"/>
        <n v="629"/>
        <n v="1532"/>
        <n v="176"/>
        <n v="211"/>
        <n v="241"/>
        <n v="804"/>
        <n v="1181"/>
        <n v="319"/>
        <n v="8669"/>
        <n v="823"/>
        <n v="67"/>
        <n v="110"/>
        <n v="3684"/>
        <n v="257"/>
        <n v="881"/>
        <n v="572"/>
        <n v="1342"/>
        <n v="726"/>
        <n v="1778"/>
        <n v="706"/>
        <n v="491"/>
        <n v="351"/>
        <n v="697"/>
        <n v="222"/>
        <n v="522"/>
        <n v="815"/>
        <n v="1952"/>
        <n v="283"/>
        <n v="201"/>
        <n v="204"/>
        <n v="161"/>
        <n v="1537"/>
        <n v="272"/>
        <n v="309"/>
        <n v="342"/>
        <n v="624"/>
        <n v="520"/>
        <n v="179"/>
        <n v="1570"/>
        <n v="153"/>
        <n v="858"/>
        <n v="127"/>
        <n v="830"/>
        <n v="4280"/>
        <n v="591"/>
        <n v="353"/>
        <n v="269"/>
        <n v="368"/>
        <n v="196"/>
        <n v="872"/>
        <n v="1300"/>
        <n v="1965"/>
        <n v="85"/>
        <n v="727"/>
        <n v="584"/>
        <n v="181"/>
        <n v="156"/>
        <n v="481"/>
        <n v="1716"/>
        <n v="3101"/>
        <n v="341"/>
        <n v="207"/>
        <n v="716"/>
        <n v="1335"/>
        <n v="653"/>
        <n v="116"/>
        <n v="132"/>
        <n v="129"/>
        <n v="199"/>
        <n v="3905"/>
        <n v="213"/>
        <n v="190"/>
        <n v="427"/>
        <n v="296"/>
        <n v="13542"/>
        <n v="334"/>
        <n v="275"/>
        <n v="17067"/>
        <n v="185"/>
        <n v="114"/>
        <n v="479"/>
        <n v="19471"/>
        <n v="588"/>
        <n v="4273"/>
        <n v="645"/>
        <n v="4740"/>
        <n v="396"/>
        <n v="219"/>
        <n v="946"/>
        <n v="166"/>
        <n v="2397"/>
        <n v="890"/>
        <n v="709"/>
        <n v="1408"/>
        <n v="5341"/>
        <n v="331"/>
        <n v="2098"/>
        <n v="229"/>
        <n v="2702"/>
        <n v="506"/>
        <n v="656"/>
        <n v="710"/>
        <n v="225"/>
        <n v="798"/>
        <n v="192"/>
        <n v="434"/>
        <n v="354"/>
        <n v="2092"/>
        <n v="140"/>
        <n v="474"/>
        <n v="1280"/>
        <n v="784"/>
        <n v="1072"/>
        <n v="478"/>
        <n v="1452"/>
        <n v="789"/>
        <n v="113"/>
        <n v="1401"/>
        <n v="194"/>
        <n v="1283"/>
        <n v="1978"/>
        <n v="391"/>
        <n v="253"/>
        <n v="1545"/>
        <n v="765"/>
        <n v="372"/>
        <n v="4310"/>
        <n v="174"/>
        <n v="432"/>
        <n v="400"/>
        <n v="619"/>
        <n v="1363"/>
        <n v="2133"/>
        <n v="263"/>
        <n v="843"/>
        <n v="714"/>
        <n v="1465"/>
        <n v="276"/>
        <n v="458"/>
        <n v="829"/>
        <n v="1213"/>
        <n v="223"/>
        <n v="555"/>
        <n v="316"/>
        <n v="1543"/>
        <n v="271"/>
        <n v="106"/>
        <n v="301"/>
        <n v="972"/>
        <n v="1757"/>
        <n v="248"/>
        <n v="836"/>
        <n v="880"/>
        <n v="305"/>
        <n v="335"/>
        <n v="101"/>
        <n v="2800"/>
        <n v="160"/>
        <n v="2364"/>
        <n v="610"/>
        <n v="664"/>
        <n v="322"/>
        <n v="611"/>
        <n v="398"/>
        <n v="1306"/>
        <n v="228"/>
        <n v="920"/>
        <n v="647"/>
        <n v="1003"/>
        <n v="1096"/>
        <n v="1338"/>
        <n v="1111"/>
        <n v="713"/>
        <n v="1214"/>
        <n v="1447"/>
        <n v="439"/>
        <n v="472"/>
        <n v="1662"/>
        <n v="330"/>
        <n v="273"/>
        <n v="249"/>
        <n v="2081"/>
        <n v="435"/>
        <n v="814"/>
        <n v="205"/>
        <n v="921"/>
        <n v="540"/>
        <n v="1211"/>
        <n v="2042"/>
        <n v="1060"/>
        <n v="1830"/>
        <n v="262"/>
        <n v="616"/>
        <n v="4305"/>
        <n v="323"/>
        <n v="9045"/>
        <n v="456"/>
        <n v="470"/>
      </sharedItems>
    </cacheField>
    <cacheField name="Outcome Vaccinated" numFmtId="0">
      <sharedItems containsSemiMixedTypes="0" containsString="0" containsNumber="1" containsInteger="1" minValue="0" maxValue="20268" count="408">
        <n v="1"/>
        <n v="0"/>
        <n v="98"/>
        <n v="18"/>
        <n v="47"/>
        <n v="8"/>
        <n v="74"/>
        <n v="11"/>
        <n v="275"/>
        <n v="190"/>
        <n v="123"/>
        <n v="2"/>
        <n v="1981"/>
        <n v="9"/>
        <n v="36"/>
        <n v="63"/>
        <n v="4"/>
        <n v="10"/>
        <n v="55"/>
        <n v="65"/>
        <n v="79"/>
        <n v="5"/>
        <n v="146"/>
        <n v="12"/>
        <n v="68"/>
        <n v="25"/>
        <n v="7"/>
        <n v="28"/>
        <n v="17"/>
        <n v="2796"/>
        <n v="35"/>
        <n v="20"/>
        <n v="129"/>
        <n v="39"/>
        <n v="42"/>
        <n v="794"/>
        <n v="16"/>
        <n v="31"/>
        <n v="13"/>
        <n v="3"/>
        <n v="391"/>
        <n v="289"/>
        <n v="57"/>
        <n v="27"/>
        <n v="181"/>
        <n v="103"/>
        <n v="53"/>
        <n v="302"/>
        <n v="6"/>
        <n v="853"/>
        <n v="6105"/>
        <n v="87"/>
        <n v="14"/>
        <n v="75"/>
        <n v="66"/>
        <n v="634"/>
        <n v="96"/>
        <n v="23"/>
        <n v="81"/>
        <n v="21"/>
        <n v="38"/>
        <n v="43"/>
        <n v="173"/>
        <n v="747"/>
        <n v="301"/>
        <n v="115"/>
        <n v="1396"/>
        <n v="208"/>
        <n v="311"/>
        <n v="101"/>
        <n v="3050"/>
        <n v="411"/>
        <n v="365"/>
        <n v="45"/>
        <n v="175"/>
        <n v="15"/>
        <n v="67"/>
        <n v="32"/>
        <n v="46"/>
        <n v="138"/>
        <n v="307"/>
        <n v="4017"/>
        <n v="54"/>
        <n v="1076"/>
        <n v="229"/>
        <n v="204"/>
        <n v="454"/>
        <n v="44"/>
        <n v="26"/>
        <n v="344"/>
        <n v="1890"/>
        <n v="80"/>
        <n v="112"/>
        <n v="240"/>
        <n v="50"/>
        <n v="113"/>
        <n v="92"/>
        <n v="22"/>
        <n v="61"/>
        <n v="109"/>
        <n v="52"/>
        <n v="156"/>
        <n v="1582"/>
        <n v="93"/>
        <n v="77"/>
        <n v="544"/>
        <n v="149"/>
        <n v="82"/>
        <n v="3490"/>
        <n v="260"/>
        <n v="292"/>
        <n v="62"/>
        <n v="497"/>
        <n v="212"/>
        <n v="73"/>
        <n v="219"/>
        <n v="64"/>
        <n v="78"/>
        <n v="83"/>
        <n v="194"/>
        <n v="192"/>
        <n v="99"/>
        <n v="571"/>
        <n v="166"/>
        <n v="33"/>
        <n v="403"/>
        <n v="611"/>
        <n v="196"/>
        <n v="88"/>
        <n v="1155"/>
        <n v="19"/>
        <n v="761"/>
        <n v="214"/>
        <n v="24"/>
        <n v="132"/>
        <n v="140"/>
        <n v="108"/>
        <n v="476"/>
        <n v="118"/>
        <n v="426"/>
        <n v="649"/>
        <n v="482"/>
        <n v="1275"/>
        <n v="350"/>
        <n v="508"/>
        <n v="616"/>
        <n v="76"/>
        <n v="206"/>
        <n v="704"/>
        <n v="29"/>
        <n v="90"/>
        <n v="369"/>
        <n v="516"/>
        <n v="160"/>
        <n v="1028"/>
        <n v="94"/>
        <n v="1543"/>
        <n v="201"/>
        <n v="856"/>
        <n v="3545"/>
        <n v="237"/>
        <n v="157"/>
        <n v="250"/>
        <n v="245"/>
        <n v="106"/>
        <n v="40"/>
        <n v="71"/>
        <n v="30"/>
        <n v="34"/>
        <n v="119"/>
        <n v="323"/>
        <n v="91"/>
        <n v="152"/>
        <n v="100"/>
        <n v="1093"/>
        <n v="48"/>
        <n v="266"/>
        <n v="316"/>
        <n v="89"/>
        <n v="69"/>
        <n v="183"/>
        <n v="58"/>
        <n v="51"/>
        <n v="273"/>
        <n v="184"/>
        <n v="470"/>
        <n v="1472"/>
        <n v="150"/>
        <n v="70"/>
        <n v="143"/>
        <n v="400"/>
        <n v="322"/>
        <n v="553"/>
        <n v="195"/>
        <n v="111"/>
        <n v="95"/>
        <n v="145"/>
        <n v="102"/>
        <n v="252"/>
        <n v="285"/>
        <n v="778"/>
        <n v="114"/>
        <n v="552"/>
        <n v="330"/>
        <n v="84"/>
        <n v="174"/>
        <n v="60"/>
        <n v="177"/>
        <n v="479"/>
        <n v="117"/>
        <n v="390"/>
        <n v="97"/>
        <n v="1646"/>
        <n v="59"/>
        <n v="602"/>
        <n v="2550"/>
        <n v="423"/>
        <n v="120"/>
        <n v="1207"/>
        <n v="221"/>
        <n v="202"/>
        <n v="105"/>
        <n v="478"/>
        <n v="526"/>
        <n v="1036"/>
        <n v="373"/>
        <n v="440"/>
        <n v="2806"/>
        <n v="619"/>
        <n v="139"/>
        <n v="488"/>
        <n v="1192"/>
        <n v="165"/>
        <n v="232"/>
        <n v="85"/>
        <n v="378"/>
        <n v="871"/>
        <n v="913"/>
        <n v="8329"/>
        <n v="133"/>
        <n v="86"/>
        <n v="130"/>
        <n v="429"/>
        <n v="1044"/>
        <n v="729"/>
        <n v="1422"/>
        <n v="613"/>
        <n v="249"/>
        <n v="493"/>
        <n v="342"/>
        <n v="171"/>
        <n v="172"/>
        <n v="937"/>
        <n v="110"/>
        <n v="501"/>
        <n v="191"/>
        <n v="211"/>
        <n v="881"/>
        <n v="205"/>
        <n v="169"/>
        <n v="327"/>
        <n v="578"/>
        <n v="500"/>
        <n v="1351"/>
        <n v="198"/>
        <n v="41"/>
        <n v="5009"/>
        <n v="209"/>
        <n v="317"/>
        <n v="248"/>
        <n v="228"/>
        <n v="727"/>
        <n v="1186"/>
        <n v="1972"/>
        <n v="579"/>
        <n v="187"/>
        <n v="504"/>
        <n v="1774"/>
        <n v="147"/>
        <n v="72"/>
        <n v="1293"/>
        <n v="176"/>
        <n v="592"/>
        <n v="126"/>
        <n v="4732"/>
        <n v="104"/>
        <n v="300"/>
        <n v="321"/>
        <n v="56"/>
        <n v="144"/>
        <n v="271"/>
        <n v="217"/>
        <n v="315"/>
        <n v="15789"/>
        <n v="309"/>
        <n v="107"/>
        <n v="236"/>
        <n v="17030"/>
        <n v="49"/>
        <n v="37"/>
        <n v="427"/>
        <n v="20268"/>
        <n v="261"/>
        <n v="583"/>
        <n v="2645"/>
        <n v="587"/>
        <n v="4435"/>
        <n v="247"/>
        <n v="303"/>
        <n v="1054"/>
        <n v="124"/>
        <n v="1154"/>
        <n v="620"/>
        <n v="7639"/>
        <n v="297"/>
        <n v="1370"/>
        <n v="199"/>
        <n v="168"/>
        <n v="298"/>
        <n v="2218"/>
        <n v="127"/>
        <n v="640"/>
        <n v="984"/>
        <n v="566"/>
        <n v="163"/>
        <n v="153"/>
        <n v="370"/>
        <n v="263"/>
        <n v="1303"/>
        <n v="148"/>
        <n v="469"/>
        <n v="717"/>
        <n v="916"/>
        <n v="308"/>
        <n v="278"/>
        <n v="630"/>
        <n v="364"/>
        <n v="158"/>
        <n v="660"/>
        <n v="1200"/>
        <n v="230"/>
        <n v="2330"/>
        <n v="1050"/>
        <n v="170"/>
        <n v="366"/>
        <n v="295"/>
        <n v="689"/>
        <n v="6696"/>
        <n v="162"/>
        <n v="458"/>
        <n v="446"/>
        <n v="725"/>
        <n v="525"/>
        <n v="1042"/>
        <n v="1356"/>
        <n v="548"/>
        <n v="600"/>
        <n v="305"/>
        <n v="155"/>
        <n v="494"/>
        <n v="584"/>
        <n v="1171"/>
        <n v="179"/>
        <n v="121"/>
        <n v="1814"/>
        <n v="1053"/>
        <n v="189"/>
        <n v="1029"/>
        <n v="223"/>
        <n v="668"/>
        <n v="137"/>
        <n v="1039"/>
        <n v="203"/>
        <n v="210"/>
        <n v="193"/>
        <n v="922"/>
        <n v="651"/>
        <n v="2356"/>
        <n v="213"/>
        <n v="340"/>
        <n v="489"/>
        <n v="371"/>
        <n v="233"/>
        <n v="182"/>
        <n v="185"/>
        <n v="188"/>
        <n v="648"/>
        <n v="388"/>
        <n v="1075"/>
        <n v="122"/>
        <n v="1108"/>
        <n v="167"/>
        <n v="606"/>
        <n v="1160"/>
        <n v="1330"/>
        <n v="341"/>
        <n v="286"/>
        <n v="1105"/>
        <n v="460"/>
        <n v="716"/>
        <n v="769"/>
        <n v="1285"/>
        <n v="1647"/>
        <n v="135"/>
        <n v="338"/>
        <n v="8506"/>
        <n v="288"/>
        <n v="416"/>
      </sharedItems>
    </cacheField>
    <cacheField name="Outcome Boosted" numFmtId="0">
      <sharedItems containsSemiMixedTypes="0" containsString="0" containsNumber="1" containsInteger="1" minValue="0" maxValue="7294"/>
    </cacheField>
    <cacheField name="Age Group Min" numFmtId="0">
      <sharedItems containsSemiMixedTypes="0" containsString="0" containsNumber="1" containsInteger="1" minValue="0" maxValue="999"/>
    </cacheField>
    <cacheField name="Age Group Max" numFmtId="0">
      <sharedItems containsSemiMixedTypes="0" containsString="0" containsNumber="1" containsInteger="1" minValue="4" maxValue="999"/>
    </cacheField>
    <cacheField name="Months (Weekend)" numFmtId="0" databaseField="0">
      <fieldGroup base="1">
        <rangePr groupBy="months" startDate="2021-01-05T00:00:00" endDate="2023-12-09T00:00:00"/>
        <groupItems count="14">
          <s v="&lt;1/5/2021"/>
          <s v="Jan"/>
          <s v="Feb"/>
          <s v="Mar"/>
          <s v="Apr"/>
          <s v="May"/>
          <s v="Jun"/>
          <s v="Jul"/>
          <s v="Aug"/>
          <s v="Sep"/>
          <s v="Oct"/>
          <s v="Nov"/>
          <s v="Dec"/>
          <s v="&gt;12/9/2023"/>
        </groupItems>
      </fieldGroup>
    </cacheField>
    <cacheField name="Quarters (Weekend)" numFmtId="0" databaseField="0">
      <fieldGroup base="1">
        <rangePr groupBy="quarters" startDate="2021-01-05T00:00:00" endDate="2023-12-09T00:00:00"/>
        <groupItems count="6">
          <s v="&lt;1/5/2021"/>
          <s v="Qtr1"/>
          <s v="Qtr2"/>
          <s v="Qtr3"/>
          <s v="Qtr4"/>
          <s v="&gt;12/9/2023"/>
        </groupItems>
      </fieldGroup>
    </cacheField>
    <cacheField name="Years (Weekend)" numFmtId="0" databaseField="0">
      <fieldGroup base="1">
        <rangePr groupBy="years" startDate="2021-01-05T00:00:00" endDate="2023-12-09T00:00:00"/>
        <groupItems count="5">
          <s v="&lt;1/5/2021"/>
          <s v="2021"/>
          <s v="2022"/>
          <s v="2023"/>
          <s v="&gt;12/9/2023"/>
        </groupItems>
      </fieldGroup>
    </cacheField>
  </cacheFields>
  <extLst>
    <ext xmlns:x14="http://schemas.microsoft.com/office/spreadsheetml/2009/9/main" uri="{725AE2AE-9491-48be-B2B4-4EB974FC3084}">
      <x14:pivotCacheDefinition pivotCacheId="104528224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53">
  <r>
    <x v="0"/>
    <x v="0"/>
    <x v="0"/>
    <x v="0"/>
    <x v="0"/>
    <n v="0.9"/>
    <n v="3"/>
    <n v="0.3"/>
    <n v="0.4"/>
    <n v="0.3"/>
    <n v="0.6"/>
    <n v="1.3"/>
    <n v="0.7"/>
    <x v="0"/>
    <x v="0"/>
    <n v="1037067"/>
    <x v="0"/>
    <x v="0"/>
    <n v="9"/>
    <n v="999"/>
    <n v="999"/>
  </r>
  <r>
    <x v="0"/>
    <x v="1"/>
    <x v="1"/>
    <x v="1"/>
    <x v="1"/>
    <n v="0.4"/>
    <n v="3.6"/>
    <n v="7.2"/>
    <n v="0"/>
    <n v="0"/>
    <n v="0"/>
    <n v="0"/>
    <n v="0"/>
    <x v="1"/>
    <x v="1"/>
    <n v="246849"/>
    <x v="1"/>
    <x v="0"/>
    <n v="1"/>
    <n v="50"/>
    <n v="64"/>
  </r>
  <r>
    <x v="0"/>
    <x v="2"/>
    <x v="2"/>
    <x v="2"/>
    <x v="2"/>
    <n v="0"/>
    <n v="0"/>
    <n v="0"/>
    <n v="0"/>
    <n v="0"/>
    <n v="0"/>
    <n v="0"/>
    <n v="0"/>
    <x v="2"/>
    <x v="2"/>
    <n v="17689"/>
    <x v="2"/>
    <x v="1"/>
    <n v="0"/>
    <n v="5"/>
    <n v="11"/>
  </r>
  <r>
    <x v="0"/>
    <x v="3"/>
    <x v="2"/>
    <x v="2"/>
    <x v="2"/>
    <n v="0"/>
    <n v="0"/>
    <n v="0"/>
    <n v="0"/>
    <n v="0"/>
    <n v="0"/>
    <n v="0"/>
    <n v="0"/>
    <x v="3"/>
    <x v="3"/>
    <n v="0"/>
    <x v="2"/>
    <x v="1"/>
    <n v="0"/>
    <n v="5"/>
    <n v="11"/>
  </r>
  <r>
    <x v="0"/>
    <x v="4"/>
    <x v="3"/>
    <x v="2"/>
    <x v="2"/>
    <n v="0"/>
    <n v="0"/>
    <n v="0"/>
    <n v="0"/>
    <n v="0"/>
    <n v="0"/>
    <n v="0"/>
    <n v="0"/>
    <x v="4"/>
    <x v="4"/>
    <n v="147442"/>
    <x v="2"/>
    <x v="1"/>
    <n v="0"/>
    <n v="18"/>
    <n v="29"/>
  </r>
  <r>
    <x v="1"/>
    <x v="5"/>
    <x v="4"/>
    <x v="2"/>
    <x v="2"/>
    <n v="0"/>
    <n v="0"/>
    <n v="0"/>
    <n v="0"/>
    <n v="0"/>
    <n v="0"/>
    <n v="0"/>
    <n v="0"/>
    <x v="5"/>
    <x v="5"/>
    <n v="0"/>
    <x v="2"/>
    <x v="1"/>
    <n v="0"/>
    <n v="12"/>
    <n v="17"/>
  </r>
  <r>
    <x v="2"/>
    <x v="6"/>
    <x v="2"/>
    <x v="3"/>
    <x v="3"/>
    <n v="213"/>
    <n v="1"/>
    <n v="0.6"/>
    <n v="0"/>
    <n v="0"/>
    <n v="0"/>
    <n v="0"/>
    <n v="0"/>
    <x v="6"/>
    <x v="6"/>
    <n v="18308"/>
    <x v="3"/>
    <x v="2"/>
    <n v="39"/>
    <n v="5"/>
    <n v="11"/>
  </r>
  <r>
    <x v="1"/>
    <x v="7"/>
    <x v="5"/>
    <x v="4"/>
    <x v="4"/>
    <n v="0"/>
    <n v="9.9"/>
    <n v="0"/>
    <n v="0"/>
    <n v="0"/>
    <n v="0"/>
    <n v="0"/>
    <n v="0"/>
    <x v="7"/>
    <x v="7"/>
    <n v="103054"/>
    <x v="4"/>
    <x v="3"/>
    <n v="0"/>
    <n v="30"/>
    <n v="49"/>
  </r>
  <r>
    <x v="2"/>
    <x v="8"/>
    <x v="5"/>
    <x v="5"/>
    <x v="5"/>
    <n v="0"/>
    <n v="12.2"/>
    <n v="0"/>
    <n v="0"/>
    <n v="0"/>
    <n v="0"/>
    <n v="0"/>
    <n v="0"/>
    <x v="8"/>
    <x v="8"/>
    <n v="0"/>
    <x v="5"/>
    <x v="4"/>
    <n v="0"/>
    <n v="30"/>
    <n v="49"/>
  </r>
  <r>
    <x v="1"/>
    <x v="9"/>
    <x v="6"/>
    <x v="6"/>
    <x v="6"/>
    <n v="0"/>
    <n v="2.2999999999999998"/>
    <n v="0"/>
    <n v="0"/>
    <n v="0"/>
    <n v="0"/>
    <n v="0"/>
    <n v="0"/>
    <x v="9"/>
    <x v="9"/>
    <n v="0"/>
    <x v="6"/>
    <x v="5"/>
    <n v="0"/>
    <n v="80"/>
    <n v="200"/>
  </r>
  <r>
    <x v="1"/>
    <x v="10"/>
    <x v="0"/>
    <x v="7"/>
    <x v="7"/>
    <n v="12.8"/>
    <n v="2"/>
    <n v="1.3"/>
    <n v="21.8"/>
    <n v="12.5"/>
    <n v="8.4"/>
    <n v="1.7"/>
    <n v="2.6"/>
    <x v="10"/>
    <x v="10"/>
    <n v="1040154"/>
    <x v="7"/>
    <x v="6"/>
    <n v="133"/>
    <n v="999"/>
    <n v="999"/>
  </r>
  <r>
    <x v="1"/>
    <x v="11"/>
    <x v="0"/>
    <x v="8"/>
    <x v="8"/>
    <n v="2.4"/>
    <n v="2.5"/>
    <n v="1.4"/>
    <n v="4.5"/>
    <n v="2.1"/>
    <n v="1.7"/>
    <n v="2.2000000000000002"/>
    <n v="2.8"/>
    <x v="11"/>
    <x v="11"/>
    <n v="1040639"/>
    <x v="8"/>
    <x v="7"/>
    <n v="25"/>
    <n v="999"/>
    <n v="999"/>
  </r>
  <r>
    <x v="0"/>
    <x v="12"/>
    <x v="6"/>
    <x v="2"/>
    <x v="2"/>
    <n v="0"/>
    <n v="0"/>
    <n v="0"/>
    <n v="0"/>
    <n v="0"/>
    <n v="0"/>
    <n v="0"/>
    <n v="0"/>
    <x v="12"/>
    <x v="12"/>
    <n v="0"/>
    <x v="2"/>
    <x v="1"/>
    <n v="0"/>
    <n v="80"/>
    <n v="200"/>
  </r>
  <r>
    <x v="2"/>
    <x v="13"/>
    <x v="7"/>
    <x v="9"/>
    <x v="9"/>
    <n v="253.6"/>
    <n v="1.4"/>
    <n v="2.2999999999999998"/>
    <n v="0"/>
    <n v="0"/>
    <n v="0"/>
    <n v="0"/>
    <n v="0"/>
    <x v="13"/>
    <x v="13"/>
    <n v="141953"/>
    <x v="9"/>
    <x v="8"/>
    <n v="360"/>
    <n v="65"/>
    <n v="79"/>
  </r>
  <r>
    <x v="2"/>
    <x v="14"/>
    <x v="0"/>
    <x v="10"/>
    <x v="10"/>
    <n v="0"/>
    <n v="9.4"/>
    <n v="0"/>
    <n v="71.400000000000006"/>
    <n v="5.9"/>
    <n v="0"/>
    <n v="12.1"/>
    <n v="0"/>
    <x v="14"/>
    <x v="14"/>
    <n v="0"/>
    <x v="10"/>
    <x v="6"/>
    <n v="0"/>
    <n v="999"/>
    <n v="999"/>
  </r>
  <r>
    <x v="2"/>
    <x v="15"/>
    <x v="1"/>
    <x v="11"/>
    <x v="11"/>
    <n v="180.5"/>
    <n v="2.8"/>
    <n v="2.2999999999999998"/>
    <n v="0"/>
    <n v="0"/>
    <n v="0"/>
    <n v="0"/>
    <n v="0"/>
    <x v="15"/>
    <x v="15"/>
    <n v="244938"/>
    <x v="11"/>
    <x v="9"/>
    <n v="442"/>
    <n v="50"/>
    <n v="64"/>
  </r>
  <r>
    <x v="1"/>
    <x v="7"/>
    <x v="0"/>
    <x v="12"/>
    <x v="12"/>
    <n v="3.6"/>
    <n v="3.6"/>
    <n v="9.6999999999999993"/>
    <n v="50.7"/>
    <n v="9.1999999999999993"/>
    <n v="1.6"/>
    <n v="5.5"/>
    <n v="32.1"/>
    <x v="16"/>
    <x v="16"/>
    <n v="333146"/>
    <x v="12"/>
    <x v="10"/>
    <n v="12"/>
    <n v="999"/>
    <n v="999"/>
  </r>
  <r>
    <x v="0"/>
    <x v="13"/>
    <x v="5"/>
    <x v="8"/>
    <x v="13"/>
    <n v="0"/>
    <n v="5.5"/>
    <n v="0"/>
    <n v="0"/>
    <n v="0"/>
    <n v="0"/>
    <n v="0"/>
    <n v="0"/>
    <x v="17"/>
    <x v="17"/>
    <n v="256937"/>
    <x v="13"/>
    <x v="11"/>
    <n v="0"/>
    <n v="30"/>
    <n v="49"/>
  </r>
  <r>
    <x v="2"/>
    <x v="16"/>
    <x v="4"/>
    <x v="13"/>
    <x v="14"/>
    <n v="694.4"/>
    <n v="1.4"/>
    <n v="3.7"/>
    <n v="0"/>
    <n v="0"/>
    <n v="0"/>
    <n v="0"/>
    <n v="0"/>
    <x v="18"/>
    <x v="18"/>
    <n v="1872"/>
    <x v="14"/>
    <x v="12"/>
    <n v="13"/>
    <n v="12"/>
    <n v="17"/>
  </r>
  <r>
    <x v="2"/>
    <x v="17"/>
    <x v="0"/>
    <x v="14"/>
    <x v="15"/>
    <n v="10.5"/>
    <n v="1.9"/>
    <n v="1"/>
    <n v="12.1"/>
    <n v="5.4"/>
    <n v="8.1999999999999993"/>
    <n v="2.2999999999999998"/>
    <n v="1.5"/>
    <x v="19"/>
    <x v="19"/>
    <n v="1040733"/>
    <x v="15"/>
    <x v="4"/>
    <n v="109"/>
    <n v="999"/>
    <n v="999"/>
  </r>
  <r>
    <x v="1"/>
    <x v="18"/>
    <x v="1"/>
    <x v="15"/>
    <x v="10"/>
    <n v="5.0999999999999996"/>
    <n v="4.5"/>
    <n v="6"/>
    <n v="0"/>
    <n v="0"/>
    <n v="0"/>
    <n v="0"/>
    <n v="0"/>
    <x v="20"/>
    <x v="20"/>
    <n v="237215"/>
    <x v="16"/>
    <x v="13"/>
    <n v="12"/>
    <n v="50"/>
    <n v="64"/>
  </r>
  <r>
    <x v="1"/>
    <x v="19"/>
    <x v="7"/>
    <x v="16"/>
    <x v="16"/>
    <n v="31.5"/>
    <n v="1.5"/>
    <n v="2"/>
    <n v="0"/>
    <n v="0"/>
    <n v="0"/>
    <n v="0"/>
    <n v="0"/>
    <x v="21"/>
    <x v="21"/>
    <n v="171648"/>
    <x v="17"/>
    <x v="3"/>
    <n v="54"/>
    <n v="65"/>
    <n v="79"/>
  </r>
  <r>
    <x v="0"/>
    <x v="20"/>
    <x v="7"/>
    <x v="17"/>
    <x v="2"/>
    <n v="0"/>
    <n v="0"/>
    <n v="0"/>
    <n v="0"/>
    <n v="0"/>
    <n v="0"/>
    <n v="0"/>
    <n v="0"/>
    <x v="22"/>
    <x v="22"/>
    <n v="0"/>
    <x v="18"/>
    <x v="1"/>
    <n v="0"/>
    <n v="65"/>
    <n v="79"/>
  </r>
  <r>
    <x v="0"/>
    <x v="21"/>
    <x v="4"/>
    <x v="2"/>
    <x v="2"/>
    <n v="0"/>
    <n v="0"/>
    <n v="0"/>
    <n v="0"/>
    <n v="0"/>
    <n v="0"/>
    <n v="0"/>
    <n v="0"/>
    <x v="23"/>
    <x v="23"/>
    <n v="0"/>
    <x v="2"/>
    <x v="1"/>
    <n v="0"/>
    <n v="12"/>
    <n v="17"/>
  </r>
  <r>
    <x v="0"/>
    <x v="22"/>
    <x v="0"/>
    <x v="18"/>
    <x v="0"/>
    <n v="0.3"/>
    <n v="4"/>
    <n v="1.3"/>
    <n v="0.3"/>
    <n v="0.1"/>
    <n v="0.2"/>
    <n v="2.2000000000000002"/>
    <n v="1.5"/>
    <x v="24"/>
    <x v="24"/>
    <n v="1039873"/>
    <x v="0"/>
    <x v="0"/>
    <n v="3"/>
    <n v="999"/>
    <n v="999"/>
  </r>
  <r>
    <x v="1"/>
    <x v="23"/>
    <x v="4"/>
    <x v="2"/>
    <x v="17"/>
    <n v="0"/>
    <n v="0"/>
    <n v="0"/>
    <n v="0"/>
    <n v="0"/>
    <n v="0"/>
    <n v="0"/>
    <n v="0"/>
    <x v="25"/>
    <x v="25"/>
    <n v="44513"/>
    <x v="2"/>
    <x v="0"/>
    <n v="0"/>
    <n v="12"/>
    <n v="17"/>
  </r>
  <r>
    <x v="0"/>
    <x v="24"/>
    <x v="2"/>
    <x v="2"/>
    <x v="2"/>
    <n v="0"/>
    <n v="0"/>
    <n v="0"/>
    <n v="0"/>
    <n v="0"/>
    <n v="0"/>
    <n v="0"/>
    <n v="0"/>
    <x v="26"/>
    <x v="26"/>
    <n v="21260"/>
    <x v="2"/>
    <x v="1"/>
    <n v="0"/>
    <n v="5"/>
    <n v="11"/>
  </r>
  <r>
    <x v="1"/>
    <x v="25"/>
    <x v="5"/>
    <x v="19"/>
    <x v="18"/>
    <n v="3.3"/>
    <n v="2.2000000000000002"/>
    <n v="7.7"/>
    <n v="0"/>
    <n v="0"/>
    <n v="0"/>
    <n v="0"/>
    <n v="0"/>
    <x v="27"/>
    <x v="27"/>
    <n v="273200"/>
    <x v="19"/>
    <x v="14"/>
    <n v="9"/>
    <n v="30"/>
    <n v="49"/>
  </r>
  <r>
    <x v="1"/>
    <x v="26"/>
    <x v="8"/>
    <x v="20"/>
    <x v="2"/>
    <n v="0"/>
    <n v="0"/>
    <n v="0"/>
    <n v="0"/>
    <n v="0"/>
    <n v="0"/>
    <n v="0"/>
    <n v="0"/>
    <x v="28"/>
    <x v="28"/>
    <n v="0"/>
    <x v="20"/>
    <x v="1"/>
    <n v="0"/>
    <n v="0"/>
    <n v="4"/>
  </r>
  <r>
    <x v="0"/>
    <x v="27"/>
    <x v="8"/>
    <x v="2"/>
    <x v="2"/>
    <n v="0"/>
    <n v="0"/>
    <n v="0"/>
    <n v="0"/>
    <n v="0"/>
    <n v="0"/>
    <n v="0"/>
    <n v="0"/>
    <x v="28"/>
    <x v="28"/>
    <n v="0"/>
    <x v="2"/>
    <x v="1"/>
    <n v="0"/>
    <n v="0"/>
    <n v="4"/>
  </r>
  <r>
    <x v="0"/>
    <x v="28"/>
    <x v="5"/>
    <x v="2"/>
    <x v="19"/>
    <n v="0.3"/>
    <n v="0"/>
    <n v="0"/>
    <n v="0"/>
    <n v="0"/>
    <n v="0"/>
    <n v="0"/>
    <n v="0"/>
    <x v="29"/>
    <x v="29"/>
    <n v="347260"/>
    <x v="2"/>
    <x v="0"/>
    <n v="1"/>
    <n v="30"/>
    <n v="49"/>
  </r>
  <r>
    <x v="1"/>
    <x v="29"/>
    <x v="0"/>
    <x v="21"/>
    <x v="20"/>
    <n v="8.8000000000000007"/>
    <n v="1.7"/>
    <n v="1.4"/>
    <n v="15.4"/>
    <n v="9.1"/>
    <n v="6.2"/>
    <n v="1.7"/>
    <n v="2.5"/>
    <x v="30"/>
    <x v="30"/>
    <n v="988583"/>
    <x v="21"/>
    <x v="15"/>
    <n v="87"/>
    <n v="999"/>
    <n v="999"/>
  </r>
  <r>
    <x v="2"/>
    <x v="30"/>
    <x v="8"/>
    <x v="22"/>
    <x v="15"/>
    <n v="0"/>
    <n v="15"/>
    <n v="0"/>
    <n v="0"/>
    <n v="0"/>
    <n v="0"/>
    <n v="0"/>
    <n v="0"/>
    <x v="28"/>
    <x v="28"/>
    <n v="0"/>
    <x v="22"/>
    <x v="13"/>
    <n v="0"/>
    <n v="0"/>
    <n v="4"/>
  </r>
  <r>
    <x v="1"/>
    <x v="0"/>
    <x v="1"/>
    <x v="23"/>
    <x v="21"/>
    <n v="4.9000000000000004"/>
    <n v="3.2"/>
    <n v="2.1"/>
    <n v="0"/>
    <n v="0"/>
    <n v="0"/>
    <n v="0"/>
    <n v="0"/>
    <x v="31"/>
    <x v="31"/>
    <n v="246575"/>
    <x v="20"/>
    <x v="16"/>
    <n v="12"/>
    <n v="50"/>
    <n v="64"/>
  </r>
  <r>
    <x v="0"/>
    <x v="31"/>
    <x v="8"/>
    <x v="2"/>
    <x v="2"/>
    <n v="0"/>
    <n v="0"/>
    <n v="0"/>
    <n v="0"/>
    <n v="0"/>
    <n v="0"/>
    <n v="0"/>
    <n v="0"/>
    <x v="28"/>
    <x v="28"/>
    <n v="0"/>
    <x v="2"/>
    <x v="1"/>
    <n v="0"/>
    <n v="0"/>
    <n v="4"/>
  </r>
  <r>
    <x v="1"/>
    <x v="6"/>
    <x v="6"/>
    <x v="24"/>
    <x v="22"/>
    <n v="46.8"/>
    <n v="0.2"/>
    <n v="0.4"/>
    <n v="0"/>
    <n v="0"/>
    <n v="0"/>
    <n v="0"/>
    <n v="0"/>
    <x v="32"/>
    <x v="32"/>
    <n v="47028"/>
    <x v="13"/>
    <x v="17"/>
    <n v="22"/>
    <n v="80"/>
    <n v="200"/>
  </r>
  <r>
    <x v="0"/>
    <x v="32"/>
    <x v="2"/>
    <x v="2"/>
    <x v="2"/>
    <n v="0"/>
    <n v="0"/>
    <n v="0"/>
    <n v="0"/>
    <n v="0"/>
    <n v="0"/>
    <n v="0"/>
    <n v="0"/>
    <x v="33"/>
    <x v="33"/>
    <n v="21098"/>
    <x v="2"/>
    <x v="1"/>
    <n v="0"/>
    <n v="5"/>
    <n v="11"/>
  </r>
  <r>
    <x v="0"/>
    <x v="33"/>
    <x v="8"/>
    <x v="2"/>
    <x v="2"/>
    <n v="0"/>
    <n v="0"/>
    <n v="0"/>
    <n v="0"/>
    <n v="0"/>
    <n v="0"/>
    <n v="0"/>
    <n v="0"/>
    <x v="28"/>
    <x v="28"/>
    <n v="0"/>
    <x v="2"/>
    <x v="1"/>
    <n v="0"/>
    <n v="0"/>
    <n v="4"/>
  </r>
  <r>
    <x v="0"/>
    <x v="34"/>
    <x v="5"/>
    <x v="25"/>
    <x v="23"/>
    <n v="0"/>
    <n v="6.8"/>
    <n v="0"/>
    <n v="0"/>
    <n v="0"/>
    <n v="0"/>
    <n v="0"/>
    <n v="0"/>
    <x v="34"/>
    <x v="34"/>
    <n v="147317"/>
    <x v="18"/>
    <x v="11"/>
    <n v="0"/>
    <n v="30"/>
    <n v="49"/>
  </r>
  <r>
    <x v="0"/>
    <x v="35"/>
    <x v="7"/>
    <x v="26"/>
    <x v="2"/>
    <n v="0.6"/>
    <n v="0"/>
    <n v="4.3"/>
    <n v="0"/>
    <n v="0"/>
    <n v="0"/>
    <n v="0"/>
    <n v="0"/>
    <x v="35"/>
    <x v="35"/>
    <n v="172280"/>
    <x v="1"/>
    <x v="1"/>
    <n v="1"/>
    <n v="65"/>
    <n v="79"/>
  </r>
  <r>
    <x v="2"/>
    <x v="36"/>
    <x v="7"/>
    <x v="27"/>
    <x v="24"/>
    <n v="106.6"/>
    <n v="1"/>
    <n v="1.2"/>
    <n v="0"/>
    <n v="0"/>
    <n v="0"/>
    <n v="0"/>
    <n v="0"/>
    <x v="36"/>
    <x v="36"/>
    <n v="171695"/>
    <x v="23"/>
    <x v="18"/>
    <n v="183"/>
    <n v="65"/>
    <n v="79"/>
  </r>
  <r>
    <x v="1"/>
    <x v="37"/>
    <x v="0"/>
    <x v="28"/>
    <x v="17"/>
    <n v="2.5"/>
    <n v="1.6"/>
    <n v="0.8"/>
    <n v="2.8"/>
    <n v="2.6"/>
    <n v="1.7"/>
    <n v="1.1000000000000001"/>
    <n v="1.7"/>
    <x v="37"/>
    <x v="37"/>
    <n v="1040772"/>
    <x v="24"/>
    <x v="17"/>
    <n v="26"/>
    <n v="999"/>
    <n v="999"/>
  </r>
  <r>
    <x v="1"/>
    <x v="38"/>
    <x v="1"/>
    <x v="2"/>
    <x v="25"/>
    <n v="3.2"/>
    <n v="0"/>
    <n v="0"/>
    <n v="0"/>
    <n v="0"/>
    <n v="0"/>
    <n v="0"/>
    <n v="0"/>
    <x v="38"/>
    <x v="38"/>
    <n v="246940"/>
    <x v="2"/>
    <x v="5"/>
    <n v="8"/>
    <n v="50"/>
    <n v="64"/>
  </r>
  <r>
    <x v="2"/>
    <x v="39"/>
    <x v="2"/>
    <x v="29"/>
    <x v="26"/>
    <n v="78.900000000000006"/>
    <n v="1"/>
    <n v="1"/>
    <n v="0"/>
    <n v="0"/>
    <n v="0"/>
    <n v="0"/>
    <n v="0"/>
    <x v="39"/>
    <x v="39"/>
    <n v="20269"/>
    <x v="25"/>
    <x v="19"/>
    <n v="16"/>
    <n v="5"/>
    <n v="11"/>
  </r>
  <r>
    <x v="2"/>
    <x v="40"/>
    <x v="7"/>
    <x v="30"/>
    <x v="27"/>
    <n v="0"/>
    <n v="2.2000000000000002"/>
    <n v="0"/>
    <n v="0"/>
    <n v="0"/>
    <n v="0"/>
    <n v="0"/>
    <n v="0"/>
    <x v="40"/>
    <x v="40"/>
    <n v="0"/>
    <x v="26"/>
    <x v="20"/>
    <n v="0"/>
    <n v="65"/>
    <n v="79"/>
  </r>
  <r>
    <x v="1"/>
    <x v="41"/>
    <x v="8"/>
    <x v="31"/>
    <x v="2"/>
    <n v="0"/>
    <n v="0"/>
    <n v="0"/>
    <n v="0"/>
    <n v="0"/>
    <n v="0"/>
    <n v="0"/>
    <n v="0"/>
    <x v="28"/>
    <x v="28"/>
    <n v="0"/>
    <x v="27"/>
    <x v="1"/>
    <n v="0"/>
    <n v="0"/>
    <n v="4"/>
  </r>
  <r>
    <x v="1"/>
    <x v="42"/>
    <x v="7"/>
    <x v="32"/>
    <x v="28"/>
    <n v="1.3"/>
    <n v="0.9"/>
    <n v="6.4"/>
    <n v="0"/>
    <n v="0"/>
    <n v="0"/>
    <n v="0"/>
    <n v="0"/>
    <x v="41"/>
    <x v="41"/>
    <n v="159143"/>
    <x v="20"/>
    <x v="21"/>
    <n v="2"/>
    <n v="65"/>
    <n v="79"/>
  </r>
  <r>
    <x v="1"/>
    <x v="43"/>
    <x v="2"/>
    <x v="2"/>
    <x v="2"/>
    <n v="0"/>
    <n v="0"/>
    <n v="0"/>
    <n v="0"/>
    <n v="0"/>
    <n v="0"/>
    <n v="0"/>
    <n v="0"/>
    <x v="42"/>
    <x v="42"/>
    <n v="21259"/>
    <x v="2"/>
    <x v="1"/>
    <n v="0"/>
    <n v="5"/>
    <n v="11"/>
  </r>
  <r>
    <x v="1"/>
    <x v="44"/>
    <x v="1"/>
    <x v="33"/>
    <x v="15"/>
    <n v="3.2"/>
    <n v="2.2999999999999998"/>
    <n v="4"/>
    <n v="0"/>
    <n v="0"/>
    <n v="0"/>
    <n v="0"/>
    <n v="0"/>
    <x v="43"/>
    <x v="43"/>
    <n v="217214"/>
    <x v="18"/>
    <x v="5"/>
    <n v="7"/>
    <n v="50"/>
    <n v="64"/>
  </r>
  <r>
    <x v="2"/>
    <x v="45"/>
    <x v="0"/>
    <x v="34"/>
    <x v="29"/>
    <n v="0"/>
    <n v="9.6999999999999993"/>
    <n v="0"/>
    <n v="215.3"/>
    <n v="16"/>
    <n v="0"/>
    <n v="13.5"/>
    <n v="0"/>
    <x v="44"/>
    <x v="44"/>
    <n v="0"/>
    <x v="28"/>
    <x v="22"/>
    <n v="0"/>
    <n v="999"/>
    <n v="999"/>
  </r>
  <r>
    <x v="2"/>
    <x v="46"/>
    <x v="6"/>
    <x v="35"/>
    <x v="30"/>
    <n v="143.5"/>
    <n v="0.8"/>
    <n v="0.6"/>
    <n v="0"/>
    <n v="0"/>
    <n v="0"/>
    <n v="0"/>
    <n v="0"/>
    <x v="45"/>
    <x v="45"/>
    <n v="47387"/>
    <x v="29"/>
    <x v="23"/>
    <n v="68"/>
    <n v="80"/>
    <n v="200"/>
  </r>
  <r>
    <x v="2"/>
    <x v="47"/>
    <x v="7"/>
    <x v="36"/>
    <x v="31"/>
    <n v="225.4"/>
    <n v="1.4"/>
    <n v="1"/>
    <n v="0"/>
    <n v="0"/>
    <n v="0"/>
    <n v="0"/>
    <n v="0"/>
    <x v="46"/>
    <x v="46"/>
    <n v="171663"/>
    <x v="30"/>
    <x v="24"/>
    <n v="387"/>
    <n v="65"/>
    <n v="79"/>
  </r>
  <r>
    <x v="1"/>
    <x v="48"/>
    <x v="2"/>
    <x v="2"/>
    <x v="2"/>
    <n v="0"/>
    <n v="0"/>
    <n v="0"/>
    <n v="0"/>
    <n v="0"/>
    <n v="0"/>
    <n v="0"/>
    <n v="0"/>
    <x v="47"/>
    <x v="47"/>
    <n v="21300"/>
    <x v="2"/>
    <x v="1"/>
    <n v="0"/>
    <n v="5"/>
    <n v="11"/>
  </r>
  <r>
    <x v="1"/>
    <x v="49"/>
    <x v="0"/>
    <x v="37"/>
    <x v="8"/>
    <n v="4"/>
    <n v="4.2"/>
    <n v="1.4"/>
    <n v="6.3"/>
    <n v="2"/>
    <n v="2.8"/>
    <n v="3.2"/>
    <n v="2.2000000000000002"/>
    <x v="48"/>
    <x v="48"/>
    <n v="1040794"/>
    <x v="31"/>
    <x v="7"/>
    <n v="42"/>
    <n v="999"/>
    <n v="999"/>
  </r>
  <r>
    <x v="2"/>
    <x v="36"/>
    <x v="6"/>
    <x v="38"/>
    <x v="32"/>
    <n v="218.6"/>
    <n v="0.4"/>
    <n v="0.4"/>
    <n v="0"/>
    <n v="0"/>
    <n v="0"/>
    <n v="0"/>
    <n v="0"/>
    <x v="49"/>
    <x v="49"/>
    <n v="47122"/>
    <x v="29"/>
    <x v="25"/>
    <n v="103"/>
    <n v="80"/>
    <n v="200"/>
  </r>
  <r>
    <x v="1"/>
    <x v="50"/>
    <x v="5"/>
    <x v="39"/>
    <x v="33"/>
    <n v="4.7"/>
    <n v="5"/>
    <n v="4.0999999999999996"/>
    <n v="0"/>
    <n v="0"/>
    <n v="0"/>
    <n v="0"/>
    <n v="0"/>
    <x v="50"/>
    <x v="50"/>
    <n v="338011"/>
    <x v="32"/>
    <x v="7"/>
    <n v="16"/>
    <n v="30"/>
    <n v="49"/>
  </r>
  <r>
    <x v="0"/>
    <x v="51"/>
    <x v="4"/>
    <x v="2"/>
    <x v="2"/>
    <n v="0"/>
    <n v="0"/>
    <n v="0"/>
    <n v="0"/>
    <n v="0"/>
    <n v="0"/>
    <n v="0"/>
    <n v="0"/>
    <x v="51"/>
    <x v="51"/>
    <n v="39015"/>
    <x v="2"/>
    <x v="1"/>
    <n v="0"/>
    <n v="12"/>
    <n v="17"/>
  </r>
  <r>
    <x v="0"/>
    <x v="52"/>
    <x v="2"/>
    <x v="2"/>
    <x v="2"/>
    <n v="0"/>
    <n v="0"/>
    <n v="0"/>
    <n v="0"/>
    <n v="0"/>
    <n v="0"/>
    <n v="0"/>
    <n v="0"/>
    <x v="52"/>
    <x v="52"/>
    <n v="15377"/>
    <x v="2"/>
    <x v="1"/>
    <n v="0"/>
    <n v="5"/>
    <n v="11"/>
  </r>
  <r>
    <x v="1"/>
    <x v="53"/>
    <x v="1"/>
    <x v="40"/>
    <x v="1"/>
    <n v="1.6"/>
    <n v="7.6"/>
    <n v="3.8"/>
    <n v="0"/>
    <n v="0"/>
    <n v="0"/>
    <n v="0"/>
    <n v="0"/>
    <x v="53"/>
    <x v="53"/>
    <n v="246912"/>
    <x v="0"/>
    <x v="0"/>
    <n v="4"/>
    <n v="50"/>
    <n v="64"/>
  </r>
  <r>
    <x v="0"/>
    <x v="54"/>
    <x v="1"/>
    <x v="2"/>
    <x v="1"/>
    <n v="0"/>
    <n v="0"/>
    <n v="0"/>
    <n v="0"/>
    <n v="0"/>
    <n v="0"/>
    <n v="0"/>
    <n v="0"/>
    <x v="54"/>
    <x v="54"/>
    <n v="247425"/>
    <x v="2"/>
    <x v="0"/>
    <n v="0"/>
    <n v="50"/>
    <n v="64"/>
  </r>
  <r>
    <x v="1"/>
    <x v="47"/>
    <x v="8"/>
    <x v="41"/>
    <x v="2"/>
    <n v="0"/>
    <n v="0"/>
    <n v="0"/>
    <n v="0"/>
    <n v="0"/>
    <n v="0"/>
    <n v="0"/>
    <n v="0"/>
    <x v="28"/>
    <x v="28"/>
    <n v="0"/>
    <x v="33"/>
    <x v="1"/>
    <n v="0"/>
    <n v="0"/>
    <n v="4"/>
  </r>
  <r>
    <x v="1"/>
    <x v="43"/>
    <x v="7"/>
    <x v="42"/>
    <x v="34"/>
    <n v="4.0999999999999996"/>
    <n v="4.4000000000000004"/>
    <n v="2.5"/>
    <n v="0"/>
    <n v="0"/>
    <n v="0"/>
    <n v="0"/>
    <n v="0"/>
    <x v="55"/>
    <x v="55"/>
    <n v="171748"/>
    <x v="20"/>
    <x v="0"/>
    <n v="7"/>
    <n v="65"/>
    <n v="79"/>
  </r>
  <r>
    <x v="0"/>
    <x v="24"/>
    <x v="1"/>
    <x v="2"/>
    <x v="2"/>
    <n v="0"/>
    <n v="0"/>
    <n v="0"/>
    <n v="0"/>
    <n v="0"/>
    <n v="0"/>
    <n v="0"/>
    <n v="0"/>
    <x v="56"/>
    <x v="56"/>
    <n v="246935"/>
    <x v="2"/>
    <x v="1"/>
    <n v="0"/>
    <n v="50"/>
    <n v="64"/>
  </r>
  <r>
    <x v="0"/>
    <x v="55"/>
    <x v="7"/>
    <x v="26"/>
    <x v="2"/>
    <n v="0"/>
    <n v="0"/>
    <n v="0"/>
    <n v="0"/>
    <n v="0"/>
    <n v="0"/>
    <n v="0"/>
    <n v="0"/>
    <x v="57"/>
    <x v="57"/>
    <n v="171755"/>
    <x v="1"/>
    <x v="1"/>
    <n v="0"/>
    <n v="65"/>
    <n v="79"/>
  </r>
  <r>
    <x v="1"/>
    <x v="56"/>
    <x v="6"/>
    <x v="43"/>
    <x v="35"/>
    <n v="7"/>
    <n v="0.3"/>
    <n v="0.5"/>
    <n v="0"/>
    <n v="0"/>
    <n v="0"/>
    <n v="0"/>
    <n v="0"/>
    <x v="58"/>
    <x v="58"/>
    <n v="43109"/>
    <x v="1"/>
    <x v="11"/>
    <n v="3"/>
    <n v="80"/>
    <n v="200"/>
  </r>
  <r>
    <x v="0"/>
    <x v="57"/>
    <x v="0"/>
    <x v="44"/>
    <x v="13"/>
    <n v="0"/>
    <n v="2.2000000000000002"/>
    <n v="0"/>
    <n v="2.2000000000000002"/>
    <n v="0.5"/>
    <n v="0"/>
    <n v="4.3"/>
    <n v="0"/>
    <x v="59"/>
    <x v="59"/>
    <n v="92473"/>
    <x v="16"/>
    <x v="13"/>
    <n v="0"/>
    <n v="999"/>
    <n v="999"/>
  </r>
  <r>
    <x v="1"/>
    <x v="58"/>
    <x v="5"/>
    <x v="45"/>
    <x v="36"/>
    <n v="2.6"/>
    <n v="6.6"/>
    <n v="6.3"/>
    <n v="0"/>
    <n v="0"/>
    <n v="0"/>
    <n v="0"/>
    <n v="0"/>
    <x v="60"/>
    <x v="60"/>
    <n v="347089"/>
    <x v="34"/>
    <x v="26"/>
    <n v="9"/>
    <n v="30"/>
    <n v="49"/>
  </r>
  <r>
    <x v="0"/>
    <x v="59"/>
    <x v="3"/>
    <x v="2"/>
    <x v="2"/>
    <n v="0"/>
    <n v="0"/>
    <n v="0"/>
    <n v="0"/>
    <n v="0"/>
    <n v="0"/>
    <n v="0"/>
    <n v="0"/>
    <x v="61"/>
    <x v="61"/>
    <n v="0"/>
    <x v="2"/>
    <x v="1"/>
    <n v="0"/>
    <n v="18"/>
    <n v="29"/>
  </r>
  <r>
    <x v="0"/>
    <x v="60"/>
    <x v="1"/>
    <x v="46"/>
    <x v="37"/>
    <n v="0.5"/>
    <n v="5"/>
    <n v="57.4"/>
    <n v="0"/>
    <n v="0"/>
    <n v="0"/>
    <n v="0"/>
    <n v="0"/>
    <x v="62"/>
    <x v="62"/>
    <n v="201587"/>
    <x v="35"/>
    <x v="13"/>
    <n v="1"/>
    <n v="50"/>
    <n v="64"/>
  </r>
  <r>
    <x v="1"/>
    <x v="61"/>
    <x v="5"/>
    <x v="47"/>
    <x v="38"/>
    <n v="0.6"/>
    <n v="13.4"/>
    <n v="15.7"/>
    <n v="0"/>
    <n v="0"/>
    <n v="0"/>
    <n v="0"/>
    <n v="0"/>
    <x v="63"/>
    <x v="63"/>
    <n v="347328"/>
    <x v="24"/>
    <x v="11"/>
    <n v="2"/>
    <n v="30"/>
    <n v="49"/>
  </r>
  <r>
    <x v="2"/>
    <x v="37"/>
    <x v="1"/>
    <x v="48"/>
    <x v="39"/>
    <n v="27.5"/>
    <n v="2.1"/>
    <n v="1.7"/>
    <n v="0"/>
    <n v="0"/>
    <n v="0"/>
    <n v="0"/>
    <n v="0"/>
    <x v="64"/>
    <x v="64"/>
    <n v="246933"/>
    <x v="36"/>
    <x v="27"/>
    <n v="68"/>
    <n v="50"/>
    <n v="64"/>
  </r>
  <r>
    <x v="2"/>
    <x v="62"/>
    <x v="1"/>
    <x v="49"/>
    <x v="40"/>
    <n v="27.5"/>
    <n v="5"/>
    <n v="2.5"/>
    <n v="0"/>
    <n v="0"/>
    <n v="0"/>
    <n v="0"/>
    <n v="0"/>
    <x v="65"/>
    <x v="65"/>
    <n v="246934"/>
    <x v="37"/>
    <x v="28"/>
    <n v="68"/>
    <n v="50"/>
    <n v="64"/>
  </r>
  <r>
    <x v="2"/>
    <x v="34"/>
    <x v="3"/>
    <x v="50"/>
    <x v="41"/>
    <n v="1042.5999999999999"/>
    <n v="1.8"/>
    <n v="1.6"/>
    <n v="0"/>
    <n v="0"/>
    <n v="0"/>
    <n v="0"/>
    <n v="0"/>
    <x v="66"/>
    <x v="66"/>
    <n v="46808"/>
    <x v="38"/>
    <x v="29"/>
    <n v="488"/>
    <n v="18"/>
    <n v="29"/>
  </r>
  <r>
    <x v="2"/>
    <x v="28"/>
    <x v="7"/>
    <x v="51"/>
    <x v="42"/>
    <n v="115.3"/>
    <n v="1.2"/>
    <n v="1.1000000000000001"/>
    <n v="0"/>
    <n v="0"/>
    <n v="0"/>
    <n v="0"/>
    <n v="0"/>
    <x v="67"/>
    <x v="67"/>
    <n v="171702"/>
    <x v="39"/>
    <x v="4"/>
    <n v="198"/>
    <n v="65"/>
    <n v="79"/>
  </r>
  <r>
    <x v="1"/>
    <x v="7"/>
    <x v="1"/>
    <x v="52"/>
    <x v="43"/>
    <n v="3.8"/>
    <n v="8.6999999999999993"/>
    <n v="29.5"/>
    <n v="0"/>
    <n v="0"/>
    <n v="0"/>
    <n v="0"/>
    <n v="0"/>
    <x v="68"/>
    <x v="68"/>
    <n v="79047"/>
    <x v="40"/>
    <x v="30"/>
    <n v="3"/>
    <n v="50"/>
    <n v="64"/>
  </r>
  <r>
    <x v="2"/>
    <x v="10"/>
    <x v="4"/>
    <x v="53"/>
    <x v="44"/>
    <n v="49.4"/>
    <n v="2.8"/>
    <n v="1.3"/>
    <n v="0"/>
    <n v="0"/>
    <n v="0"/>
    <n v="0"/>
    <n v="0"/>
    <x v="69"/>
    <x v="69"/>
    <n v="44537"/>
    <x v="37"/>
    <x v="31"/>
    <n v="22"/>
    <n v="12"/>
    <n v="17"/>
  </r>
  <r>
    <x v="1"/>
    <x v="63"/>
    <x v="2"/>
    <x v="54"/>
    <x v="17"/>
    <n v="0"/>
    <n v="0.9"/>
    <n v="0"/>
    <n v="0"/>
    <n v="0"/>
    <n v="0"/>
    <n v="0"/>
    <n v="0"/>
    <x v="70"/>
    <x v="70"/>
    <n v="21005"/>
    <x v="1"/>
    <x v="0"/>
    <n v="0"/>
    <n v="5"/>
    <n v="11"/>
  </r>
  <r>
    <x v="2"/>
    <x v="56"/>
    <x v="5"/>
    <x v="55"/>
    <x v="45"/>
    <n v="112.4"/>
    <n v="1.7"/>
    <n v="0.7"/>
    <n v="0"/>
    <n v="0"/>
    <n v="0"/>
    <n v="0"/>
    <n v="0"/>
    <x v="71"/>
    <x v="71"/>
    <n v="322847"/>
    <x v="41"/>
    <x v="32"/>
    <n v="363"/>
    <n v="30"/>
    <n v="49"/>
  </r>
  <r>
    <x v="2"/>
    <x v="64"/>
    <x v="1"/>
    <x v="56"/>
    <x v="46"/>
    <n v="36.5"/>
    <n v="3.7"/>
    <n v="3.1"/>
    <n v="0"/>
    <n v="0"/>
    <n v="0"/>
    <n v="0"/>
    <n v="0"/>
    <x v="72"/>
    <x v="72"/>
    <n v="246904"/>
    <x v="42"/>
    <x v="33"/>
    <n v="90"/>
    <n v="50"/>
    <n v="64"/>
  </r>
  <r>
    <x v="2"/>
    <x v="65"/>
    <x v="4"/>
    <x v="57"/>
    <x v="2"/>
    <n v="0"/>
    <n v="0"/>
    <n v="0"/>
    <n v="0"/>
    <n v="0"/>
    <n v="0"/>
    <n v="0"/>
    <n v="0"/>
    <x v="73"/>
    <x v="73"/>
    <n v="0"/>
    <x v="8"/>
    <x v="1"/>
    <n v="0"/>
    <n v="12"/>
    <n v="17"/>
  </r>
  <r>
    <x v="0"/>
    <x v="66"/>
    <x v="6"/>
    <x v="58"/>
    <x v="47"/>
    <n v="0"/>
    <n v="1.4"/>
    <n v="0"/>
    <n v="0"/>
    <n v="0"/>
    <n v="0"/>
    <n v="0"/>
    <n v="0"/>
    <x v="74"/>
    <x v="74"/>
    <n v="14603"/>
    <x v="20"/>
    <x v="16"/>
    <n v="0"/>
    <n v="80"/>
    <n v="200"/>
  </r>
  <r>
    <x v="1"/>
    <x v="67"/>
    <x v="3"/>
    <x v="59"/>
    <x v="48"/>
    <n v="1.2"/>
    <n v="5.8"/>
    <n v="4.3"/>
    <n v="0"/>
    <n v="0"/>
    <n v="0"/>
    <n v="0"/>
    <n v="0"/>
    <x v="75"/>
    <x v="75"/>
    <n v="161651"/>
    <x v="20"/>
    <x v="11"/>
    <n v="2"/>
    <n v="18"/>
    <n v="29"/>
  </r>
  <r>
    <x v="1"/>
    <x v="68"/>
    <x v="4"/>
    <x v="2"/>
    <x v="2"/>
    <n v="3.1"/>
    <n v="0"/>
    <n v="0"/>
    <n v="0"/>
    <n v="0"/>
    <n v="0"/>
    <n v="0"/>
    <n v="0"/>
    <x v="76"/>
    <x v="76"/>
    <n v="32264"/>
    <x v="2"/>
    <x v="1"/>
    <n v="1"/>
    <n v="12"/>
    <n v="17"/>
  </r>
  <r>
    <x v="0"/>
    <x v="69"/>
    <x v="0"/>
    <x v="60"/>
    <x v="49"/>
    <n v="0.8"/>
    <n v="2.8"/>
    <n v="3.5"/>
    <n v="3.3"/>
    <n v="1.5"/>
    <n v="0.5"/>
    <n v="2.2999999999999998"/>
    <n v="6.8"/>
    <x v="77"/>
    <x v="77"/>
    <n v="868745"/>
    <x v="34"/>
    <x v="13"/>
    <n v="7"/>
    <n v="999"/>
    <n v="999"/>
  </r>
  <r>
    <x v="2"/>
    <x v="62"/>
    <x v="5"/>
    <x v="61"/>
    <x v="6"/>
    <n v="23.9"/>
    <n v="2.2999999999999998"/>
    <n v="1.4"/>
    <n v="0"/>
    <n v="0"/>
    <n v="0"/>
    <n v="0"/>
    <n v="0"/>
    <x v="78"/>
    <x v="78"/>
    <n v="347313"/>
    <x v="19"/>
    <x v="34"/>
    <n v="83"/>
    <n v="30"/>
    <n v="49"/>
  </r>
  <r>
    <x v="2"/>
    <x v="40"/>
    <x v="0"/>
    <x v="62"/>
    <x v="50"/>
    <n v="0"/>
    <n v="2.7"/>
    <n v="0"/>
    <n v="161"/>
    <n v="42.2"/>
    <n v="0"/>
    <n v="3.8"/>
    <n v="0"/>
    <x v="79"/>
    <x v="79"/>
    <n v="0"/>
    <x v="43"/>
    <x v="35"/>
    <n v="0"/>
    <n v="999"/>
    <n v="999"/>
  </r>
  <r>
    <x v="1"/>
    <x v="44"/>
    <x v="0"/>
    <x v="63"/>
    <x v="51"/>
    <n v="3.8"/>
    <n v="2.1"/>
    <n v="1.7"/>
    <n v="8"/>
    <n v="4"/>
    <n v="2.5"/>
    <n v="2"/>
    <n v="3.2"/>
    <x v="80"/>
    <x v="80"/>
    <n v="888098"/>
    <x v="44"/>
    <x v="27"/>
    <n v="34"/>
    <n v="999"/>
    <n v="999"/>
  </r>
  <r>
    <x v="0"/>
    <x v="4"/>
    <x v="5"/>
    <x v="2"/>
    <x v="2"/>
    <n v="0"/>
    <n v="0"/>
    <n v="0"/>
    <n v="0"/>
    <n v="0"/>
    <n v="0"/>
    <n v="0"/>
    <n v="0"/>
    <x v="81"/>
    <x v="81"/>
    <n v="326607"/>
    <x v="2"/>
    <x v="1"/>
    <n v="0"/>
    <n v="30"/>
    <n v="49"/>
  </r>
  <r>
    <x v="1"/>
    <x v="26"/>
    <x v="4"/>
    <x v="64"/>
    <x v="2"/>
    <n v="2.2000000000000002"/>
    <n v="0"/>
    <n v="4.0999999999999996"/>
    <n v="0"/>
    <n v="0"/>
    <n v="0"/>
    <n v="0"/>
    <n v="0"/>
    <x v="82"/>
    <x v="82"/>
    <n v="44538"/>
    <x v="45"/>
    <x v="1"/>
    <n v="1"/>
    <n v="12"/>
    <n v="17"/>
  </r>
  <r>
    <x v="2"/>
    <x v="70"/>
    <x v="4"/>
    <x v="65"/>
    <x v="52"/>
    <n v="40.4"/>
    <n v="2.2000000000000002"/>
    <n v="1.6"/>
    <n v="0"/>
    <n v="0"/>
    <n v="0"/>
    <n v="0"/>
    <n v="0"/>
    <x v="83"/>
    <x v="83"/>
    <n v="44572"/>
    <x v="46"/>
    <x v="25"/>
    <n v="18"/>
    <n v="12"/>
    <n v="17"/>
  </r>
  <r>
    <x v="2"/>
    <x v="71"/>
    <x v="1"/>
    <x v="66"/>
    <x v="53"/>
    <n v="0"/>
    <n v="3"/>
    <n v="0"/>
    <n v="0"/>
    <n v="0"/>
    <n v="0"/>
    <n v="0"/>
    <n v="0"/>
    <x v="84"/>
    <x v="84"/>
    <n v="0"/>
    <x v="8"/>
    <x v="36"/>
    <n v="0"/>
    <n v="50"/>
    <n v="64"/>
  </r>
  <r>
    <x v="2"/>
    <x v="72"/>
    <x v="2"/>
    <x v="67"/>
    <x v="54"/>
    <n v="23.5"/>
    <n v="2"/>
    <n v="3.2"/>
    <n v="0"/>
    <n v="0"/>
    <n v="0"/>
    <n v="0"/>
    <n v="0"/>
    <x v="85"/>
    <x v="85"/>
    <n v="21241"/>
    <x v="47"/>
    <x v="37"/>
    <n v="5"/>
    <n v="5"/>
    <n v="11"/>
  </r>
  <r>
    <x v="1"/>
    <x v="73"/>
    <x v="1"/>
    <x v="68"/>
    <x v="55"/>
    <n v="7.5"/>
    <n v="3.1"/>
    <n v="4.0999999999999996"/>
    <n v="0"/>
    <n v="0"/>
    <n v="0"/>
    <n v="0"/>
    <n v="0"/>
    <x v="86"/>
    <x v="86"/>
    <n v="240221"/>
    <x v="16"/>
    <x v="38"/>
    <n v="18"/>
    <n v="50"/>
    <n v="64"/>
  </r>
  <r>
    <x v="2"/>
    <x v="43"/>
    <x v="3"/>
    <x v="69"/>
    <x v="56"/>
    <n v="10.5"/>
    <n v="7"/>
    <n v="3.7"/>
    <n v="0"/>
    <n v="0"/>
    <n v="0"/>
    <n v="0"/>
    <n v="0"/>
    <x v="87"/>
    <x v="87"/>
    <n v="161709"/>
    <x v="31"/>
    <x v="23"/>
    <n v="17"/>
    <n v="18"/>
    <n v="29"/>
  </r>
  <r>
    <x v="1"/>
    <x v="59"/>
    <x v="6"/>
    <x v="70"/>
    <x v="57"/>
    <n v="0"/>
    <n v="2.7"/>
    <n v="0"/>
    <n v="0"/>
    <n v="0"/>
    <n v="0"/>
    <n v="0"/>
    <n v="0"/>
    <x v="88"/>
    <x v="88"/>
    <n v="0"/>
    <x v="34"/>
    <x v="23"/>
    <n v="0"/>
    <n v="80"/>
    <n v="200"/>
  </r>
  <r>
    <x v="0"/>
    <x v="39"/>
    <x v="8"/>
    <x v="2"/>
    <x v="2"/>
    <n v="0"/>
    <n v="0"/>
    <n v="0"/>
    <n v="0"/>
    <n v="0"/>
    <n v="0"/>
    <n v="0"/>
    <n v="0"/>
    <x v="28"/>
    <x v="28"/>
    <n v="0"/>
    <x v="2"/>
    <x v="1"/>
    <n v="0"/>
    <n v="0"/>
    <n v="4"/>
  </r>
  <r>
    <x v="2"/>
    <x v="44"/>
    <x v="8"/>
    <x v="71"/>
    <x v="2"/>
    <n v="0"/>
    <n v="0"/>
    <n v="0"/>
    <n v="0"/>
    <n v="0"/>
    <n v="0"/>
    <n v="0"/>
    <n v="0"/>
    <x v="28"/>
    <x v="28"/>
    <n v="0"/>
    <x v="30"/>
    <x v="1"/>
    <n v="0"/>
    <n v="0"/>
    <n v="4"/>
  </r>
  <r>
    <x v="2"/>
    <x v="43"/>
    <x v="8"/>
    <x v="72"/>
    <x v="58"/>
    <n v="0"/>
    <n v="9.6"/>
    <n v="0"/>
    <n v="0"/>
    <n v="0"/>
    <n v="0"/>
    <n v="0"/>
    <n v="0"/>
    <x v="28"/>
    <x v="28"/>
    <n v="0"/>
    <x v="48"/>
    <x v="39"/>
    <n v="0"/>
    <n v="0"/>
    <n v="4"/>
  </r>
  <r>
    <x v="2"/>
    <x v="74"/>
    <x v="6"/>
    <x v="73"/>
    <x v="59"/>
    <n v="108.1"/>
    <n v="0.6"/>
    <n v="0.4"/>
    <n v="0"/>
    <n v="0"/>
    <n v="0"/>
    <n v="0"/>
    <n v="0"/>
    <x v="89"/>
    <x v="89"/>
    <n v="47191"/>
    <x v="24"/>
    <x v="5"/>
    <n v="51"/>
    <n v="80"/>
    <n v="200"/>
  </r>
  <r>
    <x v="2"/>
    <x v="40"/>
    <x v="4"/>
    <x v="74"/>
    <x v="60"/>
    <n v="0"/>
    <n v="13"/>
    <n v="0"/>
    <n v="0"/>
    <n v="0"/>
    <n v="0"/>
    <n v="0"/>
    <n v="0"/>
    <x v="90"/>
    <x v="90"/>
    <n v="0"/>
    <x v="49"/>
    <x v="28"/>
    <n v="0"/>
    <n v="12"/>
    <n v="17"/>
  </r>
  <r>
    <x v="0"/>
    <x v="51"/>
    <x v="7"/>
    <x v="75"/>
    <x v="61"/>
    <n v="0.6"/>
    <n v="1"/>
    <n v="3.7"/>
    <n v="0"/>
    <n v="0"/>
    <n v="0"/>
    <n v="0"/>
    <n v="0"/>
    <x v="91"/>
    <x v="91"/>
    <n v="168622"/>
    <x v="1"/>
    <x v="0"/>
    <n v="1"/>
    <n v="65"/>
    <n v="79"/>
  </r>
  <r>
    <x v="0"/>
    <x v="75"/>
    <x v="5"/>
    <x v="76"/>
    <x v="2"/>
    <n v="0"/>
    <n v="0"/>
    <n v="0"/>
    <n v="0"/>
    <n v="0"/>
    <n v="0"/>
    <n v="0"/>
    <n v="0"/>
    <x v="92"/>
    <x v="92"/>
    <n v="342597"/>
    <x v="0"/>
    <x v="1"/>
    <n v="0"/>
    <n v="30"/>
    <n v="49"/>
  </r>
  <r>
    <x v="0"/>
    <x v="70"/>
    <x v="1"/>
    <x v="2"/>
    <x v="2"/>
    <n v="0"/>
    <n v="0"/>
    <n v="0"/>
    <n v="0"/>
    <n v="0"/>
    <n v="0"/>
    <n v="0"/>
    <n v="0"/>
    <x v="93"/>
    <x v="93"/>
    <n v="246898"/>
    <x v="2"/>
    <x v="1"/>
    <n v="0"/>
    <n v="50"/>
    <n v="64"/>
  </r>
  <r>
    <x v="0"/>
    <x v="40"/>
    <x v="4"/>
    <x v="2"/>
    <x v="2"/>
    <n v="0"/>
    <n v="0"/>
    <n v="0"/>
    <n v="0"/>
    <n v="0"/>
    <n v="0"/>
    <n v="0"/>
    <n v="0"/>
    <x v="90"/>
    <x v="90"/>
    <n v="0"/>
    <x v="2"/>
    <x v="1"/>
    <n v="0"/>
    <n v="12"/>
    <n v="17"/>
  </r>
  <r>
    <x v="0"/>
    <x v="41"/>
    <x v="2"/>
    <x v="2"/>
    <x v="2"/>
    <n v="0"/>
    <n v="0"/>
    <n v="0"/>
    <n v="0"/>
    <n v="0"/>
    <n v="0"/>
    <n v="0"/>
    <n v="0"/>
    <x v="94"/>
    <x v="94"/>
    <n v="12921"/>
    <x v="2"/>
    <x v="1"/>
    <n v="0"/>
    <n v="5"/>
    <n v="11"/>
  </r>
  <r>
    <x v="1"/>
    <x v="76"/>
    <x v="1"/>
    <x v="40"/>
    <x v="1"/>
    <n v="0.8"/>
    <n v="7.6"/>
    <n v="7.6"/>
    <n v="0"/>
    <n v="0"/>
    <n v="0"/>
    <n v="0"/>
    <n v="0"/>
    <x v="95"/>
    <x v="95"/>
    <n v="246913"/>
    <x v="0"/>
    <x v="0"/>
    <n v="2"/>
    <n v="50"/>
    <n v="64"/>
  </r>
  <r>
    <x v="0"/>
    <x v="77"/>
    <x v="3"/>
    <x v="2"/>
    <x v="2"/>
    <n v="0"/>
    <n v="0"/>
    <n v="0"/>
    <n v="0"/>
    <n v="0"/>
    <n v="0"/>
    <n v="0"/>
    <n v="0"/>
    <x v="96"/>
    <x v="96"/>
    <n v="161673"/>
    <x v="2"/>
    <x v="1"/>
    <n v="0"/>
    <n v="18"/>
    <n v="29"/>
  </r>
  <r>
    <x v="0"/>
    <x v="58"/>
    <x v="8"/>
    <x v="2"/>
    <x v="2"/>
    <n v="0"/>
    <n v="0"/>
    <n v="0"/>
    <n v="0"/>
    <n v="0"/>
    <n v="0"/>
    <n v="0"/>
    <n v="0"/>
    <x v="28"/>
    <x v="28"/>
    <n v="0"/>
    <x v="2"/>
    <x v="1"/>
    <n v="0"/>
    <n v="0"/>
    <n v="4"/>
  </r>
  <r>
    <x v="2"/>
    <x v="78"/>
    <x v="4"/>
    <x v="77"/>
    <x v="2"/>
    <n v="0"/>
    <n v="0"/>
    <n v="0"/>
    <n v="0"/>
    <n v="0"/>
    <n v="0"/>
    <n v="0"/>
    <n v="0"/>
    <x v="97"/>
    <x v="28"/>
    <n v="0"/>
    <x v="50"/>
    <x v="1"/>
    <n v="0"/>
    <n v="12"/>
    <n v="17"/>
  </r>
  <r>
    <x v="2"/>
    <x v="79"/>
    <x v="6"/>
    <x v="78"/>
    <x v="62"/>
    <n v="42.4"/>
    <n v="4.2"/>
    <n v="0.9"/>
    <n v="0"/>
    <n v="0"/>
    <n v="0"/>
    <n v="0"/>
    <n v="0"/>
    <x v="98"/>
    <x v="97"/>
    <n v="47128"/>
    <x v="51"/>
    <x v="0"/>
    <n v="20"/>
    <n v="80"/>
    <n v="200"/>
  </r>
  <r>
    <x v="2"/>
    <x v="80"/>
    <x v="5"/>
    <x v="79"/>
    <x v="63"/>
    <n v="326.10000000000002"/>
    <n v="1.6"/>
    <n v="0.7"/>
    <n v="0"/>
    <n v="0"/>
    <n v="0"/>
    <n v="0"/>
    <n v="0"/>
    <x v="99"/>
    <x v="98"/>
    <n v="330602"/>
    <x v="52"/>
    <x v="40"/>
    <n v="1078"/>
    <n v="30"/>
    <n v="49"/>
  </r>
  <r>
    <x v="2"/>
    <x v="81"/>
    <x v="3"/>
    <x v="80"/>
    <x v="64"/>
    <n v="0"/>
    <n v="2.4"/>
    <n v="0"/>
    <n v="0"/>
    <n v="0"/>
    <n v="0"/>
    <n v="0"/>
    <n v="0"/>
    <x v="100"/>
    <x v="99"/>
    <n v="0"/>
    <x v="53"/>
    <x v="41"/>
    <n v="0"/>
    <n v="18"/>
    <n v="29"/>
  </r>
  <r>
    <x v="2"/>
    <x v="63"/>
    <x v="7"/>
    <x v="81"/>
    <x v="65"/>
    <n v="120.7"/>
    <n v="1.3"/>
    <n v="1.4"/>
    <n v="0"/>
    <n v="0"/>
    <n v="0"/>
    <n v="0"/>
    <n v="0"/>
    <x v="101"/>
    <x v="100"/>
    <n v="171562"/>
    <x v="54"/>
    <x v="42"/>
    <n v="207"/>
    <n v="65"/>
    <n v="79"/>
  </r>
  <r>
    <x v="2"/>
    <x v="82"/>
    <x v="6"/>
    <x v="82"/>
    <x v="66"/>
    <n v="33.9"/>
    <n v="0.2"/>
    <n v="0.1"/>
    <n v="0"/>
    <n v="0"/>
    <n v="0"/>
    <n v="0"/>
    <n v="0"/>
    <x v="102"/>
    <x v="101"/>
    <n v="47130"/>
    <x v="1"/>
    <x v="11"/>
    <n v="16"/>
    <n v="80"/>
    <n v="200"/>
  </r>
  <r>
    <x v="2"/>
    <x v="83"/>
    <x v="8"/>
    <x v="83"/>
    <x v="2"/>
    <n v="0"/>
    <n v="0"/>
    <n v="0"/>
    <n v="0"/>
    <n v="0"/>
    <n v="0"/>
    <n v="0"/>
    <n v="0"/>
    <x v="28"/>
    <x v="28"/>
    <n v="0"/>
    <x v="55"/>
    <x v="1"/>
    <n v="0"/>
    <n v="0"/>
    <n v="4"/>
  </r>
  <r>
    <x v="2"/>
    <x v="84"/>
    <x v="7"/>
    <x v="84"/>
    <x v="67"/>
    <n v="55.9"/>
    <n v="1"/>
    <n v="1.1000000000000001"/>
    <n v="0"/>
    <n v="0"/>
    <n v="0"/>
    <n v="0"/>
    <n v="0"/>
    <x v="103"/>
    <x v="102"/>
    <n v="171762"/>
    <x v="56"/>
    <x v="43"/>
    <n v="96"/>
    <n v="65"/>
    <n v="79"/>
  </r>
  <r>
    <x v="2"/>
    <x v="6"/>
    <x v="5"/>
    <x v="85"/>
    <x v="68"/>
    <n v="110.1"/>
    <n v="2.6"/>
    <n v="1.5"/>
    <n v="0"/>
    <n v="0"/>
    <n v="0"/>
    <n v="0"/>
    <n v="0"/>
    <x v="104"/>
    <x v="103"/>
    <n v="346825"/>
    <x v="57"/>
    <x v="44"/>
    <n v="382"/>
    <n v="30"/>
    <n v="49"/>
  </r>
  <r>
    <x v="0"/>
    <x v="10"/>
    <x v="8"/>
    <x v="2"/>
    <x v="2"/>
    <n v="0"/>
    <n v="0"/>
    <n v="0"/>
    <n v="0"/>
    <n v="0"/>
    <n v="0"/>
    <n v="0"/>
    <n v="0"/>
    <x v="28"/>
    <x v="28"/>
    <n v="0"/>
    <x v="2"/>
    <x v="1"/>
    <n v="0"/>
    <n v="0"/>
    <n v="4"/>
  </r>
  <r>
    <x v="0"/>
    <x v="51"/>
    <x v="3"/>
    <x v="2"/>
    <x v="2"/>
    <n v="0"/>
    <n v="0"/>
    <n v="0"/>
    <n v="0"/>
    <n v="0"/>
    <n v="0"/>
    <n v="0"/>
    <n v="0"/>
    <x v="105"/>
    <x v="104"/>
    <n v="157475"/>
    <x v="2"/>
    <x v="1"/>
    <n v="0"/>
    <n v="18"/>
    <n v="29"/>
  </r>
  <r>
    <x v="0"/>
    <x v="85"/>
    <x v="3"/>
    <x v="86"/>
    <x v="19"/>
    <n v="0"/>
    <n v="2"/>
    <n v="0"/>
    <n v="0"/>
    <n v="0"/>
    <n v="0"/>
    <n v="0"/>
    <n v="0"/>
    <x v="106"/>
    <x v="105"/>
    <n v="83774"/>
    <x v="1"/>
    <x v="0"/>
    <n v="0"/>
    <n v="18"/>
    <n v="29"/>
  </r>
  <r>
    <x v="1"/>
    <x v="1"/>
    <x v="1"/>
    <x v="87"/>
    <x v="25"/>
    <n v="8.5"/>
    <n v="2.2999999999999998"/>
    <n v="1.7"/>
    <n v="0"/>
    <n v="0"/>
    <n v="0"/>
    <n v="0"/>
    <n v="0"/>
    <x v="1"/>
    <x v="1"/>
    <n v="246849"/>
    <x v="13"/>
    <x v="5"/>
    <n v="21"/>
    <n v="50"/>
    <n v="64"/>
  </r>
  <r>
    <x v="2"/>
    <x v="58"/>
    <x v="2"/>
    <x v="88"/>
    <x v="69"/>
    <n v="142.4"/>
    <n v="1"/>
    <n v="0.9"/>
    <n v="0"/>
    <n v="0"/>
    <n v="0"/>
    <n v="0"/>
    <n v="0"/>
    <x v="107"/>
    <x v="106"/>
    <n v="21068"/>
    <x v="58"/>
    <x v="45"/>
    <n v="30"/>
    <n v="5"/>
    <n v="11"/>
  </r>
  <r>
    <x v="1"/>
    <x v="32"/>
    <x v="0"/>
    <x v="89"/>
    <x v="70"/>
    <n v="10"/>
    <n v="2.2999999999999998"/>
    <n v="1.4"/>
    <n v="18.600000000000001"/>
    <n v="10"/>
    <n v="7.2"/>
    <n v="1.9"/>
    <n v="2.6"/>
    <x v="108"/>
    <x v="107"/>
    <n v="1039743"/>
    <x v="21"/>
    <x v="46"/>
    <n v="104"/>
    <n v="999"/>
    <n v="999"/>
  </r>
  <r>
    <x v="0"/>
    <x v="86"/>
    <x v="5"/>
    <x v="2"/>
    <x v="2"/>
    <n v="0.3"/>
    <n v="0"/>
    <n v="0"/>
    <n v="0"/>
    <n v="0"/>
    <n v="0"/>
    <n v="0"/>
    <n v="0"/>
    <x v="109"/>
    <x v="108"/>
    <n v="347207"/>
    <x v="2"/>
    <x v="1"/>
    <n v="1"/>
    <n v="30"/>
    <n v="49"/>
  </r>
  <r>
    <x v="2"/>
    <x v="9"/>
    <x v="3"/>
    <x v="90"/>
    <x v="71"/>
    <n v="0"/>
    <n v="2.6"/>
    <n v="0"/>
    <n v="0"/>
    <n v="0"/>
    <n v="0"/>
    <n v="0"/>
    <n v="0"/>
    <x v="110"/>
    <x v="109"/>
    <n v="0"/>
    <x v="59"/>
    <x v="47"/>
    <n v="0"/>
    <n v="18"/>
    <n v="29"/>
  </r>
  <r>
    <x v="0"/>
    <x v="61"/>
    <x v="0"/>
    <x v="18"/>
    <x v="2"/>
    <n v="0.2"/>
    <n v="0"/>
    <n v="2"/>
    <n v="0.3"/>
    <n v="0"/>
    <n v="0.1"/>
    <n v="0"/>
    <n v="2"/>
    <x v="111"/>
    <x v="110"/>
    <n v="1040840"/>
    <x v="0"/>
    <x v="1"/>
    <n v="2"/>
    <n v="999"/>
    <n v="999"/>
  </r>
  <r>
    <x v="0"/>
    <x v="15"/>
    <x v="6"/>
    <x v="91"/>
    <x v="72"/>
    <n v="6.4"/>
    <n v="0.7"/>
    <n v="1.8"/>
    <n v="0"/>
    <n v="0"/>
    <n v="0"/>
    <n v="0"/>
    <n v="0"/>
    <x v="112"/>
    <x v="111"/>
    <n v="46759"/>
    <x v="45"/>
    <x v="11"/>
    <n v="3"/>
    <n v="80"/>
    <n v="200"/>
  </r>
  <r>
    <x v="0"/>
    <x v="68"/>
    <x v="1"/>
    <x v="92"/>
    <x v="2"/>
    <n v="0"/>
    <n v="0"/>
    <n v="0"/>
    <n v="0"/>
    <n v="0"/>
    <n v="0"/>
    <n v="0"/>
    <n v="0"/>
    <x v="113"/>
    <x v="112"/>
    <n v="229793"/>
    <x v="0"/>
    <x v="1"/>
    <n v="0"/>
    <n v="50"/>
    <n v="64"/>
  </r>
  <r>
    <x v="1"/>
    <x v="62"/>
    <x v="3"/>
    <x v="93"/>
    <x v="23"/>
    <n v="0"/>
    <n v="2.8"/>
    <n v="0"/>
    <n v="0"/>
    <n v="0"/>
    <n v="0"/>
    <n v="0"/>
    <n v="0"/>
    <x v="114"/>
    <x v="113"/>
    <n v="161713"/>
    <x v="1"/>
    <x v="0"/>
    <n v="0"/>
    <n v="18"/>
    <n v="29"/>
  </r>
  <r>
    <x v="1"/>
    <x v="2"/>
    <x v="8"/>
    <x v="43"/>
    <x v="2"/>
    <n v="0"/>
    <n v="0"/>
    <n v="0"/>
    <n v="0"/>
    <n v="0"/>
    <n v="0"/>
    <n v="0"/>
    <n v="0"/>
    <x v="28"/>
    <x v="28"/>
    <n v="0"/>
    <x v="18"/>
    <x v="1"/>
    <n v="0"/>
    <n v="0"/>
    <n v="4"/>
  </r>
  <r>
    <x v="0"/>
    <x v="0"/>
    <x v="2"/>
    <x v="2"/>
    <x v="2"/>
    <n v="0"/>
    <n v="0"/>
    <n v="0"/>
    <n v="0"/>
    <n v="0"/>
    <n v="0"/>
    <n v="0"/>
    <n v="0"/>
    <x v="115"/>
    <x v="114"/>
    <n v="19254"/>
    <x v="2"/>
    <x v="1"/>
    <n v="0"/>
    <n v="5"/>
    <n v="11"/>
  </r>
  <r>
    <x v="1"/>
    <x v="87"/>
    <x v="5"/>
    <x v="94"/>
    <x v="73"/>
    <n v="0"/>
    <n v="12.3"/>
    <n v="0"/>
    <n v="0"/>
    <n v="0"/>
    <n v="0"/>
    <n v="0"/>
    <n v="0"/>
    <x v="116"/>
    <x v="115"/>
    <n v="31898"/>
    <x v="60"/>
    <x v="48"/>
    <n v="0"/>
    <n v="30"/>
    <n v="49"/>
  </r>
  <r>
    <x v="2"/>
    <x v="88"/>
    <x v="0"/>
    <x v="95"/>
    <x v="74"/>
    <n v="0"/>
    <n v="2.8"/>
    <n v="0"/>
    <n v="179.5"/>
    <n v="45.8"/>
    <n v="0"/>
    <n v="3.9"/>
    <n v="0"/>
    <x v="117"/>
    <x v="116"/>
    <n v="0"/>
    <x v="61"/>
    <x v="49"/>
    <n v="0"/>
    <n v="999"/>
    <n v="999"/>
  </r>
  <r>
    <x v="2"/>
    <x v="85"/>
    <x v="5"/>
    <x v="96"/>
    <x v="75"/>
    <n v="1349.3"/>
    <n v="1.5"/>
    <n v="1.9"/>
    <n v="0"/>
    <n v="0"/>
    <n v="0"/>
    <n v="0"/>
    <n v="0"/>
    <x v="118"/>
    <x v="117"/>
    <n v="223160"/>
    <x v="62"/>
    <x v="50"/>
    <n v="3011"/>
    <n v="30"/>
    <n v="49"/>
  </r>
  <r>
    <x v="0"/>
    <x v="89"/>
    <x v="1"/>
    <x v="97"/>
    <x v="2"/>
    <n v="0"/>
    <n v="0"/>
    <n v="0"/>
    <n v="0"/>
    <n v="0"/>
    <n v="0"/>
    <n v="0"/>
    <n v="0"/>
    <x v="119"/>
    <x v="118"/>
    <n v="0"/>
    <x v="0"/>
    <x v="1"/>
    <n v="0"/>
    <n v="50"/>
    <n v="64"/>
  </r>
  <r>
    <x v="2"/>
    <x v="90"/>
    <x v="7"/>
    <x v="98"/>
    <x v="76"/>
    <n v="220.3"/>
    <n v="0.9"/>
    <n v="0.8"/>
    <n v="0"/>
    <n v="0"/>
    <n v="0"/>
    <n v="0"/>
    <n v="0"/>
    <x v="120"/>
    <x v="119"/>
    <n v="164773"/>
    <x v="63"/>
    <x v="51"/>
    <n v="363"/>
    <n v="65"/>
    <n v="79"/>
  </r>
  <r>
    <x v="1"/>
    <x v="40"/>
    <x v="4"/>
    <x v="2"/>
    <x v="2"/>
    <n v="0"/>
    <n v="0"/>
    <n v="0"/>
    <n v="0"/>
    <n v="0"/>
    <n v="0"/>
    <n v="0"/>
    <n v="0"/>
    <x v="90"/>
    <x v="90"/>
    <n v="0"/>
    <x v="2"/>
    <x v="1"/>
    <n v="0"/>
    <n v="12"/>
    <n v="17"/>
  </r>
  <r>
    <x v="0"/>
    <x v="83"/>
    <x v="7"/>
    <x v="99"/>
    <x v="77"/>
    <n v="0"/>
    <n v="1"/>
    <n v="0"/>
    <n v="0"/>
    <n v="0"/>
    <n v="0"/>
    <n v="0"/>
    <n v="0"/>
    <x v="121"/>
    <x v="120"/>
    <n v="162746"/>
    <x v="1"/>
    <x v="0"/>
    <n v="0"/>
    <n v="65"/>
    <n v="79"/>
  </r>
  <r>
    <x v="0"/>
    <x v="85"/>
    <x v="1"/>
    <x v="100"/>
    <x v="78"/>
    <n v="0.6"/>
    <n v="6.1"/>
    <n v="73"/>
    <n v="0"/>
    <n v="0"/>
    <n v="0"/>
    <n v="0"/>
    <n v="0"/>
    <x v="122"/>
    <x v="121"/>
    <n v="160841"/>
    <x v="56"/>
    <x v="52"/>
    <n v="1"/>
    <n v="50"/>
    <n v="64"/>
  </r>
  <r>
    <x v="0"/>
    <x v="53"/>
    <x v="1"/>
    <x v="2"/>
    <x v="2"/>
    <n v="0"/>
    <n v="0"/>
    <n v="0"/>
    <n v="0"/>
    <n v="0"/>
    <n v="0"/>
    <n v="0"/>
    <n v="0"/>
    <x v="53"/>
    <x v="53"/>
    <n v="246912"/>
    <x v="2"/>
    <x v="1"/>
    <n v="0"/>
    <n v="50"/>
    <n v="64"/>
  </r>
  <r>
    <x v="1"/>
    <x v="74"/>
    <x v="5"/>
    <x v="1"/>
    <x v="73"/>
    <n v="0.9"/>
    <n v="2.6"/>
    <n v="3.2"/>
    <n v="0"/>
    <n v="0"/>
    <n v="0"/>
    <n v="0"/>
    <n v="0"/>
    <x v="123"/>
    <x v="122"/>
    <n v="347858"/>
    <x v="45"/>
    <x v="39"/>
    <n v="3"/>
    <n v="30"/>
    <n v="49"/>
  </r>
  <r>
    <x v="0"/>
    <x v="68"/>
    <x v="4"/>
    <x v="2"/>
    <x v="2"/>
    <n v="0"/>
    <n v="0"/>
    <n v="0"/>
    <n v="0"/>
    <n v="0"/>
    <n v="0"/>
    <n v="0"/>
    <n v="0"/>
    <x v="76"/>
    <x v="76"/>
    <n v="32264"/>
    <x v="2"/>
    <x v="1"/>
    <n v="0"/>
    <n v="12"/>
    <n v="17"/>
  </r>
  <r>
    <x v="1"/>
    <x v="91"/>
    <x v="3"/>
    <x v="101"/>
    <x v="23"/>
    <n v="2.5"/>
    <n v="14.2"/>
    <n v="2.8"/>
    <n v="0"/>
    <n v="0"/>
    <n v="0"/>
    <n v="0"/>
    <n v="0"/>
    <x v="124"/>
    <x v="123"/>
    <n v="161526"/>
    <x v="18"/>
    <x v="0"/>
    <n v="4"/>
    <n v="18"/>
    <n v="29"/>
  </r>
  <r>
    <x v="0"/>
    <x v="63"/>
    <x v="6"/>
    <x v="102"/>
    <x v="62"/>
    <n v="2.1"/>
    <n v="0.5"/>
    <n v="1.9"/>
    <n v="0"/>
    <n v="0"/>
    <n v="0"/>
    <n v="0"/>
    <n v="0"/>
    <x v="125"/>
    <x v="124"/>
    <n v="47086"/>
    <x v="1"/>
    <x v="0"/>
    <n v="1"/>
    <n v="80"/>
    <n v="200"/>
  </r>
  <r>
    <x v="0"/>
    <x v="71"/>
    <x v="6"/>
    <x v="103"/>
    <x v="2"/>
    <n v="0"/>
    <n v="0"/>
    <n v="0"/>
    <n v="0"/>
    <n v="0"/>
    <n v="0"/>
    <n v="0"/>
    <n v="0"/>
    <x v="126"/>
    <x v="125"/>
    <n v="0"/>
    <x v="1"/>
    <x v="1"/>
    <n v="0"/>
    <n v="80"/>
    <n v="200"/>
  </r>
  <r>
    <x v="0"/>
    <x v="90"/>
    <x v="2"/>
    <x v="2"/>
    <x v="2"/>
    <n v="0"/>
    <n v="0"/>
    <n v="0"/>
    <n v="0"/>
    <n v="0"/>
    <n v="0"/>
    <n v="0"/>
    <n v="0"/>
    <x v="127"/>
    <x v="126"/>
    <n v="418"/>
    <x v="2"/>
    <x v="1"/>
    <n v="0"/>
    <n v="5"/>
    <n v="11"/>
  </r>
  <r>
    <x v="1"/>
    <x v="60"/>
    <x v="3"/>
    <x v="104"/>
    <x v="61"/>
    <n v="0.8"/>
    <n v="3"/>
    <n v="8.1"/>
    <n v="0"/>
    <n v="0"/>
    <n v="0"/>
    <n v="0"/>
    <n v="0"/>
    <x v="128"/>
    <x v="127"/>
    <n v="122651"/>
    <x v="64"/>
    <x v="21"/>
    <n v="1"/>
    <n v="18"/>
    <n v="29"/>
  </r>
  <r>
    <x v="1"/>
    <x v="48"/>
    <x v="7"/>
    <x v="105"/>
    <x v="79"/>
    <n v="12.2"/>
    <n v="1.6"/>
    <n v="2.1"/>
    <n v="0"/>
    <n v="0"/>
    <n v="0"/>
    <n v="0"/>
    <n v="0"/>
    <x v="129"/>
    <x v="128"/>
    <n v="171905"/>
    <x v="24"/>
    <x v="26"/>
    <n v="21"/>
    <n v="65"/>
    <n v="79"/>
  </r>
  <r>
    <x v="2"/>
    <x v="52"/>
    <x v="2"/>
    <x v="106"/>
    <x v="80"/>
    <n v="117.1"/>
    <n v="1.4"/>
    <n v="1.1000000000000001"/>
    <n v="0"/>
    <n v="0"/>
    <n v="0"/>
    <n v="0"/>
    <n v="0"/>
    <x v="52"/>
    <x v="52"/>
    <n v="15377"/>
    <x v="65"/>
    <x v="53"/>
    <n v="18"/>
    <n v="5"/>
    <n v="11"/>
  </r>
  <r>
    <x v="0"/>
    <x v="92"/>
    <x v="7"/>
    <x v="2"/>
    <x v="2"/>
    <n v="0"/>
    <n v="0"/>
    <n v="0"/>
    <n v="0"/>
    <n v="0"/>
    <n v="0"/>
    <n v="0"/>
    <n v="0"/>
    <x v="130"/>
    <x v="129"/>
    <n v="171716"/>
    <x v="2"/>
    <x v="1"/>
    <n v="0"/>
    <n v="65"/>
    <n v="79"/>
  </r>
  <r>
    <x v="2"/>
    <x v="3"/>
    <x v="6"/>
    <x v="107"/>
    <x v="81"/>
    <n v="16.3"/>
    <n v="0.6"/>
    <n v="6.6"/>
    <n v="0"/>
    <n v="0"/>
    <n v="0"/>
    <n v="0"/>
    <n v="0"/>
    <x v="131"/>
    <x v="130"/>
    <n v="18401"/>
    <x v="66"/>
    <x v="54"/>
    <n v="3"/>
    <n v="80"/>
    <n v="200"/>
  </r>
  <r>
    <x v="1"/>
    <x v="93"/>
    <x v="3"/>
    <x v="47"/>
    <x v="19"/>
    <n v="0"/>
    <n v="23.5"/>
    <n v="0"/>
    <n v="0"/>
    <n v="0"/>
    <n v="0"/>
    <n v="0"/>
    <n v="0"/>
    <x v="132"/>
    <x v="131"/>
    <n v="0"/>
    <x v="34"/>
    <x v="0"/>
    <n v="0"/>
    <n v="18"/>
    <n v="29"/>
  </r>
  <r>
    <x v="0"/>
    <x v="65"/>
    <x v="0"/>
    <x v="108"/>
    <x v="82"/>
    <n v="0"/>
    <n v="6"/>
    <n v="0"/>
    <n v="1.8"/>
    <n v="0.1"/>
    <n v="0"/>
    <n v="17.8"/>
    <n v="0"/>
    <x v="133"/>
    <x v="132"/>
    <n v="0"/>
    <x v="36"/>
    <x v="11"/>
    <n v="0"/>
    <n v="999"/>
    <n v="999"/>
  </r>
  <r>
    <x v="2"/>
    <x v="65"/>
    <x v="3"/>
    <x v="109"/>
    <x v="83"/>
    <n v="0"/>
    <n v="5.8"/>
    <n v="0"/>
    <n v="0"/>
    <n v="0"/>
    <n v="0"/>
    <n v="0"/>
    <n v="0"/>
    <x v="134"/>
    <x v="133"/>
    <n v="0"/>
    <x v="67"/>
    <x v="13"/>
    <n v="0"/>
    <n v="18"/>
    <n v="29"/>
  </r>
  <r>
    <x v="2"/>
    <x v="94"/>
    <x v="0"/>
    <x v="110"/>
    <x v="84"/>
    <n v="87"/>
    <n v="1.6"/>
    <n v="1.4"/>
    <n v="135.80000000000001"/>
    <n v="75.099999999999994"/>
    <n v="91.3"/>
    <n v="1.8"/>
    <n v="1.5"/>
    <x v="135"/>
    <x v="134"/>
    <n v="1040296"/>
    <x v="68"/>
    <x v="55"/>
    <n v="905"/>
    <n v="999"/>
    <n v="999"/>
  </r>
  <r>
    <x v="1"/>
    <x v="16"/>
    <x v="2"/>
    <x v="104"/>
    <x v="2"/>
    <n v="0"/>
    <n v="0"/>
    <n v="0"/>
    <n v="0"/>
    <n v="0"/>
    <n v="0"/>
    <n v="0"/>
    <n v="0"/>
    <x v="136"/>
    <x v="135"/>
    <n v="0"/>
    <x v="51"/>
    <x v="1"/>
    <n v="0"/>
    <n v="5"/>
    <n v="11"/>
  </r>
  <r>
    <x v="1"/>
    <x v="95"/>
    <x v="4"/>
    <x v="37"/>
    <x v="73"/>
    <n v="2.6"/>
    <n v="5"/>
    <n v="2.1"/>
    <n v="0"/>
    <n v="0"/>
    <n v="0"/>
    <n v="0"/>
    <n v="0"/>
    <x v="137"/>
    <x v="136"/>
    <n v="38517"/>
    <x v="0"/>
    <x v="0"/>
    <n v="1"/>
    <n v="12"/>
    <n v="17"/>
  </r>
  <r>
    <x v="2"/>
    <x v="31"/>
    <x v="2"/>
    <x v="111"/>
    <x v="85"/>
    <n v="115.4"/>
    <n v="0.8"/>
    <n v="0.7"/>
    <n v="0"/>
    <n v="0"/>
    <n v="0"/>
    <n v="0"/>
    <n v="0"/>
    <x v="138"/>
    <x v="137"/>
    <n v="7798"/>
    <x v="21"/>
    <x v="56"/>
    <n v="9"/>
    <n v="5"/>
    <n v="11"/>
  </r>
  <r>
    <x v="2"/>
    <x v="41"/>
    <x v="8"/>
    <x v="112"/>
    <x v="17"/>
    <n v="0"/>
    <n v="133.80000000000001"/>
    <n v="0"/>
    <n v="0"/>
    <n v="0"/>
    <n v="0"/>
    <n v="0"/>
    <n v="0"/>
    <x v="28"/>
    <x v="28"/>
    <n v="0"/>
    <x v="69"/>
    <x v="11"/>
    <n v="0"/>
    <n v="0"/>
    <n v="4"/>
  </r>
  <r>
    <x v="0"/>
    <x v="96"/>
    <x v="0"/>
    <x v="113"/>
    <x v="82"/>
    <n v="0"/>
    <n v="1"/>
    <n v="0"/>
    <n v="0.1"/>
    <n v="0.2"/>
    <n v="0"/>
    <n v="0.6"/>
    <n v="0"/>
    <x v="139"/>
    <x v="138"/>
    <n v="1040472"/>
    <x v="1"/>
    <x v="11"/>
    <n v="0"/>
    <n v="999"/>
    <n v="999"/>
  </r>
  <r>
    <x v="1"/>
    <x v="97"/>
    <x v="4"/>
    <x v="114"/>
    <x v="48"/>
    <n v="0"/>
    <n v="9.6999999999999993"/>
    <n v="0"/>
    <n v="0"/>
    <n v="0"/>
    <n v="0"/>
    <n v="0"/>
    <n v="0"/>
    <x v="140"/>
    <x v="139"/>
    <n v="469"/>
    <x v="13"/>
    <x v="0"/>
    <n v="0"/>
    <n v="12"/>
    <n v="17"/>
  </r>
  <r>
    <x v="1"/>
    <x v="98"/>
    <x v="6"/>
    <x v="115"/>
    <x v="2"/>
    <n v="8.5"/>
    <n v="0"/>
    <n v="1"/>
    <n v="0"/>
    <n v="0"/>
    <n v="0"/>
    <n v="0"/>
    <n v="0"/>
    <x v="141"/>
    <x v="101"/>
    <n v="47130"/>
    <x v="0"/>
    <x v="1"/>
    <n v="4"/>
    <n v="80"/>
    <n v="200"/>
  </r>
  <r>
    <x v="2"/>
    <x v="45"/>
    <x v="3"/>
    <x v="116"/>
    <x v="86"/>
    <n v="0"/>
    <n v="11.3"/>
    <n v="0"/>
    <n v="0"/>
    <n v="0"/>
    <n v="0"/>
    <n v="0"/>
    <n v="0"/>
    <x v="142"/>
    <x v="140"/>
    <n v="0"/>
    <x v="70"/>
    <x v="57"/>
    <n v="0"/>
    <n v="18"/>
    <n v="29"/>
  </r>
  <r>
    <x v="0"/>
    <x v="88"/>
    <x v="0"/>
    <x v="103"/>
    <x v="87"/>
    <n v="0"/>
    <n v="10"/>
    <n v="0"/>
    <n v="4.2"/>
    <n v="0.3"/>
    <n v="0"/>
    <n v="16.2"/>
    <n v="0"/>
    <x v="117"/>
    <x v="116"/>
    <n v="0"/>
    <x v="71"/>
    <x v="21"/>
    <n v="0"/>
    <n v="999"/>
    <n v="999"/>
  </r>
  <r>
    <x v="0"/>
    <x v="31"/>
    <x v="6"/>
    <x v="117"/>
    <x v="88"/>
    <n v="4.3"/>
    <n v="0.9"/>
    <n v="1.8"/>
    <n v="0"/>
    <n v="0"/>
    <n v="0"/>
    <n v="0"/>
    <n v="0"/>
    <x v="143"/>
    <x v="141"/>
    <n v="46042"/>
    <x v="0"/>
    <x v="0"/>
    <n v="2"/>
    <n v="80"/>
    <n v="200"/>
  </r>
  <r>
    <x v="1"/>
    <x v="53"/>
    <x v="2"/>
    <x v="2"/>
    <x v="2"/>
    <n v="0"/>
    <n v="0"/>
    <n v="0"/>
    <n v="0"/>
    <n v="0"/>
    <n v="0"/>
    <n v="0"/>
    <n v="0"/>
    <x v="144"/>
    <x v="142"/>
    <n v="21243"/>
    <x v="2"/>
    <x v="1"/>
    <n v="0"/>
    <n v="5"/>
    <n v="11"/>
  </r>
  <r>
    <x v="0"/>
    <x v="51"/>
    <x v="2"/>
    <x v="2"/>
    <x v="2"/>
    <n v="0"/>
    <n v="0"/>
    <n v="0"/>
    <n v="0"/>
    <n v="0"/>
    <n v="0"/>
    <n v="0"/>
    <n v="0"/>
    <x v="145"/>
    <x v="143"/>
    <n v="9749"/>
    <x v="2"/>
    <x v="1"/>
    <n v="0"/>
    <n v="5"/>
    <n v="11"/>
  </r>
  <r>
    <x v="2"/>
    <x v="99"/>
    <x v="4"/>
    <x v="118"/>
    <x v="89"/>
    <n v="36.700000000000003"/>
    <n v="2"/>
    <n v="4.7"/>
    <n v="0"/>
    <n v="0"/>
    <n v="0"/>
    <n v="0"/>
    <n v="0"/>
    <x v="146"/>
    <x v="144"/>
    <n v="21795"/>
    <x v="72"/>
    <x v="58"/>
    <n v="8"/>
    <n v="12"/>
    <n v="17"/>
  </r>
  <r>
    <x v="1"/>
    <x v="97"/>
    <x v="0"/>
    <x v="119"/>
    <x v="90"/>
    <n v="2.9"/>
    <n v="3.6"/>
    <n v="12.8"/>
    <n v="55.2"/>
    <n v="10.6"/>
    <n v="1.5"/>
    <n v="5.2"/>
    <n v="37.799999999999997"/>
    <x v="147"/>
    <x v="145"/>
    <n v="380994"/>
    <x v="73"/>
    <x v="32"/>
    <n v="11"/>
    <n v="999"/>
    <n v="999"/>
  </r>
  <r>
    <x v="1"/>
    <x v="40"/>
    <x v="6"/>
    <x v="120"/>
    <x v="91"/>
    <n v="0"/>
    <n v="2.1"/>
    <n v="0"/>
    <n v="0"/>
    <n v="0"/>
    <n v="0"/>
    <n v="0"/>
    <n v="0"/>
    <x v="148"/>
    <x v="146"/>
    <n v="0"/>
    <x v="24"/>
    <x v="5"/>
    <n v="0"/>
    <n v="80"/>
    <n v="200"/>
  </r>
  <r>
    <x v="1"/>
    <x v="35"/>
    <x v="2"/>
    <x v="2"/>
    <x v="2"/>
    <n v="0"/>
    <n v="0"/>
    <n v="0"/>
    <n v="0"/>
    <n v="0"/>
    <n v="0"/>
    <n v="0"/>
    <n v="0"/>
    <x v="149"/>
    <x v="147"/>
    <n v="21744"/>
    <x v="2"/>
    <x v="1"/>
    <n v="0"/>
    <n v="5"/>
    <n v="11"/>
  </r>
  <r>
    <x v="0"/>
    <x v="48"/>
    <x v="2"/>
    <x v="2"/>
    <x v="2"/>
    <n v="0"/>
    <n v="0"/>
    <n v="0"/>
    <n v="0"/>
    <n v="0"/>
    <n v="0"/>
    <n v="0"/>
    <n v="0"/>
    <x v="47"/>
    <x v="47"/>
    <n v="21300"/>
    <x v="2"/>
    <x v="1"/>
    <n v="0"/>
    <n v="5"/>
    <n v="11"/>
  </r>
  <r>
    <x v="1"/>
    <x v="47"/>
    <x v="7"/>
    <x v="121"/>
    <x v="92"/>
    <n v="26.8"/>
    <n v="1.4"/>
    <n v="1.3"/>
    <n v="0"/>
    <n v="0"/>
    <n v="0"/>
    <n v="0"/>
    <n v="0"/>
    <x v="46"/>
    <x v="46"/>
    <n v="171663"/>
    <x v="35"/>
    <x v="7"/>
    <n v="46"/>
    <n v="65"/>
    <n v="79"/>
  </r>
  <r>
    <x v="2"/>
    <x v="92"/>
    <x v="6"/>
    <x v="122"/>
    <x v="93"/>
    <n v="106.1"/>
    <n v="0.3"/>
    <n v="0.3"/>
    <n v="0"/>
    <n v="0"/>
    <n v="0"/>
    <n v="0"/>
    <n v="0"/>
    <x v="150"/>
    <x v="101"/>
    <n v="47126"/>
    <x v="64"/>
    <x v="7"/>
    <n v="50"/>
    <n v="80"/>
    <n v="200"/>
  </r>
  <r>
    <x v="2"/>
    <x v="69"/>
    <x v="8"/>
    <x v="123"/>
    <x v="2"/>
    <n v="0"/>
    <n v="0"/>
    <n v="0"/>
    <n v="0"/>
    <n v="0"/>
    <n v="0"/>
    <n v="0"/>
    <n v="0"/>
    <x v="28"/>
    <x v="28"/>
    <n v="0"/>
    <x v="74"/>
    <x v="1"/>
    <n v="0"/>
    <n v="0"/>
    <n v="4"/>
  </r>
  <r>
    <x v="1"/>
    <x v="100"/>
    <x v="2"/>
    <x v="2"/>
    <x v="2"/>
    <n v="0"/>
    <n v="0"/>
    <n v="0"/>
    <n v="0"/>
    <n v="0"/>
    <n v="0"/>
    <n v="0"/>
    <n v="0"/>
    <x v="151"/>
    <x v="148"/>
    <n v="2658"/>
    <x v="2"/>
    <x v="1"/>
    <n v="0"/>
    <n v="5"/>
    <n v="11"/>
  </r>
  <r>
    <x v="2"/>
    <x v="101"/>
    <x v="4"/>
    <x v="124"/>
    <x v="94"/>
    <n v="18.2"/>
    <n v="3.6"/>
    <n v="4.3"/>
    <n v="0"/>
    <n v="0"/>
    <n v="0"/>
    <n v="0"/>
    <n v="0"/>
    <x v="152"/>
    <x v="149"/>
    <n v="27517"/>
    <x v="66"/>
    <x v="59"/>
    <n v="5"/>
    <n v="12"/>
    <n v="17"/>
  </r>
  <r>
    <x v="2"/>
    <x v="71"/>
    <x v="5"/>
    <x v="125"/>
    <x v="95"/>
    <n v="0"/>
    <n v="4.8"/>
    <n v="0"/>
    <n v="0"/>
    <n v="0"/>
    <n v="0"/>
    <n v="0"/>
    <n v="0"/>
    <x v="153"/>
    <x v="150"/>
    <n v="0"/>
    <x v="4"/>
    <x v="57"/>
    <n v="0"/>
    <n v="30"/>
    <n v="49"/>
  </r>
  <r>
    <x v="2"/>
    <x v="101"/>
    <x v="1"/>
    <x v="126"/>
    <x v="96"/>
    <n v="31.4"/>
    <n v="2.7"/>
    <n v="2.2999999999999998"/>
    <n v="0"/>
    <n v="0"/>
    <n v="0"/>
    <n v="0"/>
    <n v="0"/>
    <x v="154"/>
    <x v="151"/>
    <n v="219986"/>
    <x v="75"/>
    <x v="60"/>
    <n v="69"/>
    <n v="50"/>
    <n v="64"/>
  </r>
  <r>
    <x v="2"/>
    <x v="102"/>
    <x v="3"/>
    <x v="127"/>
    <x v="97"/>
    <n v="56.3"/>
    <n v="3"/>
    <n v="1"/>
    <n v="0"/>
    <n v="0"/>
    <n v="0"/>
    <n v="0"/>
    <n v="0"/>
    <x v="155"/>
    <x v="152"/>
    <n v="142046"/>
    <x v="76"/>
    <x v="61"/>
    <n v="80"/>
    <n v="18"/>
    <n v="29"/>
  </r>
  <r>
    <x v="1"/>
    <x v="88"/>
    <x v="5"/>
    <x v="128"/>
    <x v="13"/>
    <n v="0"/>
    <n v="29"/>
    <n v="0"/>
    <n v="0"/>
    <n v="0"/>
    <n v="0"/>
    <n v="0"/>
    <n v="0"/>
    <x v="156"/>
    <x v="153"/>
    <n v="0"/>
    <x v="42"/>
    <x v="39"/>
    <n v="0"/>
    <n v="30"/>
    <n v="49"/>
  </r>
  <r>
    <x v="0"/>
    <x v="92"/>
    <x v="4"/>
    <x v="2"/>
    <x v="2"/>
    <n v="0"/>
    <n v="0"/>
    <n v="0"/>
    <n v="0"/>
    <n v="0"/>
    <n v="0"/>
    <n v="0"/>
    <n v="0"/>
    <x v="157"/>
    <x v="154"/>
    <n v="44571"/>
    <x v="2"/>
    <x v="1"/>
    <n v="0"/>
    <n v="12"/>
    <n v="17"/>
  </r>
  <r>
    <x v="1"/>
    <x v="51"/>
    <x v="6"/>
    <x v="129"/>
    <x v="98"/>
    <n v="47.6"/>
    <n v="0.4"/>
    <n v="1"/>
    <n v="0"/>
    <n v="0"/>
    <n v="0"/>
    <n v="0"/>
    <n v="0"/>
    <x v="158"/>
    <x v="155"/>
    <n v="46252"/>
    <x v="16"/>
    <x v="52"/>
    <n v="22"/>
    <n v="80"/>
    <n v="200"/>
  </r>
  <r>
    <x v="2"/>
    <x v="36"/>
    <x v="5"/>
    <x v="130"/>
    <x v="99"/>
    <n v="81.8"/>
    <n v="2.1"/>
    <n v="1.6"/>
    <n v="0"/>
    <n v="0"/>
    <n v="0"/>
    <n v="0"/>
    <n v="0"/>
    <x v="159"/>
    <x v="156"/>
    <n v="347252"/>
    <x v="77"/>
    <x v="62"/>
    <n v="284"/>
    <n v="30"/>
    <n v="49"/>
  </r>
  <r>
    <x v="1"/>
    <x v="80"/>
    <x v="7"/>
    <x v="131"/>
    <x v="5"/>
    <n v="8.6"/>
    <n v="1.6"/>
    <n v="2.7"/>
    <n v="0"/>
    <n v="0"/>
    <n v="0"/>
    <n v="0"/>
    <n v="0"/>
    <x v="160"/>
    <x v="157"/>
    <n v="162052"/>
    <x v="6"/>
    <x v="26"/>
    <n v="14"/>
    <n v="65"/>
    <n v="79"/>
  </r>
  <r>
    <x v="1"/>
    <x v="80"/>
    <x v="3"/>
    <x v="132"/>
    <x v="34"/>
    <n v="2"/>
    <n v="1.3"/>
    <n v="1.6"/>
    <n v="0"/>
    <n v="0"/>
    <n v="0"/>
    <n v="0"/>
    <n v="0"/>
    <x v="161"/>
    <x v="158"/>
    <n v="150062"/>
    <x v="45"/>
    <x v="21"/>
    <n v="3"/>
    <n v="18"/>
    <n v="29"/>
  </r>
  <r>
    <x v="0"/>
    <x v="55"/>
    <x v="4"/>
    <x v="2"/>
    <x v="2"/>
    <n v="0"/>
    <n v="0"/>
    <n v="0"/>
    <n v="0"/>
    <n v="0"/>
    <n v="0"/>
    <n v="0"/>
    <n v="0"/>
    <x v="162"/>
    <x v="159"/>
    <n v="44594"/>
    <x v="2"/>
    <x v="1"/>
    <n v="0"/>
    <n v="12"/>
    <n v="17"/>
  </r>
  <r>
    <x v="1"/>
    <x v="9"/>
    <x v="4"/>
    <x v="41"/>
    <x v="2"/>
    <n v="0"/>
    <n v="0"/>
    <n v="0"/>
    <n v="0"/>
    <n v="0"/>
    <n v="0"/>
    <n v="0"/>
    <n v="0"/>
    <x v="163"/>
    <x v="160"/>
    <n v="0"/>
    <x v="20"/>
    <x v="1"/>
    <n v="0"/>
    <n v="12"/>
    <n v="17"/>
  </r>
  <r>
    <x v="1"/>
    <x v="73"/>
    <x v="3"/>
    <x v="133"/>
    <x v="100"/>
    <n v="1.3"/>
    <n v="1.3"/>
    <n v="4.0999999999999996"/>
    <n v="0"/>
    <n v="0"/>
    <n v="0"/>
    <n v="0"/>
    <n v="0"/>
    <x v="164"/>
    <x v="161"/>
    <n v="155854"/>
    <x v="13"/>
    <x v="13"/>
    <n v="2"/>
    <n v="18"/>
    <n v="29"/>
  </r>
  <r>
    <x v="1"/>
    <x v="103"/>
    <x v="6"/>
    <x v="134"/>
    <x v="2"/>
    <n v="0"/>
    <n v="0"/>
    <n v="0"/>
    <n v="0"/>
    <n v="0"/>
    <n v="0"/>
    <n v="0"/>
    <n v="0"/>
    <x v="165"/>
    <x v="162"/>
    <n v="0"/>
    <x v="20"/>
    <x v="1"/>
    <n v="0"/>
    <n v="80"/>
    <n v="200"/>
  </r>
  <r>
    <x v="2"/>
    <x v="2"/>
    <x v="0"/>
    <x v="135"/>
    <x v="101"/>
    <n v="134.1"/>
    <n v="1.9"/>
    <n v="1.3"/>
    <n v="202.3"/>
    <n v="88.2"/>
    <n v="121.5"/>
    <n v="2.2999999999999998"/>
    <n v="1.7"/>
    <x v="166"/>
    <x v="163"/>
    <n v="1033881"/>
    <x v="78"/>
    <x v="63"/>
    <n v="1386"/>
    <n v="999"/>
    <n v="999"/>
  </r>
  <r>
    <x v="2"/>
    <x v="100"/>
    <x v="3"/>
    <x v="136"/>
    <x v="102"/>
    <n v="302.8"/>
    <n v="2.4"/>
    <n v="1.1000000000000001"/>
    <n v="0"/>
    <n v="0"/>
    <n v="0"/>
    <n v="0"/>
    <n v="0"/>
    <x v="167"/>
    <x v="164"/>
    <n v="154206"/>
    <x v="79"/>
    <x v="64"/>
    <n v="467"/>
    <n v="18"/>
    <n v="29"/>
  </r>
  <r>
    <x v="0"/>
    <x v="104"/>
    <x v="7"/>
    <x v="137"/>
    <x v="103"/>
    <n v="0"/>
    <n v="5.4"/>
    <n v="0"/>
    <n v="0"/>
    <n v="0"/>
    <n v="0"/>
    <n v="0"/>
    <n v="0"/>
    <x v="168"/>
    <x v="165"/>
    <n v="81384"/>
    <x v="24"/>
    <x v="16"/>
    <n v="0"/>
    <n v="65"/>
    <n v="79"/>
  </r>
  <r>
    <x v="2"/>
    <x v="68"/>
    <x v="2"/>
    <x v="138"/>
    <x v="104"/>
    <n v="0"/>
    <n v="0.4"/>
    <n v="0"/>
    <n v="0"/>
    <n v="0"/>
    <n v="0"/>
    <n v="0"/>
    <n v="0"/>
    <x v="169"/>
    <x v="166"/>
    <n v="0"/>
    <x v="80"/>
    <x v="65"/>
    <n v="0"/>
    <n v="5"/>
    <n v="11"/>
  </r>
  <r>
    <x v="0"/>
    <x v="47"/>
    <x v="1"/>
    <x v="1"/>
    <x v="2"/>
    <n v="0"/>
    <n v="0"/>
    <n v="0"/>
    <n v="0"/>
    <n v="0"/>
    <n v="0"/>
    <n v="0"/>
    <n v="0"/>
    <x v="170"/>
    <x v="167"/>
    <n v="246789"/>
    <x v="1"/>
    <x v="1"/>
    <n v="0"/>
    <n v="50"/>
    <n v="64"/>
  </r>
  <r>
    <x v="2"/>
    <x v="13"/>
    <x v="5"/>
    <x v="139"/>
    <x v="105"/>
    <n v="451.1"/>
    <n v="1.6"/>
    <n v="1.5"/>
    <n v="0"/>
    <n v="0"/>
    <n v="0"/>
    <n v="0"/>
    <n v="0"/>
    <x v="17"/>
    <x v="17"/>
    <n v="256937"/>
    <x v="81"/>
    <x v="66"/>
    <n v="1159"/>
    <n v="30"/>
    <n v="49"/>
  </r>
  <r>
    <x v="2"/>
    <x v="29"/>
    <x v="1"/>
    <x v="140"/>
    <x v="106"/>
    <n v="237.1"/>
    <n v="2.7"/>
    <n v="1.8"/>
    <n v="0"/>
    <n v="0"/>
    <n v="0"/>
    <n v="0"/>
    <n v="0"/>
    <x v="171"/>
    <x v="168"/>
    <n v="239606"/>
    <x v="82"/>
    <x v="67"/>
    <n v="568"/>
    <n v="50"/>
    <n v="64"/>
  </r>
  <r>
    <x v="1"/>
    <x v="79"/>
    <x v="8"/>
    <x v="108"/>
    <x v="2"/>
    <n v="0"/>
    <n v="0"/>
    <n v="0"/>
    <n v="0"/>
    <n v="0"/>
    <n v="0"/>
    <n v="0"/>
    <n v="0"/>
    <x v="28"/>
    <x v="28"/>
    <n v="0"/>
    <x v="0"/>
    <x v="1"/>
    <n v="0"/>
    <n v="0"/>
    <n v="4"/>
  </r>
  <r>
    <x v="1"/>
    <x v="68"/>
    <x v="3"/>
    <x v="40"/>
    <x v="34"/>
    <n v="0"/>
    <n v="2.7"/>
    <n v="0"/>
    <n v="0"/>
    <n v="0"/>
    <n v="0"/>
    <n v="0"/>
    <n v="0"/>
    <x v="172"/>
    <x v="169"/>
    <n v="148408"/>
    <x v="18"/>
    <x v="21"/>
    <n v="0"/>
    <n v="18"/>
    <n v="29"/>
  </r>
  <r>
    <x v="2"/>
    <x v="18"/>
    <x v="3"/>
    <x v="141"/>
    <x v="107"/>
    <n v="341.8"/>
    <n v="2.7"/>
    <n v="1.1000000000000001"/>
    <n v="0"/>
    <n v="0"/>
    <n v="0"/>
    <n v="0"/>
    <n v="0"/>
    <x v="173"/>
    <x v="170"/>
    <n v="153584"/>
    <x v="83"/>
    <x v="68"/>
    <n v="525"/>
    <n v="18"/>
    <n v="29"/>
  </r>
  <r>
    <x v="2"/>
    <x v="105"/>
    <x v="2"/>
    <x v="142"/>
    <x v="98"/>
    <n v="118.2"/>
    <n v="0.9"/>
    <n v="0.9"/>
    <n v="0"/>
    <n v="0"/>
    <n v="0"/>
    <n v="0"/>
    <n v="0"/>
    <x v="174"/>
    <x v="171"/>
    <n v="11845"/>
    <x v="84"/>
    <x v="69"/>
    <n v="14"/>
    <n v="5"/>
    <n v="11"/>
  </r>
  <r>
    <x v="2"/>
    <x v="85"/>
    <x v="1"/>
    <x v="143"/>
    <x v="108"/>
    <n v="1102.3"/>
    <n v="2.4"/>
    <n v="3.3"/>
    <n v="0"/>
    <n v="0"/>
    <n v="0"/>
    <n v="0"/>
    <n v="0"/>
    <x v="122"/>
    <x v="121"/>
    <n v="160841"/>
    <x v="85"/>
    <x v="70"/>
    <n v="1773"/>
    <n v="50"/>
    <n v="64"/>
  </r>
  <r>
    <x v="0"/>
    <x v="106"/>
    <x v="5"/>
    <x v="102"/>
    <x v="82"/>
    <n v="0"/>
    <n v="20"/>
    <n v="0"/>
    <n v="0"/>
    <n v="0"/>
    <n v="0"/>
    <n v="0"/>
    <n v="0"/>
    <x v="175"/>
    <x v="172"/>
    <n v="0"/>
    <x v="51"/>
    <x v="0"/>
    <n v="0"/>
    <n v="30"/>
    <n v="49"/>
  </r>
  <r>
    <x v="2"/>
    <x v="23"/>
    <x v="8"/>
    <x v="144"/>
    <x v="83"/>
    <n v="0"/>
    <n v="34.9"/>
    <n v="0"/>
    <n v="0"/>
    <n v="0"/>
    <n v="0"/>
    <n v="0"/>
    <n v="0"/>
    <x v="28"/>
    <x v="28"/>
    <n v="0"/>
    <x v="86"/>
    <x v="48"/>
    <n v="0"/>
    <n v="0"/>
    <n v="4"/>
  </r>
  <r>
    <x v="1"/>
    <x v="59"/>
    <x v="7"/>
    <x v="145"/>
    <x v="109"/>
    <n v="0"/>
    <n v="3.8"/>
    <n v="0"/>
    <n v="0"/>
    <n v="0"/>
    <n v="0"/>
    <n v="0"/>
    <n v="0"/>
    <x v="176"/>
    <x v="173"/>
    <n v="0"/>
    <x v="87"/>
    <x v="3"/>
    <n v="0"/>
    <n v="65"/>
    <n v="79"/>
  </r>
  <r>
    <x v="1"/>
    <x v="107"/>
    <x v="5"/>
    <x v="114"/>
    <x v="2"/>
    <n v="0"/>
    <n v="0"/>
    <n v="0"/>
    <n v="0"/>
    <n v="0"/>
    <n v="0"/>
    <n v="0"/>
    <n v="0"/>
    <x v="177"/>
    <x v="174"/>
    <n v="0"/>
    <x v="17"/>
    <x v="1"/>
    <n v="0"/>
    <n v="30"/>
    <n v="49"/>
  </r>
  <r>
    <x v="1"/>
    <x v="101"/>
    <x v="6"/>
    <x v="146"/>
    <x v="29"/>
    <n v="11.8"/>
    <n v="0.9"/>
    <n v="1.6"/>
    <n v="0"/>
    <n v="0"/>
    <n v="0"/>
    <n v="0"/>
    <n v="0"/>
    <x v="178"/>
    <x v="175"/>
    <n v="42437"/>
    <x v="13"/>
    <x v="39"/>
    <n v="5"/>
    <n v="80"/>
    <n v="200"/>
  </r>
  <r>
    <x v="0"/>
    <x v="70"/>
    <x v="0"/>
    <x v="2"/>
    <x v="2"/>
    <n v="0.3"/>
    <n v="0"/>
    <n v="0"/>
    <n v="0"/>
    <n v="0"/>
    <n v="0.2"/>
    <n v="0"/>
    <n v="0"/>
    <x v="179"/>
    <x v="176"/>
    <n v="1040581"/>
    <x v="2"/>
    <x v="1"/>
    <n v="3"/>
    <n v="999"/>
    <n v="999"/>
  </r>
  <r>
    <x v="0"/>
    <x v="6"/>
    <x v="8"/>
    <x v="2"/>
    <x v="2"/>
    <n v="0"/>
    <n v="0"/>
    <n v="0"/>
    <n v="0"/>
    <n v="0"/>
    <n v="0"/>
    <n v="0"/>
    <n v="0"/>
    <x v="28"/>
    <x v="28"/>
    <n v="0"/>
    <x v="2"/>
    <x v="1"/>
    <n v="0"/>
    <n v="0"/>
    <n v="4"/>
  </r>
  <r>
    <x v="0"/>
    <x v="93"/>
    <x v="3"/>
    <x v="2"/>
    <x v="2"/>
    <n v="0"/>
    <n v="0"/>
    <n v="0"/>
    <n v="0"/>
    <n v="0"/>
    <n v="0"/>
    <n v="0"/>
    <n v="0"/>
    <x v="132"/>
    <x v="131"/>
    <n v="0"/>
    <x v="2"/>
    <x v="1"/>
    <n v="0"/>
    <n v="18"/>
    <n v="29"/>
  </r>
  <r>
    <x v="1"/>
    <x v="108"/>
    <x v="4"/>
    <x v="2"/>
    <x v="2"/>
    <n v="0"/>
    <n v="0"/>
    <n v="0"/>
    <n v="0"/>
    <n v="0"/>
    <n v="0"/>
    <n v="0"/>
    <n v="0"/>
    <x v="180"/>
    <x v="177"/>
    <n v="44556"/>
    <x v="2"/>
    <x v="1"/>
    <n v="0"/>
    <n v="12"/>
    <n v="17"/>
  </r>
  <r>
    <x v="0"/>
    <x v="8"/>
    <x v="4"/>
    <x v="147"/>
    <x v="2"/>
    <n v="0"/>
    <n v="0"/>
    <n v="0"/>
    <n v="0"/>
    <n v="0"/>
    <n v="0"/>
    <n v="0"/>
    <n v="0"/>
    <x v="181"/>
    <x v="28"/>
    <n v="0"/>
    <x v="1"/>
    <x v="1"/>
    <n v="0"/>
    <n v="12"/>
    <n v="17"/>
  </r>
  <r>
    <x v="1"/>
    <x v="97"/>
    <x v="8"/>
    <x v="132"/>
    <x v="2"/>
    <n v="0"/>
    <n v="0"/>
    <n v="0"/>
    <n v="0"/>
    <n v="0"/>
    <n v="0"/>
    <n v="0"/>
    <n v="0"/>
    <x v="28"/>
    <x v="28"/>
    <n v="0"/>
    <x v="13"/>
    <x v="1"/>
    <n v="0"/>
    <n v="0"/>
    <n v="4"/>
  </r>
  <r>
    <x v="2"/>
    <x v="26"/>
    <x v="8"/>
    <x v="22"/>
    <x v="110"/>
    <n v="0"/>
    <n v="19.2"/>
    <n v="0"/>
    <n v="0"/>
    <n v="0"/>
    <n v="0"/>
    <n v="0"/>
    <n v="0"/>
    <x v="28"/>
    <x v="28"/>
    <n v="0"/>
    <x v="22"/>
    <x v="26"/>
    <n v="0"/>
    <n v="0"/>
    <n v="4"/>
  </r>
  <r>
    <x v="1"/>
    <x v="62"/>
    <x v="2"/>
    <x v="2"/>
    <x v="2"/>
    <n v="0"/>
    <n v="0"/>
    <n v="0"/>
    <n v="0"/>
    <n v="0"/>
    <n v="0"/>
    <n v="0"/>
    <n v="0"/>
    <x v="182"/>
    <x v="178"/>
    <n v="21260"/>
    <x v="2"/>
    <x v="1"/>
    <n v="0"/>
    <n v="5"/>
    <n v="11"/>
  </r>
  <r>
    <x v="2"/>
    <x v="59"/>
    <x v="5"/>
    <x v="148"/>
    <x v="111"/>
    <n v="0"/>
    <n v="3"/>
    <n v="0"/>
    <n v="0"/>
    <n v="0"/>
    <n v="0"/>
    <n v="0"/>
    <n v="0"/>
    <x v="183"/>
    <x v="179"/>
    <n v="0"/>
    <x v="88"/>
    <x v="71"/>
    <n v="0"/>
    <n v="30"/>
    <n v="49"/>
  </r>
  <r>
    <x v="2"/>
    <x v="93"/>
    <x v="3"/>
    <x v="149"/>
    <x v="112"/>
    <n v="0"/>
    <n v="2.2000000000000002"/>
    <n v="0"/>
    <n v="0"/>
    <n v="0"/>
    <n v="0"/>
    <n v="0"/>
    <n v="0"/>
    <x v="132"/>
    <x v="131"/>
    <n v="0"/>
    <x v="89"/>
    <x v="72"/>
    <n v="0"/>
    <n v="18"/>
    <n v="29"/>
  </r>
  <r>
    <x v="2"/>
    <x v="109"/>
    <x v="7"/>
    <x v="150"/>
    <x v="113"/>
    <n v="132.80000000000001"/>
    <n v="1.5"/>
    <n v="1.2"/>
    <n v="0"/>
    <n v="0"/>
    <n v="0"/>
    <n v="0"/>
    <n v="0"/>
    <x v="184"/>
    <x v="180"/>
    <n v="171682"/>
    <x v="90"/>
    <x v="73"/>
    <n v="228"/>
    <n v="65"/>
    <n v="79"/>
  </r>
  <r>
    <x v="1"/>
    <x v="110"/>
    <x v="6"/>
    <x v="151"/>
    <x v="114"/>
    <n v="42.5"/>
    <n v="0.6"/>
    <n v="0.9"/>
    <n v="0"/>
    <n v="0"/>
    <n v="0"/>
    <n v="0"/>
    <n v="0"/>
    <x v="185"/>
    <x v="49"/>
    <n v="47048"/>
    <x v="24"/>
    <x v="5"/>
    <n v="20"/>
    <n v="80"/>
    <n v="200"/>
  </r>
  <r>
    <x v="2"/>
    <x v="101"/>
    <x v="6"/>
    <x v="152"/>
    <x v="115"/>
    <n v="33"/>
    <n v="0.6"/>
    <n v="0.8"/>
    <n v="0"/>
    <n v="0"/>
    <n v="0"/>
    <n v="0"/>
    <n v="0"/>
    <x v="178"/>
    <x v="175"/>
    <n v="42437"/>
    <x v="64"/>
    <x v="48"/>
    <n v="14"/>
    <n v="80"/>
    <n v="200"/>
  </r>
  <r>
    <x v="0"/>
    <x v="111"/>
    <x v="2"/>
    <x v="2"/>
    <x v="2"/>
    <n v="0"/>
    <n v="0"/>
    <n v="0"/>
    <n v="0"/>
    <n v="0"/>
    <n v="0"/>
    <n v="0"/>
    <n v="0"/>
    <x v="186"/>
    <x v="181"/>
    <n v="16920"/>
    <x v="2"/>
    <x v="1"/>
    <n v="0"/>
    <n v="5"/>
    <n v="11"/>
  </r>
  <r>
    <x v="1"/>
    <x v="30"/>
    <x v="5"/>
    <x v="153"/>
    <x v="61"/>
    <n v="2.9"/>
    <n v="6.2"/>
    <n v="4.7"/>
    <n v="0"/>
    <n v="0"/>
    <n v="0"/>
    <n v="0"/>
    <n v="0"/>
    <x v="187"/>
    <x v="182"/>
    <n v="347072"/>
    <x v="91"/>
    <x v="48"/>
    <n v="10"/>
    <n v="30"/>
    <n v="49"/>
  </r>
  <r>
    <x v="1"/>
    <x v="21"/>
    <x v="7"/>
    <x v="154"/>
    <x v="7"/>
    <n v="0"/>
    <n v="3.8"/>
    <n v="0"/>
    <n v="0"/>
    <n v="0"/>
    <n v="0"/>
    <n v="0"/>
    <n v="0"/>
    <x v="188"/>
    <x v="183"/>
    <n v="0"/>
    <x v="29"/>
    <x v="36"/>
    <n v="0"/>
    <n v="65"/>
    <n v="79"/>
  </r>
  <r>
    <x v="0"/>
    <x v="27"/>
    <x v="6"/>
    <x v="2"/>
    <x v="2"/>
    <n v="0"/>
    <n v="0"/>
    <n v="0"/>
    <n v="0"/>
    <n v="0"/>
    <n v="0"/>
    <n v="0"/>
    <n v="0"/>
    <x v="189"/>
    <x v="184"/>
    <n v="47321"/>
    <x v="2"/>
    <x v="1"/>
    <n v="0"/>
    <n v="80"/>
    <n v="200"/>
  </r>
  <r>
    <x v="1"/>
    <x v="112"/>
    <x v="4"/>
    <x v="147"/>
    <x v="2"/>
    <n v="0"/>
    <n v="0"/>
    <n v="0"/>
    <n v="0"/>
    <n v="0"/>
    <n v="0"/>
    <n v="0"/>
    <n v="0"/>
    <x v="190"/>
    <x v="28"/>
    <n v="0"/>
    <x v="1"/>
    <x v="1"/>
    <n v="0"/>
    <n v="12"/>
    <n v="17"/>
  </r>
  <r>
    <x v="1"/>
    <x v="113"/>
    <x v="0"/>
    <x v="155"/>
    <x v="116"/>
    <n v="3.8"/>
    <n v="2.1"/>
    <n v="1.2"/>
    <n v="4.5999999999999996"/>
    <n v="3.1"/>
    <n v="2.5"/>
    <n v="1.5"/>
    <n v="1.8"/>
    <x v="191"/>
    <x v="185"/>
    <n v="1041205"/>
    <x v="87"/>
    <x v="3"/>
    <n v="40"/>
    <n v="999"/>
    <n v="999"/>
  </r>
  <r>
    <x v="2"/>
    <x v="57"/>
    <x v="3"/>
    <x v="156"/>
    <x v="117"/>
    <n v="12.6"/>
    <n v="2.8"/>
    <n v="12.4"/>
    <n v="0"/>
    <n v="0"/>
    <n v="0"/>
    <n v="0"/>
    <n v="0"/>
    <x v="192"/>
    <x v="186"/>
    <n v="7958"/>
    <x v="92"/>
    <x v="74"/>
    <n v="1"/>
    <n v="18"/>
    <n v="29"/>
  </r>
  <r>
    <x v="1"/>
    <x v="34"/>
    <x v="6"/>
    <x v="157"/>
    <x v="118"/>
    <n v="6.4"/>
    <n v="1.8"/>
    <n v="22.1"/>
    <n v="0"/>
    <n v="0"/>
    <n v="0"/>
    <n v="0"/>
    <n v="0"/>
    <x v="193"/>
    <x v="187"/>
    <n v="31019"/>
    <x v="93"/>
    <x v="31"/>
    <n v="2"/>
    <n v="80"/>
    <n v="200"/>
  </r>
  <r>
    <x v="2"/>
    <x v="47"/>
    <x v="4"/>
    <x v="158"/>
    <x v="119"/>
    <n v="110"/>
    <n v="2.4"/>
    <n v="1.6"/>
    <n v="0"/>
    <n v="0"/>
    <n v="0"/>
    <n v="0"/>
    <n v="0"/>
    <x v="194"/>
    <x v="188"/>
    <n v="44535"/>
    <x v="94"/>
    <x v="19"/>
    <n v="49"/>
    <n v="12"/>
    <n v="17"/>
  </r>
  <r>
    <x v="1"/>
    <x v="108"/>
    <x v="3"/>
    <x v="159"/>
    <x v="34"/>
    <n v="2.5"/>
    <n v="3.4"/>
    <n v="3.1"/>
    <n v="0"/>
    <n v="0"/>
    <n v="0"/>
    <n v="0"/>
    <n v="0"/>
    <x v="195"/>
    <x v="189"/>
    <n v="161644"/>
    <x v="18"/>
    <x v="21"/>
    <n v="4"/>
    <n v="18"/>
    <n v="29"/>
  </r>
  <r>
    <x v="1"/>
    <x v="75"/>
    <x v="5"/>
    <x v="114"/>
    <x v="53"/>
    <n v="4.7"/>
    <n v="1.6"/>
    <n v="1.9"/>
    <n v="0"/>
    <n v="0"/>
    <n v="0"/>
    <n v="0"/>
    <n v="0"/>
    <x v="92"/>
    <x v="92"/>
    <n v="342597"/>
    <x v="6"/>
    <x v="75"/>
    <n v="16"/>
    <n v="30"/>
    <n v="49"/>
  </r>
  <r>
    <x v="1"/>
    <x v="15"/>
    <x v="0"/>
    <x v="160"/>
    <x v="120"/>
    <n v="8.6"/>
    <n v="2"/>
    <n v="1.8"/>
    <n v="18.100000000000001"/>
    <n v="10.6"/>
    <n v="6.8"/>
    <n v="1.7"/>
    <n v="2.7"/>
    <x v="196"/>
    <x v="190"/>
    <n v="1022491"/>
    <x v="7"/>
    <x v="76"/>
    <n v="88"/>
    <n v="999"/>
    <n v="999"/>
  </r>
  <r>
    <x v="1"/>
    <x v="41"/>
    <x v="3"/>
    <x v="161"/>
    <x v="100"/>
    <n v="2.5"/>
    <n v="2.2999999999999998"/>
    <n v="3.9"/>
    <n v="0"/>
    <n v="0"/>
    <n v="0"/>
    <n v="0"/>
    <n v="0"/>
    <x v="197"/>
    <x v="191"/>
    <n v="159319"/>
    <x v="51"/>
    <x v="13"/>
    <n v="4"/>
    <n v="18"/>
    <n v="29"/>
  </r>
  <r>
    <x v="0"/>
    <x v="32"/>
    <x v="4"/>
    <x v="2"/>
    <x v="2"/>
    <n v="0"/>
    <n v="0"/>
    <n v="0"/>
    <n v="0"/>
    <n v="0"/>
    <n v="0"/>
    <n v="0"/>
    <n v="0"/>
    <x v="198"/>
    <x v="192"/>
    <n v="44511"/>
    <x v="2"/>
    <x v="1"/>
    <n v="0"/>
    <n v="12"/>
    <n v="17"/>
  </r>
  <r>
    <x v="1"/>
    <x v="114"/>
    <x v="0"/>
    <x v="161"/>
    <x v="121"/>
    <n v="8.6"/>
    <n v="2.4"/>
    <n v="1.1000000000000001"/>
    <n v="13.3"/>
    <n v="6.2"/>
    <n v="6"/>
    <n v="2.1"/>
    <n v="2.2000000000000002"/>
    <x v="199"/>
    <x v="193"/>
    <n v="1038858"/>
    <x v="26"/>
    <x v="30"/>
    <n v="89"/>
    <n v="999"/>
    <n v="999"/>
  </r>
  <r>
    <x v="0"/>
    <x v="37"/>
    <x v="6"/>
    <x v="2"/>
    <x v="2"/>
    <n v="2.1"/>
    <n v="0"/>
    <n v="0"/>
    <n v="0"/>
    <n v="0"/>
    <n v="0"/>
    <n v="0"/>
    <n v="0"/>
    <x v="200"/>
    <x v="101"/>
    <n v="47130"/>
    <x v="2"/>
    <x v="1"/>
    <n v="1"/>
    <n v="80"/>
    <n v="200"/>
  </r>
  <r>
    <x v="1"/>
    <x v="115"/>
    <x v="5"/>
    <x v="133"/>
    <x v="116"/>
    <n v="1.2"/>
    <n v="2.5"/>
    <n v="4.4000000000000004"/>
    <n v="0"/>
    <n v="0"/>
    <n v="0"/>
    <n v="0"/>
    <n v="0"/>
    <x v="201"/>
    <x v="194"/>
    <n v="329404"/>
    <x v="64"/>
    <x v="48"/>
    <n v="4"/>
    <n v="30"/>
    <n v="49"/>
  </r>
  <r>
    <x v="0"/>
    <x v="102"/>
    <x v="2"/>
    <x v="2"/>
    <x v="2"/>
    <n v="0"/>
    <n v="0"/>
    <n v="0"/>
    <n v="0"/>
    <n v="0"/>
    <n v="0"/>
    <n v="0"/>
    <n v="0"/>
    <x v="202"/>
    <x v="195"/>
    <n v="0"/>
    <x v="2"/>
    <x v="1"/>
    <n v="0"/>
    <n v="5"/>
    <n v="11"/>
  </r>
  <r>
    <x v="0"/>
    <x v="21"/>
    <x v="7"/>
    <x v="162"/>
    <x v="73"/>
    <n v="0"/>
    <n v="10.5"/>
    <n v="0"/>
    <n v="0"/>
    <n v="0"/>
    <n v="0"/>
    <n v="0"/>
    <n v="0"/>
    <x v="188"/>
    <x v="183"/>
    <n v="0"/>
    <x v="64"/>
    <x v="11"/>
    <n v="0"/>
    <n v="65"/>
    <n v="79"/>
  </r>
  <r>
    <x v="2"/>
    <x v="116"/>
    <x v="4"/>
    <x v="163"/>
    <x v="122"/>
    <n v="26.9"/>
    <n v="1.4"/>
    <n v="1.9"/>
    <n v="0"/>
    <n v="0"/>
    <n v="0"/>
    <n v="0"/>
    <n v="0"/>
    <x v="203"/>
    <x v="159"/>
    <n v="44595"/>
    <x v="91"/>
    <x v="77"/>
    <n v="12"/>
    <n v="12"/>
    <n v="17"/>
  </r>
  <r>
    <x v="1"/>
    <x v="61"/>
    <x v="1"/>
    <x v="164"/>
    <x v="123"/>
    <n v="4.5"/>
    <n v="2.7"/>
    <n v="4.8"/>
    <n v="0"/>
    <n v="0"/>
    <n v="0"/>
    <n v="0"/>
    <n v="0"/>
    <x v="204"/>
    <x v="196"/>
    <n v="246945"/>
    <x v="64"/>
    <x v="17"/>
    <n v="11"/>
    <n v="50"/>
    <n v="64"/>
  </r>
  <r>
    <x v="2"/>
    <x v="24"/>
    <x v="5"/>
    <x v="165"/>
    <x v="124"/>
    <n v="24.2"/>
    <n v="2.9"/>
    <n v="2"/>
    <n v="0"/>
    <n v="0"/>
    <n v="0"/>
    <n v="0"/>
    <n v="0"/>
    <x v="205"/>
    <x v="197"/>
    <n v="347314"/>
    <x v="39"/>
    <x v="78"/>
    <n v="84"/>
    <n v="30"/>
    <n v="49"/>
  </r>
  <r>
    <x v="1"/>
    <x v="102"/>
    <x v="1"/>
    <x v="104"/>
    <x v="125"/>
    <n v="3.1"/>
    <n v="2.2999999999999998"/>
    <n v="2.1"/>
    <n v="0"/>
    <n v="0"/>
    <n v="0"/>
    <n v="0"/>
    <n v="0"/>
    <x v="206"/>
    <x v="198"/>
    <n v="222350"/>
    <x v="45"/>
    <x v="16"/>
    <n v="7"/>
    <n v="50"/>
    <n v="64"/>
  </r>
  <r>
    <x v="2"/>
    <x v="76"/>
    <x v="1"/>
    <x v="166"/>
    <x v="78"/>
    <n v="21.5"/>
    <n v="5.9"/>
    <n v="2"/>
    <n v="0"/>
    <n v="0"/>
    <n v="0"/>
    <n v="0"/>
    <n v="0"/>
    <x v="95"/>
    <x v="95"/>
    <n v="246913"/>
    <x v="35"/>
    <x v="13"/>
    <n v="53"/>
    <n v="50"/>
    <n v="64"/>
  </r>
  <r>
    <x v="2"/>
    <x v="51"/>
    <x v="7"/>
    <x v="167"/>
    <x v="126"/>
    <n v="228.3"/>
    <n v="1.2"/>
    <n v="1.2"/>
    <n v="0"/>
    <n v="0"/>
    <n v="0"/>
    <n v="0"/>
    <n v="0"/>
    <x v="91"/>
    <x v="91"/>
    <n v="168622"/>
    <x v="65"/>
    <x v="69"/>
    <n v="385"/>
    <n v="65"/>
    <n v="79"/>
  </r>
  <r>
    <x v="0"/>
    <x v="31"/>
    <x v="0"/>
    <x v="0"/>
    <x v="0"/>
    <n v="0.6"/>
    <n v="3"/>
    <n v="0.5"/>
    <n v="0.3"/>
    <n v="0.3"/>
    <n v="0.4"/>
    <n v="0.9"/>
    <n v="0.7"/>
    <x v="207"/>
    <x v="199"/>
    <n v="997177"/>
    <x v="0"/>
    <x v="0"/>
    <n v="6"/>
    <n v="999"/>
    <n v="999"/>
  </r>
  <r>
    <x v="1"/>
    <x v="38"/>
    <x v="0"/>
    <x v="168"/>
    <x v="127"/>
    <n v="6.5"/>
    <n v="1.6"/>
    <n v="0.7"/>
    <n v="5.5"/>
    <n v="3.8"/>
    <n v="4.3"/>
    <n v="1.4"/>
    <n v="1.3"/>
    <x v="208"/>
    <x v="200"/>
    <n v="1040817"/>
    <x v="32"/>
    <x v="25"/>
    <n v="68"/>
    <n v="999"/>
    <n v="999"/>
  </r>
  <r>
    <x v="0"/>
    <x v="59"/>
    <x v="7"/>
    <x v="169"/>
    <x v="116"/>
    <n v="0"/>
    <n v="5.0999999999999996"/>
    <n v="0"/>
    <n v="0"/>
    <n v="0"/>
    <n v="0"/>
    <n v="0"/>
    <n v="0"/>
    <x v="176"/>
    <x v="173"/>
    <n v="0"/>
    <x v="64"/>
    <x v="16"/>
    <n v="0"/>
    <n v="65"/>
    <n v="79"/>
  </r>
  <r>
    <x v="2"/>
    <x v="93"/>
    <x v="6"/>
    <x v="170"/>
    <x v="128"/>
    <n v="0"/>
    <n v="1.5"/>
    <n v="0"/>
    <n v="0"/>
    <n v="0"/>
    <n v="0"/>
    <n v="0"/>
    <n v="0"/>
    <x v="209"/>
    <x v="201"/>
    <n v="0"/>
    <x v="87"/>
    <x v="25"/>
    <n v="0"/>
    <n v="80"/>
    <n v="200"/>
  </r>
  <r>
    <x v="1"/>
    <x v="32"/>
    <x v="7"/>
    <x v="171"/>
    <x v="129"/>
    <n v="18.100000000000001"/>
    <n v="1.3"/>
    <n v="3.2"/>
    <n v="0"/>
    <n v="0"/>
    <n v="0"/>
    <n v="0"/>
    <n v="0"/>
    <x v="210"/>
    <x v="202"/>
    <n v="171612"/>
    <x v="56"/>
    <x v="31"/>
    <n v="31"/>
    <n v="65"/>
    <n v="79"/>
  </r>
  <r>
    <x v="0"/>
    <x v="93"/>
    <x v="7"/>
    <x v="23"/>
    <x v="2"/>
    <n v="0"/>
    <n v="0"/>
    <n v="0"/>
    <n v="0"/>
    <n v="0"/>
    <n v="0"/>
    <n v="0"/>
    <n v="0"/>
    <x v="211"/>
    <x v="203"/>
    <n v="0"/>
    <x v="64"/>
    <x v="1"/>
    <n v="0"/>
    <n v="65"/>
    <n v="79"/>
  </r>
  <r>
    <x v="2"/>
    <x v="99"/>
    <x v="8"/>
    <x v="172"/>
    <x v="2"/>
    <n v="0"/>
    <n v="0"/>
    <n v="0"/>
    <n v="0"/>
    <n v="0"/>
    <n v="0"/>
    <n v="0"/>
    <n v="0"/>
    <x v="28"/>
    <x v="28"/>
    <n v="0"/>
    <x v="95"/>
    <x v="1"/>
    <n v="0"/>
    <n v="0"/>
    <n v="4"/>
  </r>
  <r>
    <x v="2"/>
    <x v="108"/>
    <x v="2"/>
    <x v="173"/>
    <x v="130"/>
    <n v="160.4"/>
    <n v="0.9"/>
    <n v="0.9"/>
    <n v="0"/>
    <n v="0"/>
    <n v="0"/>
    <n v="0"/>
    <n v="0"/>
    <x v="212"/>
    <x v="204"/>
    <n v="21195"/>
    <x v="22"/>
    <x v="79"/>
    <n v="34"/>
    <n v="5"/>
    <n v="11"/>
  </r>
  <r>
    <x v="1"/>
    <x v="96"/>
    <x v="2"/>
    <x v="2"/>
    <x v="2"/>
    <n v="0"/>
    <n v="0"/>
    <n v="0"/>
    <n v="0"/>
    <n v="0"/>
    <n v="0"/>
    <n v="0"/>
    <n v="0"/>
    <x v="213"/>
    <x v="205"/>
    <n v="21210"/>
    <x v="2"/>
    <x v="1"/>
    <n v="0"/>
    <n v="5"/>
    <n v="11"/>
  </r>
  <r>
    <x v="1"/>
    <x v="6"/>
    <x v="5"/>
    <x v="134"/>
    <x v="127"/>
    <n v="3.2"/>
    <n v="4.2"/>
    <n v="3.8"/>
    <n v="0"/>
    <n v="0"/>
    <n v="0"/>
    <n v="0"/>
    <n v="0"/>
    <x v="104"/>
    <x v="103"/>
    <n v="346825"/>
    <x v="36"/>
    <x v="5"/>
    <n v="11"/>
    <n v="30"/>
    <n v="49"/>
  </r>
  <r>
    <x v="1"/>
    <x v="109"/>
    <x v="3"/>
    <x v="42"/>
    <x v="131"/>
    <n v="1.2"/>
    <n v="5.4"/>
    <n v="8.5"/>
    <n v="0"/>
    <n v="0"/>
    <n v="0"/>
    <n v="0"/>
    <n v="0"/>
    <x v="214"/>
    <x v="206"/>
    <n v="161635"/>
    <x v="33"/>
    <x v="16"/>
    <n v="2"/>
    <n v="18"/>
    <n v="29"/>
  </r>
  <r>
    <x v="2"/>
    <x v="54"/>
    <x v="8"/>
    <x v="174"/>
    <x v="58"/>
    <n v="0"/>
    <n v="21.2"/>
    <n v="0"/>
    <n v="0"/>
    <n v="0"/>
    <n v="0"/>
    <n v="0"/>
    <n v="0"/>
    <x v="28"/>
    <x v="28"/>
    <n v="0"/>
    <x v="90"/>
    <x v="39"/>
    <n v="0"/>
    <n v="0"/>
    <n v="4"/>
  </r>
  <r>
    <x v="0"/>
    <x v="39"/>
    <x v="6"/>
    <x v="39"/>
    <x v="2"/>
    <n v="0"/>
    <n v="0"/>
    <n v="0"/>
    <n v="0"/>
    <n v="0"/>
    <n v="0"/>
    <n v="0"/>
    <n v="0"/>
    <x v="215"/>
    <x v="207"/>
    <n v="47058"/>
    <x v="13"/>
    <x v="1"/>
    <n v="0"/>
    <n v="80"/>
    <n v="200"/>
  </r>
  <r>
    <x v="2"/>
    <x v="61"/>
    <x v="4"/>
    <x v="175"/>
    <x v="132"/>
    <n v="11.2"/>
    <n v="2.1"/>
    <n v="2"/>
    <n v="0"/>
    <n v="0"/>
    <n v="0"/>
    <n v="0"/>
    <n v="0"/>
    <x v="216"/>
    <x v="208"/>
    <n v="44597"/>
    <x v="64"/>
    <x v="13"/>
    <n v="5"/>
    <n v="12"/>
    <n v="17"/>
  </r>
  <r>
    <x v="2"/>
    <x v="33"/>
    <x v="5"/>
    <x v="176"/>
    <x v="133"/>
    <n v="13.5"/>
    <n v="1.4"/>
    <n v="1"/>
    <n v="0"/>
    <n v="0"/>
    <n v="0"/>
    <n v="0"/>
    <n v="0"/>
    <x v="217"/>
    <x v="197"/>
    <n v="347311"/>
    <x v="36"/>
    <x v="27"/>
    <n v="47"/>
    <n v="30"/>
    <n v="49"/>
  </r>
  <r>
    <x v="0"/>
    <x v="117"/>
    <x v="0"/>
    <x v="113"/>
    <x v="82"/>
    <n v="0.4"/>
    <n v="1"/>
    <n v="0.5"/>
    <n v="0.1"/>
    <n v="0.6"/>
    <n v="0.3"/>
    <n v="0.2"/>
    <n v="0.5"/>
    <x v="218"/>
    <x v="209"/>
    <n v="1036367"/>
    <x v="1"/>
    <x v="11"/>
    <n v="4"/>
    <n v="999"/>
    <n v="999"/>
  </r>
  <r>
    <x v="1"/>
    <x v="6"/>
    <x v="4"/>
    <x v="177"/>
    <x v="34"/>
    <n v="0"/>
    <n v="2.5"/>
    <n v="0"/>
    <n v="0"/>
    <n v="0"/>
    <n v="0"/>
    <n v="0"/>
    <n v="0"/>
    <x v="219"/>
    <x v="210"/>
    <n v="44338"/>
    <x v="0"/>
    <x v="11"/>
    <n v="0"/>
    <n v="12"/>
    <n v="17"/>
  </r>
  <r>
    <x v="2"/>
    <x v="71"/>
    <x v="6"/>
    <x v="178"/>
    <x v="77"/>
    <n v="0"/>
    <n v="4.4000000000000004"/>
    <n v="0"/>
    <n v="0"/>
    <n v="0"/>
    <n v="0"/>
    <n v="0"/>
    <n v="0"/>
    <x v="126"/>
    <x v="125"/>
    <n v="0"/>
    <x v="45"/>
    <x v="0"/>
    <n v="0"/>
    <n v="80"/>
    <n v="200"/>
  </r>
  <r>
    <x v="2"/>
    <x v="15"/>
    <x v="5"/>
    <x v="179"/>
    <x v="134"/>
    <n v="187.1"/>
    <n v="2.1"/>
    <n v="1.3"/>
    <n v="0"/>
    <n v="0"/>
    <n v="0"/>
    <n v="0"/>
    <n v="0"/>
    <x v="220"/>
    <x v="211"/>
    <n v="344772"/>
    <x v="96"/>
    <x v="80"/>
    <n v="645"/>
    <n v="30"/>
    <n v="49"/>
  </r>
  <r>
    <x v="2"/>
    <x v="20"/>
    <x v="4"/>
    <x v="180"/>
    <x v="135"/>
    <n v="0"/>
    <n v="9.3000000000000007"/>
    <n v="0"/>
    <n v="0"/>
    <n v="0"/>
    <n v="0"/>
    <n v="0"/>
    <n v="0"/>
    <x v="221"/>
    <x v="212"/>
    <n v="0"/>
    <x v="97"/>
    <x v="5"/>
    <n v="0"/>
    <n v="12"/>
    <n v="17"/>
  </r>
  <r>
    <x v="0"/>
    <x v="81"/>
    <x v="1"/>
    <x v="132"/>
    <x v="2"/>
    <n v="0"/>
    <n v="0"/>
    <n v="0"/>
    <n v="0"/>
    <n v="0"/>
    <n v="0"/>
    <n v="0"/>
    <n v="0"/>
    <x v="222"/>
    <x v="213"/>
    <n v="0"/>
    <x v="45"/>
    <x v="1"/>
    <n v="0"/>
    <n v="50"/>
    <n v="64"/>
  </r>
  <r>
    <x v="2"/>
    <x v="85"/>
    <x v="3"/>
    <x v="181"/>
    <x v="136"/>
    <n v="1486.1"/>
    <n v="1.7"/>
    <n v="1.7"/>
    <n v="0"/>
    <n v="0"/>
    <n v="0"/>
    <n v="0"/>
    <n v="0"/>
    <x v="106"/>
    <x v="105"/>
    <n v="83774"/>
    <x v="98"/>
    <x v="81"/>
    <n v="1245"/>
    <n v="18"/>
    <n v="29"/>
  </r>
  <r>
    <x v="1"/>
    <x v="61"/>
    <x v="3"/>
    <x v="37"/>
    <x v="23"/>
    <n v="0.6"/>
    <n v="11"/>
    <n v="9.1999999999999993"/>
    <n v="0"/>
    <n v="0"/>
    <n v="0"/>
    <n v="0"/>
    <n v="0"/>
    <x v="223"/>
    <x v="214"/>
    <n v="161728"/>
    <x v="20"/>
    <x v="0"/>
    <n v="1"/>
    <n v="18"/>
    <n v="29"/>
  </r>
  <r>
    <x v="0"/>
    <x v="108"/>
    <x v="1"/>
    <x v="2"/>
    <x v="2"/>
    <n v="0.4"/>
    <n v="0"/>
    <n v="0"/>
    <n v="0"/>
    <n v="0"/>
    <n v="0"/>
    <n v="0"/>
    <n v="0"/>
    <x v="224"/>
    <x v="215"/>
    <n v="246859"/>
    <x v="2"/>
    <x v="1"/>
    <n v="1"/>
    <n v="50"/>
    <n v="64"/>
  </r>
  <r>
    <x v="1"/>
    <x v="116"/>
    <x v="1"/>
    <x v="182"/>
    <x v="21"/>
    <n v="3.2"/>
    <n v="5.8"/>
    <n v="5.8"/>
    <n v="0"/>
    <n v="0"/>
    <n v="0"/>
    <n v="0"/>
    <n v="0"/>
    <x v="225"/>
    <x v="216"/>
    <n v="246940"/>
    <x v="18"/>
    <x v="16"/>
    <n v="8"/>
    <n v="50"/>
    <n v="64"/>
  </r>
  <r>
    <x v="2"/>
    <x v="66"/>
    <x v="2"/>
    <x v="183"/>
    <x v="2"/>
    <n v="0"/>
    <n v="0"/>
    <n v="0"/>
    <n v="0"/>
    <n v="0"/>
    <n v="0"/>
    <n v="0"/>
    <n v="0"/>
    <x v="226"/>
    <x v="28"/>
    <n v="0"/>
    <x v="99"/>
    <x v="1"/>
    <n v="0"/>
    <n v="5"/>
    <n v="11"/>
  </r>
  <r>
    <x v="1"/>
    <x v="44"/>
    <x v="6"/>
    <x v="146"/>
    <x v="137"/>
    <n v="7.1"/>
    <n v="0.4"/>
    <n v="2.6"/>
    <n v="0"/>
    <n v="0"/>
    <n v="0"/>
    <n v="0"/>
    <n v="0"/>
    <x v="227"/>
    <x v="217"/>
    <n v="42125"/>
    <x v="13"/>
    <x v="26"/>
    <n v="3"/>
    <n v="80"/>
    <n v="200"/>
  </r>
  <r>
    <x v="2"/>
    <x v="111"/>
    <x v="8"/>
    <x v="184"/>
    <x v="58"/>
    <n v="0"/>
    <n v="63.9"/>
    <n v="0"/>
    <n v="0"/>
    <n v="0"/>
    <n v="0"/>
    <n v="0"/>
    <n v="0"/>
    <x v="28"/>
    <x v="28"/>
    <n v="0"/>
    <x v="100"/>
    <x v="39"/>
    <n v="0"/>
    <n v="0"/>
    <n v="4"/>
  </r>
  <r>
    <x v="1"/>
    <x v="118"/>
    <x v="6"/>
    <x v="185"/>
    <x v="138"/>
    <n v="9.3000000000000007"/>
    <n v="0.4"/>
    <n v="1.2"/>
    <n v="0"/>
    <n v="0"/>
    <n v="0"/>
    <n v="0"/>
    <n v="0"/>
    <x v="228"/>
    <x v="218"/>
    <n v="42943"/>
    <x v="45"/>
    <x v="16"/>
    <n v="4"/>
    <n v="80"/>
    <n v="200"/>
  </r>
  <r>
    <x v="2"/>
    <x v="64"/>
    <x v="2"/>
    <x v="186"/>
    <x v="139"/>
    <n v="98.9"/>
    <n v="1.2"/>
    <n v="0.5"/>
    <n v="0"/>
    <n v="0"/>
    <n v="0"/>
    <n v="0"/>
    <n v="0"/>
    <x v="229"/>
    <x v="219"/>
    <n v="21236"/>
    <x v="44"/>
    <x v="77"/>
    <n v="21"/>
    <n v="5"/>
    <n v="11"/>
  </r>
  <r>
    <x v="1"/>
    <x v="118"/>
    <x v="2"/>
    <x v="2"/>
    <x v="73"/>
    <n v="0"/>
    <n v="0"/>
    <n v="0"/>
    <n v="0"/>
    <n v="0"/>
    <n v="0"/>
    <n v="0"/>
    <n v="0"/>
    <x v="230"/>
    <x v="220"/>
    <n v="0"/>
    <x v="2"/>
    <x v="0"/>
    <n v="0"/>
    <n v="5"/>
    <n v="11"/>
  </r>
  <r>
    <x v="2"/>
    <x v="26"/>
    <x v="7"/>
    <x v="187"/>
    <x v="140"/>
    <n v="142.69999999999999"/>
    <n v="1.6"/>
    <n v="1.4"/>
    <n v="0"/>
    <n v="0"/>
    <n v="0"/>
    <n v="0"/>
    <n v="0"/>
    <x v="231"/>
    <x v="221"/>
    <n v="171679"/>
    <x v="101"/>
    <x v="82"/>
    <n v="245"/>
    <n v="65"/>
    <n v="79"/>
  </r>
  <r>
    <x v="1"/>
    <x v="69"/>
    <x v="3"/>
    <x v="188"/>
    <x v="141"/>
    <n v="0.8"/>
    <n v="2.8"/>
    <n v="4.9000000000000004"/>
    <n v="0"/>
    <n v="0"/>
    <n v="0"/>
    <n v="0"/>
    <n v="0"/>
    <x v="232"/>
    <x v="222"/>
    <n v="133301"/>
    <x v="20"/>
    <x v="39"/>
    <n v="1"/>
    <n v="18"/>
    <n v="29"/>
  </r>
  <r>
    <x v="2"/>
    <x v="110"/>
    <x v="8"/>
    <x v="189"/>
    <x v="142"/>
    <n v="0"/>
    <n v="6.1"/>
    <n v="0"/>
    <n v="0"/>
    <n v="0"/>
    <n v="0"/>
    <n v="0"/>
    <n v="0"/>
    <x v="28"/>
    <x v="28"/>
    <n v="0"/>
    <x v="54"/>
    <x v="23"/>
    <n v="0"/>
    <n v="0"/>
    <n v="4"/>
  </r>
  <r>
    <x v="2"/>
    <x v="87"/>
    <x v="0"/>
    <x v="190"/>
    <x v="143"/>
    <n v="24.9"/>
    <n v="2.5"/>
    <n v="7.4"/>
    <n v="205.8"/>
    <n v="60.6"/>
    <n v="21.5"/>
    <n v="3.4"/>
    <n v="9.6"/>
    <x v="233"/>
    <x v="223"/>
    <n v="120427"/>
    <x v="102"/>
    <x v="83"/>
    <n v="30"/>
    <n v="999"/>
    <n v="999"/>
  </r>
  <r>
    <x v="2"/>
    <x v="58"/>
    <x v="5"/>
    <x v="191"/>
    <x v="144"/>
    <n v="104"/>
    <n v="2.2999999999999998"/>
    <n v="1.8"/>
    <n v="0"/>
    <n v="0"/>
    <n v="0"/>
    <n v="0"/>
    <n v="0"/>
    <x v="60"/>
    <x v="60"/>
    <n v="347089"/>
    <x v="103"/>
    <x v="84"/>
    <n v="361"/>
    <n v="30"/>
    <n v="49"/>
  </r>
  <r>
    <x v="1"/>
    <x v="78"/>
    <x v="5"/>
    <x v="192"/>
    <x v="145"/>
    <n v="0"/>
    <n v="11"/>
    <n v="0"/>
    <n v="0"/>
    <n v="0"/>
    <n v="0"/>
    <n v="0"/>
    <n v="0"/>
    <x v="234"/>
    <x v="224"/>
    <n v="0"/>
    <x v="63"/>
    <x v="11"/>
    <n v="0"/>
    <n v="30"/>
    <n v="49"/>
  </r>
  <r>
    <x v="2"/>
    <x v="62"/>
    <x v="8"/>
    <x v="193"/>
    <x v="36"/>
    <n v="0"/>
    <n v="9.8000000000000007"/>
    <n v="0"/>
    <n v="0"/>
    <n v="0"/>
    <n v="0"/>
    <n v="0"/>
    <n v="0"/>
    <x v="28"/>
    <x v="28"/>
    <n v="0"/>
    <x v="93"/>
    <x v="16"/>
    <n v="0"/>
    <n v="0"/>
    <n v="4"/>
  </r>
  <r>
    <x v="2"/>
    <x v="100"/>
    <x v="1"/>
    <x v="194"/>
    <x v="146"/>
    <n v="238.1"/>
    <n v="2.7"/>
    <n v="1.8"/>
    <n v="0"/>
    <n v="0"/>
    <n v="0"/>
    <n v="0"/>
    <n v="0"/>
    <x v="235"/>
    <x v="225"/>
    <n v="238179"/>
    <x v="104"/>
    <x v="85"/>
    <n v="567"/>
    <n v="50"/>
    <n v="64"/>
  </r>
  <r>
    <x v="0"/>
    <x v="106"/>
    <x v="0"/>
    <x v="26"/>
    <x v="87"/>
    <n v="0"/>
    <n v="8.6999999999999993"/>
    <n v="0"/>
    <n v="3.8"/>
    <n v="0.3"/>
    <n v="0"/>
    <n v="14.5"/>
    <n v="0"/>
    <x v="236"/>
    <x v="226"/>
    <n v="0"/>
    <x v="60"/>
    <x v="21"/>
    <n v="0"/>
    <n v="999"/>
    <n v="999"/>
  </r>
  <r>
    <x v="0"/>
    <x v="34"/>
    <x v="1"/>
    <x v="195"/>
    <x v="17"/>
    <n v="0"/>
    <n v="22"/>
    <n v="0"/>
    <n v="0"/>
    <n v="0"/>
    <n v="0"/>
    <n v="0"/>
    <n v="0"/>
    <x v="237"/>
    <x v="227"/>
    <n v="110556"/>
    <x v="91"/>
    <x v="39"/>
    <n v="0"/>
    <n v="50"/>
    <n v="64"/>
  </r>
  <r>
    <x v="0"/>
    <x v="82"/>
    <x v="1"/>
    <x v="2"/>
    <x v="2"/>
    <n v="0"/>
    <n v="0"/>
    <n v="0"/>
    <n v="0"/>
    <n v="0"/>
    <n v="0"/>
    <n v="0"/>
    <n v="0"/>
    <x v="238"/>
    <x v="228"/>
    <n v="246931"/>
    <x v="2"/>
    <x v="1"/>
    <n v="0"/>
    <n v="50"/>
    <n v="64"/>
  </r>
  <r>
    <x v="2"/>
    <x v="72"/>
    <x v="4"/>
    <x v="196"/>
    <x v="147"/>
    <n v="15.7"/>
    <n v="2.9"/>
    <n v="3.9"/>
    <n v="0"/>
    <n v="0"/>
    <n v="0"/>
    <n v="0"/>
    <n v="0"/>
    <x v="239"/>
    <x v="229"/>
    <n v="44576"/>
    <x v="29"/>
    <x v="3"/>
    <n v="7"/>
    <n v="12"/>
    <n v="17"/>
  </r>
  <r>
    <x v="0"/>
    <x v="100"/>
    <x v="1"/>
    <x v="2"/>
    <x v="2"/>
    <n v="0"/>
    <n v="0"/>
    <n v="0"/>
    <n v="0"/>
    <n v="0"/>
    <n v="0"/>
    <n v="0"/>
    <n v="0"/>
    <x v="235"/>
    <x v="225"/>
    <n v="238179"/>
    <x v="2"/>
    <x v="1"/>
    <n v="0"/>
    <n v="50"/>
    <n v="64"/>
  </r>
  <r>
    <x v="0"/>
    <x v="119"/>
    <x v="4"/>
    <x v="2"/>
    <x v="2"/>
    <n v="0"/>
    <n v="0"/>
    <n v="0"/>
    <n v="0"/>
    <n v="0"/>
    <n v="0"/>
    <n v="0"/>
    <n v="0"/>
    <x v="240"/>
    <x v="230"/>
    <n v="44696"/>
    <x v="2"/>
    <x v="1"/>
    <n v="0"/>
    <n v="12"/>
    <n v="17"/>
  </r>
  <r>
    <x v="1"/>
    <x v="120"/>
    <x v="8"/>
    <x v="97"/>
    <x v="13"/>
    <n v="0"/>
    <n v="3"/>
    <n v="0"/>
    <n v="0"/>
    <n v="0"/>
    <n v="0"/>
    <n v="0"/>
    <n v="0"/>
    <x v="28"/>
    <x v="28"/>
    <n v="0"/>
    <x v="45"/>
    <x v="0"/>
    <n v="0"/>
    <n v="0"/>
    <n v="4"/>
  </r>
  <r>
    <x v="1"/>
    <x v="42"/>
    <x v="0"/>
    <x v="197"/>
    <x v="145"/>
    <n v="1.3"/>
    <n v="1.7"/>
    <n v="2.1"/>
    <n v="3.3"/>
    <n v="1.8"/>
    <n v="0.9"/>
    <n v="1.8"/>
    <n v="3.5"/>
    <x v="241"/>
    <x v="231"/>
    <n v="932489"/>
    <x v="8"/>
    <x v="52"/>
    <n v="12"/>
    <n v="999"/>
    <n v="999"/>
  </r>
  <r>
    <x v="0"/>
    <x v="22"/>
    <x v="6"/>
    <x v="198"/>
    <x v="2"/>
    <n v="2.1"/>
    <n v="0"/>
    <n v="3.8"/>
    <n v="0"/>
    <n v="0"/>
    <n v="0"/>
    <n v="0"/>
    <n v="0"/>
    <x v="242"/>
    <x v="207"/>
    <n v="47104"/>
    <x v="0"/>
    <x v="1"/>
    <n v="1"/>
    <n v="80"/>
    <n v="200"/>
  </r>
  <r>
    <x v="0"/>
    <x v="52"/>
    <x v="3"/>
    <x v="2"/>
    <x v="23"/>
    <n v="0"/>
    <n v="0"/>
    <n v="0"/>
    <n v="0"/>
    <n v="0"/>
    <n v="0"/>
    <n v="0"/>
    <n v="0"/>
    <x v="243"/>
    <x v="232"/>
    <n v="160373"/>
    <x v="2"/>
    <x v="0"/>
    <n v="0"/>
    <n v="18"/>
    <n v="29"/>
  </r>
  <r>
    <x v="1"/>
    <x v="117"/>
    <x v="8"/>
    <x v="20"/>
    <x v="2"/>
    <n v="0"/>
    <n v="0"/>
    <n v="0"/>
    <n v="0"/>
    <n v="0"/>
    <n v="0"/>
    <n v="0"/>
    <n v="0"/>
    <x v="28"/>
    <x v="28"/>
    <n v="0"/>
    <x v="20"/>
    <x v="1"/>
    <n v="0"/>
    <n v="0"/>
    <n v="4"/>
  </r>
  <r>
    <x v="0"/>
    <x v="90"/>
    <x v="7"/>
    <x v="99"/>
    <x v="2"/>
    <n v="0"/>
    <n v="0"/>
    <n v="0"/>
    <n v="0"/>
    <n v="0"/>
    <n v="0"/>
    <n v="0"/>
    <n v="0"/>
    <x v="120"/>
    <x v="119"/>
    <n v="164773"/>
    <x v="1"/>
    <x v="1"/>
    <n v="0"/>
    <n v="65"/>
    <n v="79"/>
  </r>
  <r>
    <x v="1"/>
    <x v="74"/>
    <x v="4"/>
    <x v="2"/>
    <x v="34"/>
    <n v="0"/>
    <n v="0"/>
    <n v="0"/>
    <n v="0"/>
    <n v="0"/>
    <n v="0"/>
    <n v="0"/>
    <n v="0"/>
    <x v="244"/>
    <x v="233"/>
    <n v="44615"/>
    <x v="2"/>
    <x v="11"/>
    <n v="0"/>
    <n v="12"/>
    <n v="17"/>
  </r>
  <r>
    <x v="0"/>
    <x v="106"/>
    <x v="1"/>
    <x v="31"/>
    <x v="87"/>
    <n v="0"/>
    <n v="24.7"/>
    <n v="0"/>
    <n v="0"/>
    <n v="0"/>
    <n v="0"/>
    <n v="0"/>
    <n v="0"/>
    <x v="245"/>
    <x v="234"/>
    <n v="0"/>
    <x v="18"/>
    <x v="0"/>
    <n v="0"/>
    <n v="50"/>
    <n v="64"/>
  </r>
  <r>
    <x v="0"/>
    <x v="70"/>
    <x v="5"/>
    <x v="2"/>
    <x v="2"/>
    <n v="0"/>
    <n v="0"/>
    <n v="0"/>
    <n v="0"/>
    <n v="0"/>
    <n v="0"/>
    <n v="0"/>
    <n v="0"/>
    <x v="246"/>
    <x v="235"/>
    <n v="347286"/>
    <x v="2"/>
    <x v="1"/>
    <n v="0"/>
    <n v="30"/>
    <n v="49"/>
  </r>
  <r>
    <x v="1"/>
    <x v="77"/>
    <x v="4"/>
    <x v="2"/>
    <x v="17"/>
    <n v="2.2000000000000002"/>
    <n v="0"/>
    <n v="0"/>
    <n v="0"/>
    <n v="0"/>
    <n v="0"/>
    <n v="0"/>
    <n v="0"/>
    <x v="247"/>
    <x v="236"/>
    <n v="44563"/>
    <x v="2"/>
    <x v="0"/>
    <n v="1"/>
    <n v="12"/>
    <n v="17"/>
  </r>
  <r>
    <x v="2"/>
    <x v="105"/>
    <x v="5"/>
    <x v="199"/>
    <x v="148"/>
    <n v="238.8"/>
    <n v="1.9"/>
    <n v="1.3"/>
    <n v="0"/>
    <n v="0"/>
    <n v="0"/>
    <n v="0"/>
    <n v="0"/>
    <x v="248"/>
    <x v="237"/>
    <n v="343405"/>
    <x v="105"/>
    <x v="86"/>
    <n v="820"/>
    <n v="30"/>
    <n v="49"/>
  </r>
  <r>
    <x v="2"/>
    <x v="119"/>
    <x v="3"/>
    <x v="200"/>
    <x v="149"/>
    <n v="16"/>
    <n v="3.9"/>
    <n v="5"/>
    <n v="0"/>
    <n v="0"/>
    <n v="0"/>
    <n v="0"/>
    <n v="0"/>
    <x v="249"/>
    <x v="238"/>
    <n v="162511"/>
    <x v="106"/>
    <x v="87"/>
    <n v="26"/>
    <n v="18"/>
    <n v="29"/>
  </r>
  <r>
    <x v="0"/>
    <x v="121"/>
    <x v="3"/>
    <x v="0"/>
    <x v="2"/>
    <n v="0"/>
    <n v="0"/>
    <n v="0"/>
    <n v="0"/>
    <n v="0"/>
    <n v="0"/>
    <n v="0"/>
    <n v="0"/>
    <x v="250"/>
    <x v="239"/>
    <n v="0"/>
    <x v="1"/>
    <x v="1"/>
    <n v="0"/>
    <n v="18"/>
    <n v="29"/>
  </r>
  <r>
    <x v="0"/>
    <x v="30"/>
    <x v="1"/>
    <x v="2"/>
    <x v="1"/>
    <n v="0"/>
    <n v="0"/>
    <n v="0"/>
    <n v="0"/>
    <n v="0"/>
    <n v="0"/>
    <n v="0"/>
    <n v="0"/>
    <x v="251"/>
    <x v="240"/>
    <n v="246697"/>
    <x v="2"/>
    <x v="0"/>
    <n v="0"/>
    <n v="50"/>
    <n v="64"/>
  </r>
  <r>
    <x v="2"/>
    <x v="43"/>
    <x v="4"/>
    <x v="160"/>
    <x v="34"/>
    <n v="2.2000000000000002"/>
    <n v="6.8"/>
    <n v="7.1"/>
    <n v="0"/>
    <n v="0"/>
    <n v="0"/>
    <n v="0"/>
    <n v="0"/>
    <x v="252"/>
    <x v="241"/>
    <n v="44590"/>
    <x v="13"/>
    <x v="11"/>
    <n v="1"/>
    <n v="12"/>
    <n v="17"/>
  </r>
  <r>
    <x v="1"/>
    <x v="118"/>
    <x v="1"/>
    <x v="201"/>
    <x v="125"/>
    <n v="0.4"/>
    <n v="3.9"/>
    <n v="27.2"/>
    <n v="0"/>
    <n v="0"/>
    <n v="0"/>
    <n v="0"/>
    <n v="0"/>
    <x v="253"/>
    <x v="242"/>
    <n v="224298"/>
    <x v="13"/>
    <x v="16"/>
    <n v="1"/>
    <n v="50"/>
    <n v="64"/>
  </r>
  <r>
    <x v="2"/>
    <x v="122"/>
    <x v="7"/>
    <x v="202"/>
    <x v="150"/>
    <n v="0"/>
    <n v="6"/>
    <n v="0"/>
    <n v="0"/>
    <n v="0"/>
    <n v="0"/>
    <n v="0"/>
    <n v="0"/>
    <x v="254"/>
    <x v="243"/>
    <n v="0"/>
    <x v="107"/>
    <x v="88"/>
    <n v="0"/>
    <n v="65"/>
    <n v="79"/>
  </r>
  <r>
    <x v="2"/>
    <x v="71"/>
    <x v="4"/>
    <x v="203"/>
    <x v="2"/>
    <n v="0"/>
    <n v="0"/>
    <n v="0"/>
    <n v="0"/>
    <n v="0"/>
    <n v="0"/>
    <n v="0"/>
    <n v="0"/>
    <x v="255"/>
    <x v="244"/>
    <n v="0"/>
    <x v="16"/>
    <x v="1"/>
    <n v="0"/>
    <n v="12"/>
    <n v="17"/>
  </r>
  <r>
    <x v="1"/>
    <x v="68"/>
    <x v="2"/>
    <x v="2"/>
    <x v="2"/>
    <n v="0"/>
    <n v="0"/>
    <n v="0"/>
    <n v="0"/>
    <n v="0"/>
    <n v="0"/>
    <n v="0"/>
    <n v="0"/>
    <x v="169"/>
    <x v="166"/>
    <n v="0"/>
    <x v="2"/>
    <x v="1"/>
    <n v="0"/>
    <n v="5"/>
    <n v="11"/>
  </r>
  <r>
    <x v="2"/>
    <x v="16"/>
    <x v="6"/>
    <x v="204"/>
    <x v="151"/>
    <n v="638.4"/>
    <n v="0.6"/>
    <n v="1.7"/>
    <n v="0"/>
    <n v="0"/>
    <n v="0"/>
    <n v="0"/>
    <n v="0"/>
    <x v="256"/>
    <x v="245"/>
    <n v="35560"/>
    <x v="96"/>
    <x v="89"/>
    <n v="227"/>
    <n v="80"/>
    <n v="200"/>
  </r>
  <r>
    <x v="0"/>
    <x v="94"/>
    <x v="5"/>
    <x v="2"/>
    <x v="2"/>
    <n v="0"/>
    <n v="0"/>
    <n v="0"/>
    <n v="0"/>
    <n v="0"/>
    <n v="0"/>
    <n v="0"/>
    <n v="0"/>
    <x v="257"/>
    <x v="246"/>
    <n v="347231"/>
    <x v="2"/>
    <x v="1"/>
    <n v="0"/>
    <n v="30"/>
    <n v="49"/>
  </r>
  <r>
    <x v="0"/>
    <x v="83"/>
    <x v="1"/>
    <x v="2"/>
    <x v="2"/>
    <n v="0.4"/>
    <n v="0"/>
    <n v="0"/>
    <n v="0"/>
    <n v="0"/>
    <n v="0"/>
    <n v="0"/>
    <n v="0"/>
    <x v="258"/>
    <x v="247"/>
    <n v="233206"/>
    <x v="2"/>
    <x v="1"/>
    <n v="1"/>
    <n v="50"/>
    <n v="64"/>
  </r>
  <r>
    <x v="1"/>
    <x v="65"/>
    <x v="5"/>
    <x v="82"/>
    <x v="82"/>
    <n v="0"/>
    <n v="20.5"/>
    <n v="0"/>
    <n v="0"/>
    <n v="0"/>
    <n v="0"/>
    <n v="0"/>
    <n v="0"/>
    <x v="259"/>
    <x v="248"/>
    <n v="0"/>
    <x v="27"/>
    <x v="0"/>
    <n v="0"/>
    <n v="30"/>
    <n v="49"/>
  </r>
  <r>
    <x v="2"/>
    <x v="17"/>
    <x v="3"/>
    <x v="205"/>
    <x v="152"/>
    <n v="11.1"/>
    <n v="1.3"/>
    <n v="0.6"/>
    <n v="0"/>
    <n v="0"/>
    <n v="0"/>
    <n v="0"/>
    <n v="0"/>
    <x v="260"/>
    <x v="249"/>
    <n v="161703"/>
    <x v="13"/>
    <x v="7"/>
    <n v="18"/>
    <n v="18"/>
    <n v="29"/>
  </r>
  <r>
    <x v="0"/>
    <x v="123"/>
    <x v="7"/>
    <x v="2"/>
    <x v="2"/>
    <n v="1.2"/>
    <n v="0"/>
    <n v="0"/>
    <n v="0"/>
    <n v="0"/>
    <n v="0"/>
    <n v="0"/>
    <n v="0"/>
    <x v="261"/>
    <x v="250"/>
    <n v="171710"/>
    <x v="2"/>
    <x v="1"/>
    <n v="2"/>
    <n v="65"/>
    <n v="79"/>
  </r>
  <r>
    <x v="0"/>
    <x v="34"/>
    <x v="7"/>
    <x v="206"/>
    <x v="142"/>
    <n v="0"/>
    <n v="4.8"/>
    <n v="0"/>
    <n v="0"/>
    <n v="0"/>
    <n v="0"/>
    <n v="0"/>
    <n v="0"/>
    <x v="262"/>
    <x v="251"/>
    <n v="110903"/>
    <x v="34"/>
    <x v="26"/>
    <n v="0"/>
    <n v="65"/>
    <n v="79"/>
  </r>
  <r>
    <x v="2"/>
    <x v="90"/>
    <x v="0"/>
    <x v="207"/>
    <x v="153"/>
    <n v="333.7"/>
    <n v="1.4"/>
    <n v="0.9"/>
    <n v="343.4"/>
    <n v="200.3"/>
    <n v="361.7"/>
    <n v="1.7"/>
    <n v="0.9"/>
    <x v="263"/>
    <x v="252"/>
    <n v="969242"/>
    <x v="108"/>
    <x v="90"/>
    <n v="3234"/>
    <n v="999"/>
    <n v="999"/>
  </r>
  <r>
    <x v="1"/>
    <x v="13"/>
    <x v="7"/>
    <x v="208"/>
    <x v="154"/>
    <n v="30.3"/>
    <n v="1.5"/>
    <n v="5.8"/>
    <n v="0"/>
    <n v="0"/>
    <n v="0"/>
    <n v="0"/>
    <n v="0"/>
    <x v="13"/>
    <x v="13"/>
    <n v="141953"/>
    <x v="109"/>
    <x v="91"/>
    <n v="43"/>
    <n v="65"/>
    <n v="79"/>
  </r>
  <r>
    <x v="0"/>
    <x v="124"/>
    <x v="6"/>
    <x v="49"/>
    <x v="155"/>
    <n v="3"/>
    <n v="1.9"/>
    <n v="22.6"/>
    <n v="0"/>
    <n v="0"/>
    <n v="0"/>
    <n v="0"/>
    <n v="0"/>
    <x v="264"/>
    <x v="253"/>
    <n v="33427"/>
    <x v="34"/>
    <x v="5"/>
    <n v="1"/>
    <n v="80"/>
    <n v="200"/>
  </r>
  <r>
    <x v="2"/>
    <x v="6"/>
    <x v="3"/>
    <x v="209"/>
    <x v="156"/>
    <n v="108.4"/>
    <n v="3.2"/>
    <n v="1.5"/>
    <n v="0"/>
    <n v="0"/>
    <n v="0"/>
    <n v="0"/>
    <n v="0"/>
    <x v="265"/>
    <x v="254"/>
    <n v="161406"/>
    <x v="110"/>
    <x v="92"/>
    <n v="175"/>
    <n v="18"/>
    <n v="29"/>
  </r>
  <r>
    <x v="0"/>
    <x v="73"/>
    <x v="6"/>
    <x v="210"/>
    <x v="157"/>
    <n v="2.2000000000000002"/>
    <n v="0.5"/>
    <n v="1.7"/>
    <n v="0"/>
    <n v="0"/>
    <n v="0"/>
    <n v="0"/>
    <n v="0"/>
    <x v="266"/>
    <x v="255"/>
    <n v="45911"/>
    <x v="1"/>
    <x v="0"/>
    <n v="1"/>
    <n v="80"/>
    <n v="200"/>
  </r>
  <r>
    <x v="1"/>
    <x v="72"/>
    <x v="3"/>
    <x v="197"/>
    <x v="2"/>
    <n v="0"/>
    <n v="0"/>
    <n v="0"/>
    <n v="0"/>
    <n v="0"/>
    <n v="0"/>
    <n v="0"/>
    <n v="0"/>
    <x v="267"/>
    <x v="113"/>
    <n v="161690"/>
    <x v="0"/>
    <x v="1"/>
    <n v="0"/>
    <n v="18"/>
    <n v="29"/>
  </r>
  <r>
    <x v="0"/>
    <x v="1"/>
    <x v="7"/>
    <x v="20"/>
    <x v="2"/>
    <n v="0.6"/>
    <n v="0"/>
    <n v="4.2"/>
    <n v="0"/>
    <n v="0"/>
    <n v="0"/>
    <n v="0"/>
    <n v="0"/>
    <x v="268"/>
    <x v="256"/>
    <n v="171692"/>
    <x v="1"/>
    <x v="1"/>
    <n v="1"/>
    <n v="65"/>
    <n v="79"/>
  </r>
  <r>
    <x v="2"/>
    <x v="90"/>
    <x v="4"/>
    <x v="211"/>
    <x v="158"/>
    <n v="344.3"/>
    <n v="1.7"/>
    <n v="1.2"/>
    <n v="0"/>
    <n v="0"/>
    <n v="0"/>
    <n v="0"/>
    <n v="0"/>
    <x v="269"/>
    <x v="257"/>
    <n v="34850"/>
    <x v="111"/>
    <x v="93"/>
    <n v="120"/>
    <n v="12"/>
    <n v="17"/>
  </r>
  <r>
    <x v="0"/>
    <x v="47"/>
    <x v="4"/>
    <x v="2"/>
    <x v="2"/>
    <n v="0"/>
    <n v="0"/>
    <n v="0"/>
    <n v="0"/>
    <n v="0"/>
    <n v="0"/>
    <n v="0"/>
    <n v="0"/>
    <x v="194"/>
    <x v="188"/>
    <n v="44535"/>
    <x v="2"/>
    <x v="1"/>
    <n v="0"/>
    <n v="12"/>
    <n v="17"/>
  </r>
  <r>
    <x v="0"/>
    <x v="8"/>
    <x v="5"/>
    <x v="212"/>
    <x v="2"/>
    <n v="0"/>
    <n v="0"/>
    <n v="0"/>
    <n v="0"/>
    <n v="0"/>
    <n v="0"/>
    <n v="0"/>
    <n v="0"/>
    <x v="8"/>
    <x v="8"/>
    <n v="0"/>
    <x v="45"/>
    <x v="1"/>
    <n v="0"/>
    <n v="30"/>
    <n v="49"/>
  </r>
  <r>
    <x v="2"/>
    <x v="125"/>
    <x v="7"/>
    <x v="78"/>
    <x v="159"/>
    <n v="0"/>
    <n v="5.5"/>
    <n v="0"/>
    <n v="0"/>
    <n v="0"/>
    <n v="0"/>
    <n v="0"/>
    <n v="0"/>
    <x v="270"/>
    <x v="258"/>
    <n v="0"/>
    <x v="48"/>
    <x v="23"/>
    <n v="0"/>
    <n v="65"/>
    <n v="79"/>
  </r>
  <r>
    <x v="2"/>
    <x v="126"/>
    <x v="5"/>
    <x v="213"/>
    <x v="160"/>
    <n v="34.299999999999997"/>
    <n v="1.5"/>
    <n v="1.3"/>
    <n v="0"/>
    <n v="0"/>
    <n v="0"/>
    <n v="0"/>
    <n v="0"/>
    <x v="271"/>
    <x v="63"/>
    <n v="347325"/>
    <x v="80"/>
    <x v="58"/>
    <n v="119"/>
    <n v="30"/>
    <n v="49"/>
  </r>
  <r>
    <x v="0"/>
    <x v="76"/>
    <x v="3"/>
    <x v="2"/>
    <x v="2"/>
    <n v="0"/>
    <n v="0"/>
    <n v="0"/>
    <n v="0"/>
    <n v="0"/>
    <n v="0"/>
    <n v="0"/>
    <n v="0"/>
    <x v="272"/>
    <x v="113"/>
    <n v="161695"/>
    <x v="2"/>
    <x v="1"/>
    <n v="0"/>
    <n v="18"/>
    <n v="29"/>
  </r>
  <r>
    <x v="1"/>
    <x v="13"/>
    <x v="6"/>
    <x v="214"/>
    <x v="161"/>
    <n v="69.2"/>
    <n v="1"/>
    <n v="4"/>
    <n v="0"/>
    <n v="0"/>
    <n v="0"/>
    <n v="0"/>
    <n v="0"/>
    <x v="273"/>
    <x v="259"/>
    <n v="39032"/>
    <x v="25"/>
    <x v="94"/>
    <n v="27"/>
    <n v="80"/>
    <n v="200"/>
  </r>
  <r>
    <x v="1"/>
    <x v="78"/>
    <x v="0"/>
    <x v="192"/>
    <x v="162"/>
    <n v="0"/>
    <n v="5.9"/>
    <n v="0"/>
    <n v="21.9"/>
    <n v="1.8"/>
    <n v="0"/>
    <n v="12"/>
    <n v="0"/>
    <x v="274"/>
    <x v="260"/>
    <n v="0"/>
    <x v="112"/>
    <x v="23"/>
    <n v="0"/>
    <n v="999"/>
    <n v="999"/>
  </r>
  <r>
    <x v="1"/>
    <x v="17"/>
    <x v="1"/>
    <x v="215"/>
    <x v="2"/>
    <n v="0.4"/>
    <n v="0"/>
    <n v="23"/>
    <n v="0"/>
    <n v="0"/>
    <n v="0"/>
    <n v="0"/>
    <n v="0"/>
    <x v="275"/>
    <x v="72"/>
    <n v="246928"/>
    <x v="45"/>
    <x v="1"/>
    <n v="1"/>
    <n v="50"/>
    <n v="64"/>
  </r>
  <r>
    <x v="1"/>
    <x v="90"/>
    <x v="1"/>
    <x v="216"/>
    <x v="163"/>
    <n v="8.9"/>
    <n v="2"/>
    <n v="2.2999999999999998"/>
    <n v="0"/>
    <n v="0"/>
    <n v="0"/>
    <n v="0"/>
    <n v="0"/>
    <x v="276"/>
    <x v="261"/>
    <n v="236190"/>
    <x v="51"/>
    <x v="52"/>
    <n v="21"/>
    <n v="50"/>
    <n v="64"/>
  </r>
  <r>
    <x v="0"/>
    <x v="82"/>
    <x v="2"/>
    <x v="2"/>
    <x v="2"/>
    <n v="0"/>
    <n v="0"/>
    <n v="0"/>
    <n v="0"/>
    <n v="0"/>
    <n v="0"/>
    <n v="0"/>
    <n v="0"/>
    <x v="277"/>
    <x v="262"/>
    <n v="21257"/>
    <x v="2"/>
    <x v="1"/>
    <n v="0"/>
    <n v="5"/>
    <n v="11"/>
  </r>
  <r>
    <x v="2"/>
    <x v="63"/>
    <x v="1"/>
    <x v="217"/>
    <x v="164"/>
    <n v="124.9"/>
    <n v="3.7"/>
    <n v="2.7"/>
    <n v="0"/>
    <n v="0"/>
    <n v="0"/>
    <n v="0"/>
    <n v="0"/>
    <x v="278"/>
    <x v="263"/>
    <n v="246677"/>
    <x v="113"/>
    <x v="95"/>
    <n v="308"/>
    <n v="50"/>
    <n v="64"/>
  </r>
  <r>
    <x v="0"/>
    <x v="127"/>
    <x v="5"/>
    <x v="159"/>
    <x v="87"/>
    <n v="0"/>
    <n v="26"/>
    <n v="0"/>
    <n v="0"/>
    <n v="0"/>
    <n v="0"/>
    <n v="0"/>
    <n v="0"/>
    <x v="279"/>
    <x v="264"/>
    <n v="239415"/>
    <x v="27"/>
    <x v="0"/>
    <n v="0"/>
    <n v="30"/>
    <n v="49"/>
  </r>
  <r>
    <x v="0"/>
    <x v="37"/>
    <x v="5"/>
    <x v="2"/>
    <x v="2"/>
    <n v="0"/>
    <n v="0"/>
    <n v="0"/>
    <n v="0"/>
    <n v="0"/>
    <n v="0"/>
    <n v="0"/>
    <n v="0"/>
    <x v="280"/>
    <x v="78"/>
    <n v="347313"/>
    <x v="2"/>
    <x v="1"/>
    <n v="0"/>
    <n v="30"/>
    <n v="49"/>
  </r>
  <r>
    <x v="1"/>
    <x v="67"/>
    <x v="4"/>
    <x v="2"/>
    <x v="2"/>
    <n v="0"/>
    <n v="0"/>
    <n v="0"/>
    <n v="0"/>
    <n v="0"/>
    <n v="0"/>
    <n v="0"/>
    <n v="0"/>
    <x v="281"/>
    <x v="265"/>
    <n v="44558"/>
    <x v="2"/>
    <x v="1"/>
    <n v="0"/>
    <n v="12"/>
    <n v="17"/>
  </r>
  <r>
    <x v="0"/>
    <x v="128"/>
    <x v="5"/>
    <x v="2"/>
    <x v="2"/>
    <n v="0"/>
    <n v="0"/>
    <n v="0"/>
    <n v="0"/>
    <n v="0"/>
    <n v="0"/>
    <n v="0"/>
    <n v="0"/>
    <x v="282"/>
    <x v="266"/>
    <n v="347288"/>
    <x v="2"/>
    <x v="1"/>
    <n v="0"/>
    <n v="30"/>
    <n v="49"/>
  </r>
  <r>
    <x v="1"/>
    <x v="111"/>
    <x v="2"/>
    <x v="2"/>
    <x v="2"/>
    <n v="0"/>
    <n v="0"/>
    <n v="0"/>
    <n v="0"/>
    <n v="0"/>
    <n v="0"/>
    <n v="0"/>
    <n v="0"/>
    <x v="186"/>
    <x v="181"/>
    <n v="16920"/>
    <x v="2"/>
    <x v="1"/>
    <n v="0"/>
    <n v="5"/>
    <n v="11"/>
  </r>
  <r>
    <x v="1"/>
    <x v="16"/>
    <x v="6"/>
    <x v="218"/>
    <x v="165"/>
    <n v="106.9"/>
    <n v="0.8"/>
    <n v="3.4"/>
    <n v="0"/>
    <n v="0"/>
    <n v="0"/>
    <n v="0"/>
    <n v="0"/>
    <x v="256"/>
    <x v="245"/>
    <n v="35560"/>
    <x v="114"/>
    <x v="96"/>
    <n v="38"/>
    <n v="80"/>
    <n v="200"/>
  </r>
  <r>
    <x v="0"/>
    <x v="118"/>
    <x v="0"/>
    <x v="219"/>
    <x v="87"/>
    <n v="0"/>
    <n v="2"/>
    <n v="0"/>
    <n v="0.8"/>
    <n v="0.7"/>
    <n v="0"/>
    <n v="1.1000000000000001"/>
    <n v="0"/>
    <x v="283"/>
    <x v="267"/>
    <n v="919703"/>
    <x v="20"/>
    <x v="39"/>
    <n v="0"/>
    <n v="999"/>
    <n v="999"/>
  </r>
  <r>
    <x v="2"/>
    <x v="129"/>
    <x v="4"/>
    <x v="220"/>
    <x v="17"/>
    <n v="0"/>
    <n v="5.2"/>
    <n v="0"/>
    <n v="0"/>
    <n v="0"/>
    <n v="0"/>
    <n v="0"/>
    <n v="0"/>
    <x v="284"/>
    <x v="241"/>
    <n v="44586"/>
    <x v="0"/>
    <x v="0"/>
    <n v="0"/>
    <n v="12"/>
    <n v="17"/>
  </r>
  <r>
    <x v="1"/>
    <x v="130"/>
    <x v="1"/>
    <x v="221"/>
    <x v="10"/>
    <n v="0"/>
    <n v="9.1999999999999993"/>
    <n v="0"/>
    <n v="0"/>
    <n v="0"/>
    <n v="0"/>
    <n v="0"/>
    <n v="0"/>
    <x v="285"/>
    <x v="268"/>
    <n v="0"/>
    <x v="15"/>
    <x v="97"/>
    <n v="0"/>
    <n v="50"/>
    <n v="64"/>
  </r>
  <r>
    <x v="0"/>
    <x v="29"/>
    <x v="4"/>
    <x v="2"/>
    <x v="2"/>
    <n v="0"/>
    <n v="0"/>
    <n v="0"/>
    <n v="0"/>
    <n v="0"/>
    <n v="0"/>
    <n v="0"/>
    <n v="0"/>
    <x v="286"/>
    <x v="269"/>
    <n v="36756"/>
    <x v="2"/>
    <x v="1"/>
    <n v="0"/>
    <n v="12"/>
    <n v="17"/>
  </r>
  <r>
    <x v="1"/>
    <x v="20"/>
    <x v="4"/>
    <x v="54"/>
    <x v="2"/>
    <n v="0"/>
    <n v="0"/>
    <n v="0"/>
    <n v="0"/>
    <n v="0"/>
    <n v="0"/>
    <n v="0"/>
    <n v="0"/>
    <x v="221"/>
    <x v="212"/>
    <n v="0"/>
    <x v="1"/>
    <x v="1"/>
    <n v="0"/>
    <n v="12"/>
    <n v="17"/>
  </r>
  <r>
    <x v="0"/>
    <x v="85"/>
    <x v="0"/>
    <x v="222"/>
    <x v="166"/>
    <n v="2.2000000000000002"/>
    <n v="2.5"/>
    <n v="6.5"/>
    <n v="20"/>
    <n v="7.7"/>
    <n v="1.2"/>
    <n v="2.6"/>
    <n v="17"/>
    <x v="287"/>
    <x v="270"/>
    <n v="641998"/>
    <x v="115"/>
    <x v="98"/>
    <n v="14"/>
    <n v="999"/>
    <n v="999"/>
  </r>
  <r>
    <x v="2"/>
    <x v="7"/>
    <x v="4"/>
    <x v="223"/>
    <x v="167"/>
    <n v="0"/>
    <n v="6.6"/>
    <n v="0"/>
    <n v="0"/>
    <n v="0"/>
    <n v="0"/>
    <n v="0"/>
    <n v="0"/>
    <x v="288"/>
    <x v="271"/>
    <n v="0"/>
    <x v="116"/>
    <x v="99"/>
    <n v="0"/>
    <n v="12"/>
    <n v="17"/>
  </r>
  <r>
    <x v="1"/>
    <x v="22"/>
    <x v="8"/>
    <x v="132"/>
    <x v="2"/>
    <n v="0"/>
    <n v="0"/>
    <n v="0"/>
    <n v="0"/>
    <n v="0"/>
    <n v="0"/>
    <n v="0"/>
    <n v="0"/>
    <x v="28"/>
    <x v="28"/>
    <n v="0"/>
    <x v="13"/>
    <x v="1"/>
    <n v="0"/>
    <n v="0"/>
    <n v="4"/>
  </r>
  <r>
    <x v="1"/>
    <x v="102"/>
    <x v="2"/>
    <x v="2"/>
    <x v="2"/>
    <n v="0"/>
    <n v="0"/>
    <n v="0"/>
    <n v="0"/>
    <n v="0"/>
    <n v="0"/>
    <n v="0"/>
    <n v="0"/>
    <x v="202"/>
    <x v="195"/>
    <n v="0"/>
    <x v="2"/>
    <x v="1"/>
    <n v="0"/>
    <n v="5"/>
    <n v="11"/>
  </r>
  <r>
    <x v="2"/>
    <x v="15"/>
    <x v="6"/>
    <x v="224"/>
    <x v="168"/>
    <n v="222.4"/>
    <n v="0.6"/>
    <n v="0.8"/>
    <n v="0"/>
    <n v="0"/>
    <n v="0"/>
    <n v="0"/>
    <n v="0"/>
    <x v="112"/>
    <x v="111"/>
    <n v="46759"/>
    <x v="117"/>
    <x v="37"/>
    <n v="104"/>
    <n v="80"/>
    <n v="200"/>
  </r>
  <r>
    <x v="0"/>
    <x v="27"/>
    <x v="4"/>
    <x v="2"/>
    <x v="2"/>
    <n v="0"/>
    <n v="0"/>
    <n v="0"/>
    <n v="0"/>
    <n v="0"/>
    <n v="0"/>
    <n v="0"/>
    <n v="0"/>
    <x v="289"/>
    <x v="272"/>
    <n v="44716"/>
    <x v="2"/>
    <x v="1"/>
    <n v="0"/>
    <n v="12"/>
    <n v="17"/>
  </r>
  <r>
    <x v="2"/>
    <x v="71"/>
    <x v="3"/>
    <x v="225"/>
    <x v="169"/>
    <n v="0"/>
    <n v="4"/>
    <n v="0"/>
    <n v="0"/>
    <n v="0"/>
    <n v="0"/>
    <n v="0"/>
    <n v="0"/>
    <x v="290"/>
    <x v="273"/>
    <n v="0"/>
    <x v="44"/>
    <x v="23"/>
    <n v="0"/>
    <n v="18"/>
    <n v="29"/>
  </r>
  <r>
    <x v="2"/>
    <x v="70"/>
    <x v="1"/>
    <x v="226"/>
    <x v="170"/>
    <n v="63.2"/>
    <n v="2.5"/>
    <n v="1.6"/>
    <n v="0"/>
    <n v="0"/>
    <n v="0"/>
    <n v="0"/>
    <n v="0"/>
    <x v="93"/>
    <x v="93"/>
    <n v="246898"/>
    <x v="118"/>
    <x v="100"/>
    <n v="156"/>
    <n v="50"/>
    <n v="64"/>
  </r>
  <r>
    <x v="2"/>
    <x v="131"/>
    <x v="1"/>
    <x v="227"/>
    <x v="171"/>
    <n v="30.3"/>
    <n v="4"/>
    <n v="6.4"/>
    <n v="0"/>
    <n v="0"/>
    <n v="0"/>
    <n v="0"/>
    <n v="0"/>
    <x v="291"/>
    <x v="274"/>
    <n v="13200"/>
    <x v="119"/>
    <x v="101"/>
    <n v="4"/>
    <n v="50"/>
    <n v="64"/>
  </r>
  <r>
    <x v="2"/>
    <x v="3"/>
    <x v="0"/>
    <x v="228"/>
    <x v="172"/>
    <n v="25.3"/>
    <n v="2.4"/>
    <n v="10.8"/>
    <n v="310.10000000000002"/>
    <n v="94.4"/>
    <n v="25.9"/>
    <n v="3.3"/>
    <n v="12"/>
    <x v="292"/>
    <x v="275"/>
    <n v="221328"/>
    <x v="120"/>
    <x v="102"/>
    <n v="56"/>
    <n v="999"/>
    <n v="999"/>
  </r>
  <r>
    <x v="1"/>
    <x v="132"/>
    <x v="6"/>
    <x v="229"/>
    <x v="89"/>
    <n v="42.6"/>
    <n v="0.9"/>
    <n v="1.8"/>
    <n v="0"/>
    <n v="0"/>
    <n v="0"/>
    <n v="0"/>
    <n v="0"/>
    <x v="293"/>
    <x v="276"/>
    <n v="44628"/>
    <x v="29"/>
    <x v="7"/>
    <n v="19"/>
    <n v="80"/>
    <n v="200"/>
  </r>
  <r>
    <x v="2"/>
    <x v="87"/>
    <x v="7"/>
    <x v="230"/>
    <x v="173"/>
    <n v="16.7"/>
    <n v="2.1"/>
    <n v="7.4"/>
    <n v="0"/>
    <n v="0"/>
    <n v="0"/>
    <n v="0"/>
    <n v="0"/>
    <x v="294"/>
    <x v="277"/>
    <n v="41816"/>
    <x v="40"/>
    <x v="103"/>
    <n v="7"/>
    <n v="65"/>
    <n v="79"/>
  </r>
  <r>
    <x v="2"/>
    <x v="132"/>
    <x v="7"/>
    <x v="231"/>
    <x v="174"/>
    <n v="227.6"/>
    <n v="1.5"/>
    <n v="1"/>
    <n v="0"/>
    <n v="0"/>
    <n v="0"/>
    <n v="0"/>
    <n v="0"/>
    <x v="295"/>
    <x v="278"/>
    <n v="163445"/>
    <x v="97"/>
    <x v="104"/>
    <n v="372"/>
    <n v="65"/>
    <n v="79"/>
  </r>
  <r>
    <x v="2"/>
    <x v="34"/>
    <x v="4"/>
    <x v="232"/>
    <x v="175"/>
    <n v="541.5"/>
    <n v="3.5"/>
    <n v="3.3"/>
    <n v="0"/>
    <n v="0"/>
    <n v="0"/>
    <n v="0"/>
    <n v="0"/>
    <x v="296"/>
    <x v="279"/>
    <n v="554"/>
    <x v="121"/>
    <x v="105"/>
    <n v="3"/>
    <n v="12"/>
    <n v="17"/>
  </r>
  <r>
    <x v="1"/>
    <x v="62"/>
    <x v="8"/>
    <x v="20"/>
    <x v="2"/>
    <n v="0"/>
    <n v="0"/>
    <n v="0"/>
    <n v="0"/>
    <n v="0"/>
    <n v="0"/>
    <n v="0"/>
    <n v="0"/>
    <x v="28"/>
    <x v="28"/>
    <n v="0"/>
    <x v="20"/>
    <x v="1"/>
    <n v="0"/>
    <n v="0"/>
    <n v="4"/>
  </r>
  <r>
    <x v="0"/>
    <x v="105"/>
    <x v="0"/>
    <x v="147"/>
    <x v="82"/>
    <n v="0.2"/>
    <n v="3.5"/>
    <n v="3.5"/>
    <n v="0.8"/>
    <n v="0.4"/>
    <n v="0.1"/>
    <n v="2"/>
    <n v="6.3"/>
    <x v="297"/>
    <x v="280"/>
    <n v="1014163"/>
    <x v="20"/>
    <x v="11"/>
    <n v="2"/>
    <n v="999"/>
    <n v="999"/>
  </r>
  <r>
    <x v="1"/>
    <x v="35"/>
    <x v="4"/>
    <x v="2"/>
    <x v="2"/>
    <n v="2.2000000000000002"/>
    <n v="0"/>
    <n v="0"/>
    <n v="0"/>
    <n v="0"/>
    <n v="0"/>
    <n v="0"/>
    <n v="0"/>
    <x v="298"/>
    <x v="281"/>
    <n v="44661"/>
    <x v="2"/>
    <x v="1"/>
    <n v="1"/>
    <n v="12"/>
    <n v="17"/>
  </r>
  <r>
    <x v="0"/>
    <x v="52"/>
    <x v="4"/>
    <x v="2"/>
    <x v="2"/>
    <n v="0"/>
    <n v="0"/>
    <n v="0"/>
    <n v="0"/>
    <n v="0"/>
    <n v="0"/>
    <n v="0"/>
    <n v="0"/>
    <x v="299"/>
    <x v="282"/>
    <n v="42657"/>
    <x v="2"/>
    <x v="1"/>
    <n v="0"/>
    <n v="12"/>
    <n v="17"/>
  </r>
  <r>
    <x v="1"/>
    <x v="52"/>
    <x v="4"/>
    <x v="60"/>
    <x v="73"/>
    <n v="0"/>
    <n v="2.5"/>
    <n v="0"/>
    <n v="0"/>
    <n v="0"/>
    <n v="0"/>
    <n v="0"/>
    <n v="0"/>
    <x v="299"/>
    <x v="282"/>
    <n v="42657"/>
    <x v="1"/>
    <x v="0"/>
    <n v="0"/>
    <n v="12"/>
    <n v="17"/>
  </r>
  <r>
    <x v="1"/>
    <x v="132"/>
    <x v="5"/>
    <x v="169"/>
    <x v="176"/>
    <n v="3.9"/>
    <n v="2.2000000000000002"/>
    <n v="2.8"/>
    <n v="0"/>
    <n v="0"/>
    <n v="0"/>
    <n v="0"/>
    <n v="0"/>
    <x v="300"/>
    <x v="283"/>
    <n v="332845"/>
    <x v="35"/>
    <x v="52"/>
    <n v="13"/>
    <n v="30"/>
    <n v="49"/>
  </r>
  <r>
    <x v="2"/>
    <x v="3"/>
    <x v="7"/>
    <x v="233"/>
    <x v="177"/>
    <n v="8.6"/>
    <n v="2.1"/>
    <n v="20.399999999999999"/>
    <n v="0"/>
    <n v="0"/>
    <n v="0"/>
    <n v="0"/>
    <n v="0"/>
    <x v="301"/>
    <x v="284"/>
    <n v="69658"/>
    <x v="122"/>
    <x v="92"/>
    <n v="6"/>
    <n v="65"/>
    <n v="79"/>
  </r>
  <r>
    <x v="1"/>
    <x v="78"/>
    <x v="4"/>
    <x v="234"/>
    <x v="2"/>
    <n v="0"/>
    <n v="0"/>
    <n v="0"/>
    <n v="0"/>
    <n v="0"/>
    <n v="0"/>
    <n v="0"/>
    <n v="0"/>
    <x v="97"/>
    <x v="28"/>
    <n v="0"/>
    <x v="20"/>
    <x v="1"/>
    <n v="0"/>
    <n v="12"/>
    <n v="17"/>
  </r>
  <r>
    <x v="0"/>
    <x v="34"/>
    <x v="2"/>
    <x v="2"/>
    <x v="2"/>
    <n v="0"/>
    <n v="0"/>
    <n v="0"/>
    <n v="0"/>
    <n v="0"/>
    <n v="0"/>
    <n v="0"/>
    <n v="0"/>
    <x v="302"/>
    <x v="285"/>
    <n v="0"/>
    <x v="2"/>
    <x v="1"/>
    <n v="0"/>
    <n v="5"/>
    <n v="11"/>
  </r>
  <r>
    <x v="1"/>
    <x v="47"/>
    <x v="4"/>
    <x v="2"/>
    <x v="2"/>
    <n v="0"/>
    <n v="0"/>
    <n v="0"/>
    <n v="0"/>
    <n v="0"/>
    <n v="0"/>
    <n v="0"/>
    <n v="0"/>
    <x v="194"/>
    <x v="188"/>
    <n v="44535"/>
    <x v="2"/>
    <x v="1"/>
    <n v="0"/>
    <n v="12"/>
    <n v="17"/>
  </r>
  <r>
    <x v="0"/>
    <x v="61"/>
    <x v="4"/>
    <x v="2"/>
    <x v="2"/>
    <n v="0"/>
    <n v="0"/>
    <n v="0"/>
    <n v="0"/>
    <n v="0"/>
    <n v="0"/>
    <n v="0"/>
    <n v="0"/>
    <x v="216"/>
    <x v="208"/>
    <n v="44597"/>
    <x v="2"/>
    <x v="1"/>
    <n v="0"/>
    <n v="12"/>
    <n v="17"/>
  </r>
  <r>
    <x v="1"/>
    <x v="19"/>
    <x v="1"/>
    <x v="235"/>
    <x v="132"/>
    <n v="13"/>
    <n v="3.5"/>
    <n v="2.8"/>
    <n v="0"/>
    <n v="0"/>
    <n v="0"/>
    <n v="0"/>
    <n v="0"/>
    <x v="303"/>
    <x v="286"/>
    <n v="246772"/>
    <x v="16"/>
    <x v="38"/>
    <n v="32"/>
    <n v="50"/>
    <n v="64"/>
  </r>
  <r>
    <x v="2"/>
    <x v="113"/>
    <x v="5"/>
    <x v="236"/>
    <x v="178"/>
    <n v="23.6"/>
    <n v="2.2000000000000002"/>
    <n v="1.7"/>
    <n v="0"/>
    <n v="0"/>
    <n v="0"/>
    <n v="0"/>
    <n v="0"/>
    <x v="304"/>
    <x v="287"/>
    <n v="347458"/>
    <x v="44"/>
    <x v="100"/>
    <n v="82"/>
    <n v="30"/>
    <n v="49"/>
  </r>
  <r>
    <x v="1"/>
    <x v="85"/>
    <x v="1"/>
    <x v="237"/>
    <x v="179"/>
    <n v="32.299999999999997"/>
    <n v="4.5999999999999996"/>
    <n v="11"/>
    <n v="0"/>
    <n v="0"/>
    <n v="0"/>
    <n v="0"/>
    <n v="0"/>
    <x v="122"/>
    <x v="121"/>
    <n v="160841"/>
    <x v="123"/>
    <x v="106"/>
    <n v="52"/>
    <n v="50"/>
    <n v="64"/>
  </r>
  <r>
    <x v="2"/>
    <x v="115"/>
    <x v="3"/>
    <x v="238"/>
    <x v="180"/>
    <n v="286.10000000000002"/>
    <n v="2.2000000000000002"/>
    <n v="0.8"/>
    <n v="0"/>
    <n v="0"/>
    <n v="0"/>
    <n v="0"/>
    <n v="0"/>
    <x v="305"/>
    <x v="288"/>
    <n v="149251"/>
    <x v="124"/>
    <x v="93"/>
    <n v="427"/>
    <n v="18"/>
    <n v="29"/>
  </r>
  <r>
    <x v="2"/>
    <x v="28"/>
    <x v="1"/>
    <x v="239"/>
    <x v="181"/>
    <n v="95.6"/>
    <n v="2.9"/>
    <n v="2"/>
    <n v="0"/>
    <n v="0"/>
    <n v="0"/>
    <n v="0"/>
    <n v="0"/>
    <x v="306"/>
    <x v="289"/>
    <n v="246874"/>
    <x v="125"/>
    <x v="107"/>
    <n v="236"/>
    <n v="50"/>
    <n v="64"/>
  </r>
  <r>
    <x v="2"/>
    <x v="69"/>
    <x v="3"/>
    <x v="240"/>
    <x v="182"/>
    <n v="78.8"/>
    <n v="4.2"/>
    <n v="2.4"/>
    <n v="0"/>
    <n v="0"/>
    <n v="0"/>
    <n v="0"/>
    <n v="0"/>
    <x v="232"/>
    <x v="222"/>
    <n v="133301"/>
    <x v="126"/>
    <x v="69"/>
    <n v="105"/>
    <n v="18"/>
    <n v="29"/>
  </r>
  <r>
    <x v="0"/>
    <x v="45"/>
    <x v="5"/>
    <x v="28"/>
    <x v="2"/>
    <n v="0"/>
    <n v="0"/>
    <n v="0"/>
    <n v="0"/>
    <n v="0"/>
    <n v="0"/>
    <n v="0"/>
    <n v="0"/>
    <x v="307"/>
    <x v="290"/>
    <n v="0"/>
    <x v="64"/>
    <x v="1"/>
    <n v="0"/>
    <n v="30"/>
    <n v="49"/>
  </r>
  <r>
    <x v="0"/>
    <x v="51"/>
    <x v="0"/>
    <x v="241"/>
    <x v="38"/>
    <n v="0.4"/>
    <n v="0.7"/>
    <n v="1.2"/>
    <n v="0.7"/>
    <n v="1.6"/>
    <n v="0.3"/>
    <n v="0.4"/>
    <n v="2.5"/>
    <x v="308"/>
    <x v="291"/>
    <n v="1004817"/>
    <x v="45"/>
    <x v="48"/>
    <n v="4"/>
    <n v="999"/>
    <n v="999"/>
  </r>
  <r>
    <x v="2"/>
    <x v="100"/>
    <x v="8"/>
    <x v="242"/>
    <x v="2"/>
    <n v="0"/>
    <n v="0"/>
    <n v="0"/>
    <n v="0"/>
    <n v="0"/>
    <n v="0"/>
    <n v="0"/>
    <n v="0"/>
    <x v="28"/>
    <x v="28"/>
    <n v="0"/>
    <x v="127"/>
    <x v="1"/>
    <n v="0"/>
    <n v="0"/>
    <n v="4"/>
  </r>
  <r>
    <x v="2"/>
    <x v="10"/>
    <x v="6"/>
    <x v="243"/>
    <x v="183"/>
    <n v="299.3"/>
    <n v="0.5"/>
    <n v="0.6"/>
    <n v="0"/>
    <n v="0"/>
    <n v="0"/>
    <n v="0"/>
    <n v="0"/>
    <x v="309"/>
    <x v="124"/>
    <n v="47117"/>
    <x v="128"/>
    <x v="87"/>
    <n v="141"/>
    <n v="80"/>
    <n v="200"/>
  </r>
  <r>
    <x v="2"/>
    <x v="3"/>
    <x v="8"/>
    <x v="244"/>
    <x v="2"/>
    <n v="0"/>
    <n v="0"/>
    <n v="0"/>
    <n v="0"/>
    <n v="0"/>
    <n v="0"/>
    <n v="0"/>
    <n v="0"/>
    <x v="28"/>
    <x v="28"/>
    <n v="0"/>
    <x v="129"/>
    <x v="1"/>
    <n v="0"/>
    <n v="0"/>
    <n v="4"/>
  </r>
  <r>
    <x v="2"/>
    <x v="16"/>
    <x v="1"/>
    <x v="245"/>
    <x v="184"/>
    <n v="1009.6"/>
    <n v="2.2000000000000002"/>
    <n v="3.6"/>
    <n v="0"/>
    <n v="0"/>
    <n v="0"/>
    <n v="0"/>
    <n v="0"/>
    <x v="310"/>
    <x v="292"/>
    <n v="147279"/>
    <x v="130"/>
    <x v="108"/>
    <n v="1487"/>
    <n v="50"/>
    <n v="64"/>
  </r>
  <r>
    <x v="0"/>
    <x v="80"/>
    <x v="2"/>
    <x v="2"/>
    <x v="2"/>
    <n v="0"/>
    <n v="0"/>
    <n v="0"/>
    <n v="0"/>
    <n v="0"/>
    <n v="0"/>
    <n v="0"/>
    <n v="0"/>
    <x v="311"/>
    <x v="293"/>
    <n v="0"/>
    <x v="2"/>
    <x v="1"/>
    <n v="0"/>
    <n v="5"/>
    <n v="11"/>
  </r>
  <r>
    <x v="2"/>
    <x v="75"/>
    <x v="3"/>
    <x v="246"/>
    <x v="185"/>
    <n v="228.2"/>
    <n v="2.5"/>
    <n v="1.6"/>
    <n v="0"/>
    <n v="0"/>
    <n v="0"/>
    <n v="0"/>
    <n v="0"/>
    <x v="312"/>
    <x v="294"/>
    <n v="158188"/>
    <x v="131"/>
    <x v="68"/>
    <n v="361"/>
    <n v="18"/>
    <n v="29"/>
  </r>
  <r>
    <x v="0"/>
    <x v="7"/>
    <x v="4"/>
    <x v="2"/>
    <x v="2"/>
    <n v="0"/>
    <n v="0"/>
    <n v="0"/>
    <n v="0"/>
    <n v="0"/>
    <n v="0"/>
    <n v="0"/>
    <n v="0"/>
    <x v="288"/>
    <x v="271"/>
    <n v="0"/>
    <x v="2"/>
    <x v="1"/>
    <n v="0"/>
    <n v="12"/>
    <n v="17"/>
  </r>
  <r>
    <x v="0"/>
    <x v="85"/>
    <x v="6"/>
    <x v="247"/>
    <x v="186"/>
    <n v="24.3"/>
    <n v="1.3"/>
    <n v="5.6"/>
    <n v="0"/>
    <n v="0"/>
    <n v="0"/>
    <n v="0"/>
    <n v="0"/>
    <x v="313"/>
    <x v="295"/>
    <n v="37045"/>
    <x v="42"/>
    <x v="59"/>
    <n v="9"/>
    <n v="80"/>
    <n v="200"/>
  </r>
  <r>
    <x v="2"/>
    <x v="40"/>
    <x v="1"/>
    <x v="248"/>
    <x v="187"/>
    <n v="0"/>
    <n v="3.7"/>
    <n v="0"/>
    <n v="0"/>
    <n v="0"/>
    <n v="0"/>
    <n v="0"/>
    <n v="0"/>
    <x v="314"/>
    <x v="296"/>
    <n v="0"/>
    <x v="110"/>
    <x v="74"/>
    <n v="0"/>
    <n v="50"/>
    <n v="64"/>
  </r>
  <r>
    <x v="0"/>
    <x v="95"/>
    <x v="5"/>
    <x v="2"/>
    <x v="2"/>
    <n v="0"/>
    <n v="0"/>
    <n v="0"/>
    <n v="0"/>
    <n v="0"/>
    <n v="0"/>
    <n v="0"/>
    <n v="0"/>
    <x v="315"/>
    <x v="297"/>
    <n v="341011"/>
    <x v="2"/>
    <x v="1"/>
    <n v="0"/>
    <n v="30"/>
    <n v="49"/>
  </r>
  <r>
    <x v="0"/>
    <x v="73"/>
    <x v="3"/>
    <x v="2"/>
    <x v="2"/>
    <n v="0"/>
    <n v="0"/>
    <n v="0"/>
    <n v="0"/>
    <n v="0"/>
    <n v="0"/>
    <n v="0"/>
    <n v="0"/>
    <x v="164"/>
    <x v="161"/>
    <n v="155854"/>
    <x v="2"/>
    <x v="1"/>
    <n v="0"/>
    <n v="18"/>
    <n v="29"/>
  </r>
  <r>
    <x v="1"/>
    <x v="51"/>
    <x v="5"/>
    <x v="249"/>
    <x v="169"/>
    <n v="5"/>
    <n v="3.9"/>
    <n v="3.6"/>
    <n v="0"/>
    <n v="0"/>
    <n v="0"/>
    <n v="0"/>
    <n v="0"/>
    <x v="316"/>
    <x v="298"/>
    <n v="341686"/>
    <x v="87"/>
    <x v="38"/>
    <n v="17"/>
    <n v="30"/>
    <n v="49"/>
  </r>
  <r>
    <x v="0"/>
    <x v="63"/>
    <x v="3"/>
    <x v="2"/>
    <x v="2"/>
    <n v="0"/>
    <n v="0"/>
    <n v="0"/>
    <n v="0"/>
    <n v="0"/>
    <n v="0"/>
    <n v="0"/>
    <n v="0"/>
    <x v="317"/>
    <x v="299"/>
    <n v="161534"/>
    <x v="2"/>
    <x v="1"/>
    <n v="0"/>
    <n v="18"/>
    <n v="29"/>
  </r>
  <r>
    <x v="2"/>
    <x v="50"/>
    <x v="3"/>
    <x v="250"/>
    <x v="188"/>
    <n v="237.8"/>
    <n v="2.2999999999999998"/>
    <n v="1.2"/>
    <n v="0"/>
    <n v="0"/>
    <n v="0"/>
    <n v="0"/>
    <n v="0"/>
    <x v="318"/>
    <x v="300"/>
    <n v="154755"/>
    <x v="132"/>
    <x v="109"/>
    <n v="368"/>
    <n v="18"/>
    <n v="29"/>
  </r>
  <r>
    <x v="0"/>
    <x v="84"/>
    <x v="0"/>
    <x v="113"/>
    <x v="82"/>
    <n v="0.3"/>
    <n v="1"/>
    <n v="0.7"/>
    <n v="0.1"/>
    <n v="0.4"/>
    <n v="0.2"/>
    <n v="0.3"/>
    <n v="0.8"/>
    <x v="319"/>
    <x v="301"/>
    <n v="1040855"/>
    <x v="1"/>
    <x v="11"/>
    <n v="3"/>
    <n v="999"/>
    <n v="999"/>
  </r>
  <r>
    <x v="0"/>
    <x v="93"/>
    <x v="4"/>
    <x v="2"/>
    <x v="2"/>
    <n v="0"/>
    <n v="0"/>
    <n v="0"/>
    <n v="0"/>
    <n v="0"/>
    <n v="0"/>
    <n v="0"/>
    <n v="0"/>
    <x v="320"/>
    <x v="302"/>
    <n v="0"/>
    <x v="2"/>
    <x v="1"/>
    <n v="0"/>
    <n v="12"/>
    <n v="17"/>
  </r>
  <r>
    <x v="0"/>
    <x v="5"/>
    <x v="4"/>
    <x v="2"/>
    <x v="2"/>
    <n v="0"/>
    <n v="0"/>
    <n v="0"/>
    <n v="0"/>
    <n v="0"/>
    <n v="0"/>
    <n v="0"/>
    <n v="0"/>
    <x v="5"/>
    <x v="5"/>
    <n v="0"/>
    <x v="2"/>
    <x v="1"/>
    <n v="0"/>
    <n v="12"/>
    <n v="17"/>
  </r>
  <r>
    <x v="1"/>
    <x v="10"/>
    <x v="3"/>
    <x v="251"/>
    <x v="100"/>
    <n v="0.6"/>
    <n v="1.5"/>
    <n v="10.5"/>
    <n v="0"/>
    <n v="0"/>
    <n v="0"/>
    <n v="0"/>
    <n v="0"/>
    <x v="321"/>
    <x v="303"/>
    <n v="161619"/>
    <x v="13"/>
    <x v="13"/>
    <n v="1"/>
    <n v="18"/>
    <n v="29"/>
  </r>
  <r>
    <x v="1"/>
    <x v="95"/>
    <x v="1"/>
    <x v="252"/>
    <x v="189"/>
    <n v="10.8"/>
    <n v="2.9"/>
    <n v="2.9"/>
    <n v="0"/>
    <n v="0"/>
    <n v="0"/>
    <n v="0"/>
    <n v="0"/>
    <x v="322"/>
    <x v="304"/>
    <n v="241470"/>
    <x v="16"/>
    <x v="52"/>
    <n v="26"/>
    <n v="50"/>
    <n v="64"/>
  </r>
  <r>
    <x v="2"/>
    <x v="70"/>
    <x v="0"/>
    <x v="253"/>
    <x v="190"/>
    <n v="53.4"/>
    <n v="1.9"/>
    <n v="1.2"/>
    <n v="70.8"/>
    <n v="35.5"/>
    <n v="48.8"/>
    <n v="2"/>
    <n v="1.5"/>
    <x v="179"/>
    <x v="176"/>
    <n v="1040581"/>
    <x v="133"/>
    <x v="110"/>
    <n v="556"/>
    <n v="999"/>
    <n v="999"/>
  </r>
  <r>
    <x v="0"/>
    <x v="110"/>
    <x v="7"/>
    <x v="234"/>
    <x v="34"/>
    <n v="0.6"/>
    <n v="1"/>
    <n v="3.8"/>
    <n v="0"/>
    <n v="0"/>
    <n v="0"/>
    <n v="0"/>
    <n v="0"/>
    <x v="323"/>
    <x v="67"/>
    <n v="171395"/>
    <x v="1"/>
    <x v="0"/>
    <n v="1"/>
    <n v="65"/>
    <n v="79"/>
  </r>
  <r>
    <x v="2"/>
    <x v="9"/>
    <x v="6"/>
    <x v="254"/>
    <x v="191"/>
    <n v="0"/>
    <n v="1"/>
    <n v="0"/>
    <n v="0"/>
    <n v="0"/>
    <n v="0"/>
    <n v="0"/>
    <n v="0"/>
    <x v="9"/>
    <x v="9"/>
    <n v="0"/>
    <x v="134"/>
    <x v="43"/>
    <n v="0"/>
    <n v="80"/>
    <n v="200"/>
  </r>
  <r>
    <x v="0"/>
    <x v="111"/>
    <x v="8"/>
    <x v="2"/>
    <x v="2"/>
    <n v="0"/>
    <n v="0"/>
    <n v="0"/>
    <n v="0"/>
    <n v="0"/>
    <n v="0"/>
    <n v="0"/>
    <n v="0"/>
    <x v="28"/>
    <x v="28"/>
    <n v="0"/>
    <x v="2"/>
    <x v="1"/>
    <n v="0"/>
    <n v="0"/>
    <n v="4"/>
  </r>
  <r>
    <x v="1"/>
    <x v="81"/>
    <x v="7"/>
    <x v="255"/>
    <x v="121"/>
    <n v="0"/>
    <n v="7.8"/>
    <n v="0"/>
    <n v="0"/>
    <n v="0"/>
    <n v="0"/>
    <n v="0"/>
    <n v="0"/>
    <x v="324"/>
    <x v="305"/>
    <n v="0"/>
    <x v="37"/>
    <x v="5"/>
    <n v="0"/>
    <n v="65"/>
    <n v="79"/>
  </r>
  <r>
    <x v="1"/>
    <x v="84"/>
    <x v="4"/>
    <x v="2"/>
    <x v="2"/>
    <n v="4.5"/>
    <n v="0"/>
    <n v="0"/>
    <n v="0"/>
    <n v="0"/>
    <n v="0"/>
    <n v="0"/>
    <n v="0"/>
    <x v="325"/>
    <x v="306"/>
    <n v="44598"/>
    <x v="2"/>
    <x v="1"/>
    <n v="2"/>
    <n v="12"/>
    <n v="17"/>
  </r>
  <r>
    <x v="1"/>
    <x v="31"/>
    <x v="0"/>
    <x v="134"/>
    <x v="78"/>
    <n v="10.9"/>
    <n v="1.7"/>
    <n v="1.1000000000000001"/>
    <n v="15.5"/>
    <n v="10.1"/>
    <n v="8.4"/>
    <n v="1.5"/>
    <n v="1.8"/>
    <x v="207"/>
    <x v="199"/>
    <n v="997177"/>
    <x v="135"/>
    <x v="111"/>
    <n v="109"/>
    <n v="999"/>
    <n v="999"/>
  </r>
  <r>
    <x v="0"/>
    <x v="28"/>
    <x v="6"/>
    <x v="82"/>
    <x v="62"/>
    <n v="4.2"/>
    <n v="0.5"/>
    <n v="1"/>
    <n v="0"/>
    <n v="0"/>
    <n v="0"/>
    <n v="0"/>
    <n v="0"/>
    <x v="326"/>
    <x v="49"/>
    <n v="47125"/>
    <x v="1"/>
    <x v="0"/>
    <n v="2"/>
    <n v="80"/>
    <n v="200"/>
  </r>
  <r>
    <x v="1"/>
    <x v="128"/>
    <x v="1"/>
    <x v="256"/>
    <x v="1"/>
    <n v="4.0999999999999996"/>
    <n v="26.2"/>
    <n v="5.0999999999999996"/>
    <n v="0"/>
    <n v="0"/>
    <n v="0"/>
    <n v="0"/>
    <n v="0"/>
    <x v="327"/>
    <x v="196"/>
    <n v="246902"/>
    <x v="64"/>
    <x v="0"/>
    <n v="10"/>
    <n v="50"/>
    <n v="64"/>
  </r>
  <r>
    <x v="2"/>
    <x v="7"/>
    <x v="1"/>
    <x v="257"/>
    <x v="192"/>
    <n v="34.200000000000003"/>
    <n v="3.7"/>
    <n v="19.600000000000001"/>
    <n v="0"/>
    <n v="0"/>
    <n v="0"/>
    <n v="0"/>
    <n v="0"/>
    <x v="68"/>
    <x v="68"/>
    <n v="79047"/>
    <x v="136"/>
    <x v="112"/>
    <n v="27"/>
    <n v="50"/>
    <n v="64"/>
  </r>
  <r>
    <x v="1"/>
    <x v="31"/>
    <x v="7"/>
    <x v="258"/>
    <x v="193"/>
    <n v="25.6"/>
    <n v="1.8"/>
    <n v="1.3"/>
    <n v="0"/>
    <n v="0"/>
    <n v="0"/>
    <n v="0"/>
    <n v="0"/>
    <x v="328"/>
    <x v="307"/>
    <n v="167927"/>
    <x v="91"/>
    <x v="13"/>
    <n v="43"/>
    <n v="65"/>
    <n v="79"/>
  </r>
  <r>
    <x v="1"/>
    <x v="12"/>
    <x v="3"/>
    <x v="31"/>
    <x v="19"/>
    <n v="0"/>
    <n v="18.5"/>
    <n v="0"/>
    <n v="0"/>
    <n v="0"/>
    <n v="0"/>
    <n v="0"/>
    <n v="0"/>
    <x v="329"/>
    <x v="308"/>
    <n v="0"/>
    <x v="91"/>
    <x v="0"/>
    <n v="0"/>
    <n v="18"/>
    <n v="29"/>
  </r>
  <r>
    <x v="2"/>
    <x v="132"/>
    <x v="6"/>
    <x v="259"/>
    <x v="194"/>
    <n v="246.5"/>
    <n v="0.9"/>
    <n v="0.5"/>
    <n v="0"/>
    <n v="0"/>
    <n v="0"/>
    <n v="0"/>
    <n v="0"/>
    <x v="293"/>
    <x v="276"/>
    <n v="44628"/>
    <x v="137"/>
    <x v="31"/>
    <n v="110"/>
    <n v="80"/>
    <n v="200"/>
  </r>
  <r>
    <x v="0"/>
    <x v="86"/>
    <x v="6"/>
    <x v="134"/>
    <x v="62"/>
    <n v="6.4"/>
    <n v="1.4"/>
    <n v="1.9"/>
    <n v="0"/>
    <n v="0"/>
    <n v="0"/>
    <n v="0"/>
    <n v="0"/>
    <x v="330"/>
    <x v="309"/>
    <n v="47117"/>
    <x v="45"/>
    <x v="0"/>
    <n v="3"/>
    <n v="80"/>
    <n v="200"/>
  </r>
  <r>
    <x v="1"/>
    <x v="0"/>
    <x v="3"/>
    <x v="92"/>
    <x v="131"/>
    <n v="0.6"/>
    <n v="2.4"/>
    <n v="7.5"/>
    <n v="0"/>
    <n v="0"/>
    <n v="0"/>
    <n v="0"/>
    <n v="0"/>
    <x v="331"/>
    <x v="310"/>
    <n v="161454"/>
    <x v="20"/>
    <x v="16"/>
    <n v="1"/>
    <n v="18"/>
    <n v="29"/>
  </r>
  <r>
    <x v="1"/>
    <x v="129"/>
    <x v="6"/>
    <x v="115"/>
    <x v="2"/>
    <n v="4.2"/>
    <n v="0"/>
    <n v="2"/>
    <n v="0"/>
    <n v="0"/>
    <n v="0"/>
    <n v="0"/>
    <n v="0"/>
    <x v="332"/>
    <x v="101"/>
    <n v="47130"/>
    <x v="0"/>
    <x v="1"/>
    <n v="2"/>
    <n v="80"/>
    <n v="200"/>
  </r>
  <r>
    <x v="2"/>
    <x v="130"/>
    <x v="1"/>
    <x v="260"/>
    <x v="195"/>
    <n v="0"/>
    <n v="4.0999999999999996"/>
    <n v="0"/>
    <n v="0"/>
    <n v="0"/>
    <n v="0"/>
    <n v="0"/>
    <n v="0"/>
    <x v="285"/>
    <x v="268"/>
    <n v="0"/>
    <x v="138"/>
    <x v="113"/>
    <n v="0"/>
    <n v="50"/>
    <n v="64"/>
  </r>
  <r>
    <x v="1"/>
    <x v="2"/>
    <x v="7"/>
    <x v="261"/>
    <x v="196"/>
    <n v="15.8"/>
    <n v="1.3"/>
    <n v="1.9"/>
    <n v="0"/>
    <n v="0"/>
    <n v="0"/>
    <n v="0"/>
    <n v="0"/>
    <x v="333"/>
    <x v="311"/>
    <n v="171141"/>
    <x v="35"/>
    <x v="17"/>
    <n v="27"/>
    <n v="65"/>
    <n v="79"/>
  </r>
  <r>
    <x v="2"/>
    <x v="116"/>
    <x v="8"/>
    <x v="262"/>
    <x v="36"/>
    <n v="0"/>
    <n v="22.6"/>
    <n v="0"/>
    <n v="0"/>
    <n v="0"/>
    <n v="0"/>
    <n v="0"/>
    <n v="0"/>
    <x v="28"/>
    <x v="28"/>
    <n v="0"/>
    <x v="139"/>
    <x v="16"/>
    <n v="0"/>
    <n v="0"/>
    <n v="4"/>
  </r>
  <r>
    <x v="2"/>
    <x v="76"/>
    <x v="0"/>
    <x v="263"/>
    <x v="197"/>
    <n v="17.100000000000001"/>
    <n v="2.4"/>
    <n v="1.2"/>
    <n v="21.5"/>
    <n v="8.6999999999999993"/>
    <n v="14.6"/>
    <n v="2.5"/>
    <n v="1.5"/>
    <x v="334"/>
    <x v="312"/>
    <n v="1040674"/>
    <x v="140"/>
    <x v="114"/>
    <n v="178"/>
    <n v="999"/>
    <n v="999"/>
  </r>
  <r>
    <x v="0"/>
    <x v="44"/>
    <x v="7"/>
    <x v="40"/>
    <x v="20"/>
    <n v="0.6"/>
    <n v="0.8"/>
    <n v="10.199999999999999"/>
    <n v="0"/>
    <n v="0"/>
    <n v="0"/>
    <n v="0"/>
    <n v="0"/>
    <x v="335"/>
    <x v="313"/>
    <n v="154842"/>
    <x v="45"/>
    <x v="16"/>
    <n v="1"/>
    <n v="65"/>
    <n v="79"/>
  </r>
  <r>
    <x v="2"/>
    <x v="92"/>
    <x v="0"/>
    <x v="264"/>
    <x v="198"/>
    <n v="48.3"/>
    <n v="2"/>
    <n v="1.1000000000000001"/>
    <n v="58.3"/>
    <n v="27.5"/>
    <n v="37.6"/>
    <n v="2.1"/>
    <n v="1.5"/>
    <x v="336"/>
    <x v="314"/>
    <n v="1040563"/>
    <x v="127"/>
    <x v="115"/>
    <n v="503"/>
    <n v="999"/>
    <n v="999"/>
  </r>
  <r>
    <x v="1"/>
    <x v="10"/>
    <x v="5"/>
    <x v="265"/>
    <x v="169"/>
    <n v="3.2"/>
    <n v="3.8"/>
    <n v="5.5"/>
    <n v="0"/>
    <n v="0"/>
    <n v="0"/>
    <n v="0"/>
    <n v="0"/>
    <x v="337"/>
    <x v="315"/>
    <n v="347197"/>
    <x v="29"/>
    <x v="38"/>
    <n v="11"/>
    <n v="30"/>
    <n v="49"/>
  </r>
  <r>
    <x v="0"/>
    <x v="33"/>
    <x v="5"/>
    <x v="212"/>
    <x v="2"/>
    <n v="0"/>
    <n v="0"/>
    <n v="0"/>
    <n v="0"/>
    <n v="0"/>
    <n v="0"/>
    <n v="0"/>
    <n v="0"/>
    <x v="217"/>
    <x v="197"/>
    <n v="347311"/>
    <x v="1"/>
    <x v="1"/>
    <n v="0"/>
    <n v="30"/>
    <n v="49"/>
  </r>
  <r>
    <x v="2"/>
    <x v="29"/>
    <x v="4"/>
    <x v="266"/>
    <x v="199"/>
    <n v="133.30000000000001"/>
    <n v="1.3"/>
    <n v="0.7"/>
    <n v="0"/>
    <n v="0"/>
    <n v="0"/>
    <n v="0"/>
    <n v="0"/>
    <x v="286"/>
    <x v="269"/>
    <n v="36756"/>
    <x v="75"/>
    <x v="116"/>
    <n v="49"/>
    <n v="12"/>
    <n v="17"/>
  </r>
  <r>
    <x v="1"/>
    <x v="127"/>
    <x v="6"/>
    <x v="267"/>
    <x v="200"/>
    <n v="94.4"/>
    <n v="1.1000000000000001"/>
    <n v="4.9000000000000004"/>
    <n v="0"/>
    <n v="0"/>
    <n v="0"/>
    <n v="0"/>
    <n v="0"/>
    <x v="338"/>
    <x v="316"/>
    <n v="38129"/>
    <x v="141"/>
    <x v="117"/>
    <n v="36"/>
    <n v="80"/>
    <n v="200"/>
  </r>
  <r>
    <x v="0"/>
    <x v="103"/>
    <x v="3"/>
    <x v="2"/>
    <x v="2"/>
    <n v="0"/>
    <n v="0"/>
    <n v="0"/>
    <n v="0"/>
    <n v="0"/>
    <n v="0"/>
    <n v="0"/>
    <n v="0"/>
    <x v="339"/>
    <x v="317"/>
    <n v="0"/>
    <x v="2"/>
    <x v="1"/>
    <n v="0"/>
    <n v="18"/>
    <n v="29"/>
  </r>
  <r>
    <x v="1"/>
    <x v="30"/>
    <x v="6"/>
    <x v="268"/>
    <x v="201"/>
    <n v="51"/>
    <n v="1.4"/>
    <n v="1.6"/>
    <n v="0"/>
    <n v="0"/>
    <n v="0"/>
    <n v="0"/>
    <n v="0"/>
    <x v="340"/>
    <x v="309"/>
    <n v="47090"/>
    <x v="46"/>
    <x v="26"/>
    <n v="24"/>
    <n v="80"/>
    <n v="200"/>
  </r>
  <r>
    <x v="2"/>
    <x v="10"/>
    <x v="7"/>
    <x v="269"/>
    <x v="202"/>
    <n v="175.9"/>
    <n v="1"/>
    <n v="1.1000000000000001"/>
    <n v="0"/>
    <n v="0"/>
    <n v="0"/>
    <n v="0"/>
    <n v="0"/>
    <x v="341"/>
    <x v="318"/>
    <n v="171676"/>
    <x v="142"/>
    <x v="118"/>
    <n v="302"/>
    <n v="65"/>
    <n v="79"/>
  </r>
  <r>
    <x v="0"/>
    <x v="0"/>
    <x v="3"/>
    <x v="54"/>
    <x v="2"/>
    <n v="0"/>
    <n v="0"/>
    <n v="0"/>
    <n v="0"/>
    <n v="0"/>
    <n v="0"/>
    <n v="0"/>
    <n v="0"/>
    <x v="331"/>
    <x v="310"/>
    <n v="161454"/>
    <x v="1"/>
    <x v="1"/>
    <n v="0"/>
    <n v="18"/>
    <n v="29"/>
  </r>
  <r>
    <x v="2"/>
    <x v="26"/>
    <x v="5"/>
    <x v="270"/>
    <x v="203"/>
    <n v="80.099999999999994"/>
    <n v="2.1"/>
    <n v="1.8"/>
    <n v="0"/>
    <n v="0"/>
    <n v="0"/>
    <n v="0"/>
    <n v="0"/>
    <x v="342"/>
    <x v="319"/>
    <n v="347213"/>
    <x v="143"/>
    <x v="119"/>
    <n v="278"/>
    <n v="30"/>
    <n v="49"/>
  </r>
  <r>
    <x v="1"/>
    <x v="59"/>
    <x v="3"/>
    <x v="271"/>
    <x v="87"/>
    <n v="0"/>
    <n v="41.3"/>
    <n v="0"/>
    <n v="0"/>
    <n v="0"/>
    <n v="0"/>
    <n v="0"/>
    <n v="0"/>
    <x v="61"/>
    <x v="61"/>
    <n v="0"/>
    <x v="87"/>
    <x v="0"/>
    <n v="0"/>
    <n v="18"/>
    <n v="29"/>
  </r>
  <r>
    <x v="2"/>
    <x v="111"/>
    <x v="7"/>
    <x v="272"/>
    <x v="204"/>
    <n v="149.80000000000001"/>
    <n v="1.3"/>
    <n v="1.2"/>
    <n v="0"/>
    <n v="0"/>
    <n v="0"/>
    <n v="0"/>
    <n v="0"/>
    <x v="343"/>
    <x v="320"/>
    <n v="170866"/>
    <x v="21"/>
    <x v="98"/>
    <n v="256"/>
    <n v="65"/>
    <n v="79"/>
  </r>
  <r>
    <x v="2"/>
    <x v="128"/>
    <x v="4"/>
    <x v="273"/>
    <x v="205"/>
    <n v="33.700000000000003"/>
    <n v="1.8"/>
    <n v="1.3"/>
    <n v="0"/>
    <n v="0"/>
    <n v="0"/>
    <n v="0"/>
    <n v="0"/>
    <x v="344"/>
    <x v="321"/>
    <n v="44574"/>
    <x v="35"/>
    <x v="31"/>
    <n v="15"/>
    <n v="12"/>
    <n v="17"/>
  </r>
  <r>
    <x v="0"/>
    <x v="35"/>
    <x v="5"/>
    <x v="2"/>
    <x v="2"/>
    <n v="0"/>
    <n v="0"/>
    <n v="0"/>
    <n v="0"/>
    <n v="0"/>
    <n v="0"/>
    <n v="0"/>
    <n v="0"/>
    <x v="345"/>
    <x v="322"/>
    <n v="348427"/>
    <x v="2"/>
    <x v="1"/>
    <n v="0"/>
    <n v="30"/>
    <n v="49"/>
  </r>
  <r>
    <x v="2"/>
    <x v="19"/>
    <x v="1"/>
    <x v="274"/>
    <x v="206"/>
    <n v="213.6"/>
    <n v="3.1"/>
    <n v="2.2000000000000002"/>
    <n v="0"/>
    <n v="0"/>
    <n v="0"/>
    <n v="0"/>
    <n v="0"/>
    <x v="303"/>
    <x v="286"/>
    <n v="246772"/>
    <x v="144"/>
    <x v="120"/>
    <n v="527"/>
    <n v="50"/>
    <n v="64"/>
  </r>
  <r>
    <x v="2"/>
    <x v="67"/>
    <x v="2"/>
    <x v="275"/>
    <x v="207"/>
    <n v="264.2"/>
    <n v="0.9"/>
    <n v="0.4"/>
    <n v="0"/>
    <n v="0"/>
    <n v="0"/>
    <n v="0"/>
    <n v="0"/>
    <x v="346"/>
    <x v="323"/>
    <n v="21200"/>
    <x v="145"/>
    <x v="121"/>
    <n v="56"/>
    <n v="5"/>
    <n v="11"/>
  </r>
  <r>
    <x v="1"/>
    <x v="82"/>
    <x v="0"/>
    <x v="44"/>
    <x v="1"/>
    <n v="0.8"/>
    <n v="1.6"/>
    <n v="1.6"/>
    <n v="1.2"/>
    <n v="1.1000000000000001"/>
    <n v="0.5"/>
    <n v="1"/>
    <n v="2.4"/>
    <x v="347"/>
    <x v="324"/>
    <n v="1040745"/>
    <x v="64"/>
    <x v="26"/>
    <n v="8"/>
    <n v="999"/>
    <n v="999"/>
  </r>
  <r>
    <x v="2"/>
    <x v="92"/>
    <x v="4"/>
    <x v="15"/>
    <x v="208"/>
    <n v="15.7"/>
    <n v="2.2000000000000002"/>
    <n v="1.9"/>
    <n v="0"/>
    <n v="0"/>
    <n v="0"/>
    <n v="0"/>
    <n v="0"/>
    <x v="157"/>
    <x v="154"/>
    <n v="44571"/>
    <x v="24"/>
    <x v="23"/>
    <n v="7"/>
    <n v="12"/>
    <n v="17"/>
  </r>
  <r>
    <x v="2"/>
    <x v="94"/>
    <x v="6"/>
    <x v="276"/>
    <x v="209"/>
    <n v="123.1"/>
    <n v="0.6"/>
    <n v="0.6"/>
    <n v="0"/>
    <n v="0"/>
    <n v="0"/>
    <n v="0"/>
    <n v="0"/>
    <x v="348"/>
    <x v="325"/>
    <n v="47117"/>
    <x v="134"/>
    <x v="52"/>
    <n v="58"/>
    <n v="80"/>
    <n v="200"/>
  </r>
  <r>
    <x v="2"/>
    <x v="86"/>
    <x v="0"/>
    <x v="277"/>
    <x v="210"/>
    <n v="114.2"/>
    <n v="1.9"/>
    <n v="1.1000000000000001"/>
    <n v="157.80000000000001"/>
    <n v="70.7"/>
    <n v="92.5"/>
    <n v="2.2000000000000002"/>
    <n v="1.7"/>
    <x v="349"/>
    <x v="326"/>
    <n v="1040190"/>
    <x v="146"/>
    <x v="122"/>
    <n v="1188"/>
    <n v="999"/>
    <n v="999"/>
  </r>
  <r>
    <x v="1"/>
    <x v="120"/>
    <x v="5"/>
    <x v="58"/>
    <x v="61"/>
    <n v="2.2999999999999998"/>
    <n v="6.2"/>
    <n v="5.9"/>
    <n v="0"/>
    <n v="0"/>
    <n v="0"/>
    <n v="0"/>
    <n v="0"/>
    <x v="350"/>
    <x v="327"/>
    <n v="347279"/>
    <x v="36"/>
    <x v="48"/>
    <n v="8"/>
    <n v="30"/>
    <n v="49"/>
  </r>
  <r>
    <x v="1"/>
    <x v="133"/>
    <x v="3"/>
    <x v="278"/>
    <x v="1"/>
    <n v="0"/>
    <n v="11.4"/>
    <n v="0"/>
    <n v="0"/>
    <n v="0"/>
    <n v="0"/>
    <n v="0"/>
    <n v="0"/>
    <x v="351"/>
    <x v="328"/>
    <n v="0"/>
    <x v="32"/>
    <x v="0"/>
    <n v="0"/>
    <n v="18"/>
    <n v="29"/>
  </r>
  <r>
    <x v="2"/>
    <x v="106"/>
    <x v="1"/>
    <x v="279"/>
    <x v="211"/>
    <n v="0"/>
    <n v="3.6"/>
    <n v="0"/>
    <n v="0"/>
    <n v="0"/>
    <n v="0"/>
    <n v="0"/>
    <n v="0"/>
    <x v="245"/>
    <x v="234"/>
    <n v="0"/>
    <x v="147"/>
    <x v="123"/>
    <n v="0"/>
    <n v="50"/>
    <n v="64"/>
  </r>
  <r>
    <x v="0"/>
    <x v="115"/>
    <x v="6"/>
    <x v="2"/>
    <x v="2"/>
    <n v="0"/>
    <n v="0"/>
    <n v="0"/>
    <n v="0"/>
    <n v="0"/>
    <n v="0"/>
    <n v="0"/>
    <n v="0"/>
    <x v="352"/>
    <x v="329"/>
    <n v="43906"/>
    <x v="2"/>
    <x v="1"/>
    <n v="0"/>
    <n v="80"/>
    <n v="200"/>
  </r>
  <r>
    <x v="2"/>
    <x v="68"/>
    <x v="4"/>
    <x v="280"/>
    <x v="212"/>
    <n v="117.8"/>
    <n v="1.9"/>
    <n v="0.6"/>
    <n v="0"/>
    <n v="0"/>
    <n v="0"/>
    <n v="0"/>
    <n v="0"/>
    <x v="76"/>
    <x v="76"/>
    <n v="32264"/>
    <x v="32"/>
    <x v="124"/>
    <n v="38"/>
    <n v="12"/>
    <n v="17"/>
  </r>
  <r>
    <x v="2"/>
    <x v="98"/>
    <x v="6"/>
    <x v="281"/>
    <x v="66"/>
    <n v="14.9"/>
    <n v="0.7"/>
    <n v="0.8"/>
    <n v="0"/>
    <n v="0"/>
    <n v="0"/>
    <n v="0"/>
    <n v="0"/>
    <x v="141"/>
    <x v="101"/>
    <n v="47130"/>
    <x v="45"/>
    <x v="11"/>
    <n v="7"/>
    <n v="80"/>
    <n v="200"/>
  </r>
  <r>
    <x v="0"/>
    <x v="7"/>
    <x v="6"/>
    <x v="282"/>
    <x v="133"/>
    <n v="0"/>
    <n v="2.4"/>
    <n v="0"/>
    <n v="0"/>
    <n v="0"/>
    <n v="0"/>
    <n v="0"/>
    <n v="0"/>
    <x v="353"/>
    <x v="330"/>
    <n v="25961"/>
    <x v="64"/>
    <x v="39"/>
    <n v="0"/>
    <n v="80"/>
    <n v="200"/>
  </r>
  <r>
    <x v="2"/>
    <x v="56"/>
    <x v="0"/>
    <x v="283"/>
    <x v="213"/>
    <n v="81.599999999999994"/>
    <n v="1.3"/>
    <n v="0.7"/>
    <n v="64.7"/>
    <n v="42"/>
    <n v="73.5"/>
    <n v="1.5"/>
    <n v="0.9"/>
    <x v="354"/>
    <x v="331"/>
    <n v="925908"/>
    <x v="148"/>
    <x v="125"/>
    <n v="756"/>
    <n v="999"/>
    <n v="999"/>
  </r>
  <r>
    <x v="1"/>
    <x v="27"/>
    <x v="1"/>
    <x v="284"/>
    <x v="21"/>
    <n v="6"/>
    <n v="10.4"/>
    <n v="5.6"/>
    <n v="0"/>
    <n v="0"/>
    <n v="0"/>
    <n v="0"/>
    <n v="0"/>
    <x v="355"/>
    <x v="332"/>
    <n v="247977"/>
    <x v="24"/>
    <x v="16"/>
    <n v="15"/>
    <n v="50"/>
    <n v="64"/>
  </r>
  <r>
    <x v="2"/>
    <x v="131"/>
    <x v="2"/>
    <x v="285"/>
    <x v="2"/>
    <n v="0"/>
    <n v="0"/>
    <n v="0"/>
    <n v="0"/>
    <n v="0"/>
    <n v="0"/>
    <n v="0"/>
    <n v="0"/>
    <x v="356"/>
    <x v="28"/>
    <n v="0"/>
    <x v="149"/>
    <x v="1"/>
    <n v="0"/>
    <n v="5"/>
    <n v="11"/>
  </r>
  <r>
    <x v="0"/>
    <x v="95"/>
    <x v="0"/>
    <x v="286"/>
    <x v="0"/>
    <n v="0.5"/>
    <n v="10"/>
    <n v="2"/>
    <n v="0.9"/>
    <n v="0.3"/>
    <n v="0.3"/>
    <n v="3.3"/>
    <n v="2.7"/>
    <x v="357"/>
    <x v="333"/>
    <n v="1001233"/>
    <x v="18"/>
    <x v="0"/>
    <n v="5"/>
    <n v="999"/>
    <n v="999"/>
  </r>
  <r>
    <x v="0"/>
    <x v="51"/>
    <x v="8"/>
    <x v="2"/>
    <x v="2"/>
    <n v="0"/>
    <n v="0"/>
    <n v="0"/>
    <n v="0"/>
    <n v="0"/>
    <n v="0"/>
    <n v="0"/>
    <n v="0"/>
    <x v="28"/>
    <x v="28"/>
    <n v="0"/>
    <x v="2"/>
    <x v="1"/>
    <n v="0"/>
    <n v="0"/>
    <n v="4"/>
  </r>
  <r>
    <x v="0"/>
    <x v="19"/>
    <x v="5"/>
    <x v="2"/>
    <x v="2"/>
    <n v="0"/>
    <n v="0"/>
    <n v="0"/>
    <n v="0"/>
    <n v="0"/>
    <n v="0"/>
    <n v="0"/>
    <n v="0"/>
    <x v="358"/>
    <x v="334"/>
    <n v="347151"/>
    <x v="2"/>
    <x v="1"/>
    <n v="0"/>
    <n v="30"/>
    <n v="49"/>
  </r>
  <r>
    <x v="0"/>
    <x v="110"/>
    <x v="0"/>
    <x v="212"/>
    <x v="19"/>
    <n v="0.3"/>
    <n v="2.2000000000000002"/>
    <n v="3"/>
    <n v="1.3"/>
    <n v="0.6"/>
    <n v="0.2"/>
    <n v="2"/>
    <n v="6"/>
    <x v="359"/>
    <x v="335"/>
    <n v="1037728"/>
    <x v="13"/>
    <x v="39"/>
    <n v="3"/>
    <n v="999"/>
    <n v="999"/>
  </r>
  <r>
    <x v="1"/>
    <x v="68"/>
    <x v="0"/>
    <x v="287"/>
    <x v="61"/>
    <n v="3.6"/>
    <n v="1.6"/>
    <n v="1"/>
    <n v="4.3"/>
    <n v="2.6"/>
    <n v="2.6"/>
    <n v="1.7"/>
    <n v="1.7"/>
    <x v="360"/>
    <x v="336"/>
    <n v="943061"/>
    <x v="87"/>
    <x v="31"/>
    <n v="34"/>
    <n v="999"/>
    <n v="999"/>
  </r>
  <r>
    <x v="2"/>
    <x v="79"/>
    <x v="2"/>
    <x v="175"/>
    <x v="214"/>
    <n v="9.4"/>
    <n v="1.8"/>
    <n v="2.4"/>
    <n v="0"/>
    <n v="0"/>
    <n v="0"/>
    <n v="0"/>
    <n v="0"/>
    <x v="361"/>
    <x v="337"/>
    <n v="21243"/>
    <x v="29"/>
    <x v="17"/>
    <n v="2"/>
    <n v="5"/>
    <n v="11"/>
  </r>
  <r>
    <x v="2"/>
    <x v="127"/>
    <x v="7"/>
    <x v="288"/>
    <x v="215"/>
    <n v="528.4"/>
    <n v="1.3"/>
    <n v="2.1"/>
    <n v="0"/>
    <n v="0"/>
    <n v="0"/>
    <n v="0"/>
    <n v="0"/>
    <x v="362"/>
    <x v="338"/>
    <n v="137780"/>
    <x v="89"/>
    <x v="126"/>
    <n v="728"/>
    <n v="65"/>
    <n v="79"/>
  </r>
  <r>
    <x v="2"/>
    <x v="86"/>
    <x v="2"/>
    <x v="289"/>
    <x v="216"/>
    <n v="47.3"/>
    <n v="1.7"/>
    <n v="0.8"/>
    <n v="0"/>
    <n v="0"/>
    <n v="0"/>
    <n v="0"/>
    <n v="0"/>
    <x v="363"/>
    <x v="339"/>
    <n v="21161"/>
    <x v="137"/>
    <x v="3"/>
    <n v="10"/>
    <n v="5"/>
    <n v="11"/>
  </r>
  <r>
    <x v="2"/>
    <x v="64"/>
    <x v="0"/>
    <x v="290"/>
    <x v="217"/>
    <n v="36.6"/>
    <n v="2.2999999999999998"/>
    <n v="1.4"/>
    <n v="61.7"/>
    <n v="23.7"/>
    <n v="37"/>
    <n v="2.6"/>
    <n v="1.7"/>
    <x v="364"/>
    <x v="340"/>
    <n v="1040623"/>
    <x v="150"/>
    <x v="127"/>
    <n v="381"/>
    <n v="999"/>
    <n v="999"/>
  </r>
  <r>
    <x v="1"/>
    <x v="76"/>
    <x v="7"/>
    <x v="117"/>
    <x v="218"/>
    <n v="6.4"/>
    <n v="1.7"/>
    <n v="1.2"/>
    <n v="0"/>
    <n v="0"/>
    <n v="0"/>
    <n v="0"/>
    <n v="0"/>
    <x v="365"/>
    <x v="341"/>
    <n v="171732"/>
    <x v="45"/>
    <x v="11"/>
    <n v="11"/>
    <n v="65"/>
    <n v="79"/>
  </r>
  <r>
    <x v="2"/>
    <x v="26"/>
    <x v="2"/>
    <x v="291"/>
    <x v="85"/>
    <n v="184.2"/>
    <n v="1.3"/>
    <n v="0.7"/>
    <n v="0"/>
    <n v="0"/>
    <n v="0"/>
    <n v="0"/>
    <n v="0"/>
    <x v="366"/>
    <x v="342"/>
    <n v="21167"/>
    <x v="74"/>
    <x v="128"/>
    <n v="39"/>
    <n v="5"/>
    <n v="11"/>
  </r>
  <r>
    <x v="1"/>
    <x v="123"/>
    <x v="8"/>
    <x v="97"/>
    <x v="2"/>
    <n v="0"/>
    <n v="0"/>
    <n v="0"/>
    <n v="0"/>
    <n v="0"/>
    <n v="0"/>
    <n v="0"/>
    <n v="0"/>
    <x v="28"/>
    <x v="28"/>
    <n v="0"/>
    <x v="45"/>
    <x v="1"/>
    <n v="0"/>
    <n v="0"/>
    <n v="4"/>
  </r>
  <r>
    <x v="0"/>
    <x v="69"/>
    <x v="4"/>
    <x v="2"/>
    <x v="2"/>
    <n v="0"/>
    <n v="0"/>
    <n v="0"/>
    <n v="0"/>
    <n v="0"/>
    <n v="0"/>
    <n v="0"/>
    <n v="0"/>
    <x v="367"/>
    <x v="343"/>
    <n v="23968"/>
    <x v="2"/>
    <x v="1"/>
    <n v="0"/>
    <n v="12"/>
    <n v="17"/>
  </r>
  <r>
    <x v="0"/>
    <x v="84"/>
    <x v="1"/>
    <x v="2"/>
    <x v="2"/>
    <n v="0.8"/>
    <n v="0"/>
    <n v="0"/>
    <n v="0"/>
    <n v="0"/>
    <n v="0"/>
    <n v="0"/>
    <n v="0"/>
    <x v="368"/>
    <x v="344"/>
    <n v="246950"/>
    <x v="2"/>
    <x v="1"/>
    <n v="2"/>
    <n v="50"/>
    <n v="64"/>
  </r>
  <r>
    <x v="0"/>
    <x v="125"/>
    <x v="0"/>
    <x v="26"/>
    <x v="82"/>
    <n v="0"/>
    <n v="13"/>
    <n v="0"/>
    <n v="3.9"/>
    <n v="0.1"/>
    <n v="0"/>
    <n v="37.9"/>
    <n v="0"/>
    <x v="369"/>
    <x v="345"/>
    <n v="0"/>
    <x v="75"/>
    <x v="11"/>
    <n v="0"/>
    <n v="999"/>
    <n v="999"/>
  </r>
  <r>
    <x v="2"/>
    <x v="60"/>
    <x v="6"/>
    <x v="292"/>
    <x v="219"/>
    <n v="105.7"/>
    <n v="0.4"/>
    <n v="0.9"/>
    <n v="0"/>
    <n v="0"/>
    <n v="0"/>
    <n v="0"/>
    <n v="0"/>
    <x v="370"/>
    <x v="346"/>
    <n v="40692"/>
    <x v="60"/>
    <x v="33"/>
    <n v="43"/>
    <n v="80"/>
    <n v="200"/>
  </r>
  <r>
    <x v="0"/>
    <x v="134"/>
    <x v="3"/>
    <x v="2"/>
    <x v="2"/>
    <n v="0"/>
    <n v="0"/>
    <n v="0"/>
    <n v="0"/>
    <n v="0"/>
    <n v="0"/>
    <n v="0"/>
    <n v="0"/>
    <x v="371"/>
    <x v="347"/>
    <n v="152215"/>
    <x v="2"/>
    <x v="1"/>
    <n v="0"/>
    <n v="18"/>
    <n v="29"/>
  </r>
  <r>
    <x v="1"/>
    <x v="113"/>
    <x v="5"/>
    <x v="28"/>
    <x v="61"/>
    <n v="0.3"/>
    <n v="0.9"/>
    <n v="6.3"/>
    <n v="0"/>
    <n v="0"/>
    <n v="0"/>
    <n v="0"/>
    <n v="0"/>
    <x v="304"/>
    <x v="287"/>
    <n v="347458"/>
    <x v="0"/>
    <x v="48"/>
    <n v="1"/>
    <n v="30"/>
    <n v="49"/>
  </r>
  <r>
    <x v="1"/>
    <x v="97"/>
    <x v="5"/>
    <x v="293"/>
    <x v="37"/>
    <n v="1.6"/>
    <n v="8.1"/>
    <n v="29"/>
    <n v="0"/>
    <n v="0"/>
    <n v="0"/>
    <n v="0"/>
    <n v="0"/>
    <x v="372"/>
    <x v="348"/>
    <n v="121631"/>
    <x v="151"/>
    <x v="88"/>
    <n v="2"/>
    <n v="30"/>
    <n v="49"/>
  </r>
  <r>
    <x v="1"/>
    <x v="54"/>
    <x v="2"/>
    <x v="54"/>
    <x v="2"/>
    <n v="0"/>
    <n v="0"/>
    <n v="0"/>
    <n v="0"/>
    <n v="0"/>
    <n v="0"/>
    <n v="0"/>
    <n v="0"/>
    <x v="373"/>
    <x v="349"/>
    <n v="21516"/>
    <x v="1"/>
    <x v="1"/>
    <n v="0"/>
    <n v="5"/>
    <n v="11"/>
  </r>
  <r>
    <x v="0"/>
    <x v="98"/>
    <x v="0"/>
    <x v="113"/>
    <x v="2"/>
    <n v="0.2"/>
    <n v="0"/>
    <n v="1"/>
    <n v="0.4"/>
    <n v="0"/>
    <n v="0.1"/>
    <n v="0"/>
    <n v="4"/>
    <x v="374"/>
    <x v="350"/>
    <n v="1040691"/>
    <x v="1"/>
    <x v="1"/>
    <n v="2"/>
    <n v="999"/>
    <n v="999"/>
  </r>
  <r>
    <x v="2"/>
    <x v="130"/>
    <x v="0"/>
    <x v="294"/>
    <x v="220"/>
    <n v="0"/>
    <n v="2.7"/>
    <n v="0"/>
    <n v="236.6"/>
    <n v="64.900000000000006"/>
    <n v="0"/>
    <n v="3.6"/>
    <n v="0"/>
    <x v="375"/>
    <x v="351"/>
    <n v="0"/>
    <x v="152"/>
    <x v="129"/>
    <n v="0"/>
    <n v="999"/>
    <n v="999"/>
  </r>
  <r>
    <x v="1"/>
    <x v="15"/>
    <x v="2"/>
    <x v="2"/>
    <x v="221"/>
    <n v="7.1"/>
    <n v="0"/>
    <n v="0"/>
    <n v="0"/>
    <n v="0"/>
    <n v="0"/>
    <n v="0"/>
    <n v="0"/>
    <x v="376"/>
    <x v="352"/>
    <n v="14013"/>
    <x v="2"/>
    <x v="11"/>
    <n v="1"/>
    <n v="5"/>
    <n v="11"/>
  </r>
  <r>
    <x v="1"/>
    <x v="0"/>
    <x v="6"/>
    <x v="295"/>
    <x v="114"/>
    <n v="61.6"/>
    <n v="0.5"/>
    <n v="0.6"/>
    <n v="0"/>
    <n v="0"/>
    <n v="0"/>
    <n v="0"/>
    <n v="0"/>
    <x v="377"/>
    <x v="353"/>
    <n v="47042"/>
    <x v="51"/>
    <x v="5"/>
    <n v="29"/>
    <n v="80"/>
    <n v="200"/>
  </r>
  <r>
    <x v="0"/>
    <x v="105"/>
    <x v="4"/>
    <x v="2"/>
    <x v="2"/>
    <n v="0"/>
    <n v="0"/>
    <n v="0"/>
    <n v="0"/>
    <n v="0"/>
    <n v="0"/>
    <n v="0"/>
    <n v="0"/>
    <x v="378"/>
    <x v="354"/>
    <n v="40287"/>
    <x v="2"/>
    <x v="1"/>
    <n v="0"/>
    <n v="12"/>
    <n v="17"/>
  </r>
  <r>
    <x v="0"/>
    <x v="121"/>
    <x v="1"/>
    <x v="32"/>
    <x v="38"/>
    <n v="0"/>
    <n v="11.9"/>
    <n v="0"/>
    <n v="0"/>
    <n v="0"/>
    <n v="0"/>
    <n v="0"/>
    <n v="0"/>
    <x v="379"/>
    <x v="355"/>
    <n v="0"/>
    <x v="35"/>
    <x v="0"/>
    <n v="0"/>
    <n v="50"/>
    <n v="64"/>
  </r>
  <r>
    <x v="0"/>
    <x v="89"/>
    <x v="7"/>
    <x v="82"/>
    <x v="2"/>
    <n v="0"/>
    <n v="0"/>
    <n v="0"/>
    <n v="0"/>
    <n v="0"/>
    <n v="0"/>
    <n v="0"/>
    <n v="0"/>
    <x v="380"/>
    <x v="356"/>
    <n v="0"/>
    <x v="45"/>
    <x v="1"/>
    <n v="0"/>
    <n v="65"/>
    <n v="79"/>
  </r>
  <r>
    <x v="2"/>
    <x v="119"/>
    <x v="4"/>
    <x v="296"/>
    <x v="222"/>
    <n v="31.3"/>
    <n v="2.2000000000000002"/>
    <n v="1.5"/>
    <n v="0"/>
    <n v="0"/>
    <n v="0"/>
    <n v="0"/>
    <n v="0"/>
    <x v="240"/>
    <x v="230"/>
    <n v="44696"/>
    <x v="36"/>
    <x v="130"/>
    <n v="14"/>
    <n v="12"/>
    <n v="17"/>
  </r>
  <r>
    <x v="2"/>
    <x v="69"/>
    <x v="4"/>
    <x v="297"/>
    <x v="223"/>
    <n v="62.6"/>
    <n v="2.2999999999999998"/>
    <n v="1.6"/>
    <n v="0"/>
    <n v="0"/>
    <n v="0"/>
    <n v="0"/>
    <n v="0"/>
    <x v="367"/>
    <x v="343"/>
    <n v="23968"/>
    <x v="93"/>
    <x v="34"/>
    <n v="15"/>
    <n v="12"/>
    <n v="17"/>
  </r>
  <r>
    <x v="0"/>
    <x v="21"/>
    <x v="0"/>
    <x v="298"/>
    <x v="87"/>
    <n v="0"/>
    <n v="6.7"/>
    <n v="0"/>
    <n v="2.9"/>
    <n v="0.2"/>
    <n v="0"/>
    <n v="15"/>
    <n v="0"/>
    <x v="381"/>
    <x v="357"/>
    <n v="0"/>
    <x v="29"/>
    <x v="16"/>
    <n v="0"/>
    <n v="999"/>
    <n v="999"/>
  </r>
  <r>
    <x v="1"/>
    <x v="74"/>
    <x v="2"/>
    <x v="2"/>
    <x v="2"/>
    <n v="0"/>
    <n v="0"/>
    <n v="0"/>
    <n v="0"/>
    <n v="0"/>
    <n v="0"/>
    <n v="0"/>
    <n v="0"/>
    <x v="382"/>
    <x v="358"/>
    <n v="21371"/>
    <x v="2"/>
    <x v="1"/>
    <n v="0"/>
    <n v="5"/>
    <n v="11"/>
  </r>
  <r>
    <x v="0"/>
    <x v="86"/>
    <x v="4"/>
    <x v="2"/>
    <x v="2"/>
    <n v="0"/>
    <n v="0"/>
    <n v="0"/>
    <n v="0"/>
    <n v="0"/>
    <n v="0"/>
    <n v="0"/>
    <n v="0"/>
    <x v="383"/>
    <x v="359"/>
    <n v="44537"/>
    <x v="2"/>
    <x v="1"/>
    <n v="0"/>
    <n v="12"/>
    <n v="17"/>
  </r>
  <r>
    <x v="2"/>
    <x v="84"/>
    <x v="6"/>
    <x v="299"/>
    <x v="22"/>
    <n v="101.8"/>
    <n v="0.5"/>
    <n v="0.4"/>
    <n v="0"/>
    <n v="0"/>
    <n v="0"/>
    <n v="0"/>
    <n v="0"/>
    <x v="384"/>
    <x v="360"/>
    <n v="47134"/>
    <x v="6"/>
    <x v="17"/>
    <n v="48"/>
    <n v="80"/>
    <n v="200"/>
  </r>
  <r>
    <x v="1"/>
    <x v="19"/>
    <x v="2"/>
    <x v="54"/>
    <x v="2"/>
    <n v="0"/>
    <n v="0"/>
    <n v="0"/>
    <n v="0"/>
    <n v="0"/>
    <n v="0"/>
    <n v="0"/>
    <n v="0"/>
    <x v="385"/>
    <x v="361"/>
    <n v="21134"/>
    <x v="1"/>
    <x v="1"/>
    <n v="0"/>
    <n v="5"/>
    <n v="11"/>
  </r>
  <r>
    <x v="0"/>
    <x v="35"/>
    <x v="1"/>
    <x v="2"/>
    <x v="2"/>
    <n v="0"/>
    <n v="0"/>
    <n v="0"/>
    <n v="0"/>
    <n v="0"/>
    <n v="0"/>
    <n v="0"/>
    <n v="0"/>
    <x v="386"/>
    <x v="362"/>
    <n v="247617"/>
    <x v="2"/>
    <x v="1"/>
    <n v="0"/>
    <n v="50"/>
    <n v="64"/>
  </r>
  <r>
    <x v="1"/>
    <x v="107"/>
    <x v="0"/>
    <x v="300"/>
    <x v="1"/>
    <n v="0"/>
    <n v="7.4"/>
    <n v="0"/>
    <n v="7.9"/>
    <n v="0.6"/>
    <n v="0"/>
    <n v="14.2"/>
    <n v="0"/>
    <x v="387"/>
    <x v="363"/>
    <n v="0"/>
    <x v="54"/>
    <x v="17"/>
    <n v="0"/>
    <n v="999"/>
    <n v="999"/>
  </r>
  <r>
    <x v="2"/>
    <x v="21"/>
    <x v="0"/>
    <x v="301"/>
    <x v="211"/>
    <n v="0"/>
    <n v="2.5"/>
    <n v="0"/>
    <n v="142.30000000000001"/>
    <n v="41.3"/>
    <n v="0"/>
    <n v="3.4"/>
    <n v="0"/>
    <x v="381"/>
    <x v="357"/>
    <n v="0"/>
    <x v="153"/>
    <x v="131"/>
    <n v="0"/>
    <n v="999"/>
    <n v="999"/>
  </r>
  <r>
    <x v="0"/>
    <x v="32"/>
    <x v="6"/>
    <x v="198"/>
    <x v="2"/>
    <n v="2.1"/>
    <n v="0"/>
    <n v="3.8"/>
    <n v="0"/>
    <n v="0"/>
    <n v="0"/>
    <n v="0"/>
    <n v="0"/>
    <x v="388"/>
    <x v="207"/>
    <n v="47096"/>
    <x v="0"/>
    <x v="1"/>
    <n v="1"/>
    <n v="80"/>
    <n v="200"/>
  </r>
  <r>
    <x v="0"/>
    <x v="90"/>
    <x v="4"/>
    <x v="2"/>
    <x v="2"/>
    <n v="0"/>
    <n v="0"/>
    <n v="0"/>
    <n v="0"/>
    <n v="0"/>
    <n v="0"/>
    <n v="0"/>
    <n v="0"/>
    <x v="269"/>
    <x v="257"/>
    <n v="34850"/>
    <x v="2"/>
    <x v="1"/>
    <n v="0"/>
    <n v="12"/>
    <n v="17"/>
  </r>
  <r>
    <x v="2"/>
    <x v="113"/>
    <x v="3"/>
    <x v="302"/>
    <x v="224"/>
    <n v="16.7"/>
    <n v="3.6"/>
    <n v="2.5"/>
    <n v="0"/>
    <n v="0"/>
    <n v="0"/>
    <n v="0"/>
    <n v="0"/>
    <x v="389"/>
    <x v="364"/>
    <n v="161803"/>
    <x v="71"/>
    <x v="25"/>
    <n v="27"/>
    <n v="18"/>
    <n v="29"/>
  </r>
  <r>
    <x v="0"/>
    <x v="85"/>
    <x v="2"/>
    <x v="2"/>
    <x v="2"/>
    <n v="0"/>
    <n v="0"/>
    <n v="0"/>
    <n v="0"/>
    <n v="0"/>
    <n v="0"/>
    <n v="0"/>
    <n v="0"/>
    <x v="390"/>
    <x v="365"/>
    <n v="0"/>
    <x v="2"/>
    <x v="1"/>
    <n v="0"/>
    <n v="5"/>
    <n v="11"/>
  </r>
  <r>
    <x v="1"/>
    <x v="41"/>
    <x v="1"/>
    <x v="303"/>
    <x v="225"/>
    <n v="10.199999999999999"/>
    <n v="2.6"/>
    <n v="4.0999999999999996"/>
    <n v="0"/>
    <n v="0"/>
    <n v="0"/>
    <n v="0"/>
    <n v="0"/>
    <x v="391"/>
    <x v="366"/>
    <n v="244360"/>
    <x v="134"/>
    <x v="31"/>
    <n v="25"/>
    <n v="50"/>
    <n v="64"/>
  </r>
  <r>
    <x v="0"/>
    <x v="64"/>
    <x v="7"/>
    <x v="2"/>
    <x v="2"/>
    <n v="0"/>
    <n v="0"/>
    <n v="0"/>
    <n v="0"/>
    <n v="0"/>
    <n v="0"/>
    <n v="0"/>
    <n v="0"/>
    <x v="392"/>
    <x v="367"/>
    <n v="171725"/>
    <x v="2"/>
    <x v="1"/>
    <n v="0"/>
    <n v="65"/>
    <n v="79"/>
  </r>
  <r>
    <x v="0"/>
    <x v="95"/>
    <x v="8"/>
    <x v="2"/>
    <x v="2"/>
    <n v="0"/>
    <n v="0"/>
    <n v="0"/>
    <n v="0"/>
    <n v="0"/>
    <n v="0"/>
    <n v="0"/>
    <n v="0"/>
    <x v="28"/>
    <x v="28"/>
    <n v="0"/>
    <x v="2"/>
    <x v="1"/>
    <n v="0"/>
    <n v="0"/>
    <n v="4"/>
  </r>
  <r>
    <x v="1"/>
    <x v="81"/>
    <x v="3"/>
    <x v="32"/>
    <x v="141"/>
    <n v="0"/>
    <n v="5.9"/>
    <n v="0"/>
    <n v="0"/>
    <n v="0"/>
    <n v="0"/>
    <n v="0"/>
    <n v="0"/>
    <x v="100"/>
    <x v="99"/>
    <n v="0"/>
    <x v="134"/>
    <x v="16"/>
    <n v="0"/>
    <n v="18"/>
    <n v="29"/>
  </r>
  <r>
    <x v="2"/>
    <x v="4"/>
    <x v="2"/>
    <x v="304"/>
    <x v="226"/>
    <n v="0"/>
    <n v="0.3"/>
    <n v="0"/>
    <n v="0"/>
    <n v="0"/>
    <n v="0"/>
    <n v="0"/>
    <n v="0"/>
    <x v="393"/>
    <x v="368"/>
    <n v="0"/>
    <x v="154"/>
    <x v="132"/>
    <n v="0"/>
    <n v="5"/>
    <n v="11"/>
  </r>
  <r>
    <x v="1"/>
    <x v="25"/>
    <x v="1"/>
    <x v="305"/>
    <x v="227"/>
    <n v="10.9"/>
    <n v="5.5"/>
    <n v="7.9"/>
    <n v="0"/>
    <n v="0"/>
    <n v="0"/>
    <n v="0"/>
    <n v="0"/>
    <x v="394"/>
    <x v="369"/>
    <n v="193153"/>
    <x v="44"/>
    <x v="88"/>
    <n v="21"/>
    <n v="50"/>
    <n v="64"/>
  </r>
  <r>
    <x v="2"/>
    <x v="133"/>
    <x v="6"/>
    <x v="306"/>
    <x v="228"/>
    <n v="0"/>
    <n v="7.9"/>
    <n v="0"/>
    <n v="0"/>
    <n v="0"/>
    <n v="0"/>
    <n v="0"/>
    <n v="0"/>
    <x v="395"/>
    <x v="370"/>
    <n v="0"/>
    <x v="155"/>
    <x v="48"/>
    <n v="0"/>
    <n v="80"/>
    <n v="200"/>
  </r>
  <r>
    <x v="1"/>
    <x v="102"/>
    <x v="3"/>
    <x v="286"/>
    <x v="23"/>
    <n v="0.7"/>
    <n v="2"/>
    <n v="1.4"/>
    <n v="0"/>
    <n v="0"/>
    <n v="0"/>
    <n v="0"/>
    <n v="0"/>
    <x v="155"/>
    <x v="152"/>
    <n v="142046"/>
    <x v="1"/>
    <x v="0"/>
    <n v="1"/>
    <n v="18"/>
    <n v="29"/>
  </r>
  <r>
    <x v="0"/>
    <x v="129"/>
    <x v="3"/>
    <x v="2"/>
    <x v="2"/>
    <n v="0"/>
    <n v="0"/>
    <n v="0"/>
    <n v="0"/>
    <n v="0"/>
    <n v="0"/>
    <n v="0"/>
    <n v="0"/>
    <x v="396"/>
    <x v="87"/>
    <n v="161700"/>
    <x v="2"/>
    <x v="1"/>
    <n v="0"/>
    <n v="18"/>
    <n v="29"/>
  </r>
  <r>
    <x v="2"/>
    <x v="107"/>
    <x v="3"/>
    <x v="307"/>
    <x v="4"/>
    <n v="0"/>
    <n v="10"/>
    <n v="0"/>
    <n v="0"/>
    <n v="0"/>
    <n v="0"/>
    <n v="0"/>
    <n v="0"/>
    <x v="397"/>
    <x v="371"/>
    <n v="0"/>
    <x v="156"/>
    <x v="13"/>
    <n v="0"/>
    <n v="18"/>
    <n v="29"/>
  </r>
  <r>
    <x v="1"/>
    <x v="27"/>
    <x v="4"/>
    <x v="2"/>
    <x v="2"/>
    <n v="0"/>
    <n v="0"/>
    <n v="0"/>
    <n v="0"/>
    <n v="0"/>
    <n v="0"/>
    <n v="0"/>
    <n v="0"/>
    <x v="289"/>
    <x v="272"/>
    <n v="44716"/>
    <x v="2"/>
    <x v="1"/>
    <n v="0"/>
    <n v="12"/>
    <n v="17"/>
  </r>
  <r>
    <x v="1"/>
    <x v="45"/>
    <x v="1"/>
    <x v="308"/>
    <x v="221"/>
    <n v="0"/>
    <n v="25.8"/>
    <n v="0"/>
    <n v="0"/>
    <n v="0"/>
    <n v="0"/>
    <n v="0"/>
    <n v="0"/>
    <x v="398"/>
    <x v="372"/>
    <n v="0"/>
    <x v="145"/>
    <x v="16"/>
    <n v="0"/>
    <n v="50"/>
    <n v="64"/>
  </r>
  <r>
    <x v="2"/>
    <x v="134"/>
    <x v="6"/>
    <x v="309"/>
    <x v="229"/>
    <n v="276.60000000000002"/>
    <n v="0.8"/>
    <n v="0.5"/>
    <n v="0"/>
    <n v="0"/>
    <n v="0"/>
    <n v="0"/>
    <n v="0"/>
    <x v="399"/>
    <x v="373"/>
    <n v="44830"/>
    <x v="42"/>
    <x v="133"/>
    <n v="124"/>
    <n v="80"/>
    <n v="200"/>
  </r>
  <r>
    <x v="1"/>
    <x v="52"/>
    <x v="3"/>
    <x v="134"/>
    <x v="131"/>
    <n v="1.9"/>
    <n v="6.4"/>
    <n v="6.4"/>
    <n v="0"/>
    <n v="0"/>
    <n v="0"/>
    <n v="0"/>
    <n v="0"/>
    <x v="243"/>
    <x v="232"/>
    <n v="160373"/>
    <x v="6"/>
    <x v="16"/>
    <n v="3"/>
    <n v="18"/>
    <n v="29"/>
  </r>
  <r>
    <x v="2"/>
    <x v="113"/>
    <x v="0"/>
    <x v="258"/>
    <x v="91"/>
    <n v="31.5"/>
    <n v="2.2999999999999998"/>
    <n v="1.1000000000000001"/>
    <n v="38.5"/>
    <n v="16.100000000000001"/>
    <n v="24.4"/>
    <n v="2.4"/>
    <n v="1.6"/>
    <x v="191"/>
    <x v="185"/>
    <n v="1041205"/>
    <x v="104"/>
    <x v="134"/>
    <n v="328"/>
    <n v="999"/>
    <n v="999"/>
  </r>
  <r>
    <x v="1"/>
    <x v="75"/>
    <x v="1"/>
    <x v="100"/>
    <x v="230"/>
    <n v="7"/>
    <n v="4.7"/>
    <n v="6.3"/>
    <n v="0"/>
    <n v="0"/>
    <n v="0"/>
    <n v="0"/>
    <n v="0"/>
    <x v="400"/>
    <x v="374"/>
    <n v="242873"/>
    <x v="8"/>
    <x v="23"/>
    <n v="17"/>
    <n v="50"/>
    <n v="64"/>
  </r>
  <r>
    <x v="2"/>
    <x v="48"/>
    <x v="0"/>
    <x v="310"/>
    <x v="231"/>
    <n v="32.200000000000003"/>
    <n v="2.2000000000000002"/>
    <n v="1.1000000000000001"/>
    <n v="42.7"/>
    <n v="17.3"/>
    <n v="25.3"/>
    <n v="2.5"/>
    <n v="1.7"/>
    <x v="401"/>
    <x v="375"/>
    <n v="1041683"/>
    <x v="157"/>
    <x v="135"/>
    <n v="335"/>
    <n v="999"/>
    <n v="999"/>
  </r>
  <r>
    <x v="0"/>
    <x v="116"/>
    <x v="3"/>
    <x v="2"/>
    <x v="2"/>
    <n v="0"/>
    <n v="0"/>
    <n v="0"/>
    <n v="0"/>
    <n v="0"/>
    <n v="0"/>
    <n v="0"/>
    <n v="0"/>
    <x v="402"/>
    <x v="376"/>
    <n v="161722"/>
    <x v="2"/>
    <x v="1"/>
    <n v="0"/>
    <n v="18"/>
    <n v="29"/>
  </r>
  <r>
    <x v="1"/>
    <x v="30"/>
    <x v="3"/>
    <x v="311"/>
    <x v="131"/>
    <n v="0.6"/>
    <n v="7"/>
    <n v="22.2"/>
    <n v="0"/>
    <n v="0"/>
    <n v="0"/>
    <n v="0"/>
    <n v="0"/>
    <x v="403"/>
    <x v="377"/>
    <n v="161549"/>
    <x v="6"/>
    <x v="16"/>
    <n v="1"/>
    <n v="18"/>
    <n v="29"/>
  </r>
  <r>
    <x v="2"/>
    <x v="95"/>
    <x v="2"/>
    <x v="244"/>
    <x v="232"/>
    <n v="236.3"/>
    <n v="0.9"/>
    <n v="0.4"/>
    <n v="0"/>
    <n v="0"/>
    <n v="0"/>
    <n v="0"/>
    <n v="0"/>
    <x v="404"/>
    <x v="378"/>
    <n v="8887"/>
    <x v="158"/>
    <x v="136"/>
    <n v="21"/>
    <n v="5"/>
    <n v="11"/>
  </r>
  <r>
    <x v="2"/>
    <x v="134"/>
    <x v="2"/>
    <x v="312"/>
    <x v="233"/>
    <n v="729.9"/>
    <n v="0.6"/>
    <n v="0.4"/>
    <n v="0"/>
    <n v="0"/>
    <n v="0"/>
    <n v="0"/>
    <n v="0"/>
    <x v="405"/>
    <x v="379"/>
    <n v="411"/>
    <x v="159"/>
    <x v="137"/>
    <n v="3"/>
    <n v="5"/>
    <n v="11"/>
  </r>
  <r>
    <x v="2"/>
    <x v="135"/>
    <x v="0"/>
    <x v="313"/>
    <x v="62"/>
    <n v="0"/>
    <n v="2.8"/>
    <n v="0"/>
    <n v="25.3"/>
    <n v="7"/>
    <n v="0"/>
    <n v="3.6"/>
    <n v="0"/>
    <x v="406"/>
    <x v="380"/>
    <n v="0"/>
    <x v="160"/>
    <x v="138"/>
    <n v="0"/>
    <n v="999"/>
    <n v="999"/>
  </r>
  <r>
    <x v="1"/>
    <x v="86"/>
    <x v="2"/>
    <x v="54"/>
    <x v="2"/>
    <n v="0"/>
    <n v="0"/>
    <n v="0"/>
    <n v="0"/>
    <n v="0"/>
    <n v="0"/>
    <n v="0"/>
    <n v="0"/>
    <x v="363"/>
    <x v="339"/>
    <n v="21161"/>
    <x v="1"/>
    <x v="1"/>
    <n v="0"/>
    <n v="5"/>
    <n v="11"/>
  </r>
  <r>
    <x v="1"/>
    <x v="10"/>
    <x v="4"/>
    <x v="300"/>
    <x v="34"/>
    <n v="0"/>
    <n v="2.6"/>
    <n v="0"/>
    <n v="0"/>
    <n v="0"/>
    <n v="0"/>
    <n v="0"/>
    <n v="0"/>
    <x v="69"/>
    <x v="69"/>
    <n v="44537"/>
    <x v="0"/>
    <x v="11"/>
    <n v="0"/>
    <n v="12"/>
    <n v="17"/>
  </r>
  <r>
    <x v="2"/>
    <x v="101"/>
    <x v="5"/>
    <x v="314"/>
    <x v="222"/>
    <n v="52.2"/>
    <n v="2.8"/>
    <n v="1.2"/>
    <n v="0"/>
    <n v="0"/>
    <n v="0"/>
    <n v="0"/>
    <n v="0"/>
    <x v="407"/>
    <x v="381"/>
    <n v="314346"/>
    <x v="101"/>
    <x v="19"/>
    <n v="164"/>
    <n v="30"/>
    <n v="49"/>
  </r>
  <r>
    <x v="0"/>
    <x v="116"/>
    <x v="2"/>
    <x v="2"/>
    <x v="2"/>
    <n v="0"/>
    <n v="0"/>
    <n v="0"/>
    <n v="0"/>
    <n v="0"/>
    <n v="0"/>
    <n v="0"/>
    <n v="0"/>
    <x v="408"/>
    <x v="382"/>
    <n v="21265"/>
    <x v="2"/>
    <x v="1"/>
    <n v="0"/>
    <n v="5"/>
    <n v="11"/>
  </r>
  <r>
    <x v="2"/>
    <x v="132"/>
    <x v="3"/>
    <x v="315"/>
    <x v="234"/>
    <n v="432.3"/>
    <n v="2"/>
    <n v="0.9"/>
    <n v="0"/>
    <n v="0"/>
    <n v="0"/>
    <n v="0"/>
    <n v="0"/>
    <x v="409"/>
    <x v="383"/>
    <n v="151504"/>
    <x v="161"/>
    <x v="139"/>
    <n v="655"/>
    <n v="18"/>
    <n v="29"/>
  </r>
  <r>
    <x v="0"/>
    <x v="83"/>
    <x v="0"/>
    <x v="113"/>
    <x v="0"/>
    <n v="0.2"/>
    <n v="2"/>
    <n v="1"/>
    <n v="0.2"/>
    <n v="0.2"/>
    <n v="0.1"/>
    <n v="1"/>
    <n v="1.4"/>
    <x v="410"/>
    <x v="384"/>
    <n v="956808"/>
    <x v="1"/>
    <x v="0"/>
    <n v="2"/>
    <n v="999"/>
    <n v="999"/>
  </r>
  <r>
    <x v="1"/>
    <x v="92"/>
    <x v="3"/>
    <x v="26"/>
    <x v="2"/>
    <n v="1.2"/>
    <n v="0"/>
    <n v="2.2000000000000002"/>
    <n v="0"/>
    <n v="0"/>
    <n v="0"/>
    <n v="0"/>
    <n v="0"/>
    <x v="411"/>
    <x v="385"/>
    <n v="161680"/>
    <x v="0"/>
    <x v="1"/>
    <n v="2"/>
    <n v="18"/>
    <n v="29"/>
  </r>
  <r>
    <x v="1"/>
    <x v="59"/>
    <x v="1"/>
    <x v="316"/>
    <x v="235"/>
    <n v="0"/>
    <n v="13.8"/>
    <n v="0"/>
    <n v="0"/>
    <n v="0"/>
    <n v="0"/>
    <n v="0"/>
    <n v="0"/>
    <x v="412"/>
    <x v="386"/>
    <n v="0"/>
    <x v="80"/>
    <x v="38"/>
    <n v="0"/>
    <n v="50"/>
    <n v="64"/>
  </r>
  <r>
    <x v="0"/>
    <x v="79"/>
    <x v="7"/>
    <x v="2"/>
    <x v="2"/>
    <n v="0"/>
    <n v="0"/>
    <n v="0"/>
    <n v="0"/>
    <n v="0"/>
    <n v="0"/>
    <n v="0"/>
    <n v="0"/>
    <x v="413"/>
    <x v="367"/>
    <n v="171728"/>
    <x v="2"/>
    <x v="1"/>
    <n v="0"/>
    <n v="65"/>
    <n v="79"/>
  </r>
  <r>
    <x v="0"/>
    <x v="45"/>
    <x v="1"/>
    <x v="317"/>
    <x v="2"/>
    <n v="0"/>
    <n v="0"/>
    <n v="0"/>
    <n v="0"/>
    <n v="0"/>
    <n v="0"/>
    <n v="0"/>
    <n v="0"/>
    <x v="398"/>
    <x v="372"/>
    <n v="0"/>
    <x v="27"/>
    <x v="1"/>
    <n v="0"/>
    <n v="50"/>
    <n v="64"/>
  </r>
  <r>
    <x v="2"/>
    <x v="26"/>
    <x v="0"/>
    <x v="318"/>
    <x v="236"/>
    <n v="103.5"/>
    <n v="1.9"/>
    <n v="1.4"/>
    <n v="161.19999999999999"/>
    <n v="78.8"/>
    <n v="97.6"/>
    <n v="2"/>
    <n v="1.7"/>
    <x v="414"/>
    <x v="387"/>
    <n v="1040217"/>
    <x v="162"/>
    <x v="140"/>
    <n v="1077"/>
    <n v="999"/>
    <n v="999"/>
  </r>
  <r>
    <x v="1"/>
    <x v="123"/>
    <x v="7"/>
    <x v="263"/>
    <x v="237"/>
    <n v="11.1"/>
    <n v="1.4"/>
    <n v="1.8"/>
    <n v="0"/>
    <n v="0"/>
    <n v="0"/>
    <n v="0"/>
    <n v="0"/>
    <x v="261"/>
    <x v="250"/>
    <n v="171710"/>
    <x v="33"/>
    <x v="48"/>
    <n v="19"/>
    <n v="65"/>
    <n v="79"/>
  </r>
  <r>
    <x v="0"/>
    <x v="105"/>
    <x v="8"/>
    <x v="2"/>
    <x v="2"/>
    <n v="0"/>
    <n v="0"/>
    <n v="0"/>
    <n v="0"/>
    <n v="0"/>
    <n v="0"/>
    <n v="0"/>
    <n v="0"/>
    <x v="28"/>
    <x v="28"/>
    <n v="0"/>
    <x v="2"/>
    <x v="1"/>
    <n v="0"/>
    <n v="0"/>
    <n v="4"/>
  </r>
  <r>
    <x v="2"/>
    <x v="136"/>
    <x v="5"/>
    <x v="319"/>
    <x v="238"/>
    <n v="0"/>
    <n v="2.9"/>
    <n v="0"/>
    <n v="0"/>
    <n v="0"/>
    <n v="0"/>
    <n v="0"/>
    <n v="0"/>
    <x v="415"/>
    <x v="388"/>
    <n v="0"/>
    <x v="163"/>
    <x v="141"/>
    <n v="0"/>
    <n v="30"/>
    <n v="49"/>
  </r>
  <r>
    <x v="2"/>
    <x v="77"/>
    <x v="2"/>
    <x v="320"/>
    <x v="239"/>
    <n v="103.7"/>
    <n v="0.9"/>
    <n v="0.8"/>
    <n v="0"/>
    <n v="0"/>
    <n v="0"/>
    <n v="0"/>
    <n v="0"/>
    <x v="416"/>
    <x v="389"/>
    <n v="21217"/>
    <x v="142"/>
    <x v="58"/>
    <n v="22"/>
    <n v="5"/>
    <n v="11"/>
  </r>
  <r>
    <x v="0"/>
    <x v="123"/>
    <x v="6"/>
    <x v="82"/>
    <x v="66"/>
    <n v="0"/>
    <n v="0.2"/>
    <n v="0"/>
    <n v="0"/>
    <n v="0"/>
    <n v="0"/>
    <n v="0"/>
    <n v="0"/>
    <x v="417"/>
    <x v="353"/>
    <n v="47126"/>
    <x v="1"/>
    <x v="11"/>
    <n v="0"/>
    <n v="80"/>
    <n v="200"/>
  </r>
  <r>
    <x v="0"/>
    <x v="127"/>
    <x v="2"/>
    <x v="2"/>
    <x v="2"/>
    <n v="0"/>
    <n v="0"/>
    <n v="0"/>
    <n v="0"/>
    <n v="0"/>
    <n v="0"/>
    <n v="0"/>
    <n v="0"/>
    <x v="418"/>
    <x v="390"/>
    <n v="0"/>
    <x v="2"/>
    <x v="1"/>
    <n v="0"/>
    <n v="5"/>
    <n v="11"/>
  </r>
  <r>
    <x v="0"/>
    <x v="124"/>
    <x v="1"/>
    <x v="321"/>
    <x v="166"/>
    <n v="0"/>
    <n v="4.0999999999999996"/>
    <n v="0"/>
    <n v="0"/>
    <n v="0"/>
    <n v="0"/>
    <n v="0"/>
    <n v="0"/>
    <x v="419"/>
    <x v="391"/>
    <n v="129378"/>
    <x v="35"/>
    <x v="38"/>
    <n v="0"/>
    <n v="50"/>
    <n v="64"/>
  </r>
  <r>
    <x v="2"/>
    <x v="54"/>
    <x v="2"/>
    <x v="322"/>
    <x v="214"/>
    <n v="9.3000000000000007"/>
    <n v="0.9"/>
    <n v="1.2"/>
    <n v="0"/>
    <n v="0"/>
    <n v="0"/>
    <n v="0"/>
    <n v="0"/>
    <x v="373"/>
    <x v="349"/>
    <n v="21516"/>
    <x v="24"/>
    <x v="17"/>
    <n v="2"/>
    <n v="5"/>
    <n v="11"/>
  </r>
  <r>
    <x v="0"/>
    <x v="116"/>
    <x v="1"/>
    <x v="2"/>
    <x v="2"/>
    <n v="0"/>
    <n v="0"/>
    <n v="0"/>
    <n v="0"/>
    <n v="0"/>
    <n v="0"/>
    <n v="0"/>
    <n v="0"/>
    <x v="225"/>
    <x v="216"/>
    <n v="246940"/>
    <x v="2"/>
    <x v="1"/>
    <n v="0"/>
    <n v="50"/>
    <n v="64"/>
  </r>
  <r>
    <x v="0"/>
    <x v="117"/>
    <x v="3"/>
    <x v="2"/>
    <x v="2"/>
    <n v="0"/>
    <n v="0"/>
    <n v="0"/>
    <n v="0"/>
    <n v="0"/>
    <n v="0"/>
    <n v="0"/>
    <n v="0"/>
    <x v="420"/>
    <x v="392"/>
    <n v="161435"/>
    <x v="2"/>
    <x v="1"/>
    <n v="0"/>
    <n v="18"/>
    <n v="29"/>
  </r>
  <r>
    <x v="2"/>
    <x v="0"/>
    <x v="6"/>
    <x v="323"/>
    <x v="240"/>
    <n v="161.6"/>
    <n v="0.9"/>
    <n v="0.6"/>
    <n v="0"/>
    <n v="0"/>
    <n v="0"/>
    <n v="0"/>
    <n v="0"/>
    <x v="377"/>
    <x v="353"/>
    <n v="47042"/>
    <x v="32"/>
    <x v="23"/>
    <n v="76"/>
    <n v="80"/>
    <n v="200"/>
  </r>
  <r>
    <x v="1"/>
    <x v="116"/>
    <x v="7"/>
    <x v="317"/>
    <x v="241"/>
    <n v="8.6999999999999993"/>
    <n v="1.1000000000000001"/>
    <n v="0.9"/>
    <n v="0"/>
    <n v="0"/>
    <n v="0"/>
    <n v="0"/>
    <n v="0"/>
    <x v="421"/>
    <x v="57"/>
    <n v="171755"/>
    <x v="45"/>
    <x v="39"/>
    <n v="15"/>
    <n v="65"/>
    <n v="79"/>
  </r>
  <r>
    <x v="2"/>
    <x v="105"/>
    <x v="0"/>
    <x v="324"/>
    <x v="242"/>
    <n v="231.3"/>
    <n v="1.7"/>
    <n v="1.1000000000000001"/>
    <n v="295.7"/>
    <n v="144.19999999999999"/>
    <n v="196.9"/>
    <n v="2.1"/>
    <n v="1.5"/>
    <x v="297"/>
    <x v="280"/>
    <n v="1014163"/>
    <x v="164"/>
    <x v="142"/>
    <n v="2346"/>
    <n v="999"/>
    <n v="999"/>
  </r>
  <r>
    <x v="1"/>
    <x v="52"/>
    <x v="2"/>
    <x v="2"/>
    <x v="2"/>
    <n v="0"/>
    <n v="0"/>
    <n v="0"/>
    <n v="0"/>
    <n v="0"/>
    <n v="0"/>
    <n v="0"/>
    <n v="0"/>
    <x v="52"/>
    <x v="52"/>
    <n v="15377"/>
    <x v="2"/>
    <x v="1"/>
    <n v="0"/>
    <n v="5"/>
    <n v="11"/>
  </r>
  <r>
    <x v="2"/>
    <x v="104"/>
    <x v="3"/>
    <x v="325"/>
    <x v="243"/>
    <n v="16.2"/>
    <n v="2.5"/>
    <n v="17.7"/>
    <n v="0"/>
    <n v="0"/>
    <n v="0"/>
    <n v="0"/>
    <n v="0"/>
    <x v="422"/>
    <x v="393"/>
    <n v="24726"/>
    <x v="165"/>
    <x v="143"/>
    <n v="4"/>
    <n v="18"/>
    <n v="29"/>
  </r>
  <r>
    <x v="0"/>
    <x v="3"/>
    <x v="3"/>
    <x v="2"/>
    <x v="2"/>
    <n v="0"/>
    <n v="0"/>
    <n v="0"/>
    <n v="0"/>
    <n v="0"/>
    <n v="0"/>
    <n v="0"/>
    <n v="0"/>
    <x v="423"/>
    <x v="394"/>
    <n v="19377"/>
    <x v="2"/>
    <x v="1"/>
    <n v="0"/>
    <n v="18"/>
    <n v="29"/>
  </r>
  <r>
    <x v="0"/>
    <x v="56"/>
    <x v="7"/>
    <x v="82"/>
    <x v="4"/>
    <n v="0.6"/>
    <n v="1.1000000000000001"/>
    <n v="6.8"/>
    <n v="0"/>
    <n v="0"/>
    <n v="0"/>
    <n v="0"/>
    <n v="0"/>
    <x v="424"/>
    <x v="395"/>
    <n v="158525"/>
    <x v="0"/>
    <x v="11"/>
    <n v="1"/>
    <n v="65"/>
    <n v="79"/>
  </r>
  <r>
    <x v="2"/>
    <x v="69"/>
    <x v="0"/>
    <x v="326"/>
    <x v="117"/>
    <n v="66.599999999999994"/>
    <n v="2"/>
    <n v="1.6"/>
    <n v="119"/>
    <n v="55.3"/>
    <n v="57.4"/>
    <n v="2.2000000000000002"/>
    <n v="2.1"/>
    <x v="77"/>
    <x v="77"/>
    <n v="868745"/>
    <x v="166"/>
    <x v="144"/>
    <n v="579"/>
    <n v="999"/>
    <n v="999"/>
  </r>
  <r>
    <x v="0"/>
    <x v="94"/>
    <x v="8"/>
    <x v="2"/>
    <x v="2"/>
    <n v="0"/>
    <n v="0"/>
    <n v="0"/>
    <n v="0"/>
    <n v="0"/>
    <n v="0"/>
    <n v="0"/>
    <n v="0"/>
    <x v="28"/>
    <x v="28"/>
    <n v="0"/>
    <x v="2"/>
    <x v="1"/>
    <n v="0"/>
    <n v="0"/>
    <n v="4"/>
  </r>
  <r>
    <x v="2"/>
    <x v="36"/>
    <x v="0"/>
    <x v="327"/>
    <x v="244"/>
    <n v="96.5"/>
    <n v="1.9"/>
    <n v="1.4"/>
    <n v="155.1"/>
    <n v="75.2"/>
    <n v="94.4"/>
    <n v="2.1"/>
    <n v="1.6"/>
    <x v="425"/>
    <x v="396"/>
    <n v="1040388"/>
    <x v="167"/>
    <x v="145"/>
    <n v="1004"/>
    <n v="999"/>
    <n v="999"/>
  </r>
  <r>
    <x v="2"/>
    <x v="63"/>
    <x v="2"/>
    <x v="328"/>
    <x v="245"/>
    <n v="128.5"/>
    <n v="1.4"/>
    <n v="1"/>
    <n v="0"/>
    <n v="0"/>
    <n v="0"/>
    <n v="0"/>
    <n v="0"/>
    <x v="70"/>
    <x v="70"/>
    <n v="21005"/>
    <x v="74"/>
    <x v="146"/>
    <n v="27"/>
    <n v="5"/>
    <n v="11"/>
  </r>
  <r>
    <x v="0"/>
    <x v="6"/>
    <x v="7"/>
    <x v="2"/>
    <x v="2"/>
    <n v="0.6"/>
    <n v="0"/>
    <n v="0"/>
    <n v="0"/>
    <n v="0"/>
    <n v="0"/>
    <n v="0"/>
    <n v="0"/>
    <x v="426"/>
    <x v="397"/>
    <n v="171309"/>
    <x v="2"/>
    <x v="1"/>
    <n v="1"/>
    <n v="65"/>
    <n v="79"/>
  </r>
  <r>
    <x v="1"/>
    <x v="23"/>
    <x v="1"/>
    <x v="329"/>
    <x v="246"/>
    <n v="7.7"/>
    <n v="3.1"/>
    <n v="7.3"/>
    <n v="0"/>
    <n v="0"/>
    <n v="0"/>
    <n v="0"/>
    <n v="0"/>
    <x v="427"/>
    <x v="398"/>
    <n v="246742"/>
    <x v="29"/>
    <x v="57"/>
    <n v="19"/>
    <n v="50"/>
    <n v="64"/>
  </r>
  <r>
    <x v="0"/>
    <x v="78"/>
    <x v="1"/>
    <x v="133"/>
    <x v="2"/>
    <n v="0"/>
    <n v="0"/>
    <n v="0"/>
    <n v="0"/>
    <n v="0"/>
    <n v="0"/>
    <n v="0"/>
    <n v="0"/>
    <x v="428"/>
    <x v="399"/>
    <n v="0"/>
    <x v="6"/>
    <x v="1"/>
    <n v="0"/>
    <n v="50"/>
    <n v="64"/>
  </r>
  <r>
    <x v="1"/>
    <x v="109"/>
    <x v="6"/>
    <x v="330"/>
    <x v="114"/>
    <n v="44.6"/>
    <n v="0.6"/>
    <n v="1"/>
    <n v="0"/>
    <n v="0"/>
    <n v="0"/>
    <n v="0"/>
    <n v="0"/>
    <x v="429"/>
    <x v="400"/>
    <n v="47117"/>
    <x v="6"/>
    <x v="5"/>
    <n v="21"/>
    <n v="80"/>
    <n v="200"/>
  </r>
  <r>
    <x v="1"/>
    <x v="90"/>
    <x v="0"/>
    <x v="331"/>
    <x v="176"/>
    <n v="8.3000000000000007"/>
    <n v="2.2000000000000002"/>
    <n v="1.3"/>
    <n v="14.1"/>
    <n v="6.6"/>
    <n v="5.5"/>
    <n v="2.1"/>
    <n v="2.6"/>
    <x v="263"/>
    <x v="252"/>
    <n v="969242"/>
    <x v="72"/>
    <x v="61"/>
    <n v="80"/>
    <n v="999"/>
    <n v="999"/>
  </r>
  <r>
    <x v="1"/>
    <x v="41"/>
    <x v="7"/>
    <x v="332"/>
    <x v="247"/>
    <n v="28.8"/>
    <n v="1.4"/>
    <n v="1.6"/>
    <n v="0"/>
    <n v="0"/>
    <n v="0"/>
    <n v="0"/>
    <n v="0"/>
    <x v="430"/>
    <x v="401"/>
    <n v="169993"/>
    <x v="46"/>
    <x v="75"/>
    <n v="49"/>
    <n v="65"/>
    <n v="79"/>
  </r>
  <r>
    <x v="2"/>
    <x v="131"/>
    <x v="4"/>
    <x v="333"/>
    <x v="6"/>
    <n v="0"/>
    <n v="12"/>
    <n v="0"/>
    <n v="0"/>
    <n v="0"/>
    <n v="0"/>
    <n v="0"/>
    <n v="0"/>
    <x v="431"/>
    <x v="402"/>
    <n v="0"/>
    <x v="107"/>
    <x v="75"/>
    <n v="0"/>
    <n v="12"/>
    <n v="17"/>
  </r>
  <r>
    <x v="1"/>
    <x v="27"/>
    <x v="0"/>
    <x v="334"/>
    <x v="162"/>
    <n v="6.9"/>
    <n v="2.8"/>
    <n v="1.2"/>
    <n v="10.4"/>
    <n v="4.5"/>
    <n v="4.5999999999999996"/>
    <n v="2.2999999999999998"/>
    <n v="2.2000000000000002"/>
    <x v="432"/>
    <x v="403"/>
    <n v="1047121"/>
    <x v="44"/>
    <x v="88"/>
    <n v="72"/>
    <n v="999"/>
    <n v="999"/>
  </r>
  <r>
    <x v="1"/>
    <x v="47"/>
    <x v="1"/>
    <x v="335"/>
    <x v="62"/>
    <n v="8.9"/>
    <n v="7.8"/>
    <n v="7.7"/>
    <n v="0"/>
    <n v="0"/>
    <n v="0"/>
    <n v="0"/>
    <n v="0"/>
    <x v="170"/>
    <x v="167"/>
    <n v="246789"/>
    <x v="56"/>
    <x v="7"/>
    <n v="22"/>
    <n v="50"/>
    <n v="64"/>
  </r>
  <r>
    <x v="2"/>
    <x v="102"/>
    <x v="0"/>
    <x v="336"/>
    <x v="248"/>
    <n v="40.700000000000003"/>
    <n v="2.1"/>
    <n v="1.2"/>
    <n v="52.2"/>
    <n v="22"/>
    <n v="35.9"/>
    <n v="2.4"/>
    <n v="1.5"/>
    <x v="433"/>
    <x v="404"/>
    <n v="911102"/>
    <x v="168"/>
    <x v="147"/>
    <n v="371"/>
    <n v="999"/>
    <n v="999"/>
  </r>
  <r>
    <x v="0"/>
    <x v="2"/>
    <x v="5"/>
    <x v="2"/>
    <x v="19"/>
    <n v="0"/>
    <n v="0"/>
    <n v="0"/>
    <n v="0"/>
    <n v="0"/>
    <n v="0"/>
    <n v="0"/>
    <n v="0"/>
    <x v="434"/>
    <x v="405"/>
    <n v="346520"/>
    <x v="2"/>
    <x v="0"/>
    <n v="0"/>
    <n v="30"/>
    <n v="49"/>
  </r>
  <r>
    <x v="0"/>
    <x v="100"/>
    <x v="5"/>
    <x v="2"/>
    <x v="2"/>
    <n v="0"/>
    <n v="0"/>
    <n v="0"/>
    <n v="0"/>
    <n v="0"/>
    <n v="0"/>
    <n v="0"/>
    <n v="0"/>
    <x v="435"/>
    <x v="406"/>
    <n v="337248"/>
    <x v="2"/>
    <x v="1"/>
    <n v="0"/>
    <n v="30"/>
    <n v="49"/>
  </r>
  <r>
    <x v="0"/>
    <x v="94"/>
    <x v="3"/>
    <x v="2"/>
    <x v="2"/>
    <n v="0"/>
    <n v="0"/>
    <n v="0"/>
    <n v="0"/>
    <n v="0"/>
    <n v="0"/>
    <n v="0"/>
    <n v="0"/>
    <x v="436"/>
    <x v="407"/>
    <n v="161636"/>
    <x v="2"/>
    <x v="1"/>
    <n v="0"/>
    <n v="18"/>
    <n v="29"/>
  </r>
  <r>
    <x v="0"/>
    <x v="13"/>
    <x v="4"/>
    <x v="2"/>
    <x v="2"/>
    <n v="0"/>
    <n v="0"/>
    <n v="0"/>
    <n v="0"/>
    <n v="0"/>
    <n v="0"/>
    <n v="0"/>
    <n v="0"/>
    <x v="437"/>
    <x v="408"/>
    <n v="8581"/>
    <x v="2"/>
    <x v="1"/>
    <n v="0"/>
    <n v="12"/>
    <n v="17"/>
  </r>
  <r>
    <x v="1"/>
    <x v="11"/>
    <x v="4"/>
    <x v="2"/>
    <x v="2"/>
    <n v="0"/>
    <n v="0"/>
    <n v="0"/>
    <n v="0"/>
    <n v="0"/>
    <n v="0"/>
    <n v="0"/>
    <n v="0"/>
    <x v="438"/>
    <x v="409"/>
    <n v="44575"/>
    <x v="2"/>
    <x v="1"/>
    <n v="0"/>
    <n v="12"/>
    <n v="17"/>
  </r>
  <r>
    <x v="2"/>
    <x v="45"/>
    <x v="8"/>
    <x v="337"/>
    <x v="2"/>
    <n v="0"/>
    <n v="0"/>
    <n v="0"/>
    <n v="0"/>
    <n v="0"/>
    <n v="0"/>
    <n v="0"/>
    <n v="0"/>
    <x v="28"/>
    <x v="28"/>
    <n v="0"/>
    <x v="7"/>
    <x v="1"/>
    <n v="0"/>
    <n v="0"/>
    <n v="4"/>
  </r>
  <r>
    <x v="2"/>
    <x v="96"/>
    <x v="4"/>
    <x v="338"/>
    <x v="249"/>
    <n v="49.4"/>
    <n v="1.9"/>
    <n v="2.4"/>
    <n v="0"/>
    <n v="0"/>
    <n v="0"/>
    <n v="0"/>
    <n v="0"/>
    <x v="439"/>
    <x v="410"/>
    <n v="44562"/>
    <x v="155"/>
    <x v="82"/>
    <n v="22"/>
    <n v="12"/>
    <n v="17"/>
  </r>
  <r>
    <x v="2"/>
    <x v="25"/>
    <x v="5"/>
    <x v="339"/>
    <x v="250"/>
    <n v="267.60000000000002"/>
    <n v="1.8"/>
    <n v="1.5"/>
    <n v="0"/>
    <n v="0"/>
    <n v="0"/>
    <n v="0"/>
    <n v="0"/>
    <x v="27"/>
    <x v="27"/>
    <n v="273200"/>
    <x v="169"/>
    <x v="148"/>
    <n v="731"/>
    <n v="30"/>
    <n v="49"/>
  </r>
  <r>
    <x v="2"/>
    <x v="137"/>
    <x v="7"/>
    <x v="340"/>
    <x v="251"/>
    <n v="89.2"/>
    <n v="1"/>
    <n v="0.8"/>
    <n v="0"/>
    <n v="0"/>
    <n v="0"/>
    <n v="0"/>
    <n v="0"/>
    <x v="440"/>
    <x v="411"/>
    <n v="172629"/>
    <x v="32"/>
    <x v="149"/>
    <n v="154"/>
    <n v="65"/>
    <n v="79"/>
  </r>
  <r>
    <x v="1"/>
    <x v="20"/>
    <x v="0"/>
    <x v="341"/>
    <x v="116"/>
    <n v="0"/>
    <n v="4.5999999999999996"/>
    <n v="0"/>
    <n v="13.2"/>
    <n v="1.6"/>
    <n v="0"/>
    <n v="8.3000000000000007"/>
    <n v="0"/>
    <x v="441"/>
    <x v="412"/>
    <n v="0"/>
    <x v="115"/>
    <x v="149"/>
    <n v="0"/>
    <n v="999"/>
    <n v="999"/>
  </r>
  <r>
    <x v="0"/>
    <x v="77"/>
    <x v="4"/>
    <x v="2"/>
    <x v="2"/>
    <n v="0"/>
    <n v="0"/>
    <n v="0"/>
    <n v="0"/>
    <n v="0"/>
    <n v="0"/>
    <n v="0"/>
    <n v="0"/>
    <x v="247"/>
    <x v="236"/>
    <n v="44563"/>
    <x v="2"/>
    <x v="1"/>
    <n v="0"/>
    <n v="12"/>
    <n v="17"/>
  </r>
  <r>
    <x v="2"/>
    <x v="22"/>
    <x v="4"/>
    <x v="342"/>
    <x v="252"/>
    <n v="134.80000000000001"/>
    <n v="2.1"/>
    <n v="1.6"/>
    <n v="0"/>
    <n v="0"/>
    <n v="0"/>
    <n v="0"/>
    <n v="0"/>
    <x v="442"/>
    <x v="413"/>
    <n v="44514"/>
    <x v="170"/>
    <x v="150"/>
    <n v="60"/>
    <n v="12"/>
    <n v="17"/>
  </r>
  <r>
    <x v="1"/>
    <x v="84"/>
    <x v="2"/>
    <x v="2"/>
    <x v="2"/>
    <n v="0"/>
    <n v="0"/>
    <n v="0"/>
    <n v="0"/>
    <n v="0"/>
    <n v="0"/>
    <n v="0"/>
    <n v="0"/>
    <x v="443"/>
    <x v="382"/>
    <n v="21266"/>
    <x v="2"/>
    <x v="1"/>
    <n v="0"/>
    <n v="5"/>
    <n v="11"/>
  </r>
  <r>
    <x v="0"/>
    <x v="60"/>
    <x v="7"/>
    <x v="343"/>
    <x v="253"/>
    <n v="7.4"/>
    <n v="0.8"/>
    <n v="3.3"/>
    <n v="0"/>
    <n v="0"/>
    <n v="0"/>
    <n v="0"/>
    <n v="0"/>
    <x v="444"/>
    <x v="414"/>
    <n v="148949"/>
    <x v="27"/>
    <x v="3"/>
    <n v="11"/>
    <n v="65"/>
    <n v="79"/>
  </r>
  <r>
    <x v="2"/>
    <x v="138"/>
    <x v="8"/>
    <x v="344"/>
    <x v="2"/>
    <n v="0"/>
    <n v="0"/>
    <n v="0"/>
    <n v="0"/>
    <n v="0"/>
    <n v="0"/>
    <n v="0"/>
    <n v="0"/>
    <x v="28"/>
    <x v="28"/>
    <n v="0"/>
    <x v="171"/>
    <x v="1"/>
    <n v="0"/>
    <n v="0"/>
    <n v="4"/>
  </r>
  <r>
    <x v="2"/>
    <x v="18"/>
    <x v="2"/>
    <x v="345"/>
    <x v="254"/>
    <n v="335.2"/>
    <n v="0.6"/>
    <n v="0.7"/>
    <n v="0"/>
    <n v="0"/>
    <n v="0"/>
    <n v="0"/>
    <n v="0"/>
    <x v="445"/>
    <x v="415"/>
    <n v="895"/>
    <x v="172"/>
    <x v="151"/>
    <n v="3"/>
    <n v="5"/>
    <n v="11"/>
  </r>
  <r>
    <x v="0"/>
    <x v="73"/>
    <x v="8"/>
    <x v="2"/>
    <x v="2"/>
    <n v="0"/>
    <n v="0"/>
    <n v="0"/>
    <n v="0"/>
    <n v="0"/>
    <n v="0"/>
    <n v="0"/>
    <n v="0"/>
    <x v="28"/>
    <x v="28"/>
    <n v="0"/>
    <x v="2"/>
    <x v="1"/>
    <n v="0"/>
    <n v="0"/>
    <n v="4"/>
  </r>
  <r>
    <x v="1"/>
    <x v="81"/>
    <x v="1"/>
    <x v="346"/>
    <x v="61"/>
    <n v="0"/>
    <n v="15.5"/>
    <n v="0"/>
    <n v="0"/>
    <n v="0"/>
    <n v="0"/>
    <n v="0"/>
    <n v="0"/>
    <x v="222"/>
    <x v="213"/>
    <n v="0"/>
    <x v="75"/>
    <x v="26"/>
    <n v="0"/>
    <n v="50"/>
    <n v="64"/>
  </r>
  <r>
    <x v="1"/>
    <x v="94"/>
    <x v="6"/>
    <x v="347"/>
    <x v="114"/>
    <n v="38.200000000000003"/>
    <n v="0.3"/>
    <n v="0.5"/>
    <n v="0"/>
    <n v="0"/>
    <n v="0"/>
    <n v="0"/>
    <n v="0"/>
    <x v="348"/>
    <x v="325"/>
    <n v="47117"/>
    <x v="13"/>
    <x v="5"/>
    <n v="18"/>
    <n v="80"/>
    <n v="200"/>
  </r>
  <r>
    <x v="1"/>
    <x v="60"/>
    <x v="5"/>
    <x v="21"/>
    <x v="255"/>
    <n v="2.8"/>
    <n v="2.4"/>
    <n v="4.5"/>
    <n v="0"/>
    <n v="0"/>
    <n v="0"/>
    <n v="0"/>
    <n v="0"/>
    <x v="446"/>
    <x v="416"/>
    <n v="286318"/>
    <x v="8"/>
    <x v="36"/>
    <n v="8"/>
    <n v="30"/>
    <n v="49"/>
  </r>
  <r>
    <x v="0"/>
    <x v="55"/>
    <x v="1"/>
    <x v="2"/>
    <x v="2"/>
    <n v="0"/>
    <n v="0"/>
    <n v="0"/>
    <n v="0"/>
    <n v="0"/>
    <n v="0"/>
    <n v="0"/>
    <n v="0"/>
    <x v="447"/>
    <x v="38"/>
    <n v="246939"/>
    <x v="2"/>
    <x v="1"/>
    <n v="0"/>
    <n v="50"/>
    <n v="64"/>
  </r>
  <r>
    <x v="0"/>
    <x v="102"/>
    <x v="0"/>
    <x v="108"/>
    <x v="38"/>
    <n v="0.2"/>
    <n v="1.7"/>
    <n v="6"/>
    <n v="1.3"/>
    <n v="1.1000000000000001"/>
    <n v="0.1"/>
    <n v="1.2"/>
    <n v="11.3"/>
    <x v="433"/>
    <x v="404"/>
    <n v="911102"/>
    <x v="33"/>
    <x v="48"/>
    <n v="2"/>
    <n v="999"/>
    <n v="999"/>
  </r>
  <r>
    <x v="0"/>
    <x v="38"/>
    <x v="6"/>
    <x v="2"/>
    <x v="2"/>
    <n v="0"/>
    <n v="0"/>
    <n v="0"/>
    <n v="0"/>
    <n v="0"/>
    <n v="0"/>
    <n v="0"/>
    <n v="0"/>
    <x v="448"/>
    <x v="353"/>
    <n v="47133"/>
    <x v="2"/>
    <x v="1"/>
    <n v="0"/>
    <n v="80"/>
    <n v="200"/>
  </r>
  <r>
    <x v="1"/>
    <x v="41"/>
    <x v="4"/>
    <x v="348"/>
    <x v="73"/>
    <n v="0"/>
    <n v="5.0999999999999996"/>
    <n v="0"/>
    <n v="0"/>
    <n v="0"/>
    <n v="0"/>
    <n v="0"/>
    <n v="0"/>
    <x v="449"/>
    <x v="417"/>
    <n v="41021"/>
    <x v="0"/>
    <x v="0"/>
    <n v="0"/>
    <n v="12"/>
    <n v="17"/>
  </r>
  <r>
    <x v="1"/>
    <x v="10"/>
    <x v="2"/>
    <x v="2"/>
    <x v="17"/>
    <n v="0"/>
    <n v="0"/>
    <n v="0"/>
    <n v="0"/>
    <n v="0"/>
    <n v="0"/>
    <n v="0"/>
    <n v="0"/>
    <x v="450"/>
    <x v="418"/>
    <n v="21158"/>
    <x v="2"/>
    <x v="0"/>
    <n v="0"/>
    <n v="5"/>
    <n v="11"/>
  </r>
  <r>
    <x v="0"/>
    <x v="75"/>
    <x v="4"/>
    <x v="2"/>
    <x v="2"/>
    <n v="0"/>
    <n v="0"/>
    <n v="0"/>
    <n v="0"/>
    <n v="0"/>
    <n v="0"/>
    <n v="0"/>
    <n v="0"/>
    <x v="451"/>
    <x v="419"/>
    <n v="39673"/>
    <x v="2"/>
    <x v="1"/>
    <n v="0"/>
    <n v="12"/>
    <n v="17"/>
  </r>
  <r>
    <x v="1"/>
    <x v="98"/>
    <x v="0"/>
    <x v="75"/>
    <x v="13"/>
    <n v="2.7"/>
    <n v="3.7"/>
    <n v="0.8"/>
    <n v="3.3"/>
    <n v="0.7"/>
    <n v="2"/>
    <n v="5"/>
    <n v="1.7"/>
    <x v="374"/>
    <x v="350"/>
    <n v="1040691"/>
    <x v="27"/>
    <x v="21"/>
    <n v="28"/>
    <n v="999"/>
    <n v="999"/>
  </r>
  <r>
    <x v="1"/>
    <x v="98"/>
    <x v="7"/>
    <x v="117"/>
    <x v="34"/>
    <n v="8.6999999999999993"/>
    <n v="3.3"/>
    <n v="0.9"/>
    <n v="0"/>
    <n v="0"/>
    <n v="0"/>
    <n v="0"/>
    <n v="0"/>
    <x v="452"/>
    <x v="341"/>
    <n v="171732"/>
    <x v="45"/>
    <x v="0"/>
    <n v="15"/>
    <n v="65"/>
    <n v="79"/>
  </r>
  <r>
    <x v="1"/>
    <x v="87"/>
    <x v="6"/>
    <x v="71"/>
    <x v="217"/>
    <n v="18"/>
    <n v="2.4"/>
    <n v="3"/>
    <n v="0"/>
    <n v="0"/>
    <n v="0"/>
    <n v="0"/>
    <n v="0"/>
    <x v="453"/>
    <x v="420"/>
    <n v="11093"/>
    <x v="91"/>
    <x v="17"/>
    <n v="2"/>
    <n v="80"/>
    <n v="200"/>
  </r>
  <r>
    <x v="2"/>
    <x v="96"/>
    <x v="0"/>
    <x v="349"/>
    <x v="256"/>
    <n v="80.2"/>
    <n v="1.7"/>
    <n v="1.3"/>
    <n v="120.6"/>
    <n v="62.1"/>
    <n v="80.3"/>
    <n v="1.9"/>
    <n v="1.5"/>
    <x v="139"/>
    <x v="138"/>
    <n v="1040472"/>
    <x v="173"/>
    <x v="152"/>
    <n v="834"/>
    <n v="999"/>
    <n v="999"/>
  </r>
  <r>
    <x v="0"/>
    <x v="43"/>
    <x v="1"/>
    <x v="2"/>
    <x v="2"/>
    <n v="0"/>
    <n v="0"/>
    <n v="0"/>
    <n v="0"/>
    <n v="0"/>
    <n v="0"/>
    <n v="0"/>
    <n v="0"/>
    <x v="454"/>
    <x v="64"/>
    <n v="246933"/>
    <x v="2"/>
    <x v="1"/>
    <n v="0"/>
    <n v="50"/>
    <n v="64"/>
  </r>
  <r>
    <x v="2"/>
    <x v="69"/>
    <x v="2"/>
    <x v="350"/>
    <x v="11"/>
    <n v="0"/>
    <n v="0.7"/>
    <n v="0"/>
    <n v="0"/>
    <n v="0"/>
    <n v="0"/>
    <n v="0"/>
    <n v="0"/>
    <x v="455"/>
    <x v="421"/>
    <n v="0"/>
    <x v="140"/>
    <x v="92"/>
    <n v="0"/>
    <n v="5"/>
    <n v="11"/>
  </r>
  <r>
    <x v="1"/>
    <x v="92"/>
    <x v="1"/>
    <x v="351"/>
    <x v="221"/>
    <n v="2.4"/>
    <n v="5"/>
    <n v="5"/>
    <n v="0"/>
    <n v="0"/>
    <n v="0"/>
    <n v="0"/>
    <n v="0"/>
    <x v="456"/>
    <x v="422"/>
    <n v="246895"/>
    <x v="20"/>
    <x v="39"/>
    <n v="6"/>
    <n v="50"/>
    <n v="64"/>
  </r>
  <r>
    <x v="1"/>
    <x v="133"/>
    <x v="0"/>
    <x v="352"/>
    <x v="257"/>
    <n v="0"/>
    <n v="7.5"/>
    <n v="0"/>
    <n v="26.2"/>
    <n v="1.6"/>
    <n v="0"/>
    <n v="16.899999999999999"/>
    <n v="0"/>
    <x v="457"/>
    <x v="423"/>
    <n v="0"/>
    <x v="150"/>
    <x v="59"/>
    <n v="0"/>
    <n v="999"/>
    <n v="999"/>
  </r>
  <r>
    <x v="2"/>
    <x v="4"/>
    <x v="3"/>
    <x v="353"/>
    <x v="258"/>
    <n v="191.3"/>
    <n v="2.4"/>
    <n v="0.9"/>
    <n v="0"/>
    <n v="0"/>
    <n v="0"/>
    <n v="0"/>
    <n v="0"/>
    <x v="4"/>
    <x v="4"/>
    <n v="147442"/>
    <x v="174"/>
    <x v="153"/>
    <n v="282"/>
    <n v="18"/>
    <n v="29"/>
  </r>
  <r>
    <x v="0"/>
    <x v="87"/>
    <x v="4"/>
    <x v="2"/>
    <x v="2"/>
    <n v="0"/>
    <n v="0"/>
    <n v="0"/>
    <n v="0"/>
    <n v="0"/>
    <n v="0"/>
    <n v="0"/>
    <n v="0"/>
    <x v="458"/>
    <x v="424"/>
    <n v="0"/>
    <x v="2"/>
    <x v="1"/>
    <n v="0"/>
    <n v="12"/>
    <n v="17"/>
  </r>
  <r>
    <x v="2"/>
    <x v="111"/>
    <x v="0"/>
    <x v="354"/>
    <x v="259"/>
    <n v="156.9"/>
    <n v="1.7"/>
    <n v="1.3"/>
    <n v="236.5"/>
    <n v="119.9"/>
    <n v="150.30000000000001"/>
    <n v="2"/>
    <n v="1.6"/>
    <x v="459"/>
    <x v="425"/>
    <n v="1030965"/>
    <x v="175"/>
    <x v="154"/>
    <n v="1618"/>
    <n v="999"/>
    <n v="999"/>
  </r>
  <r>
    <x v="2"/>
    <x v="28"/>
    <x v="6"/>
    <x v="355"/>
    <x v="260"/>
    <n v="152.80000000000001"/>
    <n v="0.8"/>
    <n v="0.7"/>
    <n v="0"/>
    <n v="0"/>
    <n v="0"/>
    <n v="0"/>
    <n v="0"/>
    <x v="326"/>
    <x v="49"/>
    <n v="47125"/>
    <x v="60"/>
    <x v="36"/>
    <n v="72"/>
    <n v="80"/>
    <n v="200"/>
  </r>
  <r>
    <x v="2"/>
    <x v="82"/>
    <x v="1"/>
    <x v="356"/>
    <x v="123"/>
    <n v="10.1"/>
    <n v="2.7"/>
    <n v="2.1"/>
    <n v="0"/>
    <n v="0"/>
    <n v="0"/>
    <n v="0"/>
    <n v="0"/>
    <x v="238"/>
    <x v="228"/>
    <n v="246931"/>
    <x v="64"/>
    <x v="17"/>
    <n v="25"/>
    <n v="50"/>
    <n v="64"/>
  </r>
  <r>
    <x v="1"/>
    <x v="138"/>
    <x v="3"/>
    <x v="357"/>
    <x v="2"/>
    <n v="0"/>
    <n v="0"/>
    <n v="0"/>
    <n v="0"/>
    <n v="0"/>
    <n v="0"/>
    <n v="0"/>
    <n v="0"/>
    <x v="460"/>
    <x v="426"/>
    <n v="0"/>
    <x v="60"/>
    <x v="1"/>
    <n v="0"/>
    <n v="18"/>
    <n v="29"/>
  </r>
  <r>
    <x v="2"/>
    <x v="59"/>
    <x v="7"/>
    <x v="358"/>
    <x v="261"/>
    <n v="0"/>
    <n v="2.8"/>
    <n v="0"/>
    <n v="0"/>
    <n v="0"/>
    <n v="0"/>
    <n v="0"/>
    <n v="0"/>
    <x v="176"/>
    <x v="173"/>
    <n v="0"/>
    <x v="176"/>
    <x v="155"/>
    <n v="0"/>
    <n v="65"/>
    <n v="79"/>
  </r>
  <r>
    <x v="2"/>
    <x v="126"/>
    <x v="8"/>
    <x v="359"/>
    <x v="17"/>
    <n v="0"/>
    <n v="29.8"/>
    <n v="0"/>
    <n v="0"/>
    <n v="0"/>
    <n v="0"/>
    <n v="0"/>
    <n v="0"/>
    <x v="28"/>
    <x v="28"/>
    <n v="0"/>
    <x v="177"/>
    <x v="11"/>
    <n v="0"/>
    <n v="0"/>
    <n v="4"/>
  </r>
  <r>
    <x v="2"/>
    <x v="11"/>
    <x v="2"/>
    <x v="360"/>
    <x v="54"/>
    <n v="89.5"/>
    <n v="1"/>
    <n v="0.4"/>
    <n v="0"/>
    <n v="0"/>
    <n v="0"/>
    <n v="0"/>
    <n v="0"/>
    <x v="461"/>
    <x v="427"/>
    <n v="21239"/>
    <x v="137"/>
    <x v="37"/>
    <n v="19"/>
    <n v="5"/>
    <n v="11"/>
  </r>
  <r>
    <x v="1"/>
    <x v="6"/>
    <x v="7"/>
    <x v="313"/>
    <x v="262"/>
    <n v="16.3"/>
    <n v="1.2"/>
    <n v="1.5"/>
    <n v="0"/>
    <n v="0"/>
    <n v="0"/>
    <n v="0"/>
    <n v="0"/>
    <x v="426"/>
    <x v="397"/>
    <n v="171309"/>
    <x v="6"/>
    <x v="13"/>
    <n v="28"/>
    <n v="65"/>
    <n v="79"/>
  </r>
  <r>
    <x v="0"/>
    <x v="103"/>
    <x v="7"/>
    <x v="60"/>
    <x v="2"/>
    <n v="0"/>
    <n v="0"/>
    <n v="0"/>
    <n v="0"/>
    <n v="0"/>
    <n v="0"/>
    <n v="0"/>
    <n v="0"/>
    <x v="462"/>
    <x v="428"/>
    <n v="0"/>
    <x v="0"/>
    <x v="1"/>
    <n v="0"/>
    <n v="65"/>
    <n v="79"/>
  </r>
  <r>
    <x v="1"/>
    <x v="29"/>
    <x v="3"/>
    <x v="33"/>
    <x v="100"/>
    <n v="1.3"/>
    <n v="3"/>
    <n v="9.8000000000000007"/>
    <n v="0"/>
    <n v="0"/>
    <n v="0"/>
    <n v="0"/>
    <n v="0"/>
    <x v="463"/>
    <x v="429"/>
    <n v="155323"/>
    <x v="27"/>
    <x v="13"/>
    <n v="2"/>
    <n v="18"/>
    <n v="29"/>
  </r>
  <r>
    <x v="1"/>
    <x v="97"/>
    <x v="6"/>
    <x v="361"/>
    <x v="263"/>
    <n v="17.899999999999999"/>
    <n v="1.1000000000000001"/>
    <n v="5.3"/>
    <n v="0"/>
    <n v="0"/>
    <n v="0"/>
    <n v="0"/>
    <n v="0"/>
    <x v="464"/>
    <x v="430"/>
    <n v="28010"/>
    <x v="60"/>
    <x v="133"/>
    <n v="5"/>
    <n v="80"/>
    <n v="200"/>
  </r>
  <r>
    <x v="2"/>
    <x v="100"/>
    <x v="0"/>
    <x v="362"/>
    <x v="264"/>
    <n v="269.3"/>
    <n v="1.5"/>
    <n v="1"/>
    <n v="303"/>
    <n v="167.2"/>
    <n v="241.1"/>
    <n v="1.8"/>
    <n v="1.3"/>
    <x v="465"/>
    <x v="431"/>
    <n v="979825"/>
    <x v="178"/>
    <x v="156"/>
    <n v="2639"/>
    <n v="999"/>
    <n v="999"/>
  </r>
  <r>
    <x v="0"/>
    <x v="86"/>
    <x v="8"/>
    <x v="2"/>
    <x v="2"/>
    <n v="0"/>
    <n v="0"/>
    <n v="0"/>
    <n v="0"/>
    <n v="0"/>
    <n v="0"/>
    <n v="0"/>
    <n v="0"/>
    <x v="28"/>
    <x v="28"/>
    <n v="0"/>
    <x v="2"/>
    <x v="1"/>
    <n v="0"/>
    <n v="0"/>
    <n v="4"/>
  </r>
  <r>
    <x v="1"/>
    <x v="50"/>
    <x v="3"/>
    <x v="99"/>
    <x v="100"/>
    <n v="0.6"/>
    <n v="0.5"/>
    <n v="3.5"/>
    <n v="0"/>
    <n v="0"/>
    <n v="0"/>
    <n v="0"/>
    <n v="0"/>
    <x v="318"/>
    <x v="300"/>
    <n v="154755"/>
    <x v="0"/>
    <x v="13"/>
    <n v="1"/>
    <n v="18"/>
    <n v="29"/>
  </r>
  <r>
    <x v="0"/>
    <x v="3"/>
    <x v="5"/>
    <x v="76"/>
    <x v="2"/>
    <n v="0"/>
    <n v="0"/>
    <n v="0"/>
    <n v="0"/>
    <n v="0"/>
    <n v="0"/>
    <n v="0"/>
    <n v="0"/>
    <x v="466"/>
    <x v="432"/>
    <n v="63876"/>
    <x v="45"/>
    <x v="1"/>
    <n v="0"/>
    <n v="30"/>
    <n v="49"/>
  </r>
  <r>
    <x v="1"/>
    <x v="42"/>
    <x v="1"/>
    <x v="155"/>
    <x v="127"/>
    <n v="1.3"/>
    <n v="1.5"/>
    <n v="3.4"/>
    <n v="0"/>
    <n v="0"/>
    <n v="0"/>
    <n v="0"/>
    <n v="0"/>
    <x v="467"/>
    <x v="433"/>
    <n v="227154"/>
    <x v="0"/>
    <x v="16"/>
    <n v="3"/>
    <n v="50"/>
    <n v="64"/>
  </r>
  <r>
    <x v="2"/>
    <x v="135"/>
    <x v="1"/>
    <x v="363"/>
    <x v="265"/>
    <n v="0"/>
    <n v="3.1"/>
    <n v="0"/>
    <n v="0"/>
    <n v="0"/>
    <n v="0"/>
    <n v="0"/>
    <n v="0"/>
    <x v="468"/>
    <x v="434"/>
    <n v="0"/>
    <x v="37"/>
    <x v="31"/>
    <n v="0"/>
    <n v="50"/>
    <n v="64"/>
  </r>
  <r>
    <x v="1"/>
    <x v="49"/>
    <x v="2"/>
    <x v="54"/>
    <x v="2"/>
    <n v="0"/>
    <n v="0"/>
    <n v="0"/>
    <n v="0"/>
    <n v="0"/>
    <n v="0"/>
    <n v="0"/>
    <n v="0"/>
    <x v="469"/>
    <x v="178"/>
    <n v="21262"/>
    <x v="1"/>
    <x v="1"/>
    <n v="0"/>
    <n v="5"/>
    <n v="11"/>
  </r>
  <r>
    <x v="2"/>
    <x v="18"/>
    <x v="1"/>
    <x v="364"/>
    <x v="266"/>
    <n v="274"/>
    <n v="2.9"/>
    <n v="1.6"/>
    <n v="0"/>
    <n v="0"/>
    <n v="0"/>
    <n v="0"/>
    <n v="0"/>
    <x v="20"/>
    <x v="20"/>
    <n v="237215"/>
    <x v="157"/>
    <x v="157"/>
    <n v="650"/>
    <n v="50"/>
    <n v="64"/>
  </r>
  <r>
    <x v="1"/>
    <x v="117"/>
    <x v="3"/>
    <x v="365"/>
    <x v="125"/>
    <n v="1.2"/>
    <n v="2.8"/>
    <n v="6.6"/>
    <n v="0"/>
    <n v="0"/>
    <n v="0"/>
    <n v="0"/>
    <n v="0"/>
    <x v="420"/>
    <x v="392"/>
    <n v="161435"/>
    <x v="64"/>
    <x v="48"/>
    <n v="2"/>
    <n v="18"/>
    <n v="29"/>
  </r>
  <r>
    <x v="2"/>
    <x v="57"/>
    <x v="0"/>
    <x v="366"/>
    <x v="267"/>
    <n v="23.8"/>
    <n v="2.5"/>
    <n v="6"/>
    <n v="159.80000000000001"/>
    <n v="46.9"/>
    <n v="21.9"/>
    <n v="3.4"/>
    <n v="7.3"/>
    <x v="59"/>
    <x v="59"/>
    <n v="92473"/>
    <x v="179"/>
    <x v="158"/>
    <n v="22"/>
    <n v="999"/>
    <n v="999"/>
  </r>
  <r>
    <x v="0"/>
    <x v="101"/>
    <x v="7"/>
    <x v="82"/>
    <x v="56"/>
    <n v="0.6"/>
    <n v="0.7"/>
    <n v="6.8"/>
    <n v="0"/>
    <n v="0"/>
    <n v="0"/>
    <n v="0"/>
    <n v="0"/>
    <x v="470"/>
    <x v="435"/>
    <n v="156028"/>
    <x v="0"/>
    <x v="39"/>
    <n v="1"/>
    <n v="65"/>
    <n v="79"/>
  </r>
  <r>
    <x v="1"/>
    <x v="29"/>
    <x v="2"/>
    <x v="2"/>
    <x v="2"/>
    <n v="0"/>
    <n v="0"/>
    <n v="0"/>
    <n v="0"/>
    <n v="0"/>
    <n v="0"/>
    <n v="0"/>
    <n v="0"/>
    <x v="471"/>
    <x v="436"/>
    <n v="5230"/>
    <x v="2"/>
    <x v="1"/>
    <n v="0"/>
    <n v="5"/>
    <n v="11"/>
  </r>
  <r>
    <x v="0"/>
    <x v="128"/>
    <x v="1"/>
    <x v="2"/>
    <x v="2"/>
    <n v="0"/>
    <n v="0"/>
    <n v="0"/>
    <n v="0"/>
    <n v="0"/>
    <n v="0"/>
    <n v="0"/>
    <n v="0"/>
    <x v="327"/>
    <x v="196"/>
    <n v="246902"/>
    <x v="2"/>
    <x v="1"/>
    <n v="0"/>
    <n v="50"/>
    <n v="64"/>
  </r>
  <r>
    <x v="2"/>
    <x v="34"/>
    <x v="5"/>
    <x v="367"/>
    <x v="268"/>
    <n v="551.20000000000005"/>
    <n v="1.8"/>
    <n v="2.6"/>
    <n v="0"/>
    <n v="0"/>
    <n v="0"/>
    <n v="0"/>
    <n v="0"/>
    <x v="34"/>
    <x v="34"/>
    <n v="147317"/>
    <x v="180"/>
    <x v="159"/>
    <n v="812"/>
    <n v="30"/>
    <n v="49"/>
  </r>
  <r>
    <x v="0"/>
    <x v="18"/>
    <x v="2"/>
    <x v="2"/>
    <x v="2"/>
    <n v="0"/>
    <n v="0"/>
    <n v="0"/>
    <n v="0"/>
    <n v="0"/>
    <n v="0"/>
    <n v="0"/>
    <n v="0"/>
    <x v="445"/>
    <x v="415"/>
    <n v="895"/>
    <x v="2"/>
    <x v="1"/>
    <n v="0"/>
    <n v="5"/>
    <n v="11"/>
  </r>
  <r>
    <x v="1"/>
    <x v="92"/>
    <x v="6"/>
    <x v="281"/>
    <x v="62"/>
    <n v="31.8"/>
    <n v="1.4"/>
    <n v="0.4"/>
    <n v="0"/>
    <n v="0"/>
    <n v="0"/>
    <n v="0"/>
    <n v="0"/>
    <x v="150"/>
    <x v="101"/>
    <n v="47126"/>
    <x v="45"/>
    <x v="0"/>
    <n v="15"/>
    <n v="80"/>
    <n v="200"/>
  </r>
  <r>
    <x v="2"/>
    <x v="126"/>
    <x v="0"/>
    <x v="368"/>
    <x v="269"/>
    <n v="48.7"/>
    <n v="1.8"/>
    <n v="1"/>
    <n v="58.5"/>
    <n v="32.200000000000003"/>
    <n v="39.299999999999997"/>
    <n v="1.8"/>
    <n v="1.5"/>
    <x v="472"/>
    <x v="437"/>
    <n v="1040830"/>
    <x v="181"/>
    <x v="160"/>
    <n v="507"/>
    <n v="999"/>
    <n v="999"/>
  </r>
  <r>
    <x v="2"/>
    <x v="62"/>
    <x v="6"/>
    <x v="369"/>
    <x v="114"/>
    <n v="44.6"/>
    <n v="0.3"/>
    <n v="0.5"/>
    <n v="0"/>
    <n v="0"/>
    <n v="0"/>
    <n v="0"/>
    <n v="0"/>
    <x v="473"/>
    <x v="360"/>
    <n v="47131"/>
    <x v="13"/>
    <x v="5"/>
    <n v="21"/>
    <n v="80"/>
    <n v="200"/>
  </r>
  <r>
    <x v="1"/>
    <x v="122"/>
    <x v="3"/>
    <x v="370"/>
    <x v="51"/>
    <n v="0"/>
    <n v="3.4"/>
    <n v="0"/>
    <n v="0"/>
    <n v="0"/>
    <n v="0"/>
    <n v="0"/>
    <n v="0"/>
    <x v="474"/>
    <x v="438"/>
    <n v="0"/>
    <x v="118"/>
    <x v="11"/>
    <n v="0"/>
    <n v="18"/>
    <n v="29"/>
  </r>
  <r>
    <x v="0"/>
    <x v="76"/>
    <x v="1"/>
    <x v="2"/>
    <x v="2"/>
    <n v="0"/>
    <n v="0"/>
    <n v="0"/>
    <n v="0"/>
    <n v="0"/>
    <n v="0"/>
    <n v="0"/>
    <n v="0"/>
    <x v="95"/>
    <x v="95"/>
    <n v="246913"/>
    <x v="2"/>
    <x v="1"/>
    <n v="0"/>
    <n v="50"/>
    <n v="64"/>
  </r>
  <r>
    <x v="0"/>
    <x v="16"/>
    <x v="7"/>
    <x v="314"/>
    <x v="208"/>
    <n v="2.2999999999999998"/>
    <n v="4.4000000000000004"/>
    <n v="26.6"/>
    <n v="0"/>
    <n v="0"/>
    <n v="0"/>
    <n v="0"/>
    <n v="0"/>
    <x v="475"/>
    <x v="439"/>
    <n v="127818"/>
    <x v="182"/>
    <x v="7"/>
    <n v="3"/>
    <n v="65"/>
    <n v="79"/>
  </r>
  <r>
    <x v="1"/>
    <x v="134"/>
    <x v="0"/>
    <x v="201"/>
    <x v="25"/>
    <n v="8.6"/>
    <n v="1.7"/>
    <n v="1.3"/>
    <n v="12.6"/>
    <n v="9.1"/>
    <n v="5.9"/>
    <n v="1.4"/>
    <n v="2.1"/>
    <x v="476"/>
    <x v="440"/>
    <n v="965236"/>
    <x v="4"/>
    <x v="42"/>
    <n v="83"/>
    <n v="999"/>
    <n v="999"/>
  </r>
  <r>
    <x v="1"/>
    <x v="110"/>
    <x v="2"/>
    <x v="99"/>
    <x v="2"/>
    <n v="0"/>
    <n v="0"/>
    <n v="0"/>
    <n v="0"/>
    <n v="0"/>
    <n v="0"/>
    <n v="0"/>
    <n v="0"/>
    <x v="477"/>
    <x v="441"/>
    <n v="19812"/>
    <x v="0"/>
    <x v="1"/>
    <n v="0"/>
    <n v="5"/>
    <n v="11"/>
  </r>
  <r>
    <x v="2"/>
    <x v="62"/>
    <x v="3"/>
    <x v="78"/>
    <x v="109"/>
    <n v="17.899999999999999"/>
    <n v="3.9"/>
    <n v="2"/>
    <n v="0"/>
    <n v="0"/>
    <n v="0"/>
    <n v="0"/>
    <n v="0"/>
    <x v="114"/>
    <x v="113"/>
    <n v="161713"/>
    <x v="60"/>
    <x v="31"/>
    <n v="29"/>
    <n v="18"/>
    <n v="29"/>
  </r>
  <r>
    <x v="2"/>
    <x v="108"/>
    <x v="5"/>
    <x v="106"/>
    <x v="74"/>
    <n v="85.5"/>
    <n v="2.2999999999999998"/>
    <n v="1.5"/>
    <n v="0"/>
    <n v="0"/>
    <n v="0"/>
    <n v="0"/>
    <n v="0"/>
    <x v="478"/>
    <x v="442"/>
    <n v="347246"/>
    <x v="183"/>
    <x v="161"/>
    <n v="297"/>
    <n v="30"/>
    <n v="49"/>
  </r>
  <r>
    <x v="2"/>
    <x v="55"/>
    <x v="0"/>
    <x v="308"/>
    <x v="160"/>
    <n v="46.5"/>
    <n v="2.1"/>
    <n v="1.3"/>
    <n v="69.400000000000006"/>
    <n v="29.2"/>
    <n v="37.299999999999997"/>
    <n v="2.4"/>
    <n v="1.9"/>
    <x v="479"/>
    <x v="443"/>
    <n v="1040810"/>
    <x v="184"/>
    <x v="162"/>
    <n v="484"/>
    <n v="999"/>
    <n v="999"/>
  </r>
  <r>
    <x v="1"/>
    <x v="24"/>
    <x v="1"/>
    <x v="371"/>
    <x v="21"/>
    <n v="2.8"/>
    <n v="3.8"/>
    <n v="4.4000000000000004"/>
    <n v="0"/>
    <n v="0"/>
    <n v="0"/>
    <n v="0"/>
    <n v="0"/>
    <x v="56"/>
    <x v="56"/>
    <n v="246935"/>
    <x v="20"/>
    <x v="16"/>
    <n v="7"/>
    <n v="50"/>
    <n v="64"/>
  </r>
  <r>
    <x v="0"/>
    <x v="97"/>
    <x v="0"/>
    <x v="372"/>
    <x v="49"/>
    <n v="1.3"/>
    <n v="5.8"/>
    <n v="4.5"/>
    <n v="8.5"/>
    <n v="1.1000000000000001"/>
    <n v="0.6"/>
    <n v="7.4"/>
    <n v="15"/>
    <x v="147"/>
    <x v="145"/>
    <n v="380994"/>
    <x v="185"/>
    <x v="38"/>
    <n v="5"/>
    <n v="999"/>
    <n v="999"/>
  </r>
  <r>
    <x v="0"/>
    <x v="10"/>
    <x v="2"/>
    <x v="2"/>
    <x v="2"/>
    <n v="0"/>
    <n v="0"/>
    <n v="0"/>
    <n v="0"/>
    <n v="0"/>
    <n v="0"/>
    <n v="0"/>
    <n v="0"/>
    <x v="450"/>
    <x v="418"/>
    <n v="21158"/>
    <x v="2"/>
    <x v="1"/>
    <n v="0"/>
    <n v="5"/>
    <n v="11"/>
  </r>
  <r>
    <x v="0"/>
    <x v="77"/>
    <x v="1"/>
    <x v="2"/>
    <x v="2"/>
    <n v="0"/>
    <n v="0"/>
    <n v="0"/>
    <n v="0"/>
    <n v="0"/>
    <n v="0"/>
    <n v="0"/>
    <n v="0"/>
    <x v="480"/>
    <x v="444"/>
    <n v="246890"/>
    <x v="2"/>
    <x v="1"/>
    <n v="0"/>
    <n v="50"/>
    <n v="64"/>
  </r>
  <r>
    <x v="2"/>
    <x v="65"/>
    <x v="0"/>
    <x v="249"/>
    <x v="4"/>
    <n v="0"/>
    <n v="4.8"/>
    <n v="0"/>
    <n v="20.6"/>
    <n v="2.9"/>
    <n v="0"/>
    <n v="7"/>
    <n v="0"/>
    <x v="133"/>
    <x v="132"/>
    <n v="0"/>
    <x v="186"/>
    <x v="4"/>
    <n v="0"/>
    <n v="999"/>
    <n v="999"/>
  </r>
  <r>
    <x v="1"/>
    <x v="138"/>
    <x v="1"/>
    <x v="373"/>
    <x v="162"/>
    <n v="0"/>
    <n v="13.2"/>
    <n v="0"/>
    <n v="0"/>
    <n v="0"/>
    <n v="0"/>
    <n v="0"/>
    <n v="0"/>
    <x v="481"/>
    <x v="445"/>
    <n v="0"/>
    <x v="187"/>
    <x v="11"/>
    <n v="0"/>
    <n v="50"/>
    <n v="64"/>
  </r>
  <r>
    <x v="2"/>
    <x v="110"/>
    <x v="6"/>
    <x v="374"/>
    <x v="270"/>
    <n v="176.4"/>
    <n v="0.6"/>
    <n v="0.5"/>
    <n v="0"/>
    <n v="0"/>
    <n v="0"/>
    <n v="0"/>
    <n v="0"/>
    <x v="185"/>
    <x v="49"/>
    <n v="47048"/>
    <x v="37"/>
    <x v="75"/>
    <n v="83"/>
    <n v="80"/>
    <n v="200"/>
  </r>
  <r>
    <x v="2"/>
    <x v="115"/>
    <x v="2"/>
    <x v="375"/>
    <x v="271"/>
    <n v="0"/>
    <n v="0.5"/>
    <n v="0"/>
    <n v="0"/>
    <n v="0"/>
    <n v="0"/>
    <n v="0"/>
    <n v="0"/>
    <x v="482"/>
    <x v="446"/>
    <n v="0"/>
    <x v="188"/>
    <x v="163"/>
    <n v="0"/>
    <n v="5"/>
    <n v="11"/>
  </r>
  <r>
    <x v="2"/>
    <x v="115"/>
    <x v="1"/>
    <x v="376"/>
    <x v="272"/>
    <n v="155.4"/>
    <n v="2.8"/>
    <n v="1.4"/>
    <n v="0"/>
    <n v="0"/>
    <n v="0"/>
    <n v="0"/>
    <n v="0"/>
    <x v="483"/>
    <x v="447"/>
    <n v="231012"/>
    <x v="41"/>
    <x v="164"/>
    <n v="359"/>
    <n v="50"/>
    <n v="64"/>
  </r>
  <r>
    <x v="1"/>
    <x v="76"/>
    <x v="8"/>
    <x v="108"/>
    <x v="2"/>
    <n v="0"/>
    <n v="0"/>
    <n v="0"/>
    <n v="0"/>
    <n v="0"/>
    <n v="0"/>
    <n v="0"/>
    <n v="0"/>
    <x v="28"/>
    <x v="28"/>
    <n v="0"/>
    <x v="0"/>
    <x v="1"/>
    <n v="0"/>
    <n v="0"/>
    <n v="4"/>
  </r>
  <r>
    <x v="2"/>
    <x v="86"/>
    <x v="8"/>
    <x v="10"/>
    <x v="51"/>
    <n v="0"/>
    <n v="20.6"/>
    <n v="0"/>
    <n v="0"/>
    <n v="0"/>
    <n v="0"/>
    <n v="0"/>
    <n v="0"/>
    <x v="28"/>
    <x v="28"/>
    <n v="0"/>
    <x v="189"/>
    <x v="21"/>
    <n v="0"/>
    <n v="0"/>
    <n v="4"/>
  </r>
  <r>
    <x v="0"/>
    <x v="102"/>
    <x v="7"/>
    <x v="40"/>
    <x v="2"/>
    <n v="0.6"/>
    <n v="0"/>
    <n v="10.199999999999999"/>
    <n v="0"/>
    <n v="0"/>
    <n v="0"/>
    <n v="0"/>
    <n v="0"/>
    <x v="484"/>
    <x v="448"/>
    <n v="157042"/>
    <x v="45"/>
    <x v="1"/>
    <n v="1"/>
    <n v="65"/>
    <n v="79"/>
  </r>
  <r>
    <x v="1"/>
    <x v="24"/>
    <x v="7"/>
    <x v="117"/>
    <x v="273"/>
    <n v="7"/>
    <n v="0.8"/>
    <n v="1.1000000000000001"/>
    <n v="0"/>
    <n v="0"/>
    <n v="0"/>
    <n v="0"/>
    <n v="0"/>
    <x v="485"/>
    <x v="449"/>
    <n v="171751"/>
    <x v="45"/>
    <x v="16"/>
    <n v="12"/>
    <n v="65"/>
    <n v="79"/>
  </r>
  <r>
    <x v="2"/>
    <x v="106"/>
    <x v="3"/>
    <x v="377"/>
    <x v="274"/>
    <n v="0"/>
    <n v="3"/>
    <n v="0"/>
    <n v="0"/>
    <n v="0"/>
    <n v="0"/>
    <n v="0"/>
    <n v="0"/>
    <x v="486"/>
    <x v="450"/>
    <n v="0"/>
    <x v="190"/>
    <x v="127"/>
    <n v="0"/>
    <n v="18"/>
    <n v="29"/>
  </r>
  <r>
    <x v="1"/>
    <x v="123"/>
    <x v="3"/>
    <x v="188"/>
    <x v="141"/>
    <n v="1.2"/>
    <n v="2.8"/>
    <n v="3.2"/>
    <n v="0"/>
    <n v="0"/>
    <n v="0"/>
    <n v="0"/>
    <n v="0"/>
    <x v="487"/>
    <x v="451"/>
    <n v="161668"/>
    <x v="45"/>
    <x v="39"/>
    <n v="2"/>
    <n v="18"/>
    <n v="29"/>
  </r>
  <r>
    <x v="2"/>
    <x v="99"/>
    <x v="6"/>
    <x v="378"/>
    <x v="275"/>
    <n v="94.4"/>
    <n v="0.7"/>
    <n v="1"/>
    <n v="0"/>
    <n v="0"/>
    <n v="0"/>
    <n v="0"/>
    <n v="0"/>
    <x v="488"/>
    <x v="452"/>
    <n v="41310"/>
    <x v="32"/>
    <x v="130"/>
    <n v="39"/>
    <n v="80"/>
    <n v="200"/>
  </r>
  <r>
    <x v="1"/>
    <x v="88"/>
    <x v="1"/>
    <x v="69"/>
    <x v="276"/>
    <n v="0"/>
    <n v="8.1999999999999993"/>
    <n v="0"/>
    <n v="0"/>
    <n v="0"/>
    <n v="0"/>
    <n v="0"/>
    <n v="0"/>
    <x v="489"/>
    <x v="453"/>
    <n v="0"/>
    <x v="66"/>
    <x v="36"/>
    <n v="0"/>
    <n v="50"/>
    <n v="64"/>
  </r>
  <r>
    <x v="0"/>
    <x v="25"/>
    <x v="6"/>
    <x v="379"/>
    <x v="277"/>
    <n v="22.5"/>
    <n v="1.4"/>
    <n v="5.2"/>
    <n v="0"/>
    <n v="0"/>
    <n v="0"/>
    <n v="0"/>
    <n v="0"/>
    <x v="490"/>
    <x v="454"/>
    <n v="39936"/>
    <x v="182"/>
    <x v="52"/>
    <n v="9"/>
    <n v="80"/>
    <n v="200"/>
  </r>
  <r>
    <x v="1"/>
    <x v="56"/>
    <x v="5"/>
    <x v="92"/>
    <x v="49"/>
    <n v="0.3"/>
    <n v="4.5"/>
    <n v="15"/>
    <n v="0"/>
    <n v="0"/>
    <n v="0"/>
    <n v="0"/>
    <n v="0"/>
    <x v="71"/>
    <x v="71"/>
    <n v="322847"/>
    <x v="18"/>
    <x v="39"/>
    <n v="1"/>
    <n v="30"/>
    <n v="49"/>
  </r>
  <r>
    <x v="2"/>
    <x v="92"/>
    <x v="3"/>
    <x v="380"/>
    <x v="178"/>
    <n v="37.1"/>
    <n v="4"/>
    <n v="2"/>
    <n v="0"/>
    <n v="0"/>
    <n v="0"/>
    <n v="0"/>
    <n v="0"/>
    <x v="411"/>
    <x v="385"/>
    <n v="161680"/>
    <x v="26"/>
    <x v="165"/>
    <n v="60"/>
    <n v="18"/>
    <n v="29"/>
  </r>
  <r>
    <x v="2"/>
    <x v="97"/>
    <x v="8"/>
    <x v="381"/>
    <x v="2"/>
    <n v="0"/>
    <n v="0"/>
    <n v="0"/>
    <n v="0"/>
    <n v="0"/>
    <n v="0"/>
    <n v="0"/>
    <n v="0"/>
    <x v="28"/>
    <x v="28"/>
    <n v="0"/>
    <x v="184"/>
    <x v="1"/>
    <n v="0"/>
    <n v="0"/>
    <n v="4"/>
  </r>
  <r>
    <x v="0"/>
    <x v="126"/>
    <x v="3"/>
    <x v="2"/>
    <x v="2"/>
    <n v="0"/>
    <n v="0"/>
    <n v="0"/>
    <n v="0"/>
    <n v="0"/>
    <n v="0"/>
    <n v="0"/>
    <n v="0"/>
    <x v="491"/>
    <x v="455"/>
    <n v="161725"/>
    <x v="2"/>
    <x v="1"/>
    <n v="0"/>
    <n v="18"/>
    <n v="29"/>
  </r>
  <r>
    <x v="1"/>
    <x v="139"/>
    <x v="6"/>
    <x v="115"/>
    <x v="2"/>
    <n v="12.7"/>
    <n v="0"/>
    <n v="0.6"/>
    <n v="0"/>
    <n v="0"/>
    <n v="0"/>
    <n v="0"/>
    <n v="0"/>
    <x v="492"/>
    <x v="101"/>
    <n v="47130"/>
    <x v="0"/>
    <x v="1"/>
    <n v="6"/>
    <n v="80"/>
    <n v="200"/>
  </r>
  <r>
    <x v="0"/>
    <x v="99"/>
    <x v="2"/>
    <x v="2"/>
    <x v="2"/>
    <n v="0"/>
    <n v="0"/>
    <n v="0"/>
    <n v="0"/>
    <n v="0"/>
    <n v="0"/>
    <n v="0"/>
    <n v="0"/>
    <x v="493"/>
    <x v="456"/>
    <n v="0"/>
    <x v="2"/>
    <x v="1"/>
    <n v="0"/>
    <n v="5"/>
    <n v="11"/>
  </r>
  <r>
    <x v="2"/>
    <x v="120"/>
    <x v="8"/>
    <x v="382"/>
    <x v="51"/>
    <n v="0"/>
    <n v="13.9"/>
    <n v="0"/>
    <n v="0"/>
    <n v="0"/>
    <n v="0"/>
    <n v="0"/>
    <n v="0"/>
    <x v="28"/>
    <x v="28"/>
    <n v="0"/>
    <x v="4"/>
    <x v="21"/>
    <n v="0"/>
    <n v="0"/>
    <n v="4"/>
  </r>
  <r>
    <x v="1"/>
    <x v="3"/>
    <x v="0"/>
    <x v="383"/>
    <x v="152"/>
    <n v="2.2999999999999998"/>
    <n v="4.0999999999999996"/>
    <n v="9"/>
    <n v="30.8"/>
    <n v="5"/>
    <n v="1.2"/>
    <n v="6.1"/>
    <n v="26.5"/>
    <x v="292"/>
    <x v="275"/>
    <n v="221328"/>
    <x v="191"/>
    <x v="166"/>
    <n v="5"/>
    <n v="999"/>
    <n v="999"/>
  </r>
  <r>
    <x v="2"/>
    <x v="48"/>
    <x v="3"/>
    <x v="384"/>
    <x v="278"/>
    <n v="17.899999999999999"/>
    <n v="3.4"/>
    <n v="2.7"/>
    <n v="0"/>
    <n v="0"/>
    <n v="0"/>
    <n v="0"/>
    <n v="0"/>
    <x v="494"/>
    <x v="457"/>
    <n v="161898"/>
    <x v="118"/>
    <x v="167"/>
    <n v="29"/>
    <n v="18"/>
    <n v="29"/>
  </r>
  <r>
    <x v="0"/>
    <x v="126"/>
    <x v="6"/>
    <x v="2"/>
    <x v="2"/>
    <n v="6.4"/>
    <n v="0"/>
    <n v="0"/>
    <n v="0"/>
    <n v="0"/>
    <n v="0"/>
    <n v="0"/>
    <n v="0"/>
    <x v="495"/>
    <x v="353"/>
    <n v="47134"/>
    <x v="2"/>
    <x v="1"/>
    <n v="3"/>
    <n v="80"/>
    <n v="200"/>
  </r>
  <r>
    <x v="2"/>
    <x v="91"/>
    <x v="7"/>
    <x v="385"/>
    <x v="279"/>
    <n v="135.80000000000001"/>
    <n v="1"/>
    <n v="1.1000000000000001"/>
    <n v="0"/>
    <n v="0"/>
    <n v="0"/>
    <n v="0"/>
    <n v="0"/>
    <x v="496"/>
    <x v="458"/>
    <n v="171513"/>
    <x v="192"/>
    <x v="54"/>
    <n v="233"/>
    <n v="65"/>
    <n v="79"/>
  </r>
  <r>
    <x v="1"/>
    <x v="33"/>
    <x v="0"/>
    <x v="44"/>
    <x v="82"/>
    <n v="0.9"/>
    <n v="6.5"/>
    <n v="1.4"/>
    <n v="1.6"/>
    <n v="0.3"/>
    <n v="0.7"/>
    <n v="4.7"/>
    <n v="2.4"/>
    <x v="497"/>
    <x v="459"/>
    <n v="1040757"/>
    <x v="64"/>
    <x v="11"/>
    <n v="9"/>
    <n v="999"/>
    <n v="999"/>
  </r>
  <r>
    <x v="2"/>
    <x v="61"/>
    <x v="3"/>
    <x v="386"/>
    <x v="280"/>
    <n v="27.8"/>
    <n v="4.2"/>
    <n v="2.4"/>
    <n v="0"/>
    <n v="0"/>
    <n v="0"/>
    <n v="0"/>
    <n v="0"/>
    <x v="223"/>
    <x v="214"/>
    <n v="161728"/>
    <x v="185"/>
    <x v="168"/>
    <n v="45"/>
    <n v="18"/>
    <n v="29"/>
  </r>
  <r>
    <x v="1"/>
    <x v="1"/>
    <x v="8"/>
    <x v="97"/>
    <x v="13"/>
    <n v="0"/>
    <n v="3"/>
    <n v="0"/>
    <n v="0"/>
    <n v="0"/>
    <n v="0"/>
    <n v="0"/>
    <n v="0"/>
    <x v="28"/>
    <x v="28"/>
    <n v="0"/>
    <x v="45"/>
    <x v="0"/>
    <n v="0"/>
    <n v="0"/>
    <n v="4"/>
  </r>
  <r>
    <x v="1"/>
    <x v="127"/>
    <x v="1"/>
    <x v="387"/>
    <x v="211"/>
    <n v="20.9"/>
    <n v="6.1"/>
    <n v="14.8"/>
    <n v="0"/>
    <n v="0"/>
    <n v="0"/>
    <n v="0"/>
    <n v="0"/>
    <x v="498"/>
    <x v="460"/>
    <n v="171854"/>
    <x v="193"/>
    <x v="103"/>
    <n v="36"/>
    <n v="50"/>
    <n v="64"/>
  </r>
  <r>
    <x v="1"/>
    <x v="65"/>
    <x v="7"/>
    <x v="388"/>
    <x v="23"/>
    <n v="0"/>
    <n v="10.8"/>
    <n v="0"/>
    <n v="0"/>
    <n v="0"/>
    <n v="0"/>
    <n v="0"/>
    <n v="0"/>
    <x v="499"/>
    <x v="461"/>
    <n v="0"/>
    <x v="20"/>
    <x v="0"/>
    <n v="0"/>
    <n v="65"/>
    <n v="79"/>
  </r>
  <r>
    <x v="1"/>
    <x v="77"/>
    <x v="6"/>
    <x v="389"/>
    <x v="114"/>
    <n v="59.4"/>
    <n v="0.5"/>
    <n v="0.6"/>
    <n v="0"/>
    <n v="0"/>
    <n v="0"/>
    <n v="0"/>
    <n v="0"/>
    <x v="500"/>
    <x v="32"/>
    <n v="47126"/>
    <x v="51"/>
    <x v="5"/>
    <n v="28"/>
    <n v="80"/>
    <n v="200"/>
  </r>
  <r>
    <x v="0"/>
    <x v="63"/>
    <x v="0"/>
    <x v="147"/>
    <x v="82"/>
    <n v="0.3"/>
    <n v="3.5"/>
    <n v="2.2999999999999998"/>
    <n v="0.8"/>
    <n v="0.4"/>
    <n v="0.2"/>
    <n v="1.9"/>
    <n v="4.4000000000000004"/>
    <x v="501"/>
    <x v="462"/>
    <n v="1039435"/>
    <x v="20"/>
    <x v="11"/>
    <n v="3"/>
    <n v="999"/>
    <n v="999"/>
  </r>
  <r>
    <x v="2"/>
    <x v="38"/>
    <x v="7"/>
    <x v="390"/>
    <x v="281"/>
    <n v="74.5"/>
    <n v="2.2999999999999998"/>
    <n v="1.2"/>
    <n v="0"/>
    <n v="0"/>
    <n v="0"/>
    <n v="0"/>
    <n v="0"/>
    <x v="502"/>
    <x v="463"/>
    <n v="171755"/>
    <x v="194"/>
    <x v="28"/>
    <n v="128"/>
    <n v="65"/>
    <n v="79"/>
  </r>
  <r>
    <x v="1"/>
    <x v="125"/>
    <x v="0"/>
    <x v="391"/>
    <x v="38"/>
    <n v="0"/>
    <n v="10.4"/>
    <n v="0"/>
    <n v="9.8000000000000007"/>
    <n v="0.5"/>
    <n v="0"/>
    <n v="20.399999999999999"/>
    <n v="0"/>
    <x v="369"/>
    <x v="345"/>
    <n v="0"/>
    <x v="195"/>
    <x v="5"/>
    <n v="0"/>
    <n v="999"/>
    <n v="999"/>
  </r>
  <r>
    <x v="0"/>
    <x v="59"/>
    <x v="6"/>
    <x v="392"/>
    <x v="37"/>
    <n v="0"/>
    <n v="2.8"/>
    <n v="0"/>
    <n v="0"/>
    <n v="0"/>
    <n v="0"/>
    <n v="0"/>
    <n v="0"/>
    <x v="88"/>
    <x v="88"/>
    <n v="0"/>
    <x v="13"/>
    <x v="39"/>
    <n v="0"/>
    <n v="80"/>
    <n v="200"/>
  </r>
  <r>
    <x v="0"/>
    <x v="81"/>
    <x v="5"/>
    <x v="393"/>
    <x v="2"/>
    <n v="0"/>
    <n v="0"/>
    <n v="0"/>
    <n v="0"/>
    <n v="0"/>
    <n v="0"/>
    <n v="0"/>
    <n v="0"/>
    <x v="503"/>
    <x v="464"/>
    <n v="0"/>
    <x v="20"/>
    <x v="1"/>
    <n v="0"/>
    <n v="30"/>
    <n v="49"/>
  </r>
  <r>
    <x v="2"/>
    <x v="64"/>
    <x v="7"/>
    <x v="394"/>
    <x v="282"/>
    <n v="49.5"/>
    <n v="1.1000000000000001"/>
    <n v="0.9"/>
    <n v="0"/>
    <n v="0"/>
    <n v="0"/>
    <n v="0"/>
    <n v="0"/>
    <x v="392"/>
    <x v="367"/>
    <n v="171725"/>
    <x v="134"/>
    <x v="28"/>
    <n v="85"/>
    <n v="65"/>
    <n v="79"/>
  </r>
  <r>
    <x v="2"/>
    <x v="62"/>
    <x v="2"/>
    <x v="178"/>
    <x v="221"/>
    <n v="4.7"/>
    <n v="3.7"/>
    <n v="1.9"/>
    <n v="0"/>
    <n v="0"/>
    <n v="0"/>
    <n v="0"/>
    <n v="0"/>
    <x v="182"/>
    <x v="178"/>
    <n v="21260"/>
    <x v="33"/>
    <x v="11"/>
    <n v="1"/>
    <n v="5"/>
    <n v="11"/>
  </r>
  <r>
    <x v="1"/>
    <x v="37"/>
    <x v="4"/>
    <x v="2"/>
    <x v="2"/>
    <n v="0"/>
    <n v="0"/>
    <n v="0"/>
    <n v="0"/>
    <n v="0"/>
    <n v="0"/>
    <n v="0"/>
    <n v="0"/>
    <x v="504"/>
    <x v="241"/>
    <n v="44592"/>
    <x v="2"/>
    <x v="1"/>
    <n v="0"/>
    <n v="12"/>
    <n v="17"/>
  </r>
  <r>
    <x v="2"/>
    <x v="37"/>
    <x v="2"/>
    <x v="75"/>
    <x v="221"/>
    <n v="28.2"/>
    <n v="0.9"/>
    <n v="0.1"/>
    <n v="0"/>
    <n v="0"/>
    <n v="0"/>
    <n v="0"/>
    <n v="0"/>
    <x v="505"/>
    <x v="382"/>
    <n v="21260"/>
    <x v="0"/>
    <x v="11"/>
    <n v="6"/>
    <n v="5"/>
    <n v="11"/>
  </r>
  <r>
    <x v="0"/>
    <x v="114"/>
    <x v="5"/>
    <x v="2"/>
    <x v="2"/>
    <n v="0"/>
    <n v="0"/>
    <n v="0"/>
    <n v="0"/>
    <n v="0"/>
    <n v="0"/>
    <n v="0"/>
    <n v="0"/>
    <x v="506"/>
    <x v="465"/>
    <n v="347017"/>
    <x v="2"/>
    <x v="1"/>
    <n v="0"/>
    <n v="30"/>
    <n v="49"/>
  </r>
  <r>
    <x v="0"/>
    <x v="107"/>
    <x v="4"/>
    <x v="2"/>
    <x v="2"/>
    <n v="0"/>
    <n v="0"/>
    <n v="0"/>
    <n v="0"/>
    <n v="0"/>
    <n v="0"/>
    <n v="0"/>
    <n v="0"/>
    <x v="507"/>
    <x v="466"/>
    <n v="0"/>
    <x v="2"/>
    <x v="1"/>
    <n v="0"/>
    <n v="12"/>
    <n v="17"/>
  </r>
  <r>
    <x v="1"/>
    <x v="7"/>
    <x v="4"/>
    <x v="395"/>
    <x v="48"/>
    <n v="0"/>
    <n v="5.7"/>
    <n v="0"/>
    <n v="0"/>
    <n v="0"/>
    <n v="0"/>
    <n v="0"/>
    <n v="0"/>
    <x v="288"/>
    <x v="271"/>
    <n v="0"/>
    <x v="45"/>
    <x v="0"/>
    <n v="0"/>
    <n v="12"/>
    <n v="17"/>
  </r>
  <r>
    <x v="0"/>
    <x v="120"/>
    <x v="6"/>
    <x v="82"/>
    <x v="2"/>
    <n v="2.1"/>
    <n v="0"/>
    <n v="2"/>
    <n v="0"/>
    <n v="0"/>
    <n v="0"/>
    <n v="0"/>
    <n v="0"/>
    <x v="508"/>
    <x v="360"/>
    <n v="47126"/>
    <x v="1"/>
    <x v="1"/>
    <n v="1"/>
    <n v="80"/>
    <n v="200"/>
  </r>
  <r>
    <x v="1"/>
    <x v="85"/>
    <x v="3"/>
    <x v="396"/>
    <x v="283"/>
    <n v="7.2"/>
    <n v="4.4000000000000004"/>
    <n v="10"/>
    <n v="0"/>
    <n v="0"/>
    <n v="0"/>
    <n v="0"/>
    <n v="0"/>
    <x v="106"/>
    <x v="105"/>
    <n v="83774"/>
    <x v="187"/>
    <x v="34"/>
    <n v="6"/>
    <n v="18"/>
    <n v="29"/>
  </r>
  <r>
    <x v="1"/>
    <x v="120"/>
    <x v="1"/>
    <x v="137"/>
    <x v="21"/>
    <n v="4.5"/>
    <n v="5.6"/>
    <n v="4"/>
    <n v="0"/>
    <n v="0"/>
    <n v="0"/>
    <n v="0"/>
    <n v="0"/>
    <x v="509"/>
    <x v="467"/>
    <n v="246893"/>
    <x v="18"/>
    <x v="16"/>
    <n v="11"/>
    <n v="50"/>
    <n v="64"/>
  </r>
  <r>
    <x v="0"/>
    <x v="45"/>
    <x v="7"/>
    <x v="215"/>
    <x v="38"/>
    <n v="0"/>
    <n v="13.1"/>
    <n v="0"/>
    <n v="0"/>
    <n v="0"/>
    <n v="0"/>
    <n v="0"/>
    <n v="0"/>
    <x v="510"/>
    <x v="468"/>
    <n v="0"/>
    <x v="33"/>
    <x v="0"/>
    <n v="0"/>
    <n v="65"/>
    <n v="79"/>
  </r>
  <r>
    <x v="2"/>
    <x v="11"/>
    <x v="7"/>
    <x v="397"/>
    <x v="284"/>
    <n v="32.6"/>
    <n v="1.2"/>
    <n v="0.9"/>
    <n v="0"/>
    <n v="0"/>
    <n v="0"/>
    <n v="0"/>
    <n v="0"/>
    <x v="511"/>
    <x v="367"/>
    <n v="171727"/>
    <x v="27"/>
    <x v="7"/>
    <n v="56"/>
    <n v="65"/>
    <n v="79"/>
  </r>
  <r>
    <x v="1"/>
    <x v="3"/>
    <x v="5"/>
    <x v="398"/>
    <x v="58"/>
    <n v="1.6"/>
    <n v="15.8"/>
    <n v="17.8"/>
    <n v="0"/>
    <n v="0"/>
    <n v="0"/>
    <n v="0"/>
    <n v="0"/>
    <x v="466"/>
    <x v="432"/>
    <n v="63876"/>
    <x v="106"/>
    <x v="13"/>
    <n v="1"/>
    <n v="30"/>
    <n v="49"/>
  </r>
  <r>
    <x v="2"/>
    <x v="118"/>
    <x v="5"/>
    <x v="399"/>
    <x v="285"/>
    <n v="72.900000000000006"/>
    <n v="2.8"/>
    <n v="1.1000000000000001"/>
    <n v="0"/>
    <n v="0"/>
    <n v="0"/>
    <n v="0"/>
    <n v="0"/>
    <x v="512"/>
    <x v="469"/>
    <n v="320838"/>
    <x v="158"/>
    <x v="58"/>
    <n v="234"/>
    <n v="30"/>
    <n v="49"/>
  </r>
  <r>
    <x v="1"/>
    <x v="129"/>
    <x v="8"/>
    <x v="108"/>
    <x v="2"/>
    <n v="0"/>
    <n v="0"/>
    <n v="0"/>
    <n v="0"/>
    <n v="0"/>
    <n v="0"/>
    <n v="0"/>
    <n v="0"/>
    <x v="28"/>
    <x v="28"/>
    <n v="0"/>
    <x v="0"/>
    <x v="1"/>
    <n v="0"/>
    <n v="0"/>
    <n v="4"/>
  </r>
  <r>
    <x v="0"/>
    <x v="10"/>
    <x v="3"/>
    <x v="2"/>
    <x v="2"/>
    <n v="0"/>
    <n v="0"/>
    <n v="0"/>
    <n v="0"/>
    <n v="0"/>
    <n v="0"/>
    <n v="0"/>
    <n v="0"/>
    <x v="321"/>
    <x v="303"/>
    <n v="161619"/>
    <x v="2"/>
    <x v="1"/>
    <n v="0"/>
    <n v="18"/>
    <n v="29"/>
  </r>
  <r>
    <x v="0"/>
    <x v="139"/>
    <x v="5"/>
    <x v="2"/>
    <x v="2"/>
    <n v="0"/>
    <n v="0"/>
    <n v="0"/>
    <n v="0"/>
    <n v="0"/>
    <n v="0"/>
    <n v="0"/>
    <n v="0"/>
    <x v="513"/>
    <x v="197"/>
    <n v="347307"/>
    <x v="2"/>
    <x v="1"/>
    <n v="0"/>
    <n v="30"/>
    <n v="49"/>
  </r>
  <r>
    <x v="0"/>
    <x v="138"/>
    <x v="6"/>
    <x v="400"/>
    <x v="2"/>
    <n v="0"/>
    <n v="0"/>
    <n v="0"/>
    <n v="0"/>
    <n v="0"/>
    <n v="0"/>
    <n v="0"/>
    <n v="0"/>
    <x v="514"/>
    <x v="470"/>
    <n v="0"/>
    <x v="33"/>
    <x v="1"/>
    <n v="0"/>
    <n v="80"/>
    <n v="200"/>
  </r>
  <r>
    <x v="1"/>
    <x v="42"/>
    <x v="6"/>
    <x v="31"/>
    <x v="2"/>
    <n v="6.9"/>
    <n v="0"/>
    <n v="1.1000000000000001"/>
    <n v="0"/>
    <n v="0"/>
    <n v="0"/>
    <n v="0"/>
    <n v="0"/>
    <x v="515"/>
    <x v="471"/>
    <n v="43312"/>
    <x v="0"/>
    <x v="1"/>
    <n v="3"/>
    <n v="80"/>
    <n v="200"/>
  </r>
  <r>
    <x v="1"/>
    <x v="84"/>
    <x v="1"/>
    <x v="401"/>
    <x v="221"/>
    <n v="2.8"/>
    <n v="9.1"/>
    <n v="7.8"/>
    <n v="0"/>
    <n v="0"/>
    <n v="0"/>
    <n v="0"/>
    <n v="0"/>
    <x v="368"/>
    <x v="344"/>
    <n v="246950"/>
    <x v="64"/>
    <x v="39"/>
    <n v="7"/>
    <n v="50"/>
    <n v="64"/>
  </r>
  <r>
    <x v="0"/>
    <x v="126"/>
    <x v="0"/>
    <x v="2"/>
    <x v="2"/>
    <n v="0.4"/>
    <n v="0"/>
    <n v="0"/>
    <n v="0"/>
    <n v="0"/>
    <n v="0.3"/>
    <n v="0"/>
    <n v="0"/>
    <x v="472"/>
    <x v="437"/>
    <n v="1040830"/>
    <x v="2"/>
    <x v="1"/>
    <n v="4"/>
    <n v="999"/>
    <n v="999"/>
  </r>
  <r>
    <x v="2"/>
    <x v="23"/>
    <x v="2"/>
    <x v="402"/>
    <x v="188"/>
    <n v="165.7"/>
    <n v="1.4"/>
    <n v="1.1000000000000001"/>
    <n v="0"/>
    <n v="0"/>
    <n v="0"/>
    <n v="0"/>
    <n v="0"/>
    <x v="516"/>
    <x v="472"/>
    <n v="21117"/>
    <x v="143"/>
    <x v="2"/>
    <n v="35"/>
    <n v="5"/>
    <n v="11"/>
  </r>
  <r>
    <x v="0"/>
    <x v="120"/>
    <x v="1"/>
    <x v="2"/>
    <x v="2"/>
    <n v="0.4"/>
    <n v="0"/>
    <n v="0"/>
    <n v="0"/>
    <n v="0"/>
    <n v="0"/>
    <n v="0"/>
    <n v="0"/>
    <x v="509"/>
    <x v="467"/>
    <n v="246893"/>
    <x v="2"/>
    <x v="1"/>
    <n v="1"/>
    <n v="50"/>
    <n v="64"/>
  </r>
  <r>
    <x v="1"/>
    <x v="128"/>
    <x v="5"/>
    <x v="43"/>
    <x v="38"/>
    <n v="0.9"/>
    <n v="5.3"/>
    <n v="4.0999999999999996"/>
    <n v="0"/>
    <n v="0"/>
    <n v="0"/>
    <n v="0"/>
    <n v="0"/>
    <x v="282"/>
    <x v="266"/>
    <n v="347288"/>
    <x v="20"/>
    <x v="11"/>
    <n v="3"/>
    <n v="30"/>
    <n v="49"/>
  </r>
  <r>
    <x v="0"/>
    <x v="102"/>
    <x v="5"/>
    <x v="147"/>
    <x v="2"/>
    <n v="0"/>
    <n v="0"/>
    <n v="0"/>
    <n v="0"/>
    <n v="0"/>
    <n v="0"/>
    <n v="0"/>
    <n v="0"/>
    <x v="517"/>
    <x v="473"/>
    <n v="317904"/>
    <x v="1"/>
    <x v="1"/>
    <n v="0"/>
    <n v="30"/>
    <n v="49"/>
  </r>
  <r>
    <x v="2"/>
    <x v="54"/>
    <x v="6"/>
    <x v="403"/>
    <x v="286"/>
    <n v="114.4"/>
    <n v="0.8"/>
    <n v="0.5"/>
    <n v="0"/>
    <n v="0"/>
    <n v="0"/>
    <n v="0"/>
    <n v="0"/>
    <x v="518"/>
    <x v="474"/>
    <n v="47222"/>
    <x v="36"/>
    <x v="13"/>
    <n v="54"/>
    <n v="80"/>
    <n v="200"/>
  </r>
  <r>
    <x v="2"/>
    <x v="51"/>
    <x v="2"/>
    <x v="404"/>
    <x v="287"/>
    <n v="215.4"/>
    <n v="1.1000000000000001"/>
    <n v="0.7"/>
    <n v="0"/>
    <n v="0"/>
    <n v="0"/>
    <n v="0"/>
    <n v="0"/>
    <x v="145"/>
    <x v="143"/>
    <n v="9749"/>
    <x v="196"/>
    <x v="169"/>
    <n v="21"/>
    <n v="5"/>
    <n v="11"/>
  </r>
  <r>
    <x v="1"/>
    <x v="99"/>
    <x v="5"/>
    <x v="405"/>
    <x v="288"/>
    <n v="3.4"/>
    <n v="2.4"/>
    <n v="3.8"/>
    <n v="0"/>
    <n v="0"/>
    <n v="0"/>
    <n v="0"/>
    <n v="0"/>
    <x v="519"/>
    <x v="475"/>
    <n v="296569"/>
    <x v="8"/>
    <x v="36"/>
    <n v="10"/>
    <n v="30"/>
    <n v="49"/>
  </r>
  <r>
    <x v="1"/>
    <x v="134"/>
    <x v="1"/>
    <x v="406"/>
    <x v="289"/>
    <n v="3.8"/>
    <n v="1.9"/>
    <n v="4.9000000000000004"/>
    <n v="0"/>
    <n v="0"/>
    <n v="0"/>
    <n v="0"/>
    <n v="0"/>
    <x v="520"/>
    <x v="476"/>
    <n v="235218"/>
    <x v="33"/>
    <x v="38"/>
    <n v="9"/>
    <n v="50"/>
    <n v="64"/>
  </r>
  <r>
    <x v="2"/>
    <x v="49"/>
    <x v="6"/>
    <x v="407"/>
    <x v="290"/>
    <n v="65.8"/>
    <n v="1"/>
    <n v="0.8"/>
    <n v="0"/>
    <n v="0"/>
    <n v="0"/>
    <n v="0"/>
    <n v="0"/>
    <x v="521"/>
    <x v="353"/>
    <n v="47133"/>
    <x v="16"/>
    <x v="48"/>
    <n v="31"/>
    <n v="80"/>
    <n v="200"/>
  </r>
  <r>
    <x v="1"/>
    <x v="4"/>
    <x v="6"/>
    <x v="31"/>
    <x v="291"/>
    <n v="9.1999999999999993"/>
    <n v="0.3"/>
    <n v="0.8"/>
    <n v="0"/>
    <n v="0"/>
    <n v="0"/>
    <n v="0"/>
    <n v="0"/>
    <x v="522"/>
    <x v="477"/>
    <n v="43462"/>
    <x v="0"/>
    <x v="39"/>
    <n v="4"/>
    <n v="80"/>
    <n v="200"/>
  </r>
  <r>
    <x v="2"/>
    <x v="82"/>
    <x v="3"/>
    <x v="347"/>
    <x v="120"/>
    <n v="4.3"/>
    <n v="2.6"/>
    <n v="4.7"/>
    <n v="0"/>
    <n v="0"/>
    <n v="0"/>
    <n v="0"/>
    <n v="0"/>
    <x v="523"/>
    <x v="478"/>
    <n v="161703"/>
    <x v="36"/>
    <x v="28"/>
    <n v="7"/>
    <n v="18"/>
    <n v="29"/>
  </r>
  <r>
    <x v="0"/>
    <x v="95"/>
    <x v="1"/>
    <x v="2"/>
    <x v="2"/>
    <n v="0.8"/>
    <n v="0"/>
    <n v="0"/>
    <n v="0"/>
    <n v="0"/>
    <n v="0"/>
    <n v="0"/>
    <n v="0"/>
    <x v="322"/>
    <x v="304"/>
    <n v="241470"/>
    <x v="2"/>
    <x v="1"/>
    <n v="2"/>
    <n v="50"/>
    <n v="64"/>
  </r>
  <r>
    <x v="1"/>
    <x v="127"/>
    <x v="2"/>
    <x v="408"/>
    <x v="77"/>
    <n v="0"/>
    <n v="1.2"/>
    <n v="0"/>
    <n v="0"/>
    <n v="0"/>
    <n v="0"/>
    <n v="0"/>
    <n v="0"/>
    <x v="418"/>
    <x v="390"/>
    <n v="0"/>
    <x v="45"/>
    <x v="0"/>
    <n v="0"/>
    <n v="5"/>
    <n v="11"/>
  </r>
  <r>
    <x v="2"/>
    <x v="48"/>
    <x v="7"/>
    <x v="409"/>
    <x v="292"/>
    <n v="55.8"/>
    <n v="1.3"/>
    <n v="0.9"/>
    <n v="0"/>
    <n v="0"/>
    <n v="0"/>
    <n v="0"/>
    <n v="0"/>
    <x v="129"/>
    <x v="128"/>
    <n v="171905"/>
    <x v="34"/>
    <x v="36"/>
    <n v="96"/>
    <n v="65"/>
    <n v="79"/>
  </r>
  <r>
    <x v="1"/>
    <x v="131"/>
    <x v="4"/>
    <x v="132"/>
    <x v="2"/>
    <n v="0"/>
    <n v="0"/>
    <n v="0"/>
    <n v="0"/>
    <n v="0"/>
    <n v="0"/>
    <n v="0"/>
    <n v="0"/>
    <x v="431"/>
    <x v="402"/>
    <n v="0"/>
    <x v="0"/>
    <x v="1"/>
    <n v="0"/>
    <n v="12"/>
    <n v="17"/>
  </r>
  <r>
    <x v="2"/>
    <x v="25"/>
    <x v="2"/>
    <x v="410"/>
    <x v="293"/>
    <n v="0"/>
    <n v="0.7"/>
    <n v="0"/>
    <n v="0"/>
    <n v="0"/>
    <n v="0"/>
    <n v="0"/>
    <n v="0"/>
    <x v="524"/>
    <x v="479"/>
    <n v="0"/>
    <x v="197"/>
    <x v="170"/>
    <n v="0"/>
    <n v="5"/>
    <n v="11"/>
  </r>
  <r>
    <x v="1"/>
    <x v="80"/>
    <x v="1"/>
    <x v="58"/>
    <x v="159"/>
    <n v="3.4"/>
    <n v="2"/>
    <n v="4"/>
    <n v="0"/>
    <n v="0"/>
    <n v="0"/>
    <n v="0"/>
    <n v="0"/>
    <x v="525"/>
    <x v="480"/>
    <n v="232184"/>
    <x v="18"/>
    <x v="13"/>
    <n v="8"/>
    <n v="50"/>
    <n v="64"/>
  </r>
  <r>
    <x v="1"/>
    <x v="121"/>
    <x v="7"/>
    <x v="411"/>
    <x v="125"/>
    <n v="0"/>
    <n v="22.1"/>
    <n v="0"/>
    <n v="0"/>
    <n v="0"/>
    <n v="0"/>
    <n v="0"/>
    <n v="0"/>
    <x v="526"/>
    <x v="481"/>
    <n v="0"/>
    <x v="15"/>
    <x v="16"/>
    <n v="0"/>
    <n v="65"/>
    <n v="79"/>
  </r>
  <r>
    <x v="0"/>
    <x v="109"/>
    <x v="4"/>
    <x v="2"/>
    <x v="2"/>
    <n v="0"/>
    <n v="0"/>
    <n v="0"/>
    <n v="0"/>
    <n v="0"/>
    <n v="0"/>
    <n v="0"/>
    <n v="0"/>
    <x v="527"/>
    <x v="482"/>
    <n v="44545"/>
    <x v="2"/>
    <x v="1"/>
    <n v="0"/>
    <n v="12"/>
    <n v="17"/>
  </r>
  <r>
    <x v="2"/>
    <x v="72"/>
    <x v="3"/>
    <x v="170"/>
    <x v="294"/>
    <n v="17.899999999999999"/>
    <n v="5.5"/>
    <n v="4"/>
    <n v="0"/>
    <n v="0"/>
    <n v="0"/>
    <n v="0"/>
    <n v="0"/>
    <x v="267"/>
    <x v="113"/>
    <n v="161690"/>
    <x v="198"/>
    <x v="27"/>
    <n v="29"/>
    <n v="18"/>
    <n v="29"/>
  </r>
  <r>
    <x v="2"/>
    <x v="102"/>
    <x v="1"/>
    <x v="412"/>
    <x v="295"/>
    <n v="31"/>
    <n v="3"/>
    <n v="2.2000000000000002"/>
    <n v="0"/>
    <n v="0"/>
    <n v="0"/>
    <n v="0"/>
    <n v="0"/>
    <x v="206"/>
    <x v="198"/>
    <n v="222350"/>
    <x v="66"/>
    <x v="77"/>
    <n v="69"/>
    <n v="50"/>
    <n v="64"/>
  </r>
  <r>
    <x v="2"/>
    <x v="105"/>
    <x v="7"/>
    <x v="413"/>
    <x v="296"/>
    <n v="231.7"/>
    <n v="1.4"/>
    <n v="1.2"/>
    <n v="0"/>
    <n v="0"/>
    <n v="0"/>
    <n v="0"/>
    <n v="0"/>
    <x v="528"/>
    <x v="483"/>
    <n v="169587"/>
    <x v="199"/>
    <x v="171"/>
    <n v="393"/>
    <n v="65"/>
    <n v="79"/>
  </r>
  <r>
    <x v="1"/>
    <x v="21"/>
    <x v="4"/>
    <x v="103"/>
    <x v="2"/>
    <n v="0"/>
    <n v="0"/>
    <n v="0"/>
    <n v="0"/>
    <n v="0"/>
    <n v="0"/>
    <n v="0"/>
    <n v="0"/>
    <x v="23"/>
    <x v="23"/>
    <n v="0"/>
    <x v="0"/>
    <x v="1"/>
    <n v="0"/>
    <n v="12"/>
    <n v="17"/>
  </r>
  <r>
    <x v="2"/>
    <x v="88"/>
    <x v="2"/>
    <x v="172"/>
    <x v="2"/>
    <n v="0"/>
    <n v="0"/>
    <n v="0"/>
    <n v="0"/>
    <n v="0"/>
    <n v="0"/>
    <n v="0"/>
    <n v="0"/>
    <x v="356"/>
    <x v="28"/>
    <n v="0"/>
    <x v="200"/>
    <x v="1"/>
    <n v="0"/>
    <n v="5"/>
    <n v="11"/>
  </r>
  <r>
    <x v="2"/>
    <x v="1"/>
    <x v="2"/>
    <x v="414"/>
    <x v="297"/>
    <n v="212.3"/>
    <n v="0.9"/>
    <n v="0.8"/>
    <n v="0"/>
    <n v="0"/>
    <n v="0"/>
    <n v="0"/>
    <n v="0"/>
    <x v="529"/>
    <x v="484"/>
    <n v="21192"/>
    <x v="201"/>
    <x v="172"/>
    <n v="45"/>
    <n v="5"/>
    <n v="11"/>
  </r>
  <r>
    <x v="0"/>
    <x v="138"/>
    <x v="3"/>
    <x v="2"/>
    <x v="2"/>
    <n v="0"/>
    <n v="0"/>
    <n v="0"/>
    <n v="0"/>
    <n v="0"/>
    <n v="0"/>
    <n v="0"/>
    <n v="0"/>
    <x v="460"/>
    <x v="426"/>
    <n v="0"/>
    <x v="2"/>
    <x v="1"/>
    <n v="0"/>
    <n v="18"/>
    <n v="29"/>
  </r>
  <r>
    <x v="1"/>
    <x v="105"/>
    <x v="8"/>
    <x v="40"/>
    <x v="2"/>
    <n v="0"/>
    <n v="0"/>
    <n v="0"/>
    <n v="0"/>
    <n v="0"/>
    <n v="0"/>
    <n v="0"/>
    <n v="0"/>
    <x v="28"/>
    <x v="28"/>
    <n v="0"/>
    <x v="24"/>
    <x v="1"/>
    <n v="0"/>
    <n v="0"/>
    <n v="4"/>
  </r>
  <r>
    <x v="2"/>
    <x v="104"/>
    <x v="7"/>
    <x v="415"/>
    <x v="298"/>
    <n v="20.9"/>
    <n v="2.6"/>
    <n v="10.199999999999999"/>
    <n v="0"/>
    <n v="0"/>
    <n v="0"/>
    <n v="0"/>
    <n v="0"/>
    <x v="168"/>
    <x v="165"/>
    <n v="81384"/>
    <x v="58"/>
    <x v="173"/>
    <n v="17"/>
    <n v="65"/>
    <n v="79"/>
  </r>
  <r>
    <x v="0"/>
    <x v="98"/>
    <x v="8"/>
    <x v="2"/>
    <x v="2"/>
    <n v="0"/>
    <n v="0"/>
    <n v="0"/>
    <n v="0"/>
    <n v="0"/>
    <n v="0"/>
    <n v="0"/>
    <n v="0"/>
    <x v="28"/>
    <x v="28"/>
    <n v="0"/>
    <x v="2"/>
    <x v="1"/>
    <n v="0"/>
    <n v="0"/>
    <n v="4"/>
  </r>
  <r>
    <x v="2"/>
    <x v="22"/>
    <x v="0"/>
    <x v="416"/>
    <x v="299"/>
    <n v="171.7"/>
    <n v="1.7"/>
    <n v="1.3"/>
    <n v="267.5"/>
    <n v="133.5"/>
    <n v="154.6"/>
    <n v="2"/>
    <n v="1.7"/>
    <x v="24"/>
    <x v="24"/>
    <n v="1039873"/>
    <x v="202"/>
    <x v="174"/>
    <n v="1785"/>
    <n v="999"/>
    <n v="999"/>
  </r>
  <r>
    <x v="1"/>
    <x v="104"/>
    <x v="3"/>
    <x v="405"/>
    <x v="145"/>
    <n v="0"/>
    <n v="8.1"/>
    <n v="0"/>
    <n v="0"/>
    <n v="0"/>
    <n v="0"/>
    <n v="0"/>
    <n v="0"/>
    <x v="422"/>
    <x v="393"/>
    <n v="24726"/>
    <x v="29"/>
    <x v="21"/>
    <n v="0"/>
    <n v="18"/>
    <n v="29"/>
  </r>
  <r>
    <x v="1"/>
    <x v="96"/>
    <x v="3"/>
    <x v="59"/>
    <x v="23"/>
    <n v="1.2"/>
    <n v="10.4"/>
    <n v="4.3"/>
    <n v="0"/>
    <n v="0"/>
    <n v="0"/>
    <n v="0"/>
    <n v="0"/>
    <x v="530"/>
    <x v="485"/>
    <n v="161667"/>
    <x v="20"/>
    <x v="0"/>
    <n v="2"/>
    <n v="18"/>
    <n v="29"/>
  </r>
  <r>
    <x v="0"/>
    <x v="41"/>
    <x v="0"/>
    <x v="241"/>
    <x v="23"/>
    <n v="0.1"/>
    <n v="1"/>
    <n v="5"/>
    <n v="0.6"/>
    <n v="0.8"/>
    <n v="0.1"/>
    <n v="0.8"/>
    <n v="9"/>
    <x v="531"/>
    <x v="486"/>
    <n v="1018396"/>
    <x v="45"/>
    <x v="16"/>
    <n v="1"/>
    <n v="999"/>
    <n v="999"/>
  </r>
  <r>
    <x v="1"/>
    <x v="23"/>
    <x v="2"/>
    <x v="417"/>
    <x v="2"/>
    <n v="0"/>
    <n v="0"/>
    <n v="0"/>
    <n v="0"/>
    <n v="0"/>
    <n v="0"/>
    <n v="0"/>
    <n v="0"/>
    <x v="516"/>
    <x v="472"/>
    <n v="21117"/>
    <x v="45"/>
    <x v="1"/>
    <n v="0"/>
    <n v="5"/>
    <n v="11"/>
  </r>
  <r>
    <x v="1"/>
    <x v="130"/>
    <x v="6"/>
    <x v="418"/>
    <x v="262"/>
    <n v="0"/>
    <n v="3.4"/>
    <n v="0"/>
    <n v="0"/>
    <n v="0"/>
    <n v="0"/>
    <n v="0"/>
    <n v="0"/>
    <x v="532"/>
    <x v="487"/>
    <n v="0"/>
    <x v="37"/>
    <x v="7"/>
    <n v="0"/>
    <n v="80"/>
    <n v="200"/>
  </r>
  <r>
    <x v="2"/>
    <x v="37"/>
    <x v="6"/>
    <x v="115"/>
    <x v="93"/>
    <n v="42.4"/>
    <n v="0.1"/>
    <n v="0.2"/>
    <n v="0"/>
    <n v="0"/>
    <n v="0"/>
    <n v="0"/>
    <n v="0"/>
    <x v="200"/>
    <x v="101"/>
    <n v="47130"/>
    <x v="0"/>
    <x v="7"/>
    <n v="20"/>
    <n v="80"/>
    <n v="200"/>
  </r>
  <r>
    <x v="0"/>
    <x v="52"/>
    <x v="8"/>
    <x v="2"/>
    <x v="2"/>
    <n v="0"/>
    <n v="0"/>
    <n v="0"/>
    <n v="0"/>
    <n v="0"/>
    <n v="0"/>
    <n v="0"/>
    <n v="0"/>
    <x v="28"/>
    <x v="28"/>
    <n v="0"/>
    <x v="2"/>
    <x v="1"/>
    <n v="0"/>
    <n v="0"/>
    <n v="4"/>
  </r>
  <r>
    <x v="1"/>
    <x v="64"/>
    <x v="3"/>
    <x v="44"/>
    <x v="23"/>
    <n v="1.2"/>
    <n v="2.6"/>
    <n v="1.1000000000000001"/>
    <n v="0"/>
    <n v="0"/>
    <n v="0"/>
    <n v="0"/>
    <n v="0"/>
    <x v="533"/>
    <x v="488"/>
    <n v="161686"/>
    <x v="1"/>
    <x v="0"/>
    <n v="2"/>
    <n v="18"/>
    <n v="29"/>
  </r>
  <r>
    <x v="0"/>
    <x v="133"/>
    <x v="0"/>
    <x v="132"/>
    <x v="82"/>
    <n v="0"/>
    <n v="15.5"/>
    <n v="0"/>
    <n v="4.4000000000000004"/>
    <n v="0.1"/>
    <n v="0"/>
    <n v="33.200000000000003"/>
    <n v="0"/>
    <x v="457"/>
    <x v="423"/>
    <n v="0"/>
    <x v="117"/>
    <x v="11"/>
    <n v="0"/>
    <n v="999"/>
    <n v="999"/>
  </r>
  <r>
    <x v="0"/>
    <x v="131"/>
    <x v="1"/>
    <x v="388"/>
    <x v="48"/>
    <n v="0"/>
    <n v="6"/>
    <n v="0"/>
    <n v="0"/>
    <n v="0"/>
    <n v="0"/>
    <n v="0"/>
    <n v="0"/>
    <x v="291"/>
    <x v="274"/>
    <n v="13200"/>
    <x v="20"/>
    <x v="39"/>
    <n v="0"/>
    <n v="50"/>
    <n v="64"/>
  </r>
  <r>
    <x v="1"/>
    <x v="34"/>
    <x v="4"/>
    <x v="392"/>
    <x v="131"/>
    <n v="0"/>
    <n v="8.4"/>
    <n v="0"/>
    <n v="0"/>
    <n v="0"/>
    <n v="0"/>
    <n v="0"/>
    <n v="0"/>
    <x v="296"/>
    <x v="279"/>
    <n v="554"/>
    <x v="51"/>
    <x v="11"/>
    <n v="0"/>
    <n v="12"/>
    <n v="17"/>
  </r>
  <r>
    <x v="1"/>
    <x v="1"/>
    <x v="2"/>
    <x v="8"/>
    <x v="221"/>
    <n v="0"/>
    <n v="1.4"/>
    <n v="0"/>
    <n v="0"/>
    <n v="0"/>
    <n v="0"/>
    <n v="0"/>
    <n v="0"/>
    <x v="529"/>
    <x v="484"/>
    <n v="21192"/>
    <x v="45"/>
    <x v="11"/>
    <n v="0"/>
    <n v="5"/>
    <n v="11"/>
  </r>
  <r>
    <x v="1"/>
    <x v="81"/>
    <x v="5"/>
    <x v="87"/>
    <x v="1"/>
    <n v="0"/>
    <n v="18.2"/>
    <n v="0"/>
    <n v="0"/>
    <n v="0"/>
    <n v="0"/>
    <n v="0"/>
    <n v="0"/>
    <x v="503"/>
    <x v="464"/>
    <n v="0"/>
    <x v="42"/>
    <x v="16"/>
    <n v="0"/>
    <n v="30"/>
    <n v="49"/>
  </r>
  <r>
    <x v="2"/>
    <x v="56"/>
    <x v="2"/>
    <x v="419"/>
    <x v="243"/>
    <n v="0"/>
    <n v="0.3"/>
    <n v="0"/>
    <n v="0"/>
    <n v="0"/>
    <n v="0"/>
    <n v="0"/>
    <n v="0"/>
    <x v="534"/>
    <x v="489"/>
    <n v="0"/>
    <x v="155"/>
    <x v="45"/>
    <n v="0"/>
    <n v="5"/>
    <n v="11"/>
  </r>
  <r>
    <x v="0"/>
    <x v="102"/>
    <x v="3"/>
    <x v="286"/>
    <x v="2"/>
    <n v="0"/>
    <n v="0"/>
    <n v="0"/>
    <n v="0"/>
    <n v="0"/>
    <n v="0"/>
    <n v="0"/>
    <n v="0"/>
    <x v="155"/>
    <x v="152"/>
    <n v="142046"/>
    <x v="1"/>
    <x v="1"/>
    <n v="0"/>
    <n v="18"/>
    <n v="29"/>
  </r>
  <r>
    <x v="2"/>
    <x v="70"/>
    <x v="3"/>
    <x v="111"/>
    <x v="300"/>
    <n v="27.8"/>
    <n v="3.7"/>
    <n v="2.9"/>
    <n v="0"/>
    <n v="0"/>
    <n v="0"/>
    <n v="0"/>
    <n v="0"/>
    <x v="535"/>
    <x v="490"/>
    <n v="161682"/>
    <x v="90"/>
    <x v="175"/>
    <n v="45"/>
    <n v="18"/>
    <n v="29"/>
  </r>
  <r>
    <x v="2"/>
    <x v="54"/>
    <x v="5"/>
    <x v="420"/>
    <x v="94"/>
    <n v="28.7"/>
    <n v="2.5"/>
    <n v="1.9"/>
    <n v="0"/>
    <n v="0"/>
    <n v="0"/>
    <n v="0"/>
    <n v="0"/>
    <x v="536"/>
    <x v="491"/>
    <n v="348149"/>
    <x v="26"/>
    <x v="98"/>
    <n v="100"/>
    <n v="30"/>
    <n v="49"/>
  </r>
  <r>
    <x v="1"/>
    <x v="48"/>
    <x v="6"/>
    <x v="421"/>
    <x v="301"/>
    <n v="36"/>
    <n v="0.8"/>
    <n v="0.8"/>
    <n v="0"/>
    <n v="0"/>
    <n v="0"/>
    <n v="0"/>
    <n v="0"/>
    <x v="537"/>
    <x v="492"/>
    <n v="47164"/>
    <x v="64"/>
    <x v="16"/>
    <n v="17"/>
    <n v="80"/>
    <n v="200"/>
  </r>
  <r>
    <x v="1"/>
    <x v="112"/>
    <x v="3"/>
    <x v="331"/>
    <x v="23"/>
    <n v="0"/>
    <n v="22"/>
    <n v="0"/>
    <n v="0"/>
    <n v="0"/>
    <n v="0"/>
    <n v="0"/>
    <n v="0"/>
    <x v="538"/>
    <x v="493"/>
    <n v="0"/>
    <x v="48"/>
    <x v="0"/>
    <n v="0"/>
    <n v="18"/>
    <n v="29"/>
  </r>
  <r>
    <x v="0"/>
    <x v="100"/>
    <x v="6"/>
    <x v="2"/>
    <x v="2"/>
    <n v="0"/>
    <n v="0"/>
    <n v="0"/>
    <n v="0"/>
    <n v="0"/>
    <n v="0"/>
    <n v="0"/>
    <n v="0"/>
    <x v="539"/>
    <x v="494"/>
    <n v="45506"/>
    <x v="2"/>
    <x v="1"/>
    <n v="0"/>
    <n v="80"/>
    <n v="200"/>
  </r>
  <r>
    <x v="2"/>
    <x v="139"/>
    <x v="0"/>
    <x v="422"/>
    <x v="176"/>
    <n v="12.9"/>
    <n v="2.9"/>
    <n v="1.1000000000000001"/>
    <n v="16.600000000000001"/>
    <n v="5"/>
    <n v="9.6"/>
    <n v="3.3"/>
    <n v="1.7"/>
    <x v="540"/>
    <x v="495"/>
    <n v="1040720"/>
    <x v="170"/>
    <x v="34"/>
    <n v="134"/>
    <n v="999"/>
    <n v="999"/>
  </r>
  <r>
    <x v="1"/>
    <x v="30"/>
    <x v="1"/>
    <x v="423"/>
    <x v="56"/>
    <n v="8.9"/>
    <n v="6.8"/>
    <n v="4.3"/>
    <n v="0"/>
    <n v="0"/>
    <n v="0"/>
    <n v="0"/>
    <n v="0"/>
    <x v="251"/>
    <x v="240"/>
    <n v="246697"/>
    <x v="35"/>
    <x v="26"/>
    <n v="22"/>
    <n v="50"/>
    <n v="64"/>
  </r>
  <r>
    <x v="1"/>
    <x v="104"/>
    <x v="5"/>
    <x v="152"/>
    <x v="17"/>
    <n v="1.2"/>
    <n v="21.5"/>
    <n v="21.5"/>
    <n v="0"/>
    <n v="0"/>
    <n v="0"/>
    <n v="0"/>
    <n v="0"/>
    <x v="541"/>
    <x v="496"/>
    <n v="82444"/>
    <x v="185"/>
    <x v="48"/>
    <n v="1"/>
    <n v="30"/>
    <n v="49"/>
  </r>
  <r>
    <x v="2"/>
    <x v="119"/>
    <x v="0"/>
    <x v="424"/>
    <x v="302"/>
    <n v="47.4"/>
    <n v="2.1"/>
    <n v="1.4"/>
    <n v="80.400000000000006"/>
    <n v="33.700000000000003"/>
    <n v="39.6"/>
    <n v="2.4"/>
    <n v="2"/>
    <x v="542"/>
    <x v="497"/>
    <n v="1045972"/>
    <x v="203"/>
    <x v="176"/>
    <n v="496"/>
    <n v="999"/>
    <n v="999"/>
  </r>
  <r>
    <x v="0"/>
    <x v="124"/>
    <x v="7"/>
    <x v="425"/>
    <x v="303"/>
    <n v="3.3"/>
    <n v="3.6"/>
    <n v="13.8"/>
    <n v="0"/>
    <n v="0"/>
    <n v="0"/>
    <n v="0"/>
    <n v="0"/>
    <x v="543"/>
    <x v="498"/>
    <n v="119716"/>
    <x v="56"/>
    <x v="7"/>
    <n v="4"/>
    <n v="65"/>
    <n v="79"/>
  </r>
  <r>
    <x v="0"/>
    <x v="133"/>
    <x v="7"/>
    <x v="426"/>
    <x v="13"/>
    <n v="0"/>
    <n v="25.7"/>
    <n v="0"/>
    <n v="0"/>
    <n v="0"/>
    <n v="0"/>
    <n v="0"/>
    <n v="0"/>
    <x v="544"/>
    <x v="499"/>
    <n v="0"/>
    <x v="16"/>
    <x v="0"/>
    <n v="0"/>
    <n v="65"/>
    <n v="79"/>
  </r>
  <r>
    <x v="0"/>
    <x v="120"/>
    <x v="4"/>
    <x v="2"/>
    <x v="2"/>
    <n v="0"/>
    <n v="0"/>
    <n v="0"/>
    <n v="0"/>
    <n v="0"/>
    <n v="0"/>
    <n v="0"/>
    <n v="0"/>
    <x v="545"/>
    <x v="500"/>
    <n v="44568"/>
    <x v="2"/>
    <x v="1"/>
    <n v="0"/>
    <n v="12"/>
    <n v="17"/>
  </r>
  <r>
    <x v="0"/>
    <x v="99"/>
    <x v="7"/>
    <x v="61"/>
    <x v="72"/>
    <n v="2.6"/>
    <n v="2"/>
    <n v="13.2"/>
    <n v="0"/>
    <n v="0"/>
    <n v="0"/>
    <n v="0"/>
    <n v="0"/>
    <x v="546"/>
    <x v="501"/>
    <n v="151402"/>
    <x v="134"/>
    <x v="17"/>
    <n v="4"/>
    <n v="65"/>
    <n v="79"/>
  </r>
  <r>
    <x v="0"/>
    <x v="112"/>
    <x v="4"/>
    <x v="2"/>
    <x v="2"/>
    <n v="0"/>
    <n v="0"/>
    <n v="0"/>
    <n v="0"/>
    <n v="0"/>
    <n v="0"/>
    <n v="0"/>
    <n v="0"/>
    <x v="190"/>
    <x v="28"/>
    <n v="0"/>
    <x v="2"/>
    <x v="1"/>
    <n v="0"/>
    <n v="12"/>
    <n v="17"/>
  </r>
  <r>
    <x v="1"/>
    <x v="80"/>
    <x v="4"/>
    <x v="2"/>
    <x v="73"/>
    <n v="3"/>
    <n v="0"/>
    <n v="0"/>
    <n v="0"/>
    <n v="0"/>
    <n v="0"/>
    <n v="0"/>
    <n v="0"/>
    <x v="547"/>
    <x v="502"/>
    <n v="33365"/>
    <x v="2"/>
    <x v="0"/>
    <n v="1"/>
    <n v="12"/>
    <n v="17"/>
  </r>
  <r>
    <x v="1"/>
    <x v="70"/>
    <x v="0"/>
    <x v="427"/>
    <x v="257"/>
    <n v="6.6"/>
    <n v="1.7"/>
    <n v="0.7"/>
    <n v="5.0999999999999996"/>
    <n v="3.3"/>
    <n v="4.8"/>
    <n v="1.6"/>
    <n v="1.1000000000000001"/>
    <x v="179"/>
    <x v="176"/>
    <n v="1040581"/>
    <x v="87"/>
    <x v="97"/>
    <n v="69"/>
    <n v="999"/>
    <n v="999"/>
  </r>
  <r>
    <x v="2"/>
    <x v="136"/>
    <x v="6"/>
    <x v="428"/>
    <x v="304"/>
    <n v="0"/>
    <n v="1.2"/>
    <n v="0"/>
    <n v="0"/>
    <n v="0"/>
    <n v="0"/>
    <n v="0"/>
    <n v="0"/>
    <x v="548"/>
    <x v="503"/>
    <n v="0"/>
    <x v="46"/>
    <x v="149"/>
    <n v="0"/>
    <n v="80"/>
    <n v="200"/>
  </r>
  <r>
    <x v="2"/>
    <x v="61"/>
    <x v="8"/>
    <x v="429"/>
    <x v="36"/>
    <n v="0"/>
    <n v="17"/>
    <n v="0"/>
    <n v="0"/>
    <n v="0"/>
    <n v="0"/>
    <n v="0"/>
    <n v="0"/>
    <x v="28"/>
    <x v="28"/>
    <n v="0"/>
    <x v="204"/>
    <x v="16"/>
    <n v="0"/>
    <n v="0"/>
    <n v="4"/>
  </r>
  <r>
    <x v="2"/>
    <x v="43"/>
    <x v="7"/>
    <x v="430"/>
    <x v="262"/>
    <n v="30.3"/>
    <n v="1.5"/>
    <n v="1"/>
    <n v="0"/>
    <n v="0"/>
    <n v="0"/>
    <n v="0"/>
    <n v="0"/>
    <x v="55"/>
    <x v="55"/>
    <n v="171748"/>
    <x v="27"/>
    <x v="13"/>
    <n v="52"/>
    <n v="65"/>
    <n v="79"/>
  </r>
  <r>
    <x v="1"/>
    <x v="55"/>
    <x v="1"/>
    <x v="271"/>
    <x v="56"/>
    <n v="2.8"/>
    <n v="2.2000000000000002"/>
    <n v="4.4000000000000004"/>
    <n v="0"/>
    <n v="0"/>
    <n v="0"/>
    <n v="0"/>
    <n v="0"/>
    <x v="447"/>
    <x v="38"/>
    <n v="246939"/>
    <x v="20"/>
    <x v="26"/>
    <n v="7"/>
    <n v="50"/>
    <n v="64"/>
  </r>
  <r>
    <x v="2"/>
    <x v="11"/>
    <x v="0"/>
    <x v="296"/>
    <x v="305"/>
    <n v="32.700000000000003"/>
    <n v="2.2999999999999998"/>
    <n v="1.5"/>
    <n v="55.3"/>
    <n v="21.6"/>
    <n v="33.700000000000003"/>
    <n v="2.6"/>
    <n v="1.6"/>
    <x v="11"/>
    <x v="11"/>
    <n v="1040639"/>
    <x v="205"/>
    <x v="44"/>
    <n v="340"/>
    <n v="999"/>
    <n v="999"/>
  </r>
  <r>
    <x v="0"/>
    <x v="10"/>
    <x v="5"/>
    <x v="2"/>
    <x v="2"/>
    <n v="0"/>
    <n v="0"/>
    <n v="0"/>
    <n v="0"/>
    <n v="0"/>
    <n v="0"/>
    <n v="0"/>
    <n v="0"/>
    <x v="337"/>
    <x v="315"/>
    <n v="347197"/>
    <x v="2"/>
    <x v="1"/>
    <n v="0"/>
    <n v="30"/>
    <n v="49"/>
  </r>
  <r>
    <x v="1"/>
    <x v="66"/>
    <x v="2"/>
    <x v="431"/>
    <x v="2"/>
    <n v="0"/>
    <n v="0"/>
    <n v="0"/>
    <n v="0"/>
    <n v="0"/>
    <n v="0"/>
    <n v="0"/>
    <n v="0"/>
    <x v="226"/>
    <x v="28"/>
    <n v="0"/>
    <x v="45"/>
    <x v="1"/>
    <n v="0"/>
    <n v="5"/>
    <n v="11"/>
  </r>
  <r>
    <x v="0"/>
    <x v="126"/>
    <x v="5"/>
    <x v="2"/>
    <x v="2"/>
    <n v="0"/>
    <n v="0"/>
    <n v="0"/>
    <n v="0"/>
    <n v="0"/>
    <n v="0"/>
    <n v="0"/>
    <n v="0"/>
    <x v="271"/>
    <x v="63"/>
    <n v="347325"/>
    <x v="2"/>
    <x v="1"/>
    <n v="0"/>
    <n v="30"/>
    <n v="49"/>
  </r>
  <r>
    <x v="2"/>
    <x v="80"/>
    <x v="3"/>
    <x v="432"/>
    <x v="306"/>
    <n v="295.2"/>
    <n v="2.5"/>
    <n v="1"/>
    <n v="0"/>
    <n v="0"/>
    <n v="0"/>
    <n v="0"/>
    <n v="0"/>
    <x v="161"/>
    <x v="158"/>
    <n v="150062"/>
    <x v="206"/>
    <x v="109"/>
    <n v="443"/>
    <n v="18"/>
    <n v="29"/>
  </r>
  <r>
    <x v="0"/>
    <x v="76"/>
    <x v="2"/>
    <x v="2"/>
    <x v="2"/>
    <n v="0"/>
    <n v="0"/>
    <n v="0"/>
    <n v="0"/>
    <n v="0"/>
    <n v="0"/>
    <n v="0"/>
    <n v="0"/>
    <x v="549"/>
    <x v="504"/>
    <n v="21243"/>
    <x v="2"/>
    <x v="1"/>
    <n v="0"/>
    <n v="5"/>
    <n v="11"/>
  </r>
  <r>
    <x v="2"/>
    <x v="125"/>
    <x v="0"/>
    <x v="433"/>
    <x v="53"/>
    <n v="0"/>
    <n v="6.6"/>
    <n v="0"/>
    <n v="39.799999999999997"/>
    <n v="4.0999999999999996"/>
    <n v="0"/>
    <n v="9.6999999999999993"/>
    <n v="0"/>
    <x v="369"/>
    <x v="345"/>
    <n v="0"/>
    <x v="207"/>
    <x v="111"/>
    <n v="0"/>
    <n v="999"/>
    <n v="999"/>
  </r>
  <r>
    <x v="2"/>
    <x v="122"/>
    <x v="0"/>
    <x v="434"/>
    <x v="307"/>
    <n v="0"/>
    <n v="9.4"/>
    <n v="0"/>
    <n v="231.7"/>
    <n v="18"/>
    <n v="0"/>
    <n v="12.8"/>
    <n v="0"/>
    <x v="550"/>
    <x v="505"/>
    <n v="0"/>
    <x v="208"/>
    <x v="65"/>
    <n v="0"/>
    <n v="999"/>
    <n v="999"/>
  </r>
  <r>
    <x v="2"/>
    <x v="12"/>
    <x v="6"/>
    <x v="430"/>
    <x v="308"/>
    <n v="0"/>
    <n v="2"/>
    <n v="0"/>
    <n v="0"/>
    <n v="0"/>
    <n v="0"/>
    <n v="0"/>
    <n v="0"/>
    <x v="12"/>
    <x v="12"/>
    <n v="0"/>
    <x v="24"/>
    <x v="5"/>
    <n v="0"/>
    <n v="80"/>
    <n v="200"/>
  </r>
  <r>
    <x v="2"/>
    <x v="102"/>
    <x v="7"/>
    <x v="299"/>
    <x v="309"/>
    <n v="32.5"/>
    <n v="1.8"/>
    <n v="1.4"/>
    <n v="0"/>
    <n v="0"/>
    <n v="0"/>
    <n v="0"/>
    <n v="0"/>
    <x v="484"/>
    <x v="448"/>
    <n v="157042"/>
    <x v="37"/>
    <x v="38"/>
    <n v="51"/>
    <n v="65"/>
    <n v="79"/>
  </r>
  <r>
    <x v="0"/>
    <x v="96"/>
    <x v="6"/>
    <x v="82"/>
    <x v="2"/>
    <n v="0"/>
    <n v="0"/>
    <n v="0"/>
    <n v="0"/>
    <n v="0"/>
    <n v="0"/>
    <n v="0"/>
    <n v="0"/>
    <x v="551"/>
    <x v="506"/>
    <n v="47126"/>
    <x v="1"/>
    <x v="1"/>
    <n v="0"/>
    <n v="80"/>
    <n v="200"/>
  </r>
  <r>
    <x v="2"/>
    <x v="85"/>
    <x v="2"/>
    <x v="435"/>
    <x v="310"/>
    <n v="0"/>
    <n v="1.1000000000000001"/>
    <n v="0"/>
    <n v="0"/>
    <n v="0"/>
    <n v="0"/>
    <n v="0"/>
    <n v="0"/>
    <x v="390"/>
    <x v="365"/>
    <n v="0"/>
    <x v="209"/>
    <x v="158"/>
    <n v="0"/>
    <n v="5"/>
    <n v="11"/>
  </r>
  <r>
    <x v="2"/>
    <x v="47"/>
    <x v="5"/>
    <x v="436"/>
    <x v="311"/>
    <n v="147.5"/>
    <n v="2.1"/>
    <n v="1.6"/>
    <n v="0"/>
    <n v="0"/>
    <n v="0"/>
    <n v="0"/>
    <n v="0"/>
    <x v="552"/>
    <x v="507"/>
    <n v="347177"/>
    <x v="210"/>
    <x v="177"/>
    <n v="512"/>
    <n v="30"/>
    <n v="49"/>
  </r>
  <r>
    <x v="2"/>
    <x v="61"/>
    <x v="7"/>
    <x v="437"/>
    <x v="210"/>
    <n v="58.8"/>
    <n v="1.6"/>
    <n v="1.8"/>
    <n v="0"/>
    <n v="0"/>
    <n v="0"/>
    <n v="0"/>
    <n v="0"/>
    <x v="553"/>
    <x v="57"/>
    <n v="171758"/>
    <x v="211"/>
    <x v="149"/>
    <n v="101"/>
    <n v="65"/>
    <n v="79"/>
  </r>
  <r>
    <x v="2"/>
    <x v="137"/>
    <x v="2"/>
    <x v="438"/>
    <x v="289"/>
    <n v="17.8"/>
    <n v="1.6"/>
    <n v="0.9"/>
    <n v="0"/>
    <n v="0"/>
    <n v="0"/>
    <n v="0"/>
    <n v="0"/>
    <x v="554"/>
    <x v="508"/>
    <n v="22441"/>
    <x v="35"/>
    <x v="5"/>
    <n v="4"/>
    <n v="5"/>
    <n v="11"/>
  </r>
  <r>
    <x v="0"/>
    <x v="119"/>
    <x v="2"/>
    <x v="2"/>
    <x v="2"/>
    <n v="0"/>
    <n v="0"/>
    <n v="0"/>
    <n v="0"/>
    <n v="0"/>
    <n v="0"/>
    <n v="0"/>
    <n v="0"/>
    <x v="555"/>
    <x v="509"/>
    <n v="21989"/>
    <x v="2"/>
    <x v="1"/>
    <n v="0"/>
    <n v="5"/>
    <n v="11"/>
  </r>
  <r>
    <x v="1"/>
    <x v="132"/>
    <x v="1"/>
    <x v="146"/>
    <x v="312"/>
    <n v="4.7"/>
    <n v="2"/>
    <n v="3.9"/>
    <n v="0"/>
    <n v="0"/>
    <n v="0"/>
    <n v="0"/>
    <n v="0"/>
    <x v="556"/>
    <x v="510"/>
    <n v="234246"/>
    <x v="33"/>
    <x v="23"/>
    <n v="11"/>
    <n v="50"/>
    <n v="64"/>
  </r>
  <r>
    <x v="2"/>
    <x v="137"/>
    <x v="5"/>
    <x v="439"/>
    <x v="313"/>
    <n v="33.799999999999997"/>
    <n v="2.5"/>
    <n v="2.2999999999999998"/>
    <n v="0"/>
    <n v="0"/>
    <n v="0"/>
    <n v="0"/>
    <n v="0"/>
    <x v="557"/>
    <x v="511"/>
    <n v="349175"/>
    <x v="142"/>
    <x v="178"/>
    <n v="118"/>
    <n v="30"/>
    <n v="49"/>
  </r>
  <r>
    <x v="0"/>
    <x v="10"/>
    <x v="1"/>
    <x v="2"/>
    <x v="1"/>
    <n v="0.4"/>
    <n v="0"/>
    <n v="0"/>
    <n v="0"/>
    <n v="0"/>
    <n v="0"/>
    <n v="0"/>
    <n v="0"/>
    <x v="558"/>
    <x v="512"/>
    <n v="246812"/>
    <x v="2"/>
    <x v="0"/>
    <n v="1"/>
    <n v="50"/>
    <n v="64"/>
  </r>
  <r>
    <x v="2"/>
    <x v="105"/>
    <x v="6"/>
    <x v="440"/>
    <x v="314"/>
    <n v="244.9"/>
    <n v="0.7"/>
    <n v="0.6"/>
    <n v="0"/>
    <n v="0"/>
    <n v="0"/>
    <n v="0"/>
    <n v="0"/>
    <x v="559"/>
    <x v="513"/>
    <n v="46545"/>
    <x v="211"/>
    <x v="25"/>
    <n v="114"/>
    <n v="80"/>
    <n v="200"/>
  </r>
  <r>
    <x v="0"/>
    <x v="131"/>
    <x v="0"/>
    <x v="298"/>
    <x v="13"/>
    <n v="0"/>
    <n v="3.3"/>
    <n v="0"/>
    <n v="3.1"/>
    <n v="0.5"/>
    <n v="0"/>
    <n v="6.2"/>
    <n v="0"/>
    <x v="560"/>
    <x v="514"/>
    <n v="68441"/>
    <x v="29"/>
    <x v="13"/>
    <n v="0"/>
    <n v="999"/>
    <n v="999"/>
  </r>
  <r>
    <x v="2"/>
    <x v="23"/>
    <x v="4"/>
    <x v="441"/>
    <x v="315"/>
    <n v="87.6"/>
    <n v="2.8"/>
    <n v="2.6"/>
    <n v="0"/>
    <n v="0"/>
    <n v="0"/>
    <n v="0"/>
    <n v="0"/>
    <x v="25"/>
    <x v="25"/>
    <n v="44513"/>
    <x v="135"/>
    <x v="179"/>
    <n v="39"/>
    <n v="12"/>
    <n v="17"/>
  </r>
  <r>
    <x v="1"/>
    <x v="49"/>
    <x v="7"/>
    <x v="137"/>
    <x v="273"/>
    <n v="8.6999999999999993"/>
    <n v="1.9"/>
    <n v="2.1"/>
    <n v="0"/>
    <n v="0"/>
    <n v="0"/>
    <n v="0"/>
    <n v="0"/>
    <x v="561"/>
    <x v="515"/>
    <n v="171752"/>
    <x v="64"/>
    <x v="16"/>
    <n v="15"/>
    <n v="65"/>
    <n v="79"/>
  </r>
  <r>
    <x v="0"/>
    <x v="74"/>
    <x v="4"/>
    <x v="2"/>
    <x v="2"/>
    <n v="0"/>
    <n v="0"/>
    <n v="0"/>
    <n v="0"/>
    <n v="0"/>
    <n v="0"/>
    <n v="0"/>
    <n v="0"/>
    <x v="244"/>
    <x v="233"/>
    <n v="44615"/>
    <x v="2"/>
    <x v="1"/>
    <n v="0"/>
    <n v="12"/>
    <n v="17"/>
  </r>
  <r>
    <x v="0"/>
    <x v="7"/>
    <x v="0"/>
    <x v="43"/>
    <x v="23"/>
    <n v="0"/>
    <n v="7.4"/>
    <n v="0"/>
    <n v="5.4"/>
    <n v="0.6"/>
    <n v="0"/>
    <n v="9.3000000000000007"/>
    <n v="0"/>
    <x v="16"/>
    <x v="16"/>
    <n v="333146"/>
    <x v="182"/>
    <x v="48"/>
    <n v="0"/>
    <n v="999"/>
    <n v="999"/>
  </r>
  <r>
    <x v="1"/>
    <x v="14"/>
    <x v="0"/>
    <x v="442"/>
    <x v="8"/>
    <n v="0"/>
    <n v="8.9"/>
    <n v="0"/>
    <n v="15.7"/>
    <n v="0.8"/>
    <n v="0"/>
    <n v="18.8"/>
    <n v="0"/>
    <x v="14"/>
    <x v="14"/>
    <n v="0"/>
    <x v="196"/>
    <x v="52"/>
    <n v="0"/>
    <n v="999"/>
    <n v="999"/>
  </r>
  <r>
    <x v="2"/>
    <x v="56"/>
    <x v="6"/>
    <x v="31"/>
    <x v="86"/>
    <n v="30.2"/>
    <n v="0.3"/>
    <n v="0.2"/>
    <n v="0"/>
    <n v="0"/>
    <n v="0"/>
    <n v="0"/>
    <n v="0"/>
    <x v="58"/>
    <x v="58"/>
    <n v="43109"/>
    <x v="0"/>
    <x v="39"/>
    <n v="13"/>
    <n v="80"/>
    <n v="200"/>
  </r>
  <r>
    <x v="1"/>
    <x v="21"/>
    <x v="3"/>
    <x v="117"/>
    <x v="2"/>
    <n v="0"/>
    <n v="0"/>
    <n v="0"/>
    <n v="0"/>
    <n v="0"/>
    <n v="0"/>
    <n v="0"/>
    <n v="0"/>
    <x v="562"/>
    <x v="516"/>
    <n v="0"/>
    <x v="16"/>
    <x v="1"/>
    <n v="0"/>
    <n v="18"/>
    <n v="29"/>
  </r>
  <r>
    <x v="0"/>
    <x v="31"/>
    <x v="3"/>
    <x v="2"/>
    <x v="2"/>
    <n v="0"/>
    <n v="0"/>
    <n v="0"/>
    <n v="0"/>
    <n v="0"/>
    <n v="0"/>
    <n v="0"/>
    <n v="0"/>
    <x v="563"/>
    <x v="517"/>
    <n v="156355"/>
    <x v="2"/>
    <x v="1"/>
    <n v="0"/>
    <n v="18"/>
    <n v="29"/>
  </r>
  <r>
    <x v="2"/>
    <x v="41"/>
    <x v="1"/>
    <x v="443"/>
    <x v="316"/>
    <n v="212.4"/>
    <n v="3.3"/>
    <n v="2.2000000000000002"/>
    <n v="0"/>
    <n v="0"/>
    <n v="0"/>
    <n v="0"/>
    <n v="0"/>
    <x v="391"/>
    <x v="366"/>
    <n v="244360"/>
    <x v="212"/>
    <x v="180"/>
    <n v="519"/>
    <n v="50"/>
    <n v="64"/>
  </r>
  <r>
    <x v="2"/>
    <x v="33"/>
    <x v="7"/>
    <x v="444"/>
    <x v="79"/>
    <n v="12.8"/>
    <n v="1.7"/>
    <n v="2.2000000000000002"/>
    <n v="0"/>
    <n v="0"/>
    <n v="0"/>
    <n v="0"/>
    <n v="0"/>
    <x v="564"/>
    <x v="518"/>
    <n v="171745"/>
    <x v="6"/>
    <x v="26"/>
    <n v="22"/>
    <n v="65"/>
    <n v="79"/>
  </r>
  <r>
    <x v="1"/>
    <x v="2"/>
    <x v="4"/>
    <x v="177"/>
    <x v="2"/>
    <n v="0"/>
    <n v="0"/>
    <n v="0"/>
    <n v="0"/>
    <n v="0"/>
    <n v="0"/>
    <n v="0"/>
    <n v="0"/>
    <x v="565"/>
    <x v="519"/>
    <n v="44085"/>
    <x v="0"/>
    <x v="1"/>
    <n v="0"/>
    <n v="12"/>
    <n v="17"/>
  </r>
  <r>
    <x v="1"/>
    <x v="95"/>
    <x v="2"/>
    <x v="286"/>
    <x v="2"/>
    <n v="0"/>
    <n v="0"/>
    <n v="0"/>
    <n v="0"/>
    <n v="0"/>
    <n v="0"/>
    <n v="0"/>
    <n v="0"/>
    <x v="404"/>
    <x v="378"/>
    <n v="8887"/>
    <x v="1"/>
    <x v="1"/>
    <n v="0"/>
    <n v="5"/>
    <n v="11"/>
  </r>
  <r>
    <x v="1"/>
    <x v="116"/>
    <x v="6"/>
    <x v="371"/>
    <x v="290"/>
    <n v="36.1"/>
    <n v="0.2"/>
    <n v="0.3"/>
    <n v="0"/>
    <n v="0"/>
    <n v="0"/>
    <n v="0"/>
    <n v="0"/>
    <x v="566"/>
    <x v="353"/>
    <n v="47133"/>
    <x v="45"/>
    <x v="48"/>
    <n v="17"/>
    <n v="80"/>
    <n v="200"/>
  </r>
  <r>
    <x v="0"/>
    <x v="37"/>
    <x v="4"/>
    <x v="2"/>
    <x v="2"/>
    <n v="0"/>
    <n v="0"/>
    <n v="0"/>
    <n v="0"/>
    <n v="0"/>
    <n v="0"/>
    <n v="0"/>
    <n v="0"/>
    <x v="504"/>
    <x v="241"/>
    <n v="44592"/>
    <x v="2"/>
    <x v="1"/>
    <n v="0"/>
    <n v="12"/>
    <n v="17"/>
  </r>
  <r>
    <x v="1"/>
    <x v="31"/>
    <x v="8"/>
    <x v="40"/>
    <x v="2"/>
    <n v="0"/>
    <n v="0"/>
    <n v="0"/>
    <n v="0"/>
    <n v="0"/>
    <n v="0"/>
    <n v="0"/>
    <n v="0"/>
    <x v="28"/>
    <x v="28"/>
    <n v="0"/>
    <x v="24"/>
    <x v="1"/>
    <n v="0"/>
    <n v="0"/>
    <n v="4"/>
  </r>
  <r>
    <x v="2"/>
    <x v="55"/>
    <x v="3"/>
    <x v="445"/>
    <x v="317"/>
    <n v="25.4"/>
    <n v="2.9"/>
    <n v="3.4"/>
    <n v="0"/>
    <n v="0"/>
    <n v="0"/>
    <n v="0"/>
    <n v="0"/>
    <x v="567"/>
    <x v="520"/>
    <n v="161720"/>
    <x v="192"/>
    <x v="116"/>
    <n v="41"/>
    <n v="18"/>
    <n v="29"/>
  </r>
  <r>
    <x v="1"/>
    <x v="127"/>
    <x v="7"/>
    <x v="446"/>
    <x v="318"/>
    <n v="42.1"/>
    <n v="1.8"/>
    <n v="7.4"/>
    <n v="0"/>
    <n v="0"/>
    <n v="0"/>
    <n v="0"/>
    <n v="0"/>
    <x v="362"/>
    <x v="338"/>
    <n v="137780"/>
    <x v="213"/>
    <x v="169"/>
    <n v="58"/>
    <n v="65"/>
    <n v="79"/>
  </r>
  <r>
    <x v="2"/>
    <x v="23"/>
    <x v="3"/>
    <x v="447"/>
    <x v="319"/>
    <n v="110.2"/>
    <n v="3.2"/>
    <n v="2.8"/>
    <n v="0"/>
    <n v="0"/>
    <n v="0"/>
    <n v="0"/>
    <n v="0"/>
    <x v="568"/>
    <x v="521"/>
    <n v="161582"/>
    <x v="214"/>
    <x v="157"/>
    <n v="178"/>
    <n v="18"/>
    <n v="29"/>
  </r>
  <r>
    <x v="2"/>
    <x v="73"/>
    <x v="2"/>
    <x v="448"/>
    <x v="320"/>
    <n v="151.30000000000001"/>
    <n v="0.8"/>
    <n v="0.5"/>
    <n v="0"/>
    <n v="0"/>
    <n v="0"/>
    <n v="0"/>
    <n v="0"/>
    <x v="569"/>
    <x v="522"/>
    <n v="6610"/>
    <x v="204"/>
    <x v="53"/>
    <n v="10"/>
    <n v="5"/>
    <n v="11"/>
  </r>
  <r>
    <x v="1"/>
    <x v="114"/>
    <x v="4"/>
    <x v="2"/>
    <x v="17"/>
    <n v="2.2000000000000002"/>
    <n v="0"/>
    <n v="0"/>
    <n v="0"/>
    <n v="0"/>
    <n v="0"/>
    <n v="0"/>
    <n v="0"/>
    <x v="570"/>
    <x v="523"/>
    <n v="44472"/>
    <x v="2"/>
    <x v="0"/>
    <n v="1"/>
    <n v="12"/>
    <n v="17"/>
  </r>
  <r>
    <x v="0"/>
    <x v="116"/>
    <x v="6"/>
    <x v="2"/>
    <x v="2"/>
    <n v="2.1"/>
    <n v="0"/>
    <n v="0"/>
    <n v="0"/>
    <n v="0"/>
    <n v="0"/>
    <n v="0"/>
    <n v="0"/>
    <x v="566"/>
    <x v="353"/>
    <n v="47133"/>
    <x v="2"/>
    <x v="1"/>
    <n v="1"/>
    <n v="80"/>
    <n v="200"/>
  </r>
  <r>
    <x v="0"/>
    <x v="96"/>
    <x v="2"/>
    <x v="2"/>
    <x v="2"/>
    <n v="0"/>
    <n v="0"/>
    <n v="0"/>
    <n v="0"/>
    <n v="0"/>
    <n v="0"/>
    <n v="0"/>
    <n v="0"/>
    <x v="213"/>
    <x v="205"/>
    <n v="21210"/>
    <x v="2"/>
    <x v="1"/>
    <n v="0"/>
    <n v="5"/>
    <n v="11"/>
  </r>
  <r>
    <x v="1"/>
    <x v="102"/>
    <x v="7"/>
    <x v="89"/>
    <x v="230"/>
    <n v="3.8"/>
    <n v="1.5"/>
    <n v="3.8"/>
    <n v="0"/>
    <n v="0"/>
    <n v="0"/>
    <n v="0"/>
    <n v="0"/>
    <x v="484"/>
    <x v="448"/>
    <n v="157042"/>
    <x v="64"/>
    <x v="21"/>
    <n v="6"/>
    <n v="65"/>
    <n v="79"/>
  </r>
  <r>
    <x v="1"/>
    <x v="106"/>
    <x v="5"/>
    <x v="449"/>
    <x v="73"/>
    <n v="0"/>
    <n v="20"/>
    <n v="0"/>
    <n v="0"/>
    <n v="0"/>
    <n v="0"/>
    <n v="0"/>
    <n v="0"/>
    <x v="175"/>
    <x v="172"/>
    <n v="0"/>
    <x v="185"/>
    <x v="48"/>
    <n v="0"/>
    <n v="30"/>
    <n v="49"/>
  </r>
  <r>
    <x v="1"/>
    <x v="35"/>
    <x v="0"/>
    <x v="37"/>
    <x v="34"/>
    <n v="4.5"/>
    <n v="2.4"/>
    <n v="1.2"/>
    <n v="7.8"/>
    <n v="3.8"/>
    <n v="3.2"/>
    <n v="2"/>
    <n v="2.4"/>
    <x v="571"/>
    <x v="524"/>
    <n v="1044756"/>
    <x v="48"/>
    <x v="31"/>
    <n v="47"/>
    <n v="999"/>
    <n v="999"/>
  </r>
  <r>
    <x v="0"/>
    <x v="97"/>
    <x v="1"/>
    <x v="192"/>
    <x v="17"/>
    <n v="1.1000000000000001"/>
    <n v="14.7"/>
    <n v="16"/>
    <n v="0"/>
    <n v="0"/>
    <n v="0"/>
    <n v="0"/>
    <n v="0"/>
    <x v="572"/>
    <x v="525"/>
    <n v="92192"/>
    <x v="6"/>
    <x v="39"/>
    <n v="1"/>
    <n v="50"/>
    <n v="64"/>
  </r>
  <r>
    <x v="1"/>
    <x v="45"/>
    <x v="5"/>
    <x v="450"/>
    <x v="1"/>
    <n v="0"/>
    <n v="32.1"/>
    <n v="0"/>
    <n v="0"/>
    <n v="0"/>
    <n v="0"/>
    <n v="0"/>
    <n v="0"/>
    <x v="307"/>
    <x v="290"/>
    <n v="0"/>
    <x v="195"/>
    <x v="11"/>
    <n v="0"/>
    <n v="30"/>
    <n v="49"/>
  </r>
  <r>
    <x v="2"/>
    <x v="109"/>
    <x v="4"/>
    <x v="451"/>
    <x v="321"/>
    <n v="71.8"/>
    <n v="2.4"/>
    <n v="2.2999999999999998"/>
    <n v="0"/>
    <n v="0"/>
    <n v="0"/>
    <n v="0"/>
    <n v="0"/>
    <x v="527"/>
    <x v="482"/>
    <n v="44545"/>
    <x v="106"/>
    <x v="181"/>
    <n v="32"/>
    <n v="12"/>
    <n v="17"/>
  </r>
  <r>
    <x v="1"/>
    <x v="105"/>
    <x v="1"/>
    <x v="452"/>
    <x v="322"/>
    <n v="9"/>
    <n v="2.7"/>
    <n v="3.5"/>
    <n v="0"/>
    <n v="0"/>
    <n v="0"/>
    <n v="0"/>
    <n v="0"/>
    <x v="573"/>
    <x v="526"/>
    <n v="243708"/>
    <x v="16"/>
    <x v="75"/>
    <n v="22"/>
    <n v="50"/>
    <n v="64"/>
  </r>
  <r>
    <x v="2"/>
    <x v="117"/>
    <x v="1"/>
    <x v="453"/>
    <x v="323"/>
    <n v="105.5"/>
    <n v="4.3"/>
    <n v="2.5"/>
    <n v="0"/>
    <n v="0"/>
    <n v="0"/>
    <n v="0"/>
    <n v="0"/>
    <x v="574"/>
    <x v="527"/>
    <n v="246539"/>
    <x v="215"/>
    <x v="104"/>
    <n v="260"/>
    <n v="50"/>
    <n v="64"/>
  </r>
  <r>
    <x v="2"/>
    <x v="107"/>
    <x v="4"/>
    <x v="454"/>
    <x v="2"/>
    <n v="0"/>
    <n v="0"/>
    <n v="0"/>
    <n v="0"/>
    <n v="0"/>
    <n v="0"/>
    <n v="0"/>
    <n v="0"/>
    <x v="507"/>
    <x v="466"/>
    <n v="0"/>
    <x v="56"/>
    <x v="1"/>
    <n v="0"/>
    <n v="12"/>
    <n v="17"/>
  </r>
  <r>
    <x v="2"/>
    <x v="58"/>
    <x v="4"/>
    <x v="455"/>
    <x v="324"/>
    <n v="76.400000000000006"/>
    <n v="2.2999999999999998"/>
    <n v="2.2999999999999998"/>
    <n v="0"/>
    <n v="0"/>
    <n v="0"/>
    <n v="0"/>
    <n v="0"/>
    <x v="575"/>
    <x v="528"/>
    <n v="44509"/>
    <x v="76"/>
    <x v="116"/>
    <n v="34"/>
    <n v="12"/>
    <n v="17"/>
  </r>
  <r>
    <x v="2"/>
    <x v="60"/>
    <x v="8"/>
    <x v="83"/>
    <x v="2"/>
    <n v="0"/>
    <n v="0"/>
    <n v="0"/>
    <n v="0"/>
    <n v="0"/>
    <n v="0"/>
    <n v="0"/>
    <n v="0"/>
    <x v="28"/>
    <x v="28"/>
    <n v="0"/>
    <x v="55"/>
    <x v="1"/>
    <n v="0"/>
    <n v="0"/>
    <n v="4"/>
  </r>
  <r>
    <x v="0"/>
    <x v="25"/>
    <x v="1"/>
    <x v="456"/>
    <x v="276"/>
    <n v="2.1"/>
    <n v="8.4"/>
    <n v="19.100000000000001"/>
    <n v="0"/>
    <n v="0"/>
    <n v="0"/>
    <n v="0"/>
    <n v="0"/>
    <x v="394"/>
    <x v="369"/>
    <n v="193153"/>
    <x v="29"/>
    <x v="5"/>
    <n v="4"/>
    <n v="50"/>
    <n v="64"/>
  </r>
  <r>
    <x v="0"/>
    <x v="22"/>
    <x v="2"/>
    <x v="2"/>
    <x v="2"/>
    <n v="0"/>
    <n v="0"/>
    <n v="0"/>
    <n v="0"/>
    <n v="0"/>
    <n v="0"/>
    <n v="0"/>
    <n v="0"/>
    <x v="576"/>
    <x v="529"/>
    <n v="21125"/>
    <x v="2"/>
    <x v="1"/>
    <n v="0"/>
    <n v="5"/>
    <n v="11"/>
  </r>
  <r>
    <x v="2"/>
    <x v="81"/>
    <x v="4"/>
    <x v="457"/>
    <x v="262"/>
    <n v="0"/>
    <n v="6.9"/>
    <n v="0"/>
    <n v="0"/>
    <n v="0"/>
    <n v="0"/>
    <n v="0"/>
    <n v="0"/>
    <x v="577"/>
    <x v="530"/>
    <n v="0"/>
    <x v="141"/>
    <x v="52"/>
    <n v="0"/>
    <n v="12"/>
    <n v="17"/>
  </r>
  <r>
    <x v="2"/>
    <x v="129"/>
    <x v="8"/>
    <x v="94"/>
    <x v="13"/>
    <n v="0"/>
    <n v="22.5"/>
    <n v="0"/>
    <n v="0"/>
    <n v="0"/>
    <n v="0"/>
    <n v="0"/>
    <n v="0"/>
    <x v="28"/>
    <x v="28"/>
    <n v="0"/>
    <x v="37"/>
    <x v="0"/>
    <n v="0"/>
    <n v="0"/>
    <n v="4"/>
  </r>
  <r>
    <x v="2"/>
    <x v="44"/>
    <x v="6"/>
    <x v="458"/>
    <x v="137"/>
    <n v="14.2"/>
    <n v="1.4"/>
    <n v="4.7"/>
    <n v="0"/>
    <n v="0"/>
    <n v="0"/>
    <n v="0"/>
    <n v="0"/>
    <x v="227"/>
    <x v="217"/>
    <n v="42125"/>
    <x v="8"/>
    <x v="26"/>
    <n v="6"/>
    <n v="80"/>
    <n v="200"/>
  </r>
  <r>
    <x v="2"/>
    <x v="83"/>
    <x v="7"/>
    <x v="459"/>
    <x v="325"/>
    <n v="186.8"/>
    <n v="1.8"/>
    <n v="1"/>
    <n v="0"/>
    <n v="0"/>
    <n v="0"/>
    <n v="0"/>
    <n v="0"/>
    <x v="121"/>
    <x v="120"/>
    <n v="162746"/>
    <x v="30"/>
    <x v="182"/>
    <n v="304"/>
    <n v="65"/>
    <n v="79"/>
  </r>
  <r>
    <x v="1"/>
    <x v="8"/>
    <x v="5"/>
    <x v="460"/>
    <x v="48"/>
    <n v="0"/>
    <n v="25.2"/>
    <n v="0"/>
    <n v="0"/>
    <n v="0"/>
    <n v="0"/>
    <n v="0"/>
    <n v="0"/>
    <x v="8"/>
    <x v="8"/>
    <n v="0"/>
    <x v="25"/>
    <x v="39"/>
    <n v="0"/>
    <n v="30"/>
    <n v="49"/>
  </r>
  <r>
    <x v="1"/>
    <x v="111"/>
    <x v="5"/>
    <x v="461"/>
    <x v="152"/>
    <n v="3.2"/>
    <n v="1.9"/>
    <n v="3"/>
    <n v="0"/>
    <n v="0"/>
    <n v="0"/>
    <n v="0"/>
    <n v="0"/>
    <x v="578"/>
    <x v="531"/>
    <n v="345994"/>
    <x v="27"/>
    <x v="52"/>
    <n v="11"/>
    <n v="30"/>
    <n v="49"/>
  </r>
  <r>
    <x v="0"/>
    <x v="47"/>
    <x v="7"/>
    <x v="41"/>
    <x v="2"/>
    <n v="1.2"/>
    <n v="0"/>
    <n v="4.0999999999999996"/>
    <n v="0"/>
    <n v="0"/>
    <n v="0"/>
    <n v="0"/>
    <n v="0"/>
    <x v="46"/>
    <x v="46"/>
    <n v="171663"/>
    <x v="0"/>
    <x v="1"/>
    <n v="2"/>
    <n v="65"/>
    <n v="79"/>
  </r>
  <r>
    <x v="1"/>
    <x v="43"/>
    <x v="5"/>
    <x v="28"/>
    <x v="19"/>
    <n v="0.3"/>
    <n v="4.8"/>
    <n v="6.3"/>
    <n v="0"/>
    <n v="0"/>
    <n v="0"/>
    <n v="0"/>
    <n v="0"/>
    <x v="579"/>
    <x v="197"/>
    <n v="347312"/>
    <x v="0"/>
    <x v="0"/>
    <n v="1"/>
    <n v="30"/>
    <n v="49"/>
  </r>
  <r>
    <x v="1"/>
    <x v="3"/>
    <x v="6"/>
    <x v="462"/>
    <x v="326"/>
    <n v="16.3"/>
    <n v="0.9"/>
    <n v="3.6"/>
    <n v="0"/>
    <n v="0"/>
    <n v="0"/>
    <n v="0"/>
    <n v="0"/>
    <x v="131"/>
    <x v="130"/>
    <n v="18401"/>
    <x v="134"/>
    <x v="25"/>
    <n v="3"/>
    <n v="80"/>
    <n v="200"/>
  </r>
  <r>
    <x v="1"/>
    <x v="79"/>
    <x v="1"/>
    <x v="134"/>
    <x v="1"/>
    <n v="2.8"/>
    <n v="15.1"/>
    <n v="4.3"/>
    <n v="0"/>
    <n v="0"/>
    <n v="0"/>
    <n v="0"/>
    <n v="0"/>
    <x v="580"/>
    <x v="53"/>
    <n v="246910"/>
    <x v="20"/>
    <x v="0"/>
    <n v="7"/>
    <n v="50"/>
    <n v="64"/>
  </r>
  <r>
    <x v="0"/>
    <x v="7"/>
    <x v="3"/>
    <x v="147"/>
    <x v="2"/>
    <n v="0"/>
    <n v="0"/>
    <n v="0"/>
    <n v="0"/>
    <n v="0"/>
    <n v="0"/>
    <n v="0"/>
    <n v="0"/>
    <x v="581"/>
    <x v="532"/>
    <n v="31036"/>
    <x v="1"/>
    <x v="1"/>
    <n v="0"/>
    <n v="18"/>
    <n v="29"/>
  </r>
  <r>
    <x v="2"/>
    <x v="1"/>
    <x v="8"/>
    <x v="463"/>
    <x v="327"/>
    <n v="0"/>
    <n v="7.7"/>
    <n v="0"/>
    <n v="0"/>
    <n v="0"/>
    <n v="0"/>
    <n v="0"/>
    <n v="0"/>
    <x v="28"/>
    <x v="28"/>
    <n v="0"/>
    <x v="84"/>
    <x v="52"/>
    <n v="0"/>
    <n v="0"/>
    <n v="4"/>
  </r>
  <r>
    <x v="2"/>
    <x v="136"/>
    <x v="3"/>
    <x v="464"/>
    <x v="328"/>
    <n v="0"/>
    <n v="2.8"/>
    <n v="0"/>
    <n v="0"/>
    <n v="0"/>
    <n v="0"/>
    <n v="0"/>
    <n v="0"/>
    <x v="582"/>
    <x v="533"/>
    <n v="0"/>
    <x v="216"/>
    <x v="183"/>
    <n v="0"/>
    <n v="18"/>
    <n v="29"/>
  </r>
  <r>
    <x v="2"/>
    <x v="111"/>
    <x v="3"/>
    <x v="465"/>
    <x v="329"/>
    <n v="128.69999999999999"/>
    <n v="2.4"/>
    <n v="1.6"/>
    <n v="0"/>
    <n v="0"/>
    <n v="0"/>
    <n v="0"/>
    <n v="0"/>
    <x v="583"/>
    <x v="534"/>
    <n v="160838"/>
    <x v="212"/>
    <x v="184"/>
    <n v="207"/>
    <n v="18"/>
    <n v="29"/>
  </r>
  <r>
    <x v="0"/>
    <x v="5"/>
    <x v="3"/>
    <x v="54"/>
    <x v="2"/>
    <n v="0"/>
    <n v="0"/>
    <n v="0"/>
    <n v="0"/>
    <n v="0"/>
    <n v="0"/>
    <n v="0"/>
    <n v="0"/>
    <x v="584"/>
    <x v="535"/>
    <n v="0"/>
    <x v="0"/>
    <x v="1"/>
    <n v="0"/>
    <n v="18"/>
    <n v="29"/>
  </r>
  <r>
    <x v="2"/>
    <x v="95"/>
    <x v="5"/>
    <x v="466"/>
    <x v="330"/>
    <n v="294.39999999999998"/>
    <n v="2.2000000000000002"/>
    <n v="1.2"/>
    <n v="0"/>
    <n v="0"/>
    <n v="0"/>
    <n v="0"/>
    <n v="0"/>
    <x v="315"/>
    <x v="297"/>
    <n v="341011"/>
    <x v="217"/>
    <x v="185"/>
    <n v="1004"/>
    <n v="30"/>
    <n v="49"/>
  </r>
  <r>
    <x v="2"/>
    <x v="55"/>
    <x v="6"/>
    <x v="467"/>
    <x v="22"/>
    <n v="95.5"/>
    <n v="0.5"/>
    <n v="0.4"/>
    <n v="0"/>
    <n v="0"/>
    <n v="0"/>
    <n v="0"/>
    <n v="0"/>
    <x v="585"/>
    <x v="353"/>
    <n v="47133"/>
    <x v="24"/>
    <x v="17"/>
    <n v="45"/>
    <n v="80"/>
    <n v="200"/>
  </r>
  <r>
    <x v="1"/>
    <x v="138"/>
    <x v="7"/>
    <x v="468"/>
    <x v="110"/>
    <n v="0"/>
    <n v="9.9"/>
    <n v="0"/>
    <n v="0"/>
    <n v="0"/>
    <n v="0"/>
    <n v="0"/>
    <n v="0"/>
    <x v="586"/>
    <x v="536"/>
    <n v="0"/>
    <x v="117"/>
    <x v="16"/>
    <n v="0"/>
    <n v="65"/>
    <n v="79"/>
  </r>
  <r>
    <x v="1"/>
    <x v="35"/>
    <x v="5"/>
    <x v="41"/>
    <x v="141"/>
    <n v="1.7"/>
    <n v="3.5"/>
    <n v="2.9"/>
    <n v="0"/>
    <n v="0"/>
    <n v="0"/>
    <n v="0"/>
    <n v="0"/>
    <x v="345"/>
    <x v="322"/>
    <n v="348427"/>
    <x v="13"/>
    <x v="16"/>
    <n v="6"/>
    <n v="30"/>
    <n v="49"/>
  </r>
  <r>
    <x v="1"/>
    <x v="5"/>
    <x v="7"/>
    <x v="469"/>
    <x v="109"/>
    <n v="0"/>
    <n v="4.5"/>
    <n v="0"/>
    <n v="0"/>
    <n v="0"/>
    <n v="0"/>
    <n v="0"/>
    <n v="0"/>
    <x v="587"/>
    <x v="537"/>
    <n v="0"/>
    <x v="60"/>
    <x v="3"/>
    <n v="0"/>
    <n v="65"/>
    <n v="79"/>
  </r>
  <r>
    <x v="2"/>
    <x v="114"/>
    <x v="2"/>
    <x v="470"/>
    <x v="30"/>
    <n v="96.8"/>
    <n v="0.7"/>
    <n v="0.8"/>
    <n v="0"/>
    <n v="0"/>
    <n v="0"/>
    <n v="0"/>
    <n v="0"/>
    <x v="588"/>
    <x v="538"/>
    <n v="20656"/>
    <x v="40"/>
    <x v="118"/>
    <n v="20"/>
    <n v="5"/>
    <n v="11"/>
  </r>
  <r>
    <x v="0"/>
    <x v="59"/>
    <x v="0"/>
    <x v="99"/>
    <x v="23"/>
    <n v="0"/>
    <n v="4.2"/>
    <n v="0"/>
    <n v="3.3"/>
    <n v="0.4"/>
    <n v="0"/>
    <n v="7.6"/>
    <n v="0"/>
    <x v="589"/>
    <x v="539"/>
    <n v="0"/>
    <x v="37"/>
    <x v="5"/>
    <n v="0"/>
    <n v="999"/>
    <n v="999"/>
  </r>
  <r>
    <x v="1"/>
    <x v="125"/>
    <x v="6"/>
    <x v="128"/>
    <x v="121"/>
    <n v="0"/>
    <n v="4.2"/>
    <n v="0"/>
    <n v="0"/>
    <n v="0"/>
    <n v="0"/>
    <n v="0"/>
    <n v="0"/>
    <x v="590"/>
    <x v="540"/>
    <n v="0"/>
    <x v="18"/>
    <x v="11"/>
    <n v="0"/>
    <n v="80"/>
    <n v="200"/>
  </r>
  <r>
    <x v="1"/>
    <x v="13"/>
    <x v="5"/>
    <x v="471"/>
    <x v="331"/>
    <n v="7.8"/>
    <n v="4.0999999999999996"/>
    <n v="6.7"/>
    <n v="0"/>
    <n v="0"/>
    <n v="0"/>
    <n v="0"/>
    <n v="0"/>
    <x v="17"/>
    <x v="17"/>
    <n v="256937"/>
    <x v="218"/>
    <x v="34"/>
    <n v="20"/>
    <n v="30"/>
    <n v="49"/>
  </r>
  <r>
    <x v="0"/>
    <x v="80"/>
    <x v="0"/>
    <x v="113"/>
    <x v="82"/>
    <n v="0"/>
    <n v="1"/>
    <n v="0"/>
    <n v="0.1"/>
    <n v="0.4"/>
    <n v="0"/>
    <n v="0.3"/>
    <n v="0"/>
    <x v="591"/>
    <x v="541"/>
    <n v="952817"/>
    <x v="1"/>
    <x v="11"/>
    <n v="0"/>
    <n v="999"/>
    <n v="999"/>
  </r>
  <r>
    <x v="1"/>
    <x v="38"/>
    <x v="6"/>
    <x v="371"/>
    <x v="66"/>
    <n v="46.7"/>
    <n v="0.7"/>
    <n v="0.3"/>
    <n v="0"/>
    <n v="0"/>
    <n v="0"/>
    <n v="0"/>
    <n v="0"/>
    <x v="448"/>
    <x v="353"/>
    <n v="47133"/>
    <x v="45"/>
    <x v="11"/>
    <n v="22"/>
    <n v="80"/>
    <n v="200"/>
  </r>
  <r>
    <x v="0"/>
    <x v="32"/>
    <x v="1"/>
    <x v="2"/>
    <x v="2"/>
    <n v="0"/>
    <n v="0"/>
    <n v="0"/>
    <n v="0"/>
    <n v="0"/>
    <n v="0"/>
    <n v="0"/>
    <n v="0"/>
    <x v="592"/>
    <x v="542"/>
    <n v="246724"/>
    <x v="2"/>
    <x v="1"/>
    <n v="0"/>
    <n v="50"/>
    <n v="64"/>
  </r>
  <r>
    <x v="1"/>
    <x v="51"/>
    <x v="8"/>
    <x v="472"/>
    <x v="2"/>
    <n v="0"/>
    <n v="0"/>
    <n v="0"/>
    <n v="0"/>
    <n v="0"/>
    <n v="0"/>
    <n v="0"/>
    <n v="0"/>
    <x v="28"/>
    <x v="28"/>
    <n v="0"/>
    <x v="6"/>
    <x v="1"/>
    <n v="0"/>
    <n v="0"/>
    <n v="4"/>
  </r>
  <r>
    <x v="2"/>
    <x v="127"/>
    <x v="1"/>
    <x v="473"/>
    <x v="332"/>
    <n v="640.1"/>
    <n v="2.6"/>
    <n v="3.3"/>
    <n v="0"/>
    <n v="0"/>
    <n v="0"/>
    <n v="0"/>
    <n v="0"/>
    <x v="498"/>
    <x v="460"/>
    <n v="171854"/>
    <x v="219"/>
    <x v="186"/>
    <n v="1100"/>
    <n v="50"/>
    <n v="64"/>
  </r>
  <r>
    <x v="0"/>
    <x v="86"/>
    <x v="7"/>
    <x v="2"/>
    <x v="2"/>
    <n v="1.2"/>
    <n v="0"/>
    <n v="0"/>
    <n v="0"/>
    <n v="0"/>
    <n v="0"/>
    <n v="0"/>
    <n v="0"/>
    <x v="593"/>
    <x v="46"/>
    <n v="171679"/>
    <x v="2"/>
    <x v="1"/>
    <n v="2"/>
    <n v="65"/>
    <n v="79"/>
  </r>
  <r>
    <x v="1"/>
    <x v="3"/>
    <x v="2"/>
    <x v="108"/>
    <x v="2"/>
    <n v="0"/>
    <n v="0"/>
    <n v="0"/>
    <n v="0"/>
    <n v="0"/>
    <n v="0"/>
    <n v="0"/>
    <n v="0"/>
    <x v="3"/>
    <x v="3"/>
    <n v="0"/>
    <x v="0"/>
    <x v="1"/>
    <n v="0"/>
    <n v="5"/>
    <n v="11"/>
  </r>
  <r>
    <x v="1"/>
    <x v="124"/>
    <x v="2"/>
    <x v="41"/>
    <x v="2"/>
    <n v="0"/>
    <n v="0"/>
    <n v="0"/>
    <n v="0"/>
    <n v="0"/>
    <n v="0"/>
    <n v="0"/>
    <n v="0"/>
    <x v="594"/>
    <x v="543"/>
    <n v="0"/>
    <x v="64"/>
    <x v="1"/>
    <n v="0"/>
    <n v="5"/>
    <n v="11"/>
  </r>
  <r>
    <x v="2"/>
    <x v="89"/>
    <x v="1"/>
    <x v="347"/>
    <x v="77"/>
    <n v="0"/>
    <n v="10.1"/>
    <n v="0"/>
    <n v="0"/>
    <n v="0"/>
    <n v="0"/>
    <n v="0"/>
    <n v="0"/>
    <x v="119"/>
    <x v="118"/>
    <n v="0"/>
    <x v="37"/>
    <x v="48"/>
    <n v="0"/>
    <n v="50"/>
    <n v="64"/>
  </r>
  <r>
    <x v="1"/>
    <x v="55"/>
    <x v="8"/>
    <x v="20"/>
    <x v="2"/>
    <n v="0"/>
    <n v="0"/>
    <n v="0"/>
    <n v="0"/>
    <n v="0"/>
    <n v="0"/>
    <n v="0"/>
    <n v="0"/>
    <x v="28"/>
    <x v="28"/>
    <n v="0"/>
    <x v="20"/>
    <x v="1"/>
    <n v="0"/>
    <n v="0"/>
    <n v="4"/>
  </r>
  <r>
    <x v="0"/>
    <x v="16"/>
    <x v="4"/>
    <x v="2"/>
    <x v="2"/>
    <n v="0"/>
    <n v="0"/>
    <n v="0"/>
    <n v="0"/>
    <n v="0"/>
    <n v="0"/>
    <n v="0"/>
    <n v="0"/>
    <x v="18"/>
    <x v="18"/>
    <n v="1872"/>
    <x v="2"/>
    <x v="1"/>
    <n v="0"/>
    <n v="12"/>
    <n v="17"/>
  </r>
  <r>
    <x v="0"/>
    <x v="42"/>
    <x v="5"/>
    <x v="2"/>
    <x v="2"/>
    <n v="0"/>
    <n v="0"/>
    <n v="0"/>
    <n v="0"/>
    <n v="0"/>
    <n v="0"/>
    <n v="0"/>
    <n v="0"/>
    <x v="595"/>
    <x v="544"/>
    <n v="324980"/>
    <x v="2"/>
    <x v="1"/>
    <n v="0"/>
    <n v="30"/>
    <n v="49"/>
  </r>
  <r>
    <x v="1"/>
    <x v="88"/>
    <x v="7"/>
    <x v="474"/>
    <x v="289"/>
    <n v="0"/>
    <n v="4.5999999999999996"/>
    <n v="0"/>
    <n v="0"/>
    <n v="0"/>
    <n v="0"/>
    <n v="0"/>
    <n v="0"/>
    <x v="596"/>
    <x v="545"/>
    <n v="0"/>
    <x v="48"/>
    <x v="130"/>
    <n v="0"/>
    <n v="65"/>
    <n v="79"/>
  </r>
  <r>
    <x v="2"/>
    <x v="55"/>
    <x v="8"/>
    <x v="189"/>
    <x v="36"/>
    <n v="0"/>
    <n v="18.2"/>
    <n v="0"/>
    <n v="0"/>
    <n v="0"/>
    <n v="0"/>
    <n v="0"/>
    <n v="0"/>
    <x v="28"/>
    <x v="28"/>
    <n v="0"/>
    <x v="54"/>
    <x v="16"/>
    <n v="0"/>
    <n v="0"/>
    <n v="4"/>
  </r>
  <r>
    <x v="2"/>
    <x v="37"/>
    <x v="0"/>
    <x v="475"/>
    <x v="333"/>
    <n v="23.4"/>
    <n v="1.5"/>
    <n v="1"/>
    <n v="25.6"/>
    <n v="16.399999999999999"/>
    <n v="20.3"/>
    <n v="1.6"/>
    <n v="1.3"/>
    <x v="37"/>
    <x v="37"/>
    <n v="1040772"/>
    <x v="220"/>
    <x v="32"/>
    <n v="244"/>
    <n v="999"/>
    <n v="999"/>
  </r>
  <r>
    <x v="1"/>
    <x v="105"/>
    <x v="3"/>
    <x v="422"/>
    <x v="169"/>
    <n v="2.5"/>
    <n v="3"/>
    <n v="5.6"/>
    <n v="0"/>
    <n v="0"/>
    <n v="0"/>
    <n v="0"/>
    <n v="0"/>
    <x v="597"/>
    <x v="546"/>
    <n v="158786"/>
    <x v="16"/>
    <x v="17"/>
    <n v="4"/>
    <n v="18"/>
    <n v="29"/>
  </r>
  <r>
    <x v="0"/>
    <x v="89"/>
    <x v="4"/>
    <x v="2"/>
    <x v="2"/>
    <n v="0"/>
    <n v="0"/>
    <n v="0"/>
    <n v="0"/>
    <n v="0"/>
    <n v="0"/>
    <n v="0"/>
    <n v="0"/>
    <x v="598"/>
    <x v="547"/>
    <n v="0"/>
    <x v="2"/>
    <x v="1"/>
    <n v="0"/>
    <n v="12"/>
    <n v="17"/>
  </r>
  <r>
    <x v="1"/>
    <x v="12"/>
    <x v="7"/>
    <x v="33"/>
    <x v="116"/>
    <n v="0"/>
    <n v="6.1"/>
    <n v="0"/>
    <n v="0"/>
    <n v="0"/>
    <n v="0"/>
    <n v="0"/>
    <n v="0"/>
    <x v="599"/>
    <x v="548"/>
    <n v="0"/>
    <x v="51"/>
    <x v="16"/>
    <n v="0"/>
    <n v="65"/>
    <n v="79"/>
  </r>
  <r>
    <x v="1"/>
    <x v="30"/>
    <x v="7"/>
    <x v="476"/>
    <x v="334"/>
    <n v="21"/>
    <n v="1.3"/>
    <n v="1.9"/>
    <n v="0"/>
    <n v="0"/>
    <n v="0"/>
    <n v="0"/>
    <n v="0"/>
    <x v="600"/>
    <x v="549"/>
    <n v="171584"/>
    <x v="134"/>
    <x v="38"/>
    <n v="36"/>
    <n v="65"/>
    <n v="79"/>
  </r>
  <r>
    <x v="0"/>
    <x v="8"/>
    <x v="6"/>
    <x v="477"/>
    <x v="2"/>
    <n v="0"/>
    <n v="0"/>
    <n v="0"/>
    <n v="0"/>
    <n v="0"/>
    <n v="0"/>
    <n v="0"/>
    <n v="0"/>
    <x v="601"/>
    <x v="550"/>
    <n v="0"/>
    <x v="18"/>
    <x v="1"/>
    <n v="0"/>
    <n v="80"/>
    <n v="200"/>
  </r>
  <r>
    <x v="0"/>
    <x v="55"/>
    <x v="5"/>
    <x v="2"/>
    <x v="2"/>
    <n v="0"/>
    <n v="0"/>
    <n v="0"/>
    <n v="0"/>
    <n v="0"/>
    <n v="0"/>
    <n v="0"/>
    <n v="0"/>
    <x v="602"/>
    <x v="551"/>
    <n v="347321"/>
    <x v="2"/>
    <x v="1"/>
    <n v="0"/>
    <n v="30"/>
    <n v="49"/>
  </r>
  <r>
    <x v="0"/>
    <x v="6"/>
    <x v="2"/>
    <x v="2"/>
    <x v="2"/>
    <n v="0"/>
    <n v="0"/>
    <n v="0"/>
    <n v="0"/>
    <n v="0"/>
    <n v="0"/>
    <n v="0"/>
    <n v="0"/>
    <x v="6"/>
    <x v="6"/>
    <n v="18308"/>
    <x v="2"/>
    <x v="1"/>
    <n v="0"/>
    <n v="5"/>
    <n v="11"/>
  </r>
  <r>
    <x v="0"/>
    <x v="37"/>
    <x v="3"/>
    <x v="2"/>
    <x v="2"/>
    <n v="0"/>
    <n v="0"/>
    <n v="0"/>
    <n v="0"/>
    <n v="0"/>
    <n v="0"/>
    <n v="0"/>
    <n v="0"/>
    <x v="603"/>
    <x v="113"/>
    <n v="161712"/>
    <x v="2"/>
    <x v="1"/>
    <n v="0"/>
    <n v="18"/>
    <n v="29"/>
  </r>
  <r>
    <x v="2"/>
    <x v="0"/>
    <x v="3"/>
    <x v="478"/>
    <x v="335"/>
    <n v="60.7"/>
    <n v="3.9"/>
    <n v="2.2999999999999998"/>
    <n v="0"/>
    <n v="0"/>
    <n v="0"/>
    <n v="0"/>
    <n v="0"/>
    <x v="331"/>
    <x v="310"/>
    <n v="161454"/>
    <x v="221"/>
    <x v="53"/>
    <n v="98"/>
    <n v="18"/>
    <n v="29"/>
  </r>
  <r>
    <x v="0"/>
    <x v="118"/>
    <x v="2"/>
    <x v="2"/>
    <x v="2"/>
    <n v="0"/>
    <n v="0"/>
    <n v="0"/>
    <n v="0"/>
    <n v="0"/>
    <n v="0"/>
    <n v="0"/>
    <n v="0"/>
    <x v="230"/>
    <x v="220"/>
    <n v="0"/>
    <x v="2"/>
    <x v="1"/>
    <n v="0"/>
    <n v="5"/>
    <n v="11"/>
  </r>
  <r>
    <x v="0"/>
    <x v="109"/>
    <x v="7"/>
    <x v="479"/>
    <x v="2"/>
    <n v="0"/>
    <n v="0"/>
    <n v="0"/>
    <n v="0"/>
    <n v="0"/>
    <n v="0"/>
    <n v="0"/>
    <n v="0"/>
    <x v="184"/>
    <x v="180"/>
    <n v="171682"/>
    <x v="0"/>
    <x v="1"/>
    <n v="0"/>
    <n v="65"/>
    <n v="79"/>
  </r>
  <r>
    <x v="2"/>
    <x v="41"/>
    <x v="4"/>
    <x v="184"/>
    <x v="336"/>
    <n v="114.6"/>
    <n v="1.6"/>
    <n v="1"/>
    <n v="0"/>
    <n v="0"/>
    <n v="0"/>
    <n v="0"/>
    <n v="0"/>
    <x v="449"/>
    <x v="417"/>
    <n v="41021"/>
    <x v="211"/>
    <x v="111"/>
    <n v="47"/>
    <n v="12"/>
    <n v="17"/>
  </r>
  <r>
    <x v="1"/>
    <x v="96"/>
    <x v="4"/>
    <x v="2"/>
    <x v="17"/>
    <n v="0"/>
    <n v="0"/>
    <n v="0"/>
    <n v="0"/>
    <n v="0"/>
    <n v="0"/>
    <n v="0"/>
    <n v="0"/>
    <x v="439"/>
    <x v="410"/>
    <n v="44562"/>
    <x v="2"/>
    <x v="0"/>
    <n v="0"/>
    <n v="12"/>
    <n v="17"/>
  </r>
  <r>
    <x v="1"/>
    <x v="36"/>
    <x v="6"/>
    <x v="480"/>
    <x v="337"/>
    <n v="59.4"/>
    <n v="0.4"/>
    <n v="0.5"/>
    <n v="0"/>
    <n v="0"/>
    <n v="0"/>
    <n v="0"/>
    <n v="0"/>
    <x v="49"/>
    <x v="49"/>
    <n v="47122"/>
    <x v="33"/>
    <x v="13"/>
    <n v="28"/>
    <n v="80"/>
    <n v="200"/>
  </r>
  <r>
    <x v="2"/>
    <x v="53"/>
    <x v="3"/>
    <x v="460"/>
    <x v="289"/>
    <n v="11.8"/>
    <n v="2.2999999999999998"/>
    <n v="1.9"/>
    <n v="0"/>
    <n v="0"/>
    <n v="0"/>
    <n v="0"/>
    <n v="0"/>
    <x v="604"/>
    <x v="113"/>
    <n v="161693"/>
    <x v="134"/>
    <x v="59"/>
    <n v="19"/>
    <n v="18"/>
    <n v="29"/>
  </r>
  <r>
    <x v="0"/>
    <x v="43"/>
    <x v="2"/>
    <x v="2"/>
    <x v="2"/>
    <n v="0"/>
    <n v="0"/>
    <n v="0"/>
    <n v="0"/>
    <n v="0"/>
    <n v="0"/>
    <n v="0"/>
    <n v="0"/>
    <x v="42"/>
    <x v="42"/>
    <n v="21259"/>
    <x v="2"/>
    <x v="1"/>
    <n v="0"/>
    <n v="5"/>
    <n v="11"/>
  </r>
  <r>
    <x v="1"/>
    <x v="103"/>
    <x v="0"/>
    <x v="155"/>
    <x v="19"/>
    <n v="0"/>
    <n v="11"/>
    <n v="0"/>
    <n v="5.9"/>
    <n v="0.3"/>
    <n v="0"/>
    <n v="19.3"/>
    <n v="0"/>
    <x v="605"/>
    <x v="552"/>
    <n v="0"/>
    <x v="23"/>
    <x v="48"/>
    <n v="0"/>
    <n v="999"/>
    <n v="999"/>
  </r>
  <r>
    <x v="2"/>
    <x v="47"/>
    <x v="1"/>
    <x v="481"/>
    <x v="338"/>
    <n v="187.6"/>
    <n v="4.0999999999999996"/>
    <n v="2.6"/>
    <n v="0"/>
    <n v="0"/>
    <n v="0"/>
    <n v="0"/>
    <n v="0"/>
    <x v="170"/>
    <x v="167"/>
    <n v="246789"/>
    <x v="222"/>
    <x v="187"/>
    <n v="463"/>
    <n v="50"/>
    <n v="64"/>
  </r>
  <r>
    <x v="0"/>
    <x v="136"/>
    <x v="5"/>
    <x v="20"/>
    <x v="2"/>
    <n v="0"/>
    <n v="0"/>
    <n v="0"/>
    <n v="0"/>
    <n v="0"/>
    <n v="0"/>
    <n v="0"/>
    <n v="0"/>
    <x v="415"/>
    <x v="388"/>
    <n v="0"/>
    <x v="18"/>
    <x v="1"/>
    <n v="0"/>
    <n v="30"/>
    <n v="49"/>
  </r>
  <r>
    <x v="0"/>
    <x v="23"/>
    <x v="8"/>
    <x v="2"/>
    <x v="2"/>
    <n v="0"/>
    <n v="0"/>
    <n v="0"/>
    <n v="0"/>
    <n v="0"/>
    <n v="0"/>
    <n v="0"/>
    <n v="0"/>
    <x v="28"/>
    <x v="28"/>
    <n v="0"/>
    <x v="2"/>
    <x v="1"/>
    <n v="0"/>
    <n v="0"/>
    <n v="4"/>
  </r>
  <r>
    <x v="1"/>
    <x v="32"/>
    <x v="8"/>
    <x v="108"/>
    <x v="2"/>
    <n v="0"/>
    <n v="0"/>
    <n v="0"/>
    <n v="0"/>
    <n v="0"/>
    <n v="0"/>
    <n v="0"/>
    <n v="0"/>
    <x v="28"/>
    <x v="28"/>
    <n v="0"/>
    <x v="0"/>
    <x v="1"/>
    <n v="0"/>
    <n v="0"/>
    <n v="4"/>
  </r>
  <r>
    <x v="2"/>
    <x v="77"/>
    <x v="3"/>
    <x v="448"/>
    <x v="339"/>
    <n v="45.2"/>
    <n v="2.1"/>
    <n v="1.5"/>
    <n v="0"/>
    <n v="0"/>
    <n v="0"/>
    <n v="0"/>
    <n v="0"/>
    <x v="96"/>
    <x v="96"/>
    <n v="161673"/>
    <x v="223"/>
    <x v="188"/>
    <n v="73"/>
    <n v="18"/>
    <n v="29"/>
  </r>
  <r>
    <x v="2"/>
    <x v="91"/>
    <x v="6"/>
    <x v="482"/>
    <x v="340"/>
    <n v="165.7"/>
    <n v="0.6"/>
    <n v="0.7"/>
    <n v="0"/>
    <n v="0"/>
    <n v="0"/>
    <n v="0"/>
    <n v="0"/>
    <x v="606"/>
    <x v="553"/>
    <n v="47077"/>
    <x v="66"/>
    <x v="133"/>
    <n v="78"/>
    <n v="80"/>
    <n v="200"/>
  </r>
  <r>
    <x v="2"/>
    <x v="36"/>
    <x v="4"/>
    <x v="483"/>
    <x v="84"/>
    <n v="74.099999999999994"/>
    <n v="2.8"/>
    <n v="2.8"/>
    <n v="0"/>
    <n v="0"/>
    <n v="0"/>
    <n v="0"/>
    <n v="0"/>
    <x v="607"/>
    <x v="554"/>
    <n v="44558"/>
    <x v="4"/>
    <x v="116"/>
    <n v="33"/>
    <n v="12"/>
    <n v="17"/>
  </r>
  <r>
    <x v="0"/>
    <x v="15"/>
    <x v="0"/>
    <x v="86"/>
    <x v="82"/>
    <n v="0.5"/>
    <n v="4"/>
    <n v="1.6"/>
    <n v="0.8"/>
    <n v="0.6"/>
    <n v="0.3"/>
    <n v="1.4"/>
    <n v="2.4"/>
    <x v="196"/>
    <x v="190"/>
    <n v="1022491"/>
    <x v="13"/>
    <x v="11"/>
    <n v="5"/>
    <n v="999"/>
    <n v="999"/>
  </r>
  <r>
    <x v="0"/>
    <x v="123"/>
    <x v="0"/>
    <x v="113"/>
    <x v="87"/>
    <n v="0.2"/>
    <n v="0.7"/>
    <n v="1"/>
    <n v="0.1"/>
    <n v="0.7"/>
    <n v="0.1"/>
    <n v="0.2"/>
    <n v="1.2"/>
    <x v="608"/>
    <x v="555"/>
    <n v="1040492"/>
    <x v="1"/>
    <x v="39"/>
    <n v="2"/>
    <n v="999"/>
    <n v="999"/>
  </r>
  <r>
    <x v="1"/>
    <x v="28"/>
    <x v="5"/>
    <x v="388"/>
    <x v="36"/>
    <n v="3.5"/>
    <n v="2.2000000000000002"/>
    <n v="1.5"/>
    <n v="0"/>
    <n v="0"/>
    <n v="0"/>
    <n v="0"/>
    <n v="0"/>
    <x v="29"/>
    <x v="29"/>
    <n v="347260"/>
    <x v="18"/>
    <x v="26"/>
    <n v="12"/>
    <n v="30"/>
    <n v="49"/>
  </r>
  <r>
    <x v="0"/>
    <x v="138"/>
    <x v="4"/>
    <x v="2"/>
    <x v="2"/>
    <n v="0"/>
    <n v="0"/>
    <n v="0"/>
    <n v="0"/>
    <n v="0"/>
    <n v="0"/>
    <n v="0"/>
    <n v="0"/>
    <x v="609"/>
    <x v="28"/>
    <n v="0"/>
    <x v="2"/>
    <x v="1"/>
    <n v="0"/>
    <n v="12"/>
    <n v="17"/>
  </r>
  <r>
    <x v="1"/>
    <x v="125"/>
    <x v="1"/>
    <x v="484"/>
    <x v="19"/>
    <n v="0"/>
    <n v="63.8"/>
    <n v="0"/>
    <n v="0"/>
    <n v="0"/>
    <n v="0"/>
    <n v="0"/>
    <n v="0"/>
    <x v="610"/>
    <x v="556"/>
    <n v="0"/>
    <x v="66"/>
    <x v="0"/>
    <n v="0"/>
    <n v="50"/>
    <n v="64"/>
  </r>
  <r>
    <x v="0"/>
    <x v="122"/>
    <x v="5"/>
    <x v="147"/>
    <x v="2"/>
    <n v="0"/>
    <n v="0"/>
    <n v="0"/>
    <n v="0"/>
    <n v="0"/>
    <n v="0"/>
    <n v="0"/>
    <n v="0"/>
    <x v="611"/>
    <x v="557"/>
    <n v="0"/>
    <x v="45"/>
    <x v="1"/>
    <n v="0"/>
    <n v="30"/>
    <n v="49"/>
  </r>
  <r>
    <x v="0"/>
    <x v="111"/>
    <x v="0"/>
    <x v="241"/>
    <x v="0"/>
    <n v="0.4"/>
    <n v="5"/>
    <n v="1.2"/>
    <n v="0.5"/>
    <n v="0.1"/>
    <n v="0.3"/>
    <n v="4.5"/>
    <n v="1.8"/>
    <x v="459"/>
    <x v="425"/>
    <n v="1030965"/>
    <x v="45"/>
    <x v="0"/>
    <n v="4"/>
    <n v="999"/>
    <n v="999"/>
  </r>
  <r>
    <x v="0"/>
    <x v="52"/>
    <x v="5"/>
    <x v="2"/>
    <x v="2"/>
    <n v="0"/>
    <n v="0"/>
    <n v="0"/>
    <n v="0"/>
    <n v="0"/>
    <n v="0"/>
    <n v="0"/>
    <n v="0"/>
    <x v="612"/>
    <x v="558"/>
    <n v="345420"/>
    <x v="2"/>
    <x v="1"/>
    <n v="0"/>
    <n v="30"/>
    <n v="49"/>
  </r>
  <r>
    <x v="2"/>
    <x v="97"/>
    <x v="4"/>
    <x v="485"/>
    <x v="341"/>
    <n v="0"/>
    <n v="5.6"/>
    <n v="0"/>
    <n v="0"/>
    <n v="0"/>
    <n v="0"/>
    <n v="0"/>
    <n v="0"/>
    <x v="140"/>
    <x v="139"/>
    <n v="469"/>
    <x v="136"/>
    <x v="189"/>
    <n v="0"/>
    <n v="12"/>
    <n v="17"/>
  </r>
  <r>
    <x v="0"/>
    <x v="41"/>
    <x v="8"/>
    <x v="2"/>
    <x v="2"/>
    <n v="0"/>
    <n v="0"/>
    <n v="0"/>
    <n v="0"/>
    <n v="0"/>
    <n v="0"/>
    <n v="0"/>
    <n v="0"/>
    <x v="28"/>
    <x v="28"/>
    <n v="0"/>
    <x v="2"/>
    <x v="1"/>
    <n v="0"/>
    <n v="0"/>
    <n v="4"/>
  </r>
  <r>
    <x v="2"/>
    <x v="11"/>
    <x v="5"/>
    <x v="486"/>
    <x v="39"/>
    <n v="27.1"/>
    <n v="2.2999999999999998"/>
    <n v="1.9"/>
    <n v="0"/>
    <n v="0"/>
    <n v="0"/>
    <n v="0"/>
    <n v="0"/>
    <x v="613"/>
    <x v="551"/>
    <n v="347295"/>
    <x v="26"/>
    <x v="111"/>
    <n v="94"/>
    <n v="30"/>
    <n v="49"/>
  </r>
  <r>
    <x v="0"/>
    <x v="113"/>
    <x v="3"/>
    <x v="2"/>
    <x v="2"/>
    <n v="0"/>
    <n v="0"/>
    <n v="0"/>
    <n v="0"/>
    <n v="0"/>
    <n v="0"/>
    <n v="0"/>
    <n v="0"/>
    <x v="389"/>
    <x v="364"/>
    <n v="161803"/>
    <x v="2"/>
    <x v="1"/>
    <n v="0"/>
    <n v="18"/>
    <n v="29"/>
  </r>
  <r>
    <x v="1"/>
    <x v="40"/>
    <x v="7"/>
    <x v="346"/>
    <x v="342"/>
    <n v="0"/>
    <n v="3.8"/>
    <n v="0"/>
    <n v="0"/>
    <n v="0"/>
    <n v="0"/>
    <n v="0"/>
    <n v="0"/>
    <x v="40"/>
    <x v="40"/>
    <n v="0"/>
    <x v="46"/>
    <x v="28"/>
    <n v="0"/>
    <n v="65"/>
    <n v="79"/>
  </r>
  <r>
    <x v="0"/>
    <x v="56"/>
    <x v="5"/>
    <x v="2"/>
    <x v="2"/>
    <n v="0"/>
    <n v="0"/>
    <n v="0"/>
    <n v="0"/>
    <n v="0"/>
    <n v="0"/>
    <n v="0"/>
    <n v="0"/>
    <x v="71"/>
    <x v="71"/>
    <n v="322847"/>
    <x v="2"/>
    <x v="1"/>
    <n v="0"/>
    <n v="30"/>
    <n v="49"/>
  </r>
  <r>
    <x v="0"/>
    <x v="77"/>
    <x v="5"/>
    <x v="2"/>
    <x v="2"/>
    <n v="0.3"/>
    <n v="0"/>
    <n v="0"/>
    <n v="0"/>
    <n v="0"/>
    <n v="0"/>
    <n v="0"/>
    <n v="0"/>
    <x v="614"/>
    <x v="559"/>
    <n v="347275"/>
    <x v="2"/>
    <x v="1"/>
    <n v="1"/>
    <n v="30"/>
    <n v="49"/>
  </r>
  <r>
    <x v="0"/>
    <x v="125"/>
    <x v="6"/>
    <x v="114"/>
    <x v="2"/>
    <n v="0"/>
    <n v="0"/>
    <n v="0"/>
    <n v="0"/>
    <n v="0"/>
    <n v="0"/>
    <n v="0"/>
    <n v="0"/>
    <x v="590"/>
    <x v="540"/>
    <n v="0"/>
    <x v="45"/>
    <x v="1"/>
    <n v="0"/>
    <n v="80"/>
    <n v="200"/>
  </r>
  <r>
    <x v="2"/>
    <x v="136"/>
    <x v="2"/>
    <x v="487"/>
    <x v="2"/>
    <n v="0"/>
    <n v="0"/>
    <n v="0"/>
    <n v="0"/>
    <n v="0"/>
    <n v="0"/>
    <n v="0"/>
    <n v="0"/>
    <x v="356"/>
    <x v="28"/>
    <n v="0"/>
    <x v="224"/>
    <x v="1"/>
    <n v="0"/>
    <n v="5"/>
    <n v="11"/>
  </r>
  <r>
    <x v="0"/>
    <x v="68"/>
    <x v="0"/>
    <x v="241"/>
    <x v="2"/>
    <n v="0.1"/>
    <n v="0"/>
    <n v="5"/>
    <n v="0.8"/>
    <n v="0"/>
    <n v="0.1"/>
    <n v="0"/>
    <n v="14.3"/>
    <x v="360"/>
    <x v="336"/>
    <n v="943061"/>
    <x v="45"/>
    <x v="1"/>
    <n v="1"/>
    <n v="999"/>
    <n v="999"/>
  </r>
  <r>
    <x v="2"/>
    <x v="90"/>
    <x v="2"/>
    <x v="488"/>
    <x v="343"/>
    <n v="717.7"/>
    <n v="0.8"/>
    <n v="0.4"/>
    <n v="0"/>
    <n v="0"/>
    <n v="0"/>
    <n v="0"/>
    <n v="0"/>
    <x v="127"/>
    <x v="126"/>
    <n v="418"/>
    <x v="225"/>
    <x v="190"/>
    <n v="3"/>
    <n v="5"/>
    <n v="11"/>
  </r>
  <r>
    <x v="2"/>
    <x v="21"/>
    <x v="7"/>
    <x v="285"/>
    <x v="16"/>
    <n v="0"/>
    <n v="2.7"/>
    <n v="0"/>
    <n v="0"/>
    <n v="0"/>
    <n v="0"/>
    <n v="0"/>
    <n v="0"/>
    <x v="188"/>
    <x v="183"/>
    <n v="0"/>
    <x v="47"/>
    <x v="146"/>
    <n v="0"/>
    <n v="65"/>
    <n v="79"/>
  </r>
  <r>
    <x v="0"/>
    <x v="28"/>
    <x v="2"/>
    <x v="2"/>
    <x v="2"/>
    <n v="0"/>
    <n v="0"/>
    <n v="0"/>
    <n v="0"/>
    <n v="0"/>
    <n v="0"/>
    <n v="0"/>
    <n v="0"/>
    <x v="615"/>
    <x v="560"/>
    <n v="21203"/>
    <x v="2"/>
    <x v="1"/>
    <n v="0"/>
    <n v="5"/>
    <n v="11"/>
  </r>
  <r>
    <x v="1"/>
    <x v="111"/>
    <x v="3"/>
    <x v="317"/>
    <x v="141"/>
    <n v="1.2"/>
    <n v="5.5"/>
    <n v="6.4"/>
    <n v="0"/>
    <n v="0"/>
    <n v="0"/>
    <n v="0"/>
    <n v="0"/>
    <x v="583"/>
    <x v="534"/>
    <n v="160838"/>
    <x v="64"/>
    <x v="39"/>
    <n v="2"/>
    <n v="18"/>
    <n v="29"/>
  </r>
  <r>
    <x v="2"/>
    <x v="55"/>
    <x v="7"/>
    <x v="489"/>
    <x v="344"/>
    <n v="68.099999999999994"/>
    <n v="2"/>
    <n v="1.3"/>
    <n v="0"/>
    <n v="0"/>
    <n v="0"/>
    <n v="0"/>
    <n v="0"/>
    <x v="57"/>
    <x v="57"/>
    <n v="171755"/>
    <x v="118"/>
    <x v="130"/>
    <n v="117"/>
    <n v="65"/>
    <n v="79"/>
  </r>
  <r>
    <x v="0"/>
    <x v="48"/>
    <x v="3"/>
    <x v="2"/>
    <x v="2"/>
    <n v="0"/>
    <n v="0"/>
    <n v="0"/>
    <n v="0"/>
    <n v="0"/>
    <n v="0"/>
    <n v="0"/>
    <n v="0"/>
    <x v="494"/>
    <x v="457"/>
    <n v="161898"/>
    <x v="2"/>
    <x v="1"/>
    <n v="0"/>
    <n v="18"/>
    <n v="29"/>
  </r>
  <r>
    <x v="1"/>
    <x v="30"/>
    <x v="2"/>
    <x v="54"/>
    <x v="2"/>
    <n v="0"/>
    <n v="0"/>
    <n v="0"/>
    <n v="0"/>
    <n v="0"/>
    <n v="0"/>
    <n v="0"/>
    <n v="0"/>
    <x v="616"/>
    <x v="561"/>
    <n v="21043"/>
    <x v="1"/>
    <x v="1"/>
    <n v="0"/>
    <n v="5"/>
    <n v="11"/>
  </r>
  <r>
    <x v="0"/>
    <x v="27"/>
    <x v="7"/>
    <x v="2"/>
    <x v="2"/>
    <n v="0"/>
    <n v="0"/>
    <n v="0"/>
    <n v="0"/>
    <n v="0"/>
    <n v="0"/>
    <n v="0"/>
    <n v="0"/>
    <x v="617"/>
    <x v="562"/>
    <n v="172519"/>
    <x v="2"/>
    <x v="1"/>
    <n v="0"/>
    <n v="65"/>
    <n v="79"/>
  </r>
  <r>
    <x v="2"/>
    <x v="121"/>
    <x v="4"/>
    <x v="490"/>
    <x v="2"/>
    <n v="0"/>
    <n v="0"/>
    <n v="0"/>
    <n v="0"/>
    <n v="0"/>
    <n v="0"/>
    <n v="0"/>
    <n v="0"/>
    <x v="618"/>
    <x v="28"/>
    <n v="0"/>
    <x v="210"/>
    <x v="1"/>
    <n v="0"/>
    <n v="12"/>
    <n v="17"/>
  </r>
  <r>
    <x v="0"/>
    <x v="73"/>
    <x v="5"/>
    <x v="2"/>
    <x v="19"/>
    <n v="0"/>
    <n v="0"/>
    <n v="0"/>
    <n v="0"/>
    <n v="0"/>
    <n v="0"/>
    <n v="0"/>
    <n v="0"/>
    <x v="619"/>
    <x v="563"/>
    <n v="339580"/>
    <x v="2"/>
    <x v="0"/>
    <n v="0"/>
    <n v="30"/>
    <n v="49"/>
  </r>
  <r>
    <x v="2"/>
    <x v="107"/>
    <x v="7"/>
    <x v="491"/>
    <x v="47"/>
    <n v="0"/>
    <n v="3.4"/>
    <n v="0"/>
    <n v="0"/>
    <n v="0"/>
    <n v="0"/>
    <n v="0"/>
    <n v="0"/>
    <x v="620"/>
    <x v="564"/>
    <n v="0"/>
    <x v="32"/>
    <x v="3"/>
    <n v="0"/>
    <n v="65"/>
    <n v="79"/>
  </r>
  <r>
    <x v="1"/>
    <x v="62"/>
    <x v="6"/>
    <x v="371"/>
    <x v="223"/>
    <n v="14.9"/>
    <n v="0.3"/>
    <n v="0.8"/>
    <n v="0"/>
    <n v="0"/>
    <n v="0"/>
    <n v="0"/>
    <n v="0"/>
    <x v="473"/>
    <x v="360"/>
    <n v="47131"/>
    <x v="45"/>
    <x v="21"/>
    <n v="7"/>
    <n v="80"/>
    <n v="200"/>
  </r>
  <r>
    <x v="0"/>
    <x v="79"/>
    <x v="1"/>
    <x v="2"/>
    <x v="2"/>
    <n v="0"/>
    <n v="0"/>
    <n v="0"/>
    <n v="0"/>
    <n v="0"/>
    <n v="0"/>
    <n v="0"/>
    <n v="0"/>
    <x v="580"/>
    <x v="53"/>
    <n v="246910"/>
    <x v="2"/>
    <x v="1"/>
    <n v="0"/>
    <n v="50"/>
    <n v="64"/>
  </r>
  <r>
    <x v="2"/>
    <x v="3"/>
    <x v="3"/>
    <x v="492"/>
    <x v="345"/>
    <n v="56.8"/>
    <n v="2.8"/>
    <n v="5.0999999999999996"/>
    <n v="0"/>
    <n v="0"/>
    <n v="0"/>
    <n v="0"/>
    <n v="0"/>
    <x v="423"/>
    <x v="394"/>
    <n v="19377"/>
    <x v="226"/>
    <x v="191"/>
    <n v="11"/>
    <n v="18"/>
    <n v="29"/>
  </r>
  <r>
    <x v="0"/>
    <x v="13"/>
    <x v="6"/>
    <x v="493"/>
    <x v="346"/>
    <n v="15.4"/>
    <n v="1.6"/>
    <n v="13"/>
    <n v="0"/>
    <n v="0"/>
    <n v="0"/>
    <n v="0"/>
    <n v="0"/>
    <x v="273"/>
    <x v="259"/>
    <n v="39032"/>
    <x v="106"/>
    <x v="97"/>
    <n v="6"/>
    <n v="80"/>
    <n v="200"/>
  </r>
  <r>
    <x v="0"/>
    <x v="11"/>
    <x v="7"/>
    <x v="2"/>
    <x v="2"/>
    <n v="0"/>
    <n v="0"/>
    <n v="0"/>
    <n v="0"/>
    <n v="0"/>
    <n v="0"/>
    <n v="0"/>
    <n v="0"/>
    <x v="511"/>
    <x v="367"/>
    <n v="171727"/>
    <x v="2"/>
    <x v="1"/>
    <n v="0"/>
    <n v="65"/>
    <n v="79"/>
  </r>
  <r>
    <x v="2"/>
    <x v="107"/>
    <x v="2"/>
    <x v="494"/>
    <x v="2"/>
    <n v="0"/>
    <n v="0"/>
    <n v="0"/>
    <n v="0"/>
    <n v="0"/>
    <n v="0"/>
    <n v="0"/>
    <n v="0"/>
    <x v="356"/>
    <x v="28"/>
    <n v="0"/>
    <x v="31"/>
    <x v="1"/>
    <n v="0"/>
    <n v="5"/>
    <n v="11"/>
  </r>
  <r>
    <x v="1"/>
    <x v="116"/>
    <x v="4"/>
    <x v="2"/>
    <x v="34"/>
    <n v="2.2000000000000002"/>
    <n v="0"/>
    <n v="0"/>
    <n v="0"/>
    <n v="0"/>
    <n v="0"/>
    <n v="0"/>
    <n v="0"/>
    <x v="203"/>
    <x v="159"/>
    <n v="44595"/>
    <x v="2"/>
    <x v="11"/>
    <n v="1"/>
    <n v="12"/>
    <n v="17"/>
  </r>
  <r>
    <x v="1"/>
    <x v="56"/>
    <x v="2"/>
    <x v="2"/>
    <x v="2"/>
    <n v="0"/>
    <n v="0"/>
    <n v="0"/>
    <n v="0"/>
    <n v="0"/>
    <n v="0"/>
    <n v="0"/>
    <n v="0"/>
    <x v="534"/>
    <x v="489"/>
    <n v="0"/>
    <x v="2"/>
    <x v="1"/>
    <n v="0"/>
    <n v="5"/>
    <n v="11"/>
  </r>
  <r>
    <x v="2"/>
    <x v="94"/>
    <x v="7"/>
    <x v="495"/>
    <x v="113"/>
    <n v="102.5"/>
    <n v="1"/>
    <n v="1"/>
    <n v="0"/>
    <n v="0"/>
    <n v="0"/>
    <n v="0"/>
    <n v="0"/>
    <x v="621"/>
    <x v="565"/>
    <n v="171689"/>
    <x v="44"/>
    <x v="73"/>
    <n v="176"/>
    <n v="65"/>
    <n v="79"/>
  </r>
  <r>
    <x v="0"/>
    <x v="42"/>
    <x v="0"/>
    <x v="2"/>
    <x v="82"/>
    <n v="0"/>
    <n v="0"/>
    <n v="0"/>
    <n v="0"/>
    <n v="0.3"/>
    <n v="0"/>
    <n v="0"/>
    <n v="0"/>
    <x v="241"/>
    <x v="231"/>
    <n v="932489"/>
    <x v="2"/>
    <x v="11"/>
    <n v="0"/>
    <n v="999"/>
    <n v="999"/>
  </r>
  <r>
    <x v="2"/>
    <x v="90"/>
    <x v="5"/>
    <x v="496"/>
    <x v="347"/>
    <n v="397.2"/>
    <n v="1.8"/>
    <n v="0.9"/>
    <n v="0"/>
    <n v="0"/>
    <n v="0"/>
    <n v="0"/>
    <n v="0"/>
    <x v="622"/>
    <x v="566"/>
    <n v="335115"/>
    <x v="226"/>
    <x v="192"/>
    <n v="1331"/>
    <n v="30"/>
    <n v="49"/>
  </r>
  <r>
    <x v="1"/>
    <x v="41"/>
    <x v="2"/>
    <x v="286"/>
    <x v="17"/>
    <n v="0"/>
    <n v="0.8"/>
    <n v="0"/>
    <n v="0"/>
    <n v="0"/>
    <n v="0"/>
    <n v="0"/>
    <n v="0"/>
    <x v="94"/>
    <x v="94"/>
    <n v="12921"/>
    <x v="1"/>
    <x v="0"/>
    <n v="0"/>
    <n v="5"/>
    <n v="11"/>
  </r>
  <r>
    <x v="0"/>
    <x v="119"/>
    <x v="7"/>
    <x v="197"/>
    <x v="2"/>
    <n v="0"/>
    <n v="0"/>
    <n v="0"/>
    <n v="0"/>
    <n v="0"/>
    <n v="0"/>
    <n v="0"/>
    <n v="0"/>
    <x v="623"/>
    <x v="567"/>
    <n v="172402"/>
    <x v="1"/>
    <x v="1"/>
    <n v="0"/>
    <n v="65"/>
    <n v="79"/>
  </r>
  <r>
    <x v="2"/>
    <x v="23"/>
    <x v="1"/>
    <x v="497"/>
    <x v="146"/>
    <n v="189.7"/>
    <n v="3.1"/>
    <n v="2.5"/>
    <n v="0"/>
    <n v="0"/>
    <n v="0"/>
    <n v="0"/>
    <n v="0"/>
    <x v="427"/>
    <x v="398"/>
    <n v="246742"/>
    <x v="227"/>
    <x v="193"/>
    <n v="468"/>
    <n v="50"/>
    <n v="64"/>
  </r>
  <r>
    <x v="0"/>
    <x v="80"/>
    <x v="3"/>
    <x v="2"/>
    <x v="2"/>
    <n v="0"/>
    <n v="0"/>
    <n v="0"/>
    <n v="0"/>
    <n v="0"/>
    <n v="0"/>
    <n v="0"/>
    <n v="0"/>
    <x v="161"/>
    <x v="158"/>
    <n v="150062"/>
    <x v="2"/>
    <x v="1"/>
    <n v="0"/>
    <n v="18"/>
    <n v="29"/>
  </r>
  <r>
    <x v="0"/>
    <x v="39"/>
    <x v="4"/>
    <x v="2"/>
    <x v="2"/>
    <n v="0"/>
    <n v="0"/>
    <n v="0"/>
    <n v="0"/>
    <n v="0"/>
    <n v="0"/>
    <n v="0"/>
    <n v="0"/>
    <x v="624"/>
    <x v="568"/>
    <n v="44459"/>
    <x v="2"/>
    <x v="1"/>
    <n v="0"/>
    <n v="12"/>
    <n v="17"/>
  </r>
  <r>
    <x v="2"/>
    <x v="81"/>
    <x v="7"/>
    <x v="498"/>
    <x v="348"/>
    <n v="0"/>
    <n v="2.4"/>
    <n v="0"/>
    <n v="0"/>
    <n v="0"/>
    <n v="0"/>
    <n v="0"/>
    <n v="0"/>
    <x v="324"/>
    <x v="305"/>
    <n v="0"/>
    <x v="4"/>
    <x v="58"/>
    <n v="0"/>
    <n v="65"/>
    <n v="79"/>
  </r>
  <r>
    <x v="1"/>
    <x v="14"/>
    <x v="3"/>
    <x v="499"/>
    <x v="2"/>
    <n v="0"/>
    <n v="0"/>
    <n v="0"/>
    <n v="0"/>
    <n v="0"/>
    <n v="0"/>
    <n v="0"/>
    <n v="0"/>
    <x v="625"/>
    <x v="569"/>
    <n v="0"/>
    <x v="134"/>
    <x v="1"/>
    <n v="0"/>
    <n v="18"/>
    <n v="29"/>
  </r>
  <r>
    <x v="1"/>
    <x v="114"/>
    <x v="6"/>
    <x v="500"/>
    <x v="187"/>
    <n v="42.5"/>
    <n v="0.5"/>
    <n v="0.6"/>
    <n v="0"/>
    <n v="0"/>
    <n v="0"/>
    <n v="0"/>
    <n v="0"/>
    <x v="626"/>
    <x v="124"/>
    <n v="47073"/>
    <x v="64"/>
    <x v="48"/>
    <n v="20"/>
    <n v="80"/>
    <n v="200"/>
  </r>
  <r>
    <x v="0"/>
    <x v="118"/>
    <x v="5"/>
    <x v="2"/>
    <x v="2"/>
    <n v="0"/>
    <n v="0"/>
    <n v="0"/>
    <n v="0"/>
    <n v="0"/>
    <n v="0"/>
    <n v="0"/>
    <n v="0"/>
    <x v="512"/>
    <x v="469"/>
    <n v="320838"/>
    <x v="2"/>
    <x v="1"/>
    <n v="0"/>
    <n v="30"/>
    <n v="49"/>
  </r>
  <r>
    <x v="0"/>
    <x v="88"/>
    <x v="3"/>
    <x v="2"/>
    <x v="2"/>
    <n v="0"/>
    <n v="0"/>
    <n v="0"/>
    <n v="0"/>
    <n v="0"/>
    <n v="0"/>
    <n v="0"/>
    <n v="0"/>
    <x v="627"/>
    <x v="570"/>
    <n v="0"/>
    <x v="2"/>
    <x v="1"/>
    <n v="0"/>
    <n v="18"/>
    <n v="29"/>
  </r>
  <r>
    <x v="1"/>
    <x v="51"/>
    <x v="0"/>
    <x v="501"/>
    <x v="273"/>
    <n v="10.4"/>
    <n v="1.6"/>
    <n v="1.4"/>
    <n v="18.8"/>
    <n v="12.6"/>
    <n v="7.3"/>
    <n v="1.5"/>
    <n v="2.6"/>
    <x v="308"/>
    <x v="291"/>
    <n v="1004817"/>
    <x v="187"/>
    <x v="20"/>
    <n v="105"/>
    <n v="999"/>
    <n v="999"/>
  </r>
  <r>
    <x v="1"/>
    <x v="113"/>
    <x v="7"/>
    <x v="502"/>
    <x v="273"/>
    <n v="11.1"/>
    <n v="2.2000000000000002"/>
    <n v="1.9"/>
    <n v="0"/>
    <n v="0"/>
    <n v="0"/>
    <n v="0"/>
    <n v="0"/>
    <x v="628"/>
    <x v="571"/>
    <n v="171823"/>
    <x v="33"/>
    <x v="16"/>
    <n v="19"/>
    <n v="65"/>
    <n v="79"/>
  </r>
  <r>
    <x v="1"/>
    <x v="101"/>
    <x v="0"/>
    <x v="503"/>
    <x v="127"/>
    <n v="1.4"/>
    <n v="1.4"/>
    <n v="3"/>
    <n v="4.9000000000000004"/>
    <n v="3.3"/>
    <n v="1"/>
    <n v="1.5"/>
    <n v="4.9000000000000004"/>
    <x v="629"/>
    <x v="572"/>
    <n v="900419"/>
    <x v="48"/>
    <x v="88"/>
    <n v="13"/>
    <n v="999"/>
    <n v="999"/>
  </r>
  <r>
    <x v="0"/>
    <x v="50"/>
    <x v="3"/>
    <x v="2"/>
    <x v="2"/>
    <n v="0"/>
    <n v="0"/>
    <n v="0"/>
    <n v="0"/>
    <n v="0"/>
    <n v="0"/>
    <n v="0"/>
    <n v="0"/>
    <x v="318"/>
    <x v="300"/>
    <n v="154755"/>
    <x v="2"/>
    <x v="1"/>
    <n v="0"/>
    <n v="18"/>
    <n v="29"/>
  </r>
  <r>
    <x v="2"/>
    <x v="38"/>
    <x v="2"/>
    <x v="400"/>
    <x v="189"/>
    <n v="9.4"/>
    <n v="1.7"/>
    <n v="2"/>
    <n v="0"/>
    <n v="0"/>
    <n v="0"/>
    <n v="0"/>
    <n v="0"/>
    <x v="630"/>
    <x v="262"/>
    <n v="21265"/>
    <x v="134"/>
    <x v="13"/>
    <n v="2"/>
    <n v="5"/>
    <n v="11"/>
  </r>
  <r>
    <x v="0"/>
    <x v="89"/>
    <x v="5"/>
    <x v="54"/>
    <x v="2"/>
    <n v="0"/>
    <n v="0"/>
    <n v="0"/>
    <n v="0"/>
    <n v="0"/>
    <n v="0"/>
    <n v="0"/>
    <n v="0"/>
    <x v="631"/>
    <x v="573"/>
    <n v="0"/>
    <x v="45"/>
    <x v="1"/>
    <n v="0"/>
    <n v="30"/>
    <n v="49"/>
  </r>
  <r>
    <x v="0"/>
    <x v="29"/>
    <x v="1"/>
    <x v="2"/>
    <x v="2"/>
    <n v="0.4"/>
    <n v="0"/>
    <n v="0"/>
    <n v="0"/>
    <n v="0"/>
    <n v="0"/>
    <n v="0"/>
    <n v="0"/>
    <x v="171"/>
    <x v="168"/>
    <n v="239606"/>
    <x v="2"/>
    <x v="1"/>
    <n v="1"/>
    <n v="50"/>
    <n v="64"/>
  </r>
  <r>
    <x v="0"/>
    <x v="110"/>
    <x v="2"/>
    <x v="2"/>
    <x v="2"/>
    <n v="0"/>
    <n v="0"/>
    <n v="0"/>
    <n v="0"/>
    <n v="0"/>
    <n v="0"/>
    <n v="0"/>
    <n v="0"/>
    <x v="477"/>
    <x v="441"/>
    <n v="19812"/>
    <x v="2"/>
    <x v="1"/>
    <n v="0"/>
    <n v="5"/>
    <n v="11"/>
  </r>
  <r>
    <x v="0"/>
    <x v="62"/>
    <x v="4"/>
    <x v="2"/>
    <x v="2"/>
    <n v="0"/>
    <n v="0"/>
    <n v="0"/>
    <n v="0"/>
    <n v="0"/>
    <n v="0"/>
    <n v="0"/>
    <n v="0"/>
    <x v="632"/>
    <x v="241"/>
    <n v="44592"/>
    <x v="2"/>
    <x v="1"/>
    <n v="0"/>
    <n v="12"/>
    <n v="17"/>
  </r>
  <r>
    <x v="1"/>
    <x v="101"/>
    <x v="4"/>
    <x v="2"/>
    <x v="49"/>
    <n v="0"/>
    <n v="0"/>
    <n v="0"/>
    <n v="0"/>
    <n v="0"/>
    <n v="0"/>
    <n v="0"/>
    <n v="0"/>
    <x v="152"/>
    <x v="149"/>
    <n v="27517"/>
    <x v="2"/>
    <x v="0"/>
    <n v="0"/>
    <n v="12"/>
    <n v="17"/>
  </r>
  <r>
    <x v="2"/>
    <x v="75"/>
    <x v="2"/>
    <x v="504"/>
    <x v="349"/>
    <n v="92.3"/>
    <n v="1.2"/>
    <n v="1.6"/>
    <n v="0"/>
    <n v="0"/>
    <n v="0"/>
    <n v="0"/>
    <n v="0"/>
    <x v="633"/>
    <x v="574"/>
    <n v="10832"/>
    <x v="228"/>
    <x v="194"/>
    <n v="10"/>
    <n v="5"/>
    <n v="11"/>
  </r>
  <r>
    <x v="1"/>
    <x v="120"/>
    <x v="3"/>
    <x v="133"/>
    <x v="48"/>
    <n v="2.5"/>
    <n v="5.9"/>
    <n v="2.1"/>
    <n v="0"/>
    <n v="0"/>
    <n v="0"/>
    <n v="0"/>
    <n v="0"/>
    <x v="634"/>
    <x v="575"/>
    <n v="161677"/>
    <x v="20"/>
    <x v="11"/>
    <n v="4"/>
    <n v="18"/>
    <n v="29"/>
  </r>
  <r>
    <x v="1"/>
    <x v="75"/>
    <x v="0"/>
    <x v="422"/>
    <x v="350"/>
    <n v="10.4"/>
    <n v="2"/>
    <n v="1.4"/>
    <n v="18.399999999999999"/>
    <n v="9.5"/>
    <n v="7.3"/>
    <n v="1.9"/>
    <n v="2.5"/>
    <x v="635"/>
    <x v="576"/>
    <n v="1009629"/>
    <x v="229"/>
    <x v="98"/>
    <n v="105"/>
    <n v="999"/>
    <n v="999"/>
  </r>
  <r>
    <x v="2"/>
    <x v="138"/>
    <x v="1"/>
    <x v="505"/>
    <x v="57"/>
    <n v="0"/>
    <n v="9.9"/>
    <n v="0"/>
    <n v="0"/>
    <n v="0"/>
    <n v="0"/>
    <n v="0"/>
    <n v="0"/>
    <x v="481"/>
    <x v="445"/>
    <n v="0"/>
    <x v="230"/>
    <x v="75"/>
    <n v="0"/>
    <n v="50"/>
    <n v="64"/>
  </r>
  <r>
    <x v="0"/>
    <x v="6"/>
    <x v="6"/>
    <x v="210"/>
    <x v="2"/>
    <n v="4.3"/>
    <n v="0"/>
    <n v="0.9"/>
    <n v="0"/>
    <n v="0"/>
    <n v="0"/>
    <n v="0"/>
    <n v="0"/>
    <x v="32"/>
    <x v="32"/>
    <n v="47028"/>
    <x v="1"/>
    <x v="1"/>
    <n v="2"/>
    <n v="80"/>
    <n v="200"/>
  </r>
  <r>
    <x v="1"/>
    <x v="26"/>
    <x v="0"/>
    <x v="506"/>
    <x v="351"/>
    <n v="10.199999999999999"/>
    <n v="2.2000000000000002"/>
    <n v="1.3"/>
    <n v="17.8"/>
    <n v="8.6999999999999993"/>
    <n v="7"/>
    <n v="2"/>
    <n v="2.6"/>
    <x v="414"/>
    <x v="387"/>
    <n v="1040217"/>
    <x v="231"/>
    <x v="100"/>
    <n v="106"/>
    <n v="999"/>
    <n v="999"/>
  </r>
  <r>
    <x v="1"/>
    <x v="108"/>
    <x v="7"/>
    <x v="507"/>
    <x v="285"/>
    <n v="19.8"/>
    <n v="1"/>
    <n v="1.4"/>
    <n v="0"/>
    <n v="0"/>
    <n v="0"/>
    <n v="0"/>
    <n v="0"/>
    <x v="636"/>
    <x v="577"/>
    <n v="171693"/>
    <x v="6"/>
    <x v="23"/>
    <n v="34"/>
    <n v="65"/>
    <n v="79"/>
  </r>
  <r>
    <x v="0"/>
    <x v="103"/>
    <x v="0"/>
    <x v="241"/>
    <x v="2"/>
    <n v="0"/>
    <n v="0"/>
    <n v="0"/>
    <n v="0.8"/>
    <n v="0"/>
    <n v="0"/>
    <n v="0"/>
    <n v="0"/>
    <x v="605"/>
    <x v="552"/>
    <n v="0"/>
    <x v="18"/>
    <x v="1"/>
    <n v="0"/>
    <n v="999"/>
    <n v="999"/>
  </r>
  <r>
    <x v="0"/>
    <x v="127"/>
    <x v="3"/>
    <x v="2"/>
    <x v="19"/>
    <n v="0"/>
    <n v="0"/>
    <n v="0"/>
    <n v="0"/>
    <n v="0"/>
    <n v="0"/>
    <n v="0"/>
    <n v="0"/>
    <x v="637"/>
    <x v="578"/>
    <n v="93335"/>
    <x v="2"/>
    <x v="0"/>
    <n v="0"/>
    <n v="18"/>
    <n v="29"/>
  </r>
  <r>
    <x v="0"/>
    <x v="42"/>
    <x v="1"/>
    <x v="2"/>
    <x v="38"/>
    <n v="0"/>
    <n v="0"/>
    <n v="0"/>
    <n v="0"/>
    <n v="0"/>
    <n v="0"/>
    <n v="0"/>
    <n v="0"/>
    <x v="467"/>
    <x v="433"/>
    <n v="227154"/>
    <x v="2"/>
    <x v="0"/>
    <n v="0"/>
    <n v="50"/>
    <n v="64"/>
  </r>
  <r>
    <x v="2"/>
    <x v="106"/>
    <x v="7"/>
    <x v="306"/>
    <x v="352"/>
    <n v="0"/>
    <n v="2.2000000000000002"/>
    <n v="0"/>
    <n v="0"/>
    <n v="0"/>
    <n v="0"/>
    <n v="0"/>
    <n v="0"/>
    <x v="638"/>
    <x v="579"/>
    <n v="0"/>
    <x v="47"/>
    <x v="155"/>
    <n v="0"/>
    <n v="65"/>
    <n v="79"/>
  </r>
  <r>
    <x v="0"/>
    <x v="79"/>
    <x v="3"/>
    <x v="2"/>
    <x v="2"/>
    <n v="0"/>
    <n v="0"/>
    <n v="0"/>
    <n v="0"/>
    <n v="0"/>
    <n v="0"/>
    <n v="0"/>
    <n v="0"/>
    <x v="639"/>
    <x v="580"/>
    <n v="161691"/>
    <x v="2"/>
    <x v="1"/>
    <n v="0"/>
    <n v="18"/>
    <n v="29"/>
  </r>
  <r>
    <x v="0"/>
    <x v="31"/>
    <x v="5"/>
    <x v="2"/>
    <x v="2"/>
    <n v="0"/>
    <n v="0"/>
    <n v="0"/>
    <n v="0"/>
    <n v="0"/>
    <n v="0"/>
    <n v="0"/>
    <n v="0"/>
    <x v="640"/>
    <x v="581"/>
    <n v="340282"/>
    <x v="2"/>
    <x v="1"/>
    <n v="0"/>
    <n v="30"/>
    <n v="49"/>
  </r>
  <r>
    <x v="2"/>
    <x v="28"/>
    <x v="3"/>
    <x v="291"/>
    <x v="353"/>
    <n v="60"/>
    <n v="3.1"/>
    <n v="2.2999999999999998"/>
    <n v="0"/>
    <n v="0"/>
    <n v="0"/>
    <n v="0"/>
    <n v="0"/>
    <x v="641"/>
    <x v="582"/>
    <n v="161659"/>
    <x v="215"/>
    <x v="103"/>
    <n v="97"/>
    <n v="18"/>
    <n v="29"/>
  </r>
  <r>
    <x v="2"/>
    <x v="17"/>
    <x v="5"/>
    <x v="176"/>
    <x v="10"/>
    <n v="8.3000000000000007"/>
    <n v="2"/>
    <n v="1.7"/>
    <n v="0"/>
    <n v="0"/>
    <n v="0"/>
    <n v="0"/>
    <n v="0"/>
    <x v="642"/>
    <x v="583"/>
    <n v="347308"/>
    <x v="36"/>
    <x v="130"/>
    <n v="29"/>
    <n v="30"/>
    <n v="49"/>
  </r>
  <r>
    <x v="0"/>
    <x v="48"/>
    <x v="7"/>
    <x v="2"/>
    <x v="2"/>
    <n v="0.6"/>
    <n v="0"/>
    <n v="0"/>
    <n v="0"/>
    <n v="0"/>
    <n v="0"/>
    <n v="0"/>
    <n v="0"/>
    <x v="129"/>
    <x v="128"/>
    <n v="171905"/>
    <x v="2"/>
    <x v="1"/>
    <n v="1"/>
    <n v="65"/>
    <n v="79"/>
  </r>
  <r>
    <x v="2"/>
    <x v="53"/>
    <x v="1"/>
    <x v="389"/>
    <x v="6"/>
    <n v="19.399999999999999"/>
    <n v="2.4"/>
    <n v="1.9"/>
    <n v="0"/>
    <n v="0"/>
    <n v="0"/>
    <n v="0"/>
    <n v="0"/>
    <x v="53"/>
    <x v="53"/>
    <n v="246912"/>
    <x v="27"/>
    <x v="130"/>
    <n v="48"/>
    <n v="50"/>
    <n v="64"/>
  </r>
  <r>
    <x v="2"/>
    <x v="60"/>
    <x v="4"/>
    <x v="508"/>
    <x v="354"/>
    <n v="87.9"/>
    <n v="1.6"/>
    <n v="2.7"/>
    <n v="0"/>
    <n v="0"/>
    <n v="0"/>
    <n v="0"/>
    <n v="0"/>
    <x v="643"/>
    <x v="584"/>
    <n v="18212"/>
    <x v="232"/>
    <x v="135"/>
    <n v="16"/>
    <n v="12"/>
    <n v="17"/>
  </r>
  <r>
    <x v="1"/>
    <x v="54"/>
    <x v="0"/>
    <x v="82"/>
    <x v="141"/>
    <n v="3.7"/>
    <n v="2.9"/>
    <n v="1.1000000000000001"/>
    <n v="4.9000000000000004"/>
    <n v="2.5"/>
    <n v="2.5"/>
    <n v="2"/>
    <n v="2"/>
    <x v="644"/>
    <x v="585"/>
    <n v="1043533"/>
    <x v="46"/>
    <x v="23"/>
    <n v="39"/>
    <n v="999"/>
    <n v="999"/>
  </r>
  <r>
    <x v="1"/>
    <x v="103"/>
    <x v="1"/>
    <x v="117"/>
    <x v="13"/>
    <n v="0"/>
    <n v="12.7"/>
    <n v="0"/>
    <n v="0"/>
    <n v="0"/>
    <n v="0"/>
    <n v="0"/>
    <n v="0"/>
    <x v="645"/>
    <x v="586"/>
    <n v="0"/>
    <x v="33"/>
    <x v="11"/>
    <n v="0"/>
    <n v="50"/>
    <n v="64"/>
  </r>
  <r>
    <x v="1"/>
    <x v="50"/>
    <x v="1"/>
    <x v="509"/>
    <x v="53"/>
    <n v="6.3"/>
    <n v="7"/>
    <n v="6"/>
    <n v="0"/>
    <n v="0"/>
    <n v="0"/>
    <n v="0"/>
    <n v="0"/>
    <x v="646"/>
    <x v="587"/>
    <n v="238855"/>
    <x v="91"/>
    <x v="26"/>
    <n v="15"/>
    <n v="50"/>
    <n v="64"/>
  </r>
  <r>
    <x v="2"/>
    <x v="69"/>
    <x v="5"/>
    <x v="285"/>
    <x v="355"/>
    <n v="82"/>
    <n v="2.2000000000000002"/>
    <n v="1.4"/>
    <n v="0"/>
    <n v="0"/>
    <n v="0"/>
    <n v="0"/>
    <n v="0"/>
    <x v="647"/>
    <x v="588"/>
    <n v="303628"/>
    <x v="49"/>
    <x v="172"/>
    <n v="249"/>
    <n v="30"/>
    <n v="49"/>
  </r>
  <r>
    <x v="0"/>
    <x v="36"/>
    <x v="8"/>
    <x v="2"/>
    <x v="2"/>
    <n v="0"/>
    <n v="0"/>
    <n v="0"/>
    <n v="0"/>
    <n v="0"/>
    <n v="0"/>
    <n v="0"/>
    <n v="0"/>
    <x v="28"/>
    <x v="28"/>
    <n v="0"/>
    <x v="2"/>
    <x v="1"/>
    <n v="0"/>
    <n v="0"/>
    <n v="4"/>
  </r>
  <r>
    <x v="2"/>
    <x v="35"/>
    <x v="6"/>
    <x v="510"/>
    <x v="272"/>
    <n v="95.2"/>
    <n v="0.5"/>
    <n v="0.4"/>
    <n v="0"/>
    <n v="0"/>
    <n v="0"/>
    <n v="0"/>
    <n v="0"/>
    <x v="648"/>
    <x v="589"/>
    <n v="47261"/>
    <x v="51"/>
    <x v="13"/>
    <n v="45"/>
    <n v="80"/>
    <n v="200"/>
  </r>
  <r>
    <x v="0"/>
    <x v="54"/>
    <x v="6"/>
    <x v="82"/>
    <x v="356"/>
    <n v="0"/>
    <n v="0.2"/>
    <n v="0"/>
    <n v="0"/>
    <n v="0"/>
    <n v="0"/>
    <n v="0"/>
    <n v="0"/>
    <x v="518"/>
    <x v="474"/>
    <n v="47222"/>
    <x v="1"/>
    <x v="11"/>
    <n v="0"/>
    <n v="80"/>
    <n v="200"/>
  </r>
  <r>
    <x v="1"/>
    <x v="54"/>
    <x v="6"/>
    <x v="511"/>
    <x v="212"/>
    <n v="21.2"/>
    <n v="0.5"/>
    <n v="0.8"/>
    <n v="0"/>
    <n v="0"/>
    <n v="0"/>
    <n v="0"/>
    <n v="0"/>
    <x v="518"/>
    <x v="474"/>
    <n v="47222"/>
    <x v="20"/>
    <x v="16"/>
    <n v="10"/>
    <n v="80"/>
    <n v="200"/>
  </r>
  <r>
    <x v="0"/>
    <x v="59"/>
    <x v="1"/>
    <x v="512"/>
    <x v="87"/>
    <n v="0"/>
    <n v="35.299999999999997"/>
    <n v="0"/>
    <n v="0"/>
    <n v="0"/>
    <n v="0"/>
    <n v="0"/>
    <n v="0"/>
    <x v="412"/>
    <x v="386"/>
    <n v="0"/>
    <x v="51"/>
    <x v="0"/>
    <n v="0"/>
    <n v="50"/>
    <n v="64"/>
  </r>
  <r>
    <x v="1"/>
    <x v="13"/>
    <x v="3"/>
    <x v="68"/>
    <x v="357"/>
    <n v="1.9"/>
    <n v="4.9000000000000004"/>
    <n v="16.3"/>
    <n v="0"/>
    <n v="0"/>
    <n v="0"/>
    <n v="0"/>
    <n v="0"/>
    <x v="649"/>
    <x v="590"/>
    <n v="103823"/>
    <x v="194"/>
    <x v="75"/>
    <n v="2"/>
    <n v="18"/>
    <n v="29"/>
  </r>
  <r>
    <x v="0"/>
    <x v="54"/>
    <x v="7"/>
    <x v="2"/>
    <x v="2"/>
    <n v="0.6"/>
    <n v="0"/>
    <n v="0"/>
    <n v="0"/>
    <n v="0"/>
    <n v="0"/>
    <n v="0"/>
    <n v="0"/>
    <x v="650"/>
    <x v="591"/>
    <n v="172161"/>
    <x v="2"/>
    <x v="1"/>
    <n v="1"/>
    <n v="65"/>
    <n v="79"/>
  </r>
  <r>
    <x v="1"/>
    <x v="82"/>
    <x v="8"/>
    <x v="108"/>
    <x v="2"/>
    <n v="0"/>
    <n v="0"/>
    <n v="0"/>
    <n v="0"/>
    <n v="0"/>
    <n v="0"/>
    <n v="0"/>
    <n v="0"/>
    <x v="28"/>
    <x v="28"/>
    <n v="0"/>
    <x v="0"/>
    <x v="1"/>
    <n v="0"/>
    <n v="0"/>
    <n v="4"/>
  </r>
  <r>
    <x v="1"/>
    <x v="30"/>
    <x v="0"/>
    <x v="426"/>
    <x v="358"/>
    <n v="9"/>
    <n v="3.4"/>
    <n v="1.7"/>
    <n v="19.100000000000001"/>
    <n v="6.8"/>
    <n v="6.2"/>
    <n v="2.8"/>
    <n v="3.1"/>
    <x v="651"/>
    <x v="592"/>
    <n v="1039564"/>
    <x v="30"/>
    <x v="60"/>
    <n v="94"/>
    <n v="999"/>
    <n v="999"/>
  </r>
  <r>
    <x v="0"/>
    <x v="49"/>
    <x v="1"/>
    <x v="2"/>
    <x v="2"/>
    <n v="0"/>
    <n v="0"/>
    <n v="0"/>
    <n v="0"/>
    <n v="0"/>
    <n v="0"/>
    <n v="0"/>
    <n v="0"/>
    <x v="652"/>
    <x v="593"/>
    <n v="246936"/>
    <x v="2"/>
    <x v="1"/>
    <n v="0"/>
    <n v="50"/>
    <n v="64"/>
  </r>
  <r>
    <x v="0"/>
    <x v="61"/>
    <x v="3"/>
    <x v="2"/>
    <x v="2"/>
    <n v="0"/>
    <n v="0"/>
    <n v="0"/>
    <n v="0"/>
    <n v="0"/>
    <n v="0"/>
    <n v="0"/>
    <n v="0"/>
    <x v="223"/>
    <x v="214"/>
    <n v="161728"/>
    <x v="2"/>
    <x v="1"/>
    <n v="0"/>
    <n v="18"/>
    <n v="29"/>
  </r>
  <r>
    <x v="0"/>
    <x v="39"/>
    <x v="0"/>
    <x v="286"/>
    <x v="2"/>
    <n v="0.1"/>
    <n v="0"/>
    <n v="10"/>
    <n v="1"/>
    <n v="0"/>
    <n v="0.1"/>
    <n v="0"/>
    <n v="17.3"/>
    <x v="653"/>
    <x v="594"/>
    <n v="1038311"/>
    <x v="18"/>
    <x v="1"/>
    <n v="1"/>
    <n v="999"/>
    <n v="999"/>
  </r>
  <r>
    <x v="0"/>
    <x v="125"/>
    <x v="3"/>
    <x v="2"/>
    <x v="2"/>
    <n v="0"/>
    <n v="0"/>
    <n v="0"/>
    <n v="0"/>
    <n v="0"/>
    <n v="0"/>
    <n v="0"/>
    <n v="0"/>
    <x v="654"/>
    <x v="595"/>
    <n v="0"/>
    <x v="2"/>
    <x v="1"/>
    <n v="0"/>
    <n v="18"/>
    <n v="29"/>
  </r>
  <r>
    <x v="1"/>
    <x v="86"/>
    <x v="0"/>
    <x v="249"/>
    <x v="25"/>
    <n v="12.7"/>
    <n v="2.8"/>
    <n v="1.4"/>
    <n v="22.7"/>
    <n v="10.5"/>
    <n v="8.5"/>
    <n v="2.2000000000000002"/>
    <n v="2.7"/>
    <x v="349"/>
    <x v="326"/>
    <n v="1040190"/>
    <x v="232"/>
    <x v="18"/>
    <n v="132"/>
    <n v="999"/>
    <n v="999"/>
  </r>
  <r>
    <x v="1"/>
    <x v="59"/>
    <x v="4"/>
    <x v="472"/>
    <x v="2"/>
    <n v="0"/>
    <n v="0"/>
    <n v="0"/>
    <n v="0"/>
    <n v="0"/>
    <n v="0"/>
    <n v="0"/>
    <n v="0"/>
    <x v="655"/>
    <x v="596"/>
    <n v="0"/>
    <x v="13"/>
    <x v="1"/>
    <n v="0"/>
    <n v="12"/>
    <n v="17"/>
  </r>
  <r>
    <x v="1"/>
    <x v="97"/>
    <x v="2"/>
    <x v="298"/>
    <x v="2"/>
    <n v="0"/>
    <n v="0"/>
    <n v="0"/>
    <n v="0"/>
    <n v="0"/>
    <n v="0"/>
    <n v="0"/>
    <n v="0"/>
    <x v="656"/>
    <x v="597"/>
    <n v="0"/>
    <x v="45"/>
    <x v="1"/>
    <n v="0"/>
    <n v="5"/>
    <n v="11"/>
  </r>
  <r>
    <x v="2"/>
    <x v="47"/>
    <x v="2"/>
    <x v="513"/>
    <x v="359"/>
    <n v="175"/>
    <n v="1.4"/>
    <n v="1"/>
    <n v="0"/>
    <n v="0"/>
    <n v="0"/>
    <n v="0"/>
    <n v="0"/>
    <x v="657"/>
    <x v="598"/>
    <n v="21142"/>
    <x v="49"/>
    <x v="195"/>
    <n v="37"/>
    <n v="5"/>
    <n v="11"/>
  </r>
  <r>
    <x v="0"/>
    <x v="85"/>
    <x v="7"/>
    <x v="55"/>
    <x v="360"/>
    <n v="3"/>
    <n v="2.6"/>
    <n v="24.5"/>
    <n v="0"/>
    <n v="0"/>
    <n v="0"/>
    <n v="0"/>
    <n v="0"/>
    <x v="658"/>
    <x v="599"/>
    <n v="133598"/>
    <x v="42"/>
    <x v="59"/>
    <n v="4"/>
    <n v="65"/>
    <n v="79"/>
  </r>
  <r>
    <x v="2"/>
    <x v="64"/>
    <x v="6"/>
    <x v="398"/>
    <x v="223"/>
    <n v="74.3"/>
    <n v="0.6"/>
    <n v="0.4"/>
    <n v="0"/>
    <n v="0"/>
    <n v="0"/>
    <n v="0"/>
    <n v="0"/>
    <x v="659"/>
    <x v="97"/>
    <n v="47127"/>
    <x v="64"/>
    <x v="21"/>
    <n v="35"/>
    <n v="80"/>
    <n v="200"/>
  </r>
  <r>
    <x v="2"/>
    <x v="102"/>
    <x v="8"/>
    <x v="359"/>
    <x v="2"/>
    <n v="0"/>
    <n v="0"/>
    <n v="0"/>
    <n v="0"/>
    <n v="0"/>
    <n v="0"/>
    <n v="0"/>
    <n v="0"/>
    <x v="28"/>
    <x v="28"/>
    <n v="0"/>
    <x v="177"/>
    <x v="1"/>
    <n v="0"/>
    <n v="0"/>
    <n v="4"/>
  </r>
  <r>
    <x v="2"/>
    <x v="135"/>
    <x v="7"/>
    <x v="176"/>
    <x v="357"/>
    <n v="0"/>
    <n v="2.2000000000000002"/>
    <n v="0"/>
    <n v="0"/>
    <n v="0"/>
    <n v="0"/>
    <n v="0"/>
    <n v="0"/>
    <x v="660"/>
    <x v="600"/>
    <n v="0"/>
    <x v="24"/>
    <x v="23"/>
    <n v="0"/>
    <n v="65"/>
    <n v="79"/>
  </r>
  <r>
    <x v="1"/>
    <x v="102"/>
    <x v="6"/>
    <x v="514"/>
    <x v="208"/>
    <n v="11.7"/>
    <n v="1.1000000000000001"/>
    <n v="1.3"/>
    <n v="0"/>
    <n v="0"/>
    <n v="0"/>
    <n v="0"/>
    <n v="0"/>
    <x v="661"/>
    <x v="601"/>
    <n v="42701"/>
    <x v="20"/>
    <x v="11"/>
    <n v="5"/>
    <n v="80"/>
    <n v="200"/>
  </r>
  <r>
    <x v="2"/>
    <x v="83"/>
    <x v="1"/>
    <x v="515"/>
    <x v="361"/>
    <n v="265.39999999999998"/>
    <n v="2.2999999999999998"/>
    <n v="1.2"/>
    <n v="0"/>
    <n v="0"/>
    <n v="0"/>
    <n v="0"/>
    <n v="0"/>
    <x v="258"/>
    <x v="247"/>
    <n v="233206"/>
    <x v="233"/>
    <x v="44"/>
    <n v="619"/>
    <n v="50"/>
    <n v="64"/>
  </r>
  <r>
    <x v="0"/>
    <x v="97"/>
    <x v="4"/>
    <x v="2"/>
    <x v="2"/>
    <n v="0"/>
    <n v="0"/>
    <n v="0"/>
    <n v="0"/>
    <n v="0"/>
    <n v="0"/>
    <n v="0"/>
    <n v="0"/>
    <x v="140"/>
    <x v="139"/>
    <n v="469"/>
    <x v="2"/>
    <x v="1"/>
    <n v="0"/>
    <n v="12"/>
    <n v="17"/>
  </r>
  <r>
    <x v="0"/>
    <x v="50"/>
    <x v="4"/>
    <x v="2"/>
    <x v="2"/>
    <n v="0"/>
    <n v="0"/>
    <n v="0"/>
    <n v="0"/>
    <n v="0"/>
    <n v="0"/>
    <n v="0"/>
    <n v="0"/>
    <x v="662"/>
    <x v="602"/>
    <n v="36325"/>
    <x v="2"/>
    <x v="1"/>
    <n v="0"/>
    <n v="12"/>
    <n v="17"/>
  </r>
  <r>
    <x v="1"/>
    <x v="79"/>
    <x v="5"/>
    <x v="43"/>
    <x v="19"/>
    <n v="0.3"/>
    <n v="9.1999999999999993"/>
    <n v="12.3"/>
    <n v="0"/>
    <n v="0"/>
    <n v="0"/>
    <n v="0"/>
    <n v="0"/>
    <x v="663"/>
    <x v="197"/>
    <n v="347297"/>
    <x v="20"/>
    <x v="0"/>
    <n v="1"/>
    <n v="30"/>
    <n v="49"/>
  </r>
  <r>
    <x v="1"/>
    <x v="72"/>
    <x v="1"/>
    <x v="103"/>
    <x v="21"/>
    <n v="3.6"/>
    <n v="0.9"/>
    <n v="0.8"/>
    <n v="0"/>
    <n v="0"/>
    <n v="0"/>
    <n v="0"/>
    <n v="0"/>
    <x v="664"/>
    <x v="53"/>
    <n v="246910"/>
    <x v="1"/>
    <x v="16"/>
    <n v="9"/>
    <n v="50"/>
    <n v="64"/>
  </r>
  <r>
    <x v="2"/>
    <x v="120"/>
    <x v="4"/>
    <x v="516"/>
    <x v="362"/>
    <n v="51.6"/>
    <n v="1.8"/>
    <n v="1.5"/>
    <n v="0"/>
    <n v="0"/>
    <n v="0"/>
    <n v="0"/>
    <n v="0"/>
    <x v="545"/>
    <x v="500"/>
    <n v="44568"/>
    <x v="32"/>
    <x v="14"/>
    <n v="23"/>
    <n v="12"/>
    <n v="17"/>
  </r>
  <r>
    <x v="2"/>
    <x v="114"/>
    <x v="8"/>
    <x v="337"/>
    <x v="351"/>
    <n v="0"/>
    <n v="9.6"/>
    <n v="0"/>
    <n v="0"/>
    <n v="0"/>
    <n v="0"/>
    <n v="0"/>
    <n v="0"/>
    <x v="28"/>
    <x v="28"/>
    <n v="0"/>
    <x v="7"/>
    <x v="17"/>
    <n v="0"/>
    <n v="0"/>
    <n v="4"/>
  </r>
  <r>
    <x v="1"/>
    <x v="114"/>
    <x v="5"/>
    <x v="517"/>
    <x v="36"/>
    <n v="3.2"/>
    <n v="3.4"/>
    <n v="2.6"/>
    <n v="0"/>
    <n v="0"/>
    <n v="0"/>
    <n v="0"/>
    <n v="0"/>
    <x v="506"/>
    <x v="465"/>
    <n v="347017"/>
    <x v="24"/>
    <x v="26"/>
    <n v="11"/>
    <n v="30"/>
    <n v="49"/>
  </r>
  <r>
    <x v="0"/>
    <x v="123"/>
    <x v="1"/>
    <x v="2"/>
    <x v="1"/>
    <n v="0"/>
    <n v="0"/>
    <n v="0"/>
    <n v="0"/>
    <n v="0"/>
    <n v="0"/>
    <n v="0"/>
    <n v="0"/>
    <x v="665"/>
    <x v="603"/>
    <n v="246883"/>
    <x v="2"/>
    <x v="0"/>
    <n v="0"/>
    <n v="50"/>
    <n v="64"/>
  </r>
  <r>
    <x v="2"/>
    <x v="9"/>
    <x v="7"/>
    <x v="518"/>
    <x v="363"/>
    <n v="0"/>
    <n v="2.5"/>
    <n v="0"/>
    <n v="0"/>
    <n v="0"/>
    <n v="0"/>
    <n v="0"/>
    <n v="0"/>
    <x v="666"/>
    <x v="604"/>
    <n v="0"/>
    <x v="156"/>
    <x v="164"/>
    <n v="0"/>
    <n v="65"/>
    <n v="79"/>
  </r>
  <r>
    <x v="1"/>
    <x v="100"/>
    <x v="4"/>
    <x v="197"/>
    <x v="73"/>
    <n v="2.8"/>
    <n v="2.5"/>
    <n v="1"/>
    <n v="0"/>
    <n v="0"/>
    <n v="0"/>
    <n v="0"/>
    <n v="0"/>
    <x v="667"/>
    <x v="605"/>
    <n v="35890"/>
    <x v="1"/>
    <x v="0"/>
    <n v="1"/>
    <n v="12"/>
    <n v="17"/>
  </r>
  <r>
    <x v="2"/>
    <x v="78"/>
    <x v="3"/>
    <x v="519"/>
    <x v="364"/>
    <n v="0"/>
    <n v="7.3"/>
    <n v="0"/>
    <n v="0"/>
    <n v="0"/>
    <n v="0"/>
    <n v="0"/>
    <n v="0"/>
    <x v="668"/>
    <x v="606"/>
    <n v="0"/>
    <x v="234"/>
    <x v="25"/>
    <n v="0"/>
    <n v="18"/>
    <n v="29"/>
  </r>
  <r>
    <x v="0"/>
    <x v="41"/>
    <x v="4"/>
    <x v="2"/>
    <x v="2"/>
    <n v="0"/>
    <n v="0"/>
    <n v="0"/>
    <n v="0"/>
    <n v="0"/>
    <n v="0"/>
    <n v="0"/>
    <n v="0"/>
    <x v="449"/>
    <x v="417"/>
    <n v="41021"/>
    <x v="2"/>
    <x v="1"/>
    <n v="0"/>
    <n v="12"/>
    <n v="17"/>
  </r>
  <r>
    <x v="2"/>
    <x v="124"/>
    <x v="2"/>
    <x v="520"/>
    <x v="365"/>
    <n v="0"/>
    <n v="1.7"/>
    <n v="0"/>
    <n v="0"/>
    <n v="0"/>
    <n v="0"/>
    <n v="0"/>
    <n v="0"/>
    <x v="594"/>
    <x v="543"/>
    <n v="0"/>
    <x v="235"/>
    <x v="184"/>
    <n v="0"/>
    <n v="5"/>
    <n v="11"/>
  </r>
  <r>
    <x v="0"/>
    <x v="49"/>
    <x v="2"/>
    <x v="2"/>
    <x v="2"/>
    <n v="0"/>
    <n v="0"/>
    <n v="0"/>
    <n v="0"/>
    <n v="0"/>
    <n v="0"/>
    <n v="0"/>
    <n v="0"/>
    <x v="469"/>
    <x v="178"/>
    <n v="21262"/>
    <x v="2"/>
    <x v="1"/>
    <n v="0"/>
    <n v="5"/>
    <n v="11"/>
  </r>
  <r>
    <x v="2"/>
    <x v="39"/>
    <x v="5"/>
    <x v="521"/>
    <x v="366"/>
    <n v="81"/>
    <n v="2.6"/>
    <n v="1.7"/>
    <n v="0"/>
    <n v="0"/>
    <n v="0"/>
    <n v="0"/>
    <n v="0"/>
    <x v="669"/>
    <x v="607"/>
    <n v="346982"/>
    <x v="236"/>
    <x v="196"/>
    <n v="281"/>
    <n v="30"/>
    <n v="49"/>
  </r>
  <r>
    <x v="1"/>
    <x v="113"/>
    <x v="1"/>
    <x v="251"/>
    <x v="145"/>
    <n v="2.8"/>
    <n v="3.9"/>
    <n v="2.2000000000000002"/>
    <n v="0"/>
    <n v="0"/>
    <n v="0"/>
    <n v="0"/>
    <n v="0"/>
    <x v="670"/>
    <x v="608"/>
    <n v="247019"/>
    <x v="0"/>
    <x v="11"/>
    <n v="7"/>
    <n v="50"/>
    <n v="64"/>
  </r>
  <r>
    <x v="1"/>
    <x v="39"/>
    <x v="8"/>
    <x v="41"/>
    <x v="2"/>
    <n v="0"/>
    <n v="0"/>
    <n v="0"/>
    <n v="0"/>
    <n v="0"/>
    <n v="0"/>
    <n v="0"/>
    <n v="0"/>
    <x v="28"/>
    <x v="28"/>
    <n v="0"/>
    <x v="33"/>
    <x v="1"/>
    <n v="0"/>
    <n v="0"/>
    <n v="4"/>
  </r>
  <r>
    <x v="0"/>
    <x v="124"/>
    <x v="4"/>
    <x v="2"/>
    <x v="2"/>
    <n v="0"/>
    <n v="0"/>
    <n v="0"/>
    <n v="0"/>
    <n v="0"/>
    <n v="0"/>
    <n v="0"/>
    <n v="0"/>
    <x v="671"/>
    <x v="609"/>
    <n v="799"/>
    <x v="2"/>
    <x v="1"/>
    <n v="0"/>
    <n v="12"/>
    <n v="17"/>
  </r>
  <r>
    <x v="0"/>
    <x v="101"/>
    <x v="4"/>
    <x v="2"/>
    <x v="2"/>
    <n v="0"/>
    <n v="0"/>
    <n v="0"/>
    <n v="0"/>
    <n v="0"/>
    <n v="0"/>
    <n v="0"/>
    <n v="0"/>
    <x v="152"/>
    <x v="149"/>
    <n v="27517"/>
    <x v="2"/>
    <x v="1"/>
    <n v="0"/>
    <n v="12"/>
    <n v="17"/>
  </r>
  <r>
    <x v="2"/>
    <x v="112"/>
    <x v="3"/>
    <x v="522"/>
    <x v="109"/>
    <n v="0"/>
    <n v="14.9"/>
    <n v="0"/>
    <n v="0"/>
    <n v="0"/>
    <n v="0"/>
    <n v="0"/>
    <n v="0"/>
    <x v="538"/>
    <x v="493"/>
    <n v="0"/>
    <x v="237"/>
    <x v="28"/>
    <n v="0"/>
    <n v="18"/>
    <n v="29"/>
  </r>
  <r>
    <x v="2"/>
    <x v="12"/>
    <x v="3"/>
    <x v="523"/>
    <x v="367"/>
    <n v="0"/>
    <n v="2.8"/>
    <n v="0"/>
    <n v="0"/>
    <n v="0"/>
    <n v="0"/>
    <n v="0"/>
    <n v="0"/>
    <x v="329"/>
    <x v="308"/>
    <n v="0"/>
    <x v="238"/>
    <x v="65"/>
    <n v="0"/>
    <n v="18"/>
    <n v="29"/>
  </r>
  <r>
    <x v="1"/>
    <x v="54"/>
    <x v="4"/>
    <x v="2"/>
    <x v="17"/>
    <n v="0"/>
    <n v="0"/>
    <n v="0"/>
    <n v="0"/>
    <n v="0"/>
    <n v="0"/>
    <n v="0"/>
    <n v="0"/>
    <x v="672"/>
    <x v="610"/>
    <n v="44641"/>
    <x v="2"/>
    <x v="0"/>
    <n v="0"/>
    <n v="12"/>
    <n v="17"/>
  </r>
  <r>
    <x v="2"/>
    <x v="2"/>
    <x v="2"/>
    <x v="524"/>
    <x v="368"/>
    <n v="118.7"/>
    <n v="0.9"/>
    <n v="1"/>
    <n v="0"/>
    <n v="0"/>
    <n v="0"/>
    <n v="0"/>
    <n v="0"/>
    <x v="2"/>
    <x v="2"/>
    <n v="17689"/>
    <x v="239"/>
    <x v="197"/>
    <n v="21"/>
    <n v="5"/>
    <n v="11"/>
  </r>
  <r>
    <x v="1"/>
    <x v="96"/>
    <x v="0"/>
    <x v="64"/>
    <x v="83"/>
    <n v="7.2"/>
    <n v="2.4"/>
    <n v="1.2"/>
    <n v="12.7"/>
    <n v="5.4"/>
    <n v="4.9000000000000004"/>
    <n v="2.2999999999999998"/>
    <n v="2.6"/>
    <x v="139"/>
    <x v="138"/>
    <n v="1040472"/>
    <x v="185"/>
    <x v="77"/>
    <n v="75"/>
    <n v="999"/>
    <n v="999"/>
  </r>
  <r>
    <x v="0"/>
    <x v="109"/>
    <x v="2"/>
    <x v="2"/>
    <x v="2"/>
    <n v="0"/>
    <n v="0"/>
    <n v="0"/>
    <n v="0"/>
    <n v="0"/>
    <n v="0"/>
    <n v="0"/>
    <n v="0"/>
    <x v="673"/>
    <x v="611"/>
    <n v="21171"/>
    <x v="2"/>
    <x v="1"/>
    <n v="0"/>
    <n v="5"/>
    <n v="11"/>
  </r>
  <r>
    <x v="0"/>
    <x v="111"/>
    <x v="1"/>
    <x v="2"/>
    <x v="1"/>
    <n v="0.4"/>
    <n v="0"/>
    <n v="0"/>
    <n v="0"/>
    <n v="0"/>
    <n v="0"/>
    <n v="0"/>
    <n v="0"/>
    <x v="674"/>
    <x v="612"/>
    <n v="245831"/>
    <x v="2"/>
    <x v="0"/>
    <n v="1"/>
    <n v="50"/>
    <n v="64"/>
  </r>
  <r>
    <x v="2"/>
    <x v="51"/>
    <x v="1"/>
    <x v="525"/>
    <x v="234"/>
    <n v="278.89999999999998"/>
    <n v="2.8"/>
    <n v="2"/>
    <n v="0"/>
    <n v="0"/>
    <n v="0"/>
    <n v="0"/>
    <n v="0"/>
    <x v="675"/>
    <x v="613"/>
    <n v="242018"/>
    <x v="240"/>
    <x v="198"/>
    <n v="675"/>
    <n v="50"/>
    <n v="64"/>
  </r>
  <r>
    <x v="0"/>
    <x v="29"/>
    <x v="3"/>
    <x v="2"/>
    <x v="2"/>
    <n v="0"/>
    <n v="0"/>
    <n v="0"/>
    <n v="0"/>
    <n v="0"/>
    <n v="0"/>
    <n v="0"/>
    <n v="0"/>
    <x v="463"/>
    <x v="429"/>
    <n v="155323"/>
    <x v="2"/>
    <x v="1"/>
    <n v="0"/>
    <n v="18"/>
    <n v="29"/>
  </r>
  <r>
    <x v="2"/>
    <x v="98"/>
    <x v="1"/>
    <x v="78"/>
    <x v="25"/>
    <n v="13.4"/>
    <n v="5.7"/>
    <n v="2.7"/>
    <n v="0"/>
    <n v="0"/>
    <n v="0"/>
    <n v="0"/>
    <n v="0"/>
    <x v="676"/>
    <x v="614"/>
    <n v="246916"/>
    <x v="27"/>
    <x v="5"/>
    <n v="33"/>
    <n v="50"/>
    <n v="64"/>
  </r>
  <r>
    <x v="2"/>
    <x v="134"/>
    <x v="8"/>
    <x v="526"/>
    <x v="2"/>
    <n v="0"/>
    <n v="0"/>
    <n v="0"/>
    <n v="0"/>
    <n v="0"/>
    <n v="0"/>
    <n v="0"/>
    <n v="0"/>
    <x v="28"/>
    <x v="28"/>
    <n v="0"/>
    <x v="241"/>
    <x v="1"/>
    <n v="0"/>
    <n v="0"/>
    <n v="4"/>
  </r>
  <r>
    <x v="0"/>
    <x v="79"/>
    <x v="4"/>
    <x v="2"/>
    <x v="2"/>
    <n v="0"/>
    <n v="0"/>
    <n v="0"/>
    <n v="0"/>
    <n v="0"/>
    <n v="0"/>
    <n v="0"/>
    <n v="0"/>
    <x v="677"/>
    <x v="229"/>
    <n v="44578"/>
    <x v="2"/>
    <x v="1"/>
    <n v="0"/>
    <n v="12"/>
    <n v="17"/>
  </r>
  <r>
    <x v="1"/>
    <x v="12"/>
    <x v="0"/>
    <x v="251"/>
    <x v="73"/>
    <n v="0"/>
    <n v="5.7"/>
    <n v="0"/>
    <n v="8.3000000000000007"/>
    <n v="0.8"/>
    <n v="0"/>
    <n v="9.6999999999999993"/>
    <n v="0"/>
    <x v="678"/>
    <x v="615"/>
    <n v="0"/>
    <x v="231"/>
    <x v="75"/>
    <n v="0"/>
    <n v="999"/>
    <n v="999"/>
  </r>
  <r>
    <x v="0"/>
    <x v="28"/>
    <x v="4"/>
    <x v="2"/>
    <x v="2"/>
    <n v="0"/>
    <n v="0"/>
    <n v="0"/>
    <n v="0"/>
    <n v="0"/>
    <n v="0"/>
    <n v="0"/>
    <n v="0"/>
    <x v="679"/>
    <x v="616"/>
    <n v="44558"/>
    <x v="2"/>
    <x v="1"/>
    <n v="0"/>
    <n v="12"/>
    <n v="17"/>
  </r>
  <r>
    <x v="0"/>
    <x v="6"/>
    <x v="0"/>
    <x v="0"/>
    <x v="2"/>
    <n v="0.3"/>
    <n v="0"/>
    <n v="1"/>
    <n v="0.5"/>
    <n v="0"/>
    <n v="0.2"/>
    <n v="0"/>
    <n v="2.5"/>
    <x v="680"/>
    <x v="617"/>
    <n v="1035714"/>
    <x v="0"/>
    <x v="1"/>
    <n v="3"/>
    <n v="999"/>
    <n v="999"/>
  </r>
  <r>
    <x v="2"/>
    <x v="49"/>
    <x v="7"/>
    <x v="527"/>
    <x v="369"/>
    <n v="61.7"/>
    <n v="1.1000000000000001"/>
    <n v="0.9"/>
    <n v="0"/>
    <n v="0"/>
    <n v="0"/>
    <n v="0"/>
    <n v="0"/>
    <x v="561"/>
    <x v="515"/>
    <n v="171752"/>
    <x v="46"/>
    <x v="97"/>
    <n v="106"/>
    <n v="65"/>
    <n v="79"/>
  </r>
  <r>
    <x v="0"/>
    <x v="12"/>
    <x v="0"/>
    <x v="147"/>
    <x v="2"/>
    <n v="0"/>
    <n v="0"/>
    <n v="0"/>
    <n v="1.1000000000000001"/>
    <n v="0"/>
    <n v="0"/>
    <n v="0"/>
    <n v="0"/>
    <x v="678"/>
    <x v="615"/>
    <n v="0"/>
    <x v="33"/>
    <x v="1"/>
    <n v="0"/>
    <n v="999"/>
    <n v="999"/>
  </r>
  <r>
    <x v="1"/>
    <x v="54"/>
    <x v="1"/>
    <x v="528"/>
    <x v="221"/>
    <n v="3.2"/>
    <n v="5.4"/>
    <n v="4.0999999999999996"/>
    <n v="0"/>
    <n v="0"/>
    <n v="0"/>
    <n v="0"/>
    <n v="0"/>
    <x v="54"/>
    <x v="54"/>
    <n v="247425"/>
    <x v="20"/>
    <x v="39"/>
    <n v="8"/>
    <n v="50"/>
    <n v="64"/>
  </r>
  <r>
    <x v="2"/>
    <x v="31"/>
    <x v="6"/>
    <x v="529"/>
    <x v="370"/>
    <n v="219.4"/>
    <n v="0.5"/>
    <n v="0.5"/>
    <n v="0"/>
    <n v="0"/>
    <n v="0"/>
    <n v="0"/>
    <n v="0"/>
    <x v="143"/>
    <x v="141"/>
    <n v="46042"/>
    <x v="66"/>
    <x v="167"/>
    <n v="101"/>
    <n v="80"/>
    <n v="200"/>
  </r>
  <r>
    <x v="0"/>
    <x v="2"/>
    <x v="6"/>
    <x v="530"/>
    <x v="62"/>
    <n v="2.1"/>
    <n v="1.7"/>
    <n v="7.3"/>
    <n v="0"/>
    <n v="0"/>
    <n v="0"/>
    <n v="0"/>
    <n v="0"/>
    <x v="681"/>
    <x v="618"/>
    <n v="46990"/>
    <x v="20"/>
    <x v="0"/>
    <n v="1"/>
    <n v="80"/>
    <n v="200"/>
  </r>
  <r>
    <x v="2"/>
    <x v="133"/>
    <x v="7"/>
    <x v="531"/>
    <x v="294"/>
    <n v="0"/>
    <n v="9.1"/>
    <n v="0"/>
    <n v="0"/>
    <n v="0"/>
    <n v="0"/>
    <n v="0"/>
    <n v="0"/>
    <x v="544"/>
    <x v="499"/>
    <n v="0"/>
    <x v="232"/>
    <x v="59"/>
    <n v="0"/>
    <n v="65"/>
    <n v="79"/>
  </r>
  <r>
    <x v="1"/>
    <x v="32"/>
    <x v="1"/>
    <x v="430"/>
    <x v="56"/>
    <n v="8.5"/>
    <n v="5.4"/>
    <n v="3.6"/>
    <n v="0"/>
    <n v="0"/>
    <n v="0"/>
    <n v="0"/>
    <n v="0"/>
    <x v="592"/>
    <x v="542"/>
    <n v="246724"/>
    <x v="6"/>
    <x v="26"/>
    <n v="21"/>
    <n v="50"/>
    <n v="64"/>
  </r>
  <r>
    <x v="2"/>
    <x v="34"/>
    <x v="7"/>
    <x v="532"/>
    <x v="371"/>
    <n v="112.7"/>
    <n v="1.4"/>
    <n v="3.6"/>
    <n v="0"/>
    <n v="0"/>
    <n v="0"/>
    <n v="0"/>
    <n v="0"/>
    <x v="262"/>
    <x v="251"/>
    <n v="110903"/>
    <x v="242"/>
    <x v="199"/>
    <n v="125"/>
    <n v="65"/>
    <n v="79"/>
  </r>
  <r>
    <x v="1"/>
    <x v="87"/>
    <x v="3"/>
    <x v="17"/>
    <x v="13"/>
    <n v="0"/>
    <n v="14.3"/>
    <n v="0"/>
    <n v="0"/>
    <n v="0"/>
    <n v="0"/>
    <n v="0"/>
    <n v="0"/>
    <x v="682"/>
    <x v="619"/>
    <n v="10229"/>
    <x v="35"/>
    <x v="11"/>
    <n v="0"/>
    <n v="18"/>
    <n v="29"/>
  </r>
  <r>
    <x v="2"/>
    <x v="99"/>
    <x v="0"/>
    <x v="533"/>
    <x v="372"/>
    <n v="96.5"/>
    <n v="1.9"/>
    <n v="1.7"/>
    <n v="172"/>
    <n v="84.9"/>
    <n v="80.3"/>
    <n v="2"/>
    <n v="2.1"/>
    <x v="683"/>
    <x v="620"/>
    <n v="848563"/>
    <x v="243"/>
    <x v="200"/>
    <n v="819"/>
    <n v="999"/>
    <n v="999"/>
  </r>
  <r>
    <x v="0"/>
    <x v="0"/>
    <x v="1"/>
    <x v="2"/>
    <x v="2"/>
    <n v="0"/>
    <n v="0"/>
    <n v="0"/>
    <n v="0"/>
    <n v="0"/>
    <n v="0"/>
    <n v="0"/>
    <n v="0"/>
    <x v="31"/>
    <x v="31"/>
    <n v="246575"/>
    <x v="2"/>
    <x v="1"/>
    <n v="0"/>
    <n v="50"/>
    <n v="64"/>
  </r>
  <r>
    <x v="0"/>
    <x v="28"/>
    <x v="8"/>
    <x v="2"/>
    <x v="2"/>
    <n v="0"/>
    <n v="0"/>
    <n v="0"/>
    <n v="0"/>
    <n v="0"/>
    <n v="0"/>
    <n v="0"/>
    <n v="0"/>
    <x v="28"/>
    <x v="28"/>
    <n v="0"/>
    <x v="2"/>
    <x v="1"/>
    <n v="0"/>
    <n v="0"/>
    <n v="4"/>
  </r>
  <r>
    <x v="1"/>
    <x v="85"/>
    <x v="6"/>
    <x v="534"/>
    <x v="373"/>
    <n v="102.6"/>
    <n v="1"/>
    <n v="5.3"/>
    <n v="0"/>
    <n v="0"/>
    <n v="0"/>
    <n v="0"/>
    <n v="0"/>
    <x v="313"/>
    <x v="295"/>
    <n v="37045"/>
    <x v="244"/>
    <x v="164"/>
    <n v="38"/>
    <n v="80"/>
    <n v="200"/>
  </r>
  <r>
    <x v="2"/>
    <x v="129"/>
    <x v="0"/>
    <x v="405"/>
    <x v="15"/>
    <n v="10.8"/>
    <n v="2.2999999999999998"/>
    <n v="1.2"/>
    <n v="12.8"/>
    <n v="6"/>
    <n v="9.1999999999999993"/>
    <n v="2.1"/>
    <n v="1.4"/>
    <x v="684"/>
    <x v="621"/>
    <n v="1040706"/>
    <x v="204"/>
    <x v="4"/>
    <n v="112"/>
    <n v="999"/>
    <n v="999"/>
  </r>
  <r>
    <x v="2"/>
    <x v="8"/>
    <x v="0"/>
    <x v="301"/>
    <x v="374"/>
    <n v="0"/>
    <n v="10.199999999999999"/>
    <n v="0"/>
    <n v="136.5"/>
    <n v="9.1999999999999993"/>
    <n v="0"/>
    <n v="14.9"/>
    <n v="0"/>
    <x v="685"/>
    <x v="622"/>
    <n v="0"/>
    <x v="245"/>
    <x v="201"/>
    <n v="0"/>
    <n v="999"/>
    <n v="999"/>
  </r>
  <r>
    <x v="1"/>
    <x v="73"/>
    <x v="8"/>
    <x v="37"/>
    <x v="2"/>
    <n v="0"/>
    <n v="0"/>
    <n v="0"/>
    <n v="0"/>
    <n v="0"/>
    <n v="0"/>
    <n v="0"/>
    <n v="0"/>
    <x v="28"/>
    <x v="28"/>
    <n v="0"/>
    <x v="51"/>
    <x v="1"/>
    <n v="0"/>
    <n v="0"/>
    <n v="4"/>
  </r>
  <r>
    <x v="0"/>
    <x v="98"/>
    <x v="6"/>
    <x v="2"/>
    <x v="2"/>
    <n v="0"/>
    <n v="0"/>
    <n v="0"/>
    <n v="0"/>
    <n v="0"/>
    <n v="0"/>
    <n v="0"/>
    <n v="0"/>
    <x v="141"/>
    <x v="101"/>
    <n v="47130"/>
    <x v="2"/>
    <x v="1"/>
    <n v="0"/>
    <n v="80"/>
    <n v="200"/>
  </r>
  <r>
    <x v="2"/>
    <x v="134"/>
    <x v="5"/>
    <x v="535"/>
    <x v="375"/>
    <n v="443.1"/>
    <n v="1.8"/>
    <n v="0.8"/>
    <n v="0"/>
    <n v="0"/>
    <n v="0"/>
    <n v="0"/>
    <n v="0"/>
    <x v="686"/>
    <x v="623"/>
    <n v="334000"/>
    <x v="246"/>
    <x v="202"/>
    <n v="1480"/>
    <n v="30"/>
    <n v="49"/>
  </r>
  <r>
    <x v="2"/>
    <x v="5"/>
    <x v="8"/>
    <x v="536"/>
    <x v="2"/>
    <n v="0"/>
    <n v="0"/>
    <n v="0"/>
    <n v="0"/>
    <n v="0"/>
    <n v="0"/>
    <n v="0"/>
    <n v="0"/>
    <x v="28"/>
    <x v="28"/>
    <n v="0"/>
    <x v="220"/>
    <x v="1"/>
    <n v="0"/>
    <n v="0"/>
    <n v="4"/>
  </r>
  <r>
    <x v="0"/>
    <x v="116"/>
    <x v="4"/>
    <x v="2"/>
    <x v="2"/>
    <n v="0"/>
    <n v="0"/>
    <n v="0"/>
    <n v="0"/>
    <n v="0"/>
    <n v="0"/>
    <n v="0"/>
    <n v="0"/>
    <x v="203"/>
    <x v="159"/>
    <n v="44595"/>
    <x v="2"/>
    <x v="1"/>
    <n v="0"/>
    <n v="12"/>
    <n v="17"/>
  </r>
  <r>
    <x v="1"/>
    <x v="121"/>
    <x v="3"/>
    <x v="537"/>
    <x v="17"/>
    <n v="0"/>
    <n v="7.8"/>
    <n v="0"/>
    <n v="0"/>
    <n v="0"/>
    <n v="0"/>
    <n v="0"/>
    <n v="0"/>
    <x v="250"/>
    <x v="239"/>
    <n v="0"/>
    <x v="48"/>
    <x v="0"/>
    <n v="0"/>
    <n v="18"/>
    <n v="29"/>
  </r>
  <r>
    <x v="0"/>
    <x v="25"/>
    <x v="4"/>
    <x v="2"/>
    <x v="2"/>
    <n v="0"/>
    <n v="0"/>
    <n v="0"/>
    <n v="0"/>
    <n v="0"/>
    <n v="0"/>
    <n v="0"/>
    <n v="0"/>
    <x v="687"/>
    <x v="624"/>
    <n v="13613"/>
    <x v="2"/>
    <x v="1"/>
    <n v="0"/>
    <n v="12"/>
    <n v="17"/>
  </r>
  <r>
    <x v="0"/>
    <x v="136"/>
    <x v="0"/>
    <x v="20"/>
    <x v="23"/>
    <n v="0"/>
    <n v="5"/>
    <n v="0"/>
    <n v="3.5"/>
    <n v="0.4"/>
    <n v="0"/>
    <n v="9.8000000000000007"/>
    <n v="0"/>
    <x v="688"/>
    <x v="625"/>
    <n v="0"/>
    <x v="60"/>
    <x v="26"/>
    <n v="0"/>
    <n v="999"/>
    <n v="999"/>
  </r>
  <r>
    <x v="1"/>
    <x v="74"/>
    <x v="1"/>
    <x v="461"/>
    <x v="235"/>
    <n v="4"/>
    <n v="2.4"/>
    <n v="2.4"/>
    <n v="0"/>
    <n v="0"/>
    <n v="0"/>
    <n v="0"/>
    <n v="0"/>
    <x v="689"/>
    <x v="626"/>
    <n v="247254"/>
    <x v="45"/>
    <x v="21"/>
    <n v="10"/>
    <n v="50"/>
    <n v="64"/>
  </r>
  <r>
    <x v="1"/>
    <x v="66"/>
    <x v="4"/>
    <x v="104"/>
    <x v="2"/>
    <n v="0"/>
    <n v="0"/>
    <n v="0"/>
    <n v="0"/>
    <n v="0"/>
    <n v="0"/>
    <n v="0"/>
    <n v="0"/>
    <x v="690"/>
    <x v="627"/>
    <n v="0"/>
    <x v="20"/>
    <x v="1"/>
    <n v="0"/>
    <n v="12"/>
    <n v="17"/>
  </r>
  <r>
    <x v="1"/>
    <x v="123"/>
    <x v="0"/>
    <x v="133"/>
    <x v="257"/>
    <n v="5.0999999999999996"/>
    <n v="2"/>
    <n v="1"/>
    <n v="7"/>
    <n v="3.6"/>
    <n v="3.5"/>
    <n v="2"/>
    <n v="2"/>
    <x v="608"/>
    <x v="555"/>
    <n v="1040492"/>
    <x v="31"/>
    <x v="97"/>
    <n v="53"/>
    <n v="999"/>
    <n v="999"/>
  </r>
  <r>
    <x v="1"/>
    <x v="51"/>
    <x v="4"/>
    <x v="2"/>
    <x v="61"/>
    <n v="0"/>
    <n v="0"/>
    <n v="0"/>
    <n v="0"/>
    <n v="0"/>
    <n v="0"/>
    <n v="0"/>
    <n v="0"/>
    <x v="51"/>
    <x v="51"/>
    <n v="39015"/>
    <x v="2"/>
    <x v="11"/>
    <n v="0"/>
    <n v="12"/>
    <n v="17"/>
  </r>
  <r>
    <x v="1"/>
    <x v="106"/>
    <x v="1"/>
    <x v="119"/>
    <x v="221"/>
    <n v="0"/>
    <n v="15.5"/>
    <n v="0"/>
    <n v="0"/>
    <n v="0"/>
    <n v="0"/>
    <n v="0"/>
    <n v="0"/>
    <x v="245"/>
    <x v="234"/>
    <n v="0"/>
    <x v="71"/>
    <x v="5"/>
    <n v="0"/>
    <n v="50"/>
    <n v="64"/>
  </r>
  <r>
    <x v="2"/>
    <x v="109"/>
    <x v="6"/>
    <x v="538"/>
    <x v="209"/>
    <n v="144.30000000000001"/>
    <n v="0.8"/>
    <n v="0.6"/>
    <n v="0"/>
    <n v="0"/>
    <n v="0"/>
    <n v="0"/>
    <n v="0"/>
    <x v="429"/>
    <x v="400"/>
    <n v="47117"/>
    <x v="87"/>
    <x v="52"/>
    <n v="68"/>
    <n v="80"/>
    <n v="200"/>
  </r>
  <r>
    <x v="2"/>
    <x v="96"/>
    <x v="3"/>
    <x v="110"/>
    <x v="376"/>
    <n v="51.3"/>
    <n v="3.2"/>
    <n v="2.4"/>
    <n v="0"/>
    <n v="0"/>
    <n v="0"/>
    <n v="0"/>
    <n v="0"/>
    <x v="530"/>
    <x v="485"/>
    <n v="161667"/>
    <x v="187"/>
    <x v="107"/>
    <n v="83"/>
    <n v="18"/>
    <n v="29"/>
  </r>
  <r>
    <x v="1"/>
    <x v="77"/>
    <x v="3"/>
    <x v="26"/>
    <x v="48"/>
    <n v="1.2"/>
    <n v="2.9"/>
    <n v="2.2000000000000002"/>
    <n v="0"/>
    <n v="0"/>
    <n v="0"/>
    <n v="0"/>
    <n v="0"/>
    <x v="96"/>
    <x v="96"/>
    <n v="161673"/>
    <x v="0"/>
    <x v="11"/>
    <n v="2"/>
    <n v="18"/>
    <n v="29"/>
  </r>
  <r>
    <x v="0"/>
    <x v="49"/>
    <x v="0"/>
    <x v="2"/>
    <x v="0"/>
    <n v="0.2"/>
    <n v="0"/>
    <n v="0"/>
    <n v="0"/>
    <n v="0.3"/>
    <n v="0.1"/>
    <n v="0"/>
    <n v="0"/>
    <x v="48"/>
    <x v="48"/>
    <n v="1040794"/>
    <x v="2"/>
    <x v="0"/>
    <n v="2"/>
    <n v="999"/>
    <n v="999"/>
  </r>
  <r>
    <x v="1"/>
    <x v="3"/>
    <x v="1"/>
    <x v="539"/>
    <x v="37"/>
    <n v="0"/>
    <n v="12.2"/>
    <n v="0"/>
    <n v="0"/>
    <n v="0"/>
    <n v="0"/>
    <n v="0"/>
    <n v="0"/>
    <x v="691"/>
    <x v="628"/>
    <n v="49704"/>
    <x v="80"/>
    <x v="28"/>
    <n v="0"/>
    <n v="50"/>
    <n v="64"/>
  </r>
  <r>
    <x v="0"/>
    <x v="122"/>
    <x v="4"/>
    <x v="2"/>
    <x v="2"/>
    <n v="0"/>
    <n v="0"/>
    <n v="0"/>
    <n v="0"/>
    <n v="0"/>
    <n v="0"/>
    <n v="0"/>
    <n v="0"/>
    <x v="692"/>
    <x v="28"/>
    <n v="0"/>
    <x v="2"/>
    <x v="1"/>
    <n v="0"/>
    <n v="12"/>
    <n v="17"/>
  </r>
  <r>
    <x v="0"/>
    <x v="114"/>
    <x v="1"/>
    <x v="2"/>
    <x v="1"/>
    <n v="0"/>
    <n v="0"/>
    <n v="0"/>
    <n v="0"/>
    <n v="0"/>
    <n v="0"/>
    <n v="0"/>
    <n v="0"/>
    <x v="693"/>
    <x v="629"/>
    <n v="246635"/>
    <x v="2"/>
    <x v="0"/>
    <n v="0"/>
    <n v="50"/>
    <n v="64"/>
  </r>
  <r>
    <x v="0"/>
    <x v="56"/>
    <x v="1"/>
    <x v="75"/>
    <x v="2"/>
    <n v="0"/>
    <n v="0"/>
    <n v="0"/>
    <n v="0"/>
    <n v="0"/>
    <n v="0"/>
    <n v="0"/>
    <n v="0"/>
    <x v="694"/>
    <x v="630"/>
    <n v="225645"/>
    <x v="1"/>
    <x v="1"/>
    <n v="0"/>
    <n v="50"/>
    <n v="64"/>
  </r>
  <r>
    <x v="0"/>
    <x v="77"/>
    <x v="8"/>
    <x v="2"/>
    <x v="2"/>
    <n v="0"/>
    <n v="0"/>
    <n v="0"/>
    <n v="0"/>
    <n v="0"/>
    <n v="0"/>
    <n v="0"/>
    <n v="0"/>
    <x v="28"/>
    <x v="28"/>
    <n v="0"/>
    <x v="2"/>
    <x v="1"/>
    <n v="0"/>
    <n v="0"/>
    <n v="4"/>
  </r>
  <r>
    <x v="0"/>
    <x v="69"/>
    <x v="2"/>
    <x v="2"/>
    <x v="2"/>
    <n v="0"/>
    <n v="0"/>
    <n v="0"/>
    <n v="0"/>
    <n v="0"/>
    <n v="0"/>
    <n v="0"/>
    <n v="0"/>
    <x v="455"/>
    <x v="421"/>
    <n v="0"/>
    <x v="2"/>
    <x v="1"/>
    <n v="0"/>
    <n v="5"/>
    <n v="11"/>
  </r>
  <r>
    <x v="0"/>
    <x v="127"/>
    <x v="6"/>
    <x v="540"/>
    <x v="377"/>
    <n v="26.2"/>
    <n v="0.8"/>
    <n v="4.5"/>
    <n v="0"/>
    <n v="0"/>
    <n v="0"/>
    <n v="0"/>
    <n v="0"/>
    <x v="338"/>
    <x v="316"/>
    <n v="38129"/>
    <x v="75"/>
    <x v="149"/>
    <n v="10"/>
    <n v="80"/>
    <n v="200"/>
  </r>
  <r>
    <x v="0"/>
    <x v="120"/>
    <x v="8"/>
    <x v="2"/>
    <x v="2"/>
    <n v="0"/>
    <n v="0"/>
    <n v="0"/>
    <n v="0"/>
    <n v="0"/>
    <n v="0"/>
    <n v="0"/>
    <n v="0"/>
    <x v="28"/>
    <x v="28"/>
    <n v="0"/>
    <x v="2"/>
    <x v="1"/>
    <n v="0"/>
    <n v="0"/>
    <n v="4"/>
  </r>
  <r>
    <x v="0"/>
    <x v="14"/>
    <x v="5"/>
    <x v="44"/>
    <x v="2"/>
    <n v="0"/>
    <n v="0"/>
    <n v="0"/>
    <n v="0"/>
    <n v="0"/>
    <n v="0"/>
    <n v="0"/>
    <n v="0"/>
    <x v="695"/>
    <x v="631"/>
    <n v="0"/>
    <x v="20"/>
    <x v="1"/>
    <n v="0"/>
    <n v="30"/>
    <n v="49"/>
  </r>
  <r>
    <x v="2"/>
    <x v="46"/>
    <x v="5"/>
    <x v="541"/>
    <x v="378"/>
    <n v="53.2"/>
    <n v="2.8"/>
    <n v="2.2000000000000002"/>
    <n v="0"/>
    <n v="0"/>
    <n v="0"/>
    <n v="0"/>
    <n v="0"/>
    <x v="696"/>
    <x v="632"/>
    <n v="349413"/>
    <x v="107"/>
    <x v="169"/>
    <n v="186"/>
    <n v="30"/>
    <n v="49"/>
  </r>
  <r>
    <x v="1"/>
    <x v="139"/>
    <x v="2"/>
    <x v="2"/>
    <x v="2"/>
    <n v="0"/>
    <n v="0"/>
    <n v="0"/>
    <n v="0"/>
    <n v="0"/>
    <n v="0"/>
    <n v="0"/>
    <n v="0"/>
    <x v="697"/>
    <x v="633"/>
    <n v="21251"/>
    <x v="2"/>
    <x v="1"/>
    <n v="0"/>
    <n v="5"/>
    <n v="11"/>
  </r>
  <r>
    <x v="1"/>
    <x v="26"/>
    <x v="1"/>
    <x v="4"/>
    <x v="132"/>
    <n v="7.7"/>
    <n v="3.6"/>
    <n v="4.9000000000000004"/>
    <n v="0"/>
    <n v="0"/>
    <n v="0"/>
    <n v="0"/>
    <n v="0"/>
    <x v="698"/>
    <x v="634"/>
    <n v="246827"/>
    <x v="16"/>
    <x v="38"/>
    <n v="19"/>
    <n v="50"/>
    <n v="64"/>
  </r>
  <r>
    <x v="1"/>
    <x v="19"/>
    <x v="5"/>
    <x v="542"/>
    <x v="379"/>
    <n v="4"/>
    <n v="4.0999999999999996"/>
    <n v="3.7"/>
    <n v="0"/>
    <n v="0"/>
    <n v="0"/>
    <n v="0"/>
    <n v="0"/>
    <x v="358"/>
    <x v="334"/>
    <n v="347151"/>
    <x v="134"/>
    <x v="17"/>
    <n v="14"/>
    <n v="30"/>
    <n v="49"/>
  </r>
  <r>
    <x v="2"/>
    <x v="17"/>
    <x v="7"/>
    <x v="19"/>
    <x v="34"/>
    <n v="14"/>
    <n v="11"/>
    <n v="1.8"/>
    <n v="0"/>
    <n v="0"/>
    <n v="0"/>
    <n v="0"/>
    <n v="0"/>
    <x v="699"/>
    <x v="635"/>
    <n v="171741"/>
    <x v="24"/>
    <x v="0"/>
    <n v="24"/>
    <n v="65"/>
    <n v="79"/>
  </r>
  <r>
    <x v="0"/>
    <x v="26"/>
    <x v="8"/>
    <x v="219"/>
    <x v="2"/>
    <n v="0"/>
    <n v="0"/>
    <n v="0"/>
    <n v="0"/>
    <n v="0"/>
    <n v="0"/>
    <n v="0"/>
    <n v="0"/>
    <x v="28"/>
    <x v="28"/>
    <n v="0"/>
    <x v="1"/>
    <x v="1"/>
    <n v="0"/>
    <n v="0"/>
    <n v="4"/>
  </r>
  <r>
    <x v="0"/>
    <x v="99"/>
    <x v="1"/>
    <x v="251"/>
    <x v="33"/>
    <n v="1"/>
    <n v="1.6"/>
    <n v="6.3"/>
    <n v="0"/>
    <n v="0"/>
    <n v="0"/>
    <n v="0"/>
    <n v="0"/>
    <x v="700"/>
    <x v="636"/>
    <n v="208125"/>
    <x v="45"/>
    <x v="48"/>
    <n v="2"/>
    <n v="50"/>
    <n v="64"/>
  </r>
  <r>
    <x v="2"/>
    <x v="40"/>
    <x v="5"/>
    <x v="543"/>
    <x v="380"/>
    <n v="0"/>
    <n v="3"/>
    <n v="0"/>
    <n v="0"/>
    <n v="0"/>
    <n v="0"/>
    <n v="0"/>
    <n v="0"/>
    <x v="701"/>
    <x v="637"/>
    <n v="0"/>
    <x v="247"/>
    <x v="203"/>
    <n v="0"/>
    <n v="30"/>
    <n v="49"/>
  </r>
  <r>
    <x v="1"/>
    <x v="35"/>
    <x v="8"/>
    <x v="97"/>
    <x v="2"/>
    <n v="0"/>
    <n v="0"/>
    <n v="0"/>
    <n v="0"/>
    <n v="0"/>
    <n v="0"/>
    <n v="0"/>
    <n v="0"/>
    <x v="28"/>
    <x v="28"/>
    <n v="0"/>
    <x v="45"/>
    <x v="1"/>
    <n v="0"/>
    <n v="0"/>
    <n v="4"/>
  </r>
  <r>
    <x v="1"/>
    <x v="61"/>
    <x v="7"/>
    <x v="544"/>
    <x v="79"/>
    <n v="10.5"/>
    <n v="1.9"/>
    <n v="2.9"/>
    <n v="0"/>
    <n v="0"/>
    <n v="0"/>
    <n v="0"/>
    <n v="0"/>
    <x v="553"/>
    <x v="57"/>
    <n v="171758"/>
    <x v="27"/>
    <x v="26"/>
    <n v="18"/>
    <n v="65"/>
    <n v="79"/>
  </r>
  <r>
    <x v="2"/>
    <x v="119"/>
    <x v="5"/>
    <x v="545"/>
    <x v="253"/>
    <n v="42.4"/>
    <n v="2.4"/>
    <n v="1.7"/>
    <n v="0"/>
    <n v="0"/>
    <n v="0"/>
    <n v="0"/>
    <n v="0"/>
    <x v="702"/>
    <x v="638"/>
    <n v="348677"/>
    <x v="54"/>
    <x v="204"/>
    <n v="148"/>
    <n v="30"/>
    <n v="49"/>
  </r>
  <r>
    <x v="1"/>
    <x v="57"/>
    <x v="4"/>
    <x v="76"/>
    <x v="2"/>
    <n v="0"/>
    <n v="0"/>
    <n v="0"/>
    <n v="0"/>
    <n v="0"/>
    <n v="0"/>
    <n v="0"/>
    <n v="0"/>
    <x v="703"/>
    <x v="639"/>
    <n v="0"/>
    <x v="1"/>
    <x v="1"/>
    <n v="0"/>
    <n v="12"/>
    <n v="17"/>
  </r>
  <r>
    <x v="2"/>
    <x v="84"/>
    <x v="4"/>
    <x v="289"/>
    <x v="241"/>
    <n v="24.7"/>
    <n v="5.5"/>
    <n v="1.5"/>
    <n v="0"/>
    <n v="0"/>
    <n v="0"/>
    <n v="0"/>
    <n v="0"/>
    <x v="325"/>
    <x v="306"/>
    <n v="44598"/>
    <x v="27"/>
    <x v="48"/>
    <n v="11"/>
    <n v="12"/>
    <n v="17"/>
  </r>
  <r>
    <x v="2"/>
    <x v="70"/>
    <x v="8"/>
    <x v="359"/>
    <x v="51"/>
    <n v="0"/>
    <n v="11.5"/>
    <n v="0"/>
    <n v="0"/>
    <n v="0"/>
    <n v="0"/>
    <n v="0"/>
    <n v="0"/>
    <x v="28"/>
    <x v="28"/>
    <n v="0"/>
    <x v="177"/>
    <x v="21"/>
    <n v="0"/>
    <n v="0"/>
    <n v="4"/>
  </r>
  <r>
    <x v="2"/>
    <x v="85"/>
    <x v="8"/>
    <x v="546"/>
    <x v="2"/>
    <n v="0"/>
    <n v="0"/>
    <n v="0"/>
    <n v="0"/>
    <n v="0"/>
    <n v="0"/>
    <n v="0"/>
    <n v="0"/>
    <x v="28"/>
    <x v="28"/>
    <n v="0"/>
    <x v="248"/>
    <x v="1"/>
    <n v="0"/>
    <n v="0"/>
    <n v="4"/>
  </r>
  <r>
    <x v="2"/>
    <x v="70"/>
    <x v="6"/>
    <x v="547"/>
    <x v="93"/>
    <n v="129.4"/>
    <n v="0.8"/>
    <n v="0.6"/>
    <n v="0"/>
    <n v="0"/>
    <n v="0"/>
    <n v="0"/>
    <n v="0"/>
    <x v="704"/>
    <x v="640"/>
    <n v="47126"/>
    <x v="34"/>
    <x v="7"/>
    <n v="61"/>
    <n v="80"/>
    <n v="200"/>
  </r>
  <r>
    <x v="1"/>
    <x v="1"/>
    <x v="7"/>
    <x v="548"/>
    <x v="262"/>
    <n v="12.8"/>
    <n v="1.1000000000000001"/>
    <n v="1.8"/>
    <n v="0"/>
    <n v="0"/>
    <n v="0"/>
    <n v="0"/>
    <n v="0"/>
    <x v="268"/>
    <x v="256"/>
    <n v="171692"/>
    <x v="51"/>
    <x v="13"/>
    <n v="22"/>
    <n v="65"/>
    <n v="79"/>
  </r>
  <r>
    <x v="1"/>
    <x v="130"/>
    <x v="2"/>
    <x v="241"/>
    <x v="2"/>
    <n v="0"/>
    <n v="0"/>
    <n v="0"/>
    <n v="0"/>
    <n v="0"/>
    <n v="0"/>
    <n v="0"/>
    <n v="0"/>
    <x v="356"/>
    <x v="28"/>
    <n v="0"/>
    <x v="1"/>
    <x v="1"/>
    <n v="0"/>
    <n v="5"/>
    <n v="11"/>
  </r>
  <r>
    <x v="2"/>
    <x v="74"/>
    <x v="0"/>
    <x v="549"/>
    <x v="381"/>
    <n v="35"/>
    <n v="2.2000000000000002"/>
    <n v="1.3"/>
    <n v="52.9"/>
    <n v="21.3"/>
    <n v="29.3"/>
    <n v="2.5"/>
    <n v="1.8"/>
    <x v="705"/>
    <x v="641"/>
    <n v="1042471"/>
    <x v="124"/>
    <x v="205"/>
    <n v="365"/>
    <n v="999"/>
    <n v="999"/>
  </r>
  <r>
    <x v="1"/>
    <x v="79"/>
    <x v="4"/>
    <x v="2"/>
    <x v="2"/>
    <n v="0"/>
    <n v="0"/>
    <n v="0"/>
    <n v="0"/>
    <n v="0"/>
    <n v="0"/>
    <n v="0"/>
    <n v="0"/>
    <x v="677"/>
    <x v="229"/>
    <n v="44578"/>
    <x v="2"/>
    <x v="1"/>
    <n v="0"/>
    <n v="12"/>
    <n v="17"/>
  </r>
  <r>
    <x v="0"/>
    <x v="3"/>
    <x v="6"/>
    <x v="494"/>
    <x v="382"/>
    <n v="5.4"/>
    <n v="0.7"/>
    <n v="2.6"/>
    <n v="0"/>
    <n v="0"/>
    <n v="0"/>
    <n v="0"/>
    <n v="0"/>
    <x v="131"/>
    <x v="130"/>
    <n v="18401"/>
    <x v="20"/>
    <x v="26"/>
    <n v="1"/>
    <n v="80"/>
    <n v="200"/>
  </r>
  <r>
    <x v="2"/>
    <x v="78"/>
    <x v="2"/>
    <x v="550"/>
    <x v="2"/>
    <n v="0"/>
    <n v="0"/>
    <n v="0"/>
    <n v="0"/>
    <n v="0"/>
    <n v="0"/>
    <n v="0"/>
    <n v="0"/>
    <x v="356"/>
    <x v="28"/>
    <n v="0"/>
    <x v="73"/>
    <x v="1"/>
    <n v="0"/>
    <n v="5"/>
    <n v="11"/>
  </r>
  <r>
    <x v="1"/>
    <x v="57"/>
    <x v="7"/>
    <x v="551"/>
    <x v="88"/>
    <n v="0"/>
    <n v="3.3"/>
    <n v="0"/>
    <n v="0"/>
    <n v="0"/>
    <n v="0"/>
    <n v="0"/>
    <n v="0"/>
    <x v="706"/>
    <x v="642"/>
    <n v="32952"/>
    <x v="91"/>
    <x v="52"/>
    <n v="0"/>
    <n v="65"/>
    <n v="79"/>
  </r>
  <r>
    <x v="2"/>
    <x v="1"/>
    <x v="1"/>
    <x v="552"/>
    <x v="383"/>
    <n v="83.5"/>
    <n v="3.3"/>
    <n v="2.5"/>
    <n v="0"/>
    <n v="0"/>
    <n v="0"/>
    <n v="0"/>
    <n v="0"/>
    <x v="1"/>
    <x v="1"/>
    <n v="246849"/>
    <x v="72"/>
    <x v="20"/>
    <n v="206"/>
    <n v="50"/>
    <n v="64"/>
  </r>
  <r>
    <x v="0"/>
    <x v="80"/>
    <x v="6"/>
    <x v="43"/>
    <x v="384"/>
    <n v="0"/>
    <n v="0.5"/>
    <n v="0"/>
    <n v="0"/>
    <n v="0"/>
    <n v="0"/>
    <n v="0"/>
    <n v="0"/>
    <x v="707"/>
    <x v="643"/>
    <n v="44158"/>
    <x v="1"/>
    <x v="0"/>
    <n v="0"/>
    <n v="80"/>
    <n v="200"/>
  </r>
  <r>
    <x v="0"/>
    <x v="17"/>
    <x v="8"/>
    <x v="2"/>
    <x v="2"/>
    <n v="0"/>
    <n v="0"/>
    <n v="0"/>
    <n v="0"/>
    <n v="0"/>
    <n v="0"/>
    <n v="0"/>
    <n v="0"/>
    <x v="28"/>
    <x v="28"/>
    <n v="0"/>
    <x v="2"/>
    <x v="1"/>
    <n v="0"/>
    <n v="0"/>
    <n v="4"/>
  </r>
  <r>
    <x v="0"/>
    <x v="117"/>
    <x v="1"/>
    <x v="2"/>
    <x v="2"/>
    <n v="0"/>
    <n v="0"/>
    <n v="0"/>
    <n v="0"/>
    <n v="0"/>
    <n v="0"/>
    <n v="0"/>
    <n v="0"/>
    <x v="574"/>
    <x v="527"/>
    <n v="246539"/>
    <x v="2"/>
    <x v="1"/>
    <n v="0"/>
    <n v="50"/>
    <n v="64"/>
  </r>
  <r>
    <x v="1"/>
    <x v="127"/>
    <x v="4"/>
    <x v="511"/>
    <x v="131"/>
    <n v="0"/>
    <n v="8.6999999999999993"/>
    <n v="0"/>
    <n v="0"/>
    <n v="0"/>
    <n v="0"/>
    <n v="0"/>
    <n v="0"/>
    <x v="708"/>
    <x v="644"/>
    <n v="5029"/>
    <x v="33"/>
    <x v="11"/>
    <n v="0"/>
    <n v="12"/>
    <n v="17"/>
  </r>
  <r>
    <x v="1"/>
    <x v="37"/>
    <x v="7"/>
    <x v="395"/>
    <x v="2"/>
    <n v="4.0999999999999996"/>
    <n v="0"/>
    <n v="1.2"/>
    <n v="0"/>
    <n v="0"/>
    <n v="0"/>
    <n v="0"/>
    <n v="0"/>
    <x v="709"/>
    <x v="645"/>
    <n v="171749"/>
    <x v="0"/>
    <x v="1"/>
    <n v="7"/>
    <n v="65"/>
    <n v="79"/>
  </r>
  <r>
    <x v="0"/>
    <x v="1"/>
    <x v="8"/>
    <x v="2"/>
    <x v="2"/>
    <n v="0"/>
    <n v="0"/>
    <n v="0"/>
    <n v="0"/>
    <n v="0"/>
    <n v="0"/>
    <n v="0"/>
    <n v="0"/>
    <x v="28"/>
    <x v="28"/>
    <n v="0"/>
    <x v="2"/>
    <x v="1"/>
    <n v="0"/>
    <n v="0"/>
    <n v="4"/>
  </r>
  <r>
    <x v="1"/>
    <x v="5"/>
    <x v="6"/>
    <x v="553"/>
    <x v="385"/>
    <n v="0"/>
    <n v="2.9"/>
    <n v="0"/>
    <n v="0"/>
    <n v="0"/>
    <n v="0"/>
    <n v="0"/>
    <n v="0"/>
    <x v="710"/>
    <x v="646"/>
    <n v="0"/>
    <x v="27"/>
    <x v="26"/>
    <n v="0"/>
    <n v="80"/>
    <n v="200"/>
  </r>
  <r>
    <x v="1"/>
    <x v="131"/>
    <x v="6"/>
    <x v="311"/>
    <x v="386"/>
    <n v="0"/>
    <n v="0.9"/>
    <n v="0"/>
    <n v="0"/>
    <n v="0"/>
    <n v="0"/>
    <n v="0"/>
    <n v="0"/>
    <x v="711"/>
    <x v="647"/>
    <n v="6673"/>
    <x v="20"/>
    <x v="26"/>
    <n v="0"/>
    <n v="80"/>
    <n v="200"/>
  </r>
  <r>
    <x v="0"/>
    <x v="35"/>
    <x v="2"/>
    <x v="2"/>
    <x v="2"/>
    <n v="0"/>
    <n v="0"/>
    <n v="0"/>
    <n v="0"/>
    <n v="0"/>
    <n v="0"/>
    <n v="0"/>
    <n v="0"/>
    <x v="149"/>
    <x v="147"/>
    <n v="21744"/>
    <x v="2"/>
    <x v="1"/>
    <n v="0"/>
    <n v="5"/>
    <n v="11"/>
  </r>
  <r>
    <x v="2"/>
    <x v="115"/>
    <x v="8"/>
    <x v="130"/>
    <x v="2"/>
    <n v="0"/>
    <n v="0"/>
    <n v="0"/>
    <n v="0"/>
    <n v="0"/>
    <n v="0"/>
    <n v="0"/>
    <n v="0"/>
    <x v="28"/>
    <x v="28"/>
    <n v="0"/>
    <x v="249"/>
    <x v="1"/>
    <n v="0"/>
    <n v="0"/>
    <n v="4"/>
  </r>
  <r>
    <x v="1"/>
    <x v="70"/>
    <x v="8"/>
    <x v="97"/>
    <x v="2"/>
    <n v="0"/>
    <n v="0"/>
    <n v="0"/>
    <n v="0"/>
    <n v="0"/>
    <n v="0"/>
    <n v="0"/>
    <n v="0"/>
    <x v="28"/>
    <x v="28"/>
    <n v="0"/>
    <x v="45"/>
    <x v="1"/>
    <n v="0"/>
    <n v="0"/>
    <n v="4"/>
  </r>
  <r>
    <x v="1"/>
    <x v="12"/>
    <x v="6"/>
    <x v="530"/>
    <x v="387"/>
    <n v="0"/>
    <n v="2"/>
    <n v="0"/>
    <n v="0"/>
    <n v="0"/>
    <n v="0"/>
    <n v="0"/>
    <n v="0"/>
    <x v="12"/>
    <x v="12"/>
    <n v="0"/>
    <x v="13"/>
    <x v="16"/>
    <n v="0"/>
    <n v="80"/>
    <n v="200"/>
  </r>
  <r>
    <x v="0"/>
    <x v="114"/>
    <x v="8"/>
    <x v="2"/>
    <x v="2"/>
    <n v="0"/>
    <n v="0"/>
    <n v="0"/>
    <n v="0"/>
    <n v="0"/>
    <n v="0"/>
    <n v="0"/>
    <n v="0"/>
    <x v="28"/>
    <x v="28"/>
    <n v="0"/>
    <x v="2"/>
    <x v="1"/>
    <n v="0"/>
    <n v="0"/>
    <n v="4"/>
  </r>
  <r>
    <x v="1"/>
    <x v="64"/>
    <x v="0"/>
    <x v="43"/>
    <x v="116"/>
    <n v="3.2"/>
    <n v="1.8"/>
    <n v="1.2"/>
    <n v="5.7"/>
    <n v="3"/>
    <n v="2.2999999999999998"/>
    <n v="1.9"/>
    <n v="2.5"/>
    <x v="364"/>
    <x v="340"/>
    <n v="1040623"/>
    <x v="29"/>
    <x v="3"/>
    <n v="33"/>
    <n v="999"/>
    <n v="999"/>
  </r>
  <r>
    <x v="2"/>
    <x v="21"/>
    <x v="2"/>
    <x v="554"/>
    <x v="2"/>
    <n v="0"/>
    <n v="0"/>
    <n v="0"/>
    <n v="0"/>
    <n v="0"/>
    <n v="0"/>
    <n v="0"/>
    <n v="0"/>
    <x v="356"/>
    <x v="28"/>
    <n v="0"/>
    <x v="124"/>
    <x v="1"/>
    <n v="0"/>
    <n v="5"/>
    <n v="11"/>
  </r>
  <r>
    <x v="0"/>
    <x v="63"/>
    <x v="5"/>
    <x v="2"/>
    <x v="19"/>
    <n v="0"/>
    <n v="0"/>
    <n v="0"/>
    <n v="0"/>
    <n v="0"/>
    <n v="0"/>
    <n v="0"/>
    <n v="0"/>
    <x v="712"/>
    <x v="648"/>
    <n v="347053"/>
    <x v="2"/>
    <x v="0"/>
    <n v="0"/>
    <n v="30"/>
    <n v="49"/>
  </r>
  <r>
    <x v="1"/>
    <x v="36"/>
    <x v="7"/>
    <x v="128"/>
    <x v="388"/>
    <n v="16.3"/>
    <n v="0.9"/>
    <n v="1.1000000000000001"/>
    <n v="0"/>
    <n v="0"/>
    <n v="0"/>
    <n v="0"/>
    <n v="0"/>
    <x v="36"/>
    <x v="36"/>
    <n v="171695"/>
    <x v="64"/>
    <x v="5"/>
    <n v="28"/>
    <n v="65"/>
    <n v="79"/>
  </r>
  <r>
    <x v="1"/>
    <x v="0"/>
    <x v="8"/>
    <x v="43"/>
    <x v="2"/>
    <n v="0"/>
    <n v="0"/>
    <n v="0"/>
    <n v="0"/>
    <n v="0"/>
    <n v="0"/>
    <n v="0"/>
    <n v="0"/>
    <x v="28"/>
    <x v="28"/>
    <n v="0"/>
    <x v="18"/>
    <x v="1"/>
    <n v="0"/>
    <n v="0"/>
    <n v="4"/>
  </r>
  <r>
    <x v="1"/>
    <x v="110"/>
    <x v="8"/>
    <x v="219"/>
    <x v="2"/>
    <n v="0"/>
    <n v="0"/>
    <n v="0"/>
    <n v="0"/>
    <n v="0"/>
    <n v="0"/>
    <n v="0"/>
    <n v="0"/>
    <x v="28"/>
    <x v="28"/>
    <n v="0"/>
    <x v="1"/>
    <x v="1"/>
    <n v="0"/>
    <n v="0"/>
    <n v="4"/>
  </r>
  <r>
    <x v="0"/>
    <x v="38"/>
    <x v="3"/>
    <x v="2"/>
    <x v="2"/>
    <n v="0"/>
    <n v="0"/>
    <n v="0"/>
    <n v="0"/>
    <n v="0"/>
    <n v="0"/>
    <n v="0"/>
    <n v="0"/>
    <x v="713"/>
    <x v="376"/>
    <n v="161722"/>
    <x v="2"/>
    <x v="1"/>
    <n v="0"/>
    <n v="18"/>
    <n v="29"/>
  </r>
  <r>
    <x v="0"/>
    <x v="67"/>
    <x v="8"/>
    <x v="2"/>
    <x v="2"/>
    <n v="0"/>
    <n v="0"/>
    <n v="0"/>
    <n v="0"/>
    <n v="0"/>
    <n v="0"/>
    <n v="0"/>
    <n v="0"/>
    <x v="28"/>
    <x v="28"/>
    <n v="0"/>
    <x v="2"/>
    <x v="1"/>
    <n v="0"/>
    <n v="0"/>
    <n v="4"/>
  </r>
  <r>
    <x v="0"/>
    <x v="131"/>
    <x v="6"/>
    <x v="555"/>
    <x v="357"/>
    <n v="0"/>
    <n v="1.6"/>
    <n v="0"/>
    <n v="0"/>
    <n v="0"/>
    <n v="0"/>
    <n v="0"/>
    <n v="0"/>
    <x v="711"/>
    <x v="647"/>
    <n v="6673"/>
    <x v="45"/>
    <x v="39"/>
    <n v="0"/>
    <n v="80"/>
    <n v="200"/>
  </r>
  <r>
    <x v="1"/>
    <x v="139"/>
    <x v="0"/>
    <x v="431"/>
    <x v="0"/>
    <n v="1.8"/>
    <n v="17"/>
    <n v="0.9"/>
    <n v="2"/>
    <n v="0.1"/>
    <n v="1.1000000000000001"/>
    <n v="16"/>
    <n v="1.7"/>
    <x v="540"/>
    <x v="495"/>
    <n v="1040720"/>
    <x v="51"/>
    <x v="0"/>
    <n v="19"/>
    <n v="999"/>
    <n v="999"/>
  </r>
  <r>
    <x v="0"/>
    <x v="133"/>
    <x v="6"/>
    <x v="556"/>
    <x v="34"/>
    <n v="0"/>
    <n v="15.6"/>
    <n v="0"/>
    <n v="0"/>
    <n v="0"/>
    <n v="0"/>
    <n v="0"/>
    <n v="0"/>
    <x v="395"/>
    <x v="370"/>
    <n v="0"/>
    <x v="16"/>
    <x v="0"/>
    <n v="0"/>
    <n v="80"/>
    <n v="200"/>
  </r>
  <r>
    <x v="0"/>
    <x v="134"/>
    <x v="1"/>
    <x v="2"/>
    <x v="1"/>
    <n v="0"/>
    <n v="0"/>
    <n v="0"/>
    <n v="0"/>
    <n v="0"/>
    <n v="0"/>
    <n v="0"/>
    <n v="0"/>
    <x v="520"/>
    <x v="476"/>
    <n v="235218"/>
    <x v="2"/>
    <x v="0"/>
    <n v="0"/>
    <n v="50"/>
    <n v="64"/>
  </r>
  <r>
    <x v="2"/>
    <x v="8"/>
    <x v="6"/>
    <x v="283"/>
    <x v="294"/>
    <n v="0"/>
    <n v="4.5"/>
    <n v="0"/>
    <n v="0"/>
    <n v="0"/>
    <n v="0"/>
    <n v="0"/>
    <n v="0"/>
    <x v="601"/>
    <x v="550"/>
    <n v="0"/>
    <x v="46"/>
    <x v="48"/>
    <n v="0"/>
    <n v="80"/>
    <n v="200"/>
  </r>
  <r>
    <x v="2"/>
    <x v="94"/>
    <x v="8"/>
    <x v="557"/>
    <x v="51"/>
    <n v="0"/>
    <n v="19"/>
    <n v="0"/>
    <n v="0"/>
    <n v="0"/>
    <n v="0"/>
    <n v="0"/>
    <n v="0"/>
    <x v="28"/>
    <x v="28"/>
    <n v="0"/>
    <x v="145"/>
    <x v="21"/>
    <n v="0"/>
    <n v="0"/>
    <n v="4"/>
  </r>
  <r>
    <x v="0"/>
    <x v="108"/>
    <x v="2"/>
    <x v="2"/>
    <x v="2"/>
    <n v="0"/>
    <n v="0"/>
    <n v="0"/>
    <n v="0"/>
    <n v="0"/>
    <n v="0"/>
    <n v="0"/>
    <n v="0"/>
    <x v="212"/>
    <x v="204"/>
    <n v="21195"/>
    <x v="2"/>
    <x v="1"/>
    <n v="0"/>
    <n v="5"/>
    <n v="11"/>
  </r>
  <r>
    <x v="0"/>
    <x v="32"/>
    <x v="7"/>
    <x v="2"/>
    <x v="2"/>
    <n v="0"/>
    <n v="0"/>
    <n v="0"/>
    <n v="0"/>
    <n v="0"/>
    <n v="0"/>
    <n v="0"/>
    <n v="0"/>
    <x v="210"/>
    <x v="202"/>
    <n v="171612"/>
    <x v="2"/>
    <x v="1"/>
    <n v="0"/>
    <n v="65"/>
    <n v="79"/>
  </r>
  <r>
    <x v="2"/>
    <x v="38"/>
    <x v="8"/>
    <x v="558"/>
    <x v="36"/>
    <n v="0"/>
    <n v="18.7"/>
    <n v="0"/>
    <n v="0"/>
    <n v="0"/>
    <n v="0"/>
    <n v="0"/>
    <n v="0"/>
    <x v="28"/>
    <x v="28"/>
    <n v="0"/>
    <x v="135"/>
    <x v="16"/>
    <n v="0"/>
    <n v="0"/>
    <n v="4"/>
  </r>
  <r>
    <x v="2"/>
    <x v="110"/>
    <x v="2"/>
    <x v="559"/>
    <x v="389"/>
    <n v="116.1"/>
    <n v="1.3"/>
    <n v="0.8"/>
    <n v="0"/>
    <n v="0"/>
    <n v="0"/>
    <n v="0"/>
    <n v="0"/>
    <x v="477"/>
    <x v="441"/>
    <n v="19812"/>
    <x v="250"/>
    <x v="206"/>
    <n v="23"/>
    <n v="5"/>
    <n v="11"/>
  </r>
  <r>
    <x v="1"/>
    <x v="122"/>
    <x v="6"/>
    <x v="560"/>
    <x v="390"/>
    <n v="0"/>
    <n v="7.6"/>
    <n v="0"/>
    <n v="0"/>
    <n v="0"/>
    <n v="0"/>
    <n v="0"/>
    <n v="0"/>
    <x v="714"/>
    <x v="649"/>
    <n v="0"/>
    <x v="118"/>
    <x v="16"/>
    <n v="0"/>
    <n v="80"/>
    <n v="200"/>
  </r>
  <r>
    <x v="0"/>
    <x v="139"/>
    <x v="2"/>
    <x v="2"/>
    <x v="2"/>
    <n v="0"/>
    <n v="0"/>
    <n v="0"/>
    <n v="0"/>
    <n v="0"/>
    <n v="0"/>
    <n v="0"/>
    <n v="0"/>
    <x v="697"/>
    <x v="633"/>
    <n v="21251"/>
    <x v="2"/>
    <x v="1"/>
    <n v="0"/>
    <n v="5"/>
    <n v="11"/>
  </r>
  <r>
    <x v="1"/>
    <x v="66"/>
    <x v="8"/>
    <x v="2"/>
    <x v="2"/>
    <n v="0"/>
    <n v="0"/>
    <n v="0"/>
    <n v="0"/>
    <n v="0"/>
    <n v="0"/>
    <n v="0"/>
    <n v="0"/>
    <x v="28"/>
    <x v="28"/>
    <n v="0"/>
    <x v="2"/>
    <x v="1"/>
    <n v="0"/>
    <n v="0"/>
    <n v="4"/>
  </r>
  <r>
    <x v="0"/>
    <x v="98"/>
    <x v="3"/>
    <x v="2"/>
    <x v="2"/>
    <n v="0"/>
    <n v="0"/>
    <n v="0"/>
    <n v="0"/>
    <n v="0"/>
    <n v="0"/>
    <n v="0"/>
    <n v="0"/>
    <x v="715"/>
    <x v="113"/>
    <n v="161697"/>
    <x v="2"/>
    <x v="1"/>
    <n v="0"/>
    <n v="18"/>
    <n v="29"/>
  </r>
  <r>
    <x v="1"/>
    <x v="63"/>
    <x v="8"/>
    <x v="20"/>
    <x v="2"/>
    <n v="0"/>
    <n v="0"/>
    <n v="0"/>
    <n v="0"/>
    <n v="0"/>
    <n v="0"/>
    <n v="0"/>
    <n v="0"/>
    <x v="28"/>
    <x v="28"/>
    <n v="0"/>
    <x v="20"/>
    <x v="1"/>
    <n v="0"/>
    <n v="0"/>
    <n v="4"/>
  </r>
  <r>
    <x v="0"/>
    <x v="20"/>
    <x v="4"/>
    <x v="2"/>
    <x v="2"/>
    <n v="0"/>
    <n v="0"/>
    <n v="0"/>
    <n v="0"/>
    <n v="0"/>
    <n v="0"/>
    <n v="0"/>
    <n v="0"/>
    <x v="221"/>
    <x v="212"/>
    <n v="0"/>
    <x v="2"/>
    <x v="1"/>
    <n v="0"/>
    <n v="12"/>
    <n v="17"/>
  </r>
  <r>
    <x v="1"/>
    <x v="75"/>
    <x v="4"/>
    <x v="348"/>
    <x v="73"/>
    <n v="0"/>
    <n v="5.0999999999999996"/>
    <n v="0"/>
    <n v="0"/>
    <n v="0"/>
    <n v="0"/>
    <n v="0"/>
    <n v="0"/>
    <x v="451"/>
    <x v="419"/>
    <n v="39673"/>
    <x v="0"/>
    <x v="0"/>
    <n v="0"/>
    <n v="12"/>
    <n v="17"/>
  </r>
  <r>
    <x v="2"/>
    <x v="124"/>
    <x v="8"/>
    <x v="561"/>
    <x v="2"/>
    <n v="0"/>
    <n v="0"/>
    <n v="0"/>
    <n v="0"/>
    <n v="0"/>
    <n v="0"/>
    <n v="0"/>
    <n v="0"/>
    <x v="28"/>
    <x v="28"/>
    <n v="0"/>
    <x v="251"/>
    <x v="1"/>
    <n v="0"/>
    <n v="0"/>
    <n v="4"/>
  </r>
  <r>
    <x v="2"/>
    <x v="18"/>
    <x v="8"/>
    <x v="239"/>
    <x v="2"/>
    <n v="0"/>
    <n v="0"/>
    <n v="0"/>
    <n v="0"/>
    <n v="0"/>
    <n v="0"/>
    <n v="0"/>
    <n v="0"/>
    <x v="28"/>
    <x v="28"/>
    <n v="0"/>
    <x v="252"/>
    <x v="1"/>
    <n v="0"/>
    <n v="0"/>
    <n v="4"/>
  </r>
  <r>
    <x v="2"/>
    <x v="14"/>
    <x v="6"/>
    <x v="562"/>
    <x v="391"/>
    <n v="0"/>
    <n v="4"/>
    <n v="0"/>
    <n v="0"/>
    <n v="0"/>
    <n v="0"/>
    <n v="0"/>
    <n v="0"/>
    <x v="716"/>
    <x v="650"/>
    <n v="0"/>
    <x v="29"/>
    <x v="26"/>
    <n v="0"/>
    <n v="80"/>
    <n v="200"/>
  </r>
  <r>
    <x v="2"/>
    <x v="51"/>
    <x v="8"/>
    <x v="563"/>
    <x v="2"/>
    <n v="0"/>
    <n v="0"/>
    <n v="0"/>
    <n v="0"/>
    <n v="0"/>
    <n v="0"/>
    <n v="0"/>
    <n v="0"/>
    <x v="28"/>
    <x v="28"/>
    <n v="0"/>
    <x v="253"/>
    <x v="1"/>
    <n v="0"/>
    <n v="0"/>
    <n v="4"/>
  </r>
  <r>
    <x v="0"/>
    <x v="75"/>
    <x v="8"/>
    <x v="2"/>
    <x v="2"/>
    <n v="0"/>
    <n v="0"/>
    <n v="0"/>
    <n v="0"/>
    <n v="0"/>
    <n v="0"/>
    <n v="0"/>
    <n v="0"/>
    <x v="28"/>
    <x v="28"/>
    <n v="0"/>
    <x v="2"/>
    <x v="1"/>
    <n v="0"/>
    <n v="0"/>
    <n v="4"/>
  </r>
  <r>
    <x v="1"/>
    <x v="21"/>
    <x v="6"/>
    <x v="564"/>
    <x v="392"/>
    <n v="0"/>
    <n v="1"/>
    <n v="0"/>
    <n v="0"/>
    <n v="0"/>
    <n v="0"/>
    <n v="0"/>
    <n v="0"/>
    <x v="717"/>
    <x v="651"/>
    <n v="0"/>
    <x v="13"/>
    <x v="5"/>
    <n v="0"/>
    <n v="80"/>
    <n v="200"/>
  </r>
  <r>
    <x v="2"/>
    <x v="77"/>
    <x v="8"/>
    <x v="565"/>
    <x v="83"/>
    <n v="0"/>
    <n v="13"/>
    <n v="0"/>
    <n v="0"/>
    <n v="0"/>
    <n v="0"/>
    <n v="0"/>
    <n v="0"/>
    <x v="28"/>
    <x v="28"/>
    <n v="0"/>
    <x v="218"/>
    <x v="48"/>
    <n v="0"/>
    <n v="0"/>
    <n v="4"/>
  </r>
  <r>
    <x v="1"/>
    <x v="55"/>
    <x v="2"/>
    <x v="2"/>
    <x v="2"/>
    <n v="0"/>
    <n v="0"/>
    <n v="0"/>
    <n v="0"/>
    <n v="0"/>
    <n v="0"/>
    <n v="0"/>
    <n v="0"/>
    <x v="718"/>
    <x v="262"/>
    <n v="21264"/>
    <x v="2"/>
    <x v="1"/>
    <n v="0"/>
    <n v="5"/>
    <n v="11"/>
  </r>
  <r>
    <x v="1"/>
    <x v="20"/>
    <x v="3"/>
    <x v="64"/>
    <x v="38"/>
    <n v="0"/>
    <n v="12.9"/>
    <n v="0"/>
    <n v="0"/>
    <n v="0"/>
    <n v="0"/>
    <n v="0"/>
    <n v="0"/>
    <x v="719"/>
    <x v="652"/>
    <n v="0"/>
    <x v="34"/>
    <x v="11"/>
    <n v="0"/>
    <n v="18"/>
    <n v="29"/>
  </r>
  <r>
    <x v="1"/>
    <x v="105"/>
    <x v="7"/>
    <x v="119"/>
    <x v="393"/>
    <n v="18.3"/>
    <n v="1"/>
    <n v="2"/>
    <n v="0"/>
    <n v="0"/>
    <n v="0"/>
    <n v="0"/>
    <n v="0"/>
    <x v="528"/>
    <x v="483"/>
    <n v="169587"/>
    <x v="134"/>
    <x v="28"/>
    <n v="31"/>
    <n v="65"/>
    <n v="79"/>
  </r>
  <r>
    <x v="0"/>
    <x v="71"/>
    <x v="4"/>
    <x v="2"/>
    <x v="2"/>
    <n v="0"/>
    <n v="0"/>
    <n v="0"/>
    <n v="0"/>
    <n v="0"/>
    <n v="0"/>
    <n v="0"/>
    <n v="0"/>
    <x v="255"/>
    <x v="244"/>
    <n v="0"/>
    <x v="2"/>
    <x v="1"/>
    <n v="0"/>
    <n v="12"/>
    <n v="17"/>
  </r>
  <r>
    <x v="2"/>
    <x v="87"/>
    <x v="6"/>
    <x v="566"/>
    <x v="366"/>
    <n v="18"/>
    <n v="1.7"/>
    <n v="5.0999999999999996"/>
    <n v="0"/>
    <n v="0"/>
    <n v="0"/>
    <n v="0"/>
    <n v="0"/>
    <x v="453"/>
    <x v="420"/>
    <n v="11093"/>
    <x v="60"/>
    <x v="57"/>
    <n v="2"/>
    <n v="80"/>
    <n v="200"/>
  </r>
  <r>
    <x v="2"/>
    <x v="135"/>
    <x v="6"/>
    <x v="567"/>
    <x v="131"/>
    <n v="0"/>
    <n v="3.2"/>
    <n v="0"/>
    <n v="0"/>
    <n v="0"/>
    <n v="0"/>
    <n v="0"/>
    <n v="0"/>
    <x v="720"/>
    <x v="653"/>
    <n v="0"/>
    <x v="0"/>
    <x v="0"/>
    <n v="0"/>
    <n v="80"/>
    <n v="200"/>
  </r>
  <r>
    <x v="1"/>
    <x v="44"/>
    <x v="4"/>
    <x v="2"/>
    <x v="2"/>
    <n v="0"/>
    <n v="0"/>
    <n v="0"/>
    <n v="0"/>
    <n v="0"/>
    <n v="0"/>
    <n v="0"/>
    <n v="0"/>
    <x v="721"/>
    <x v="654"/>
    <n v="26095"/>
    <x v="2"/>
    <x v="1"/>
    <n v="0"/>
    <n v="12"/>
    <n v="17"/>
  </r>
  <r>
    <x v="2"/>
    <x v="109"/>
    <x v="8"/>
    <x v="568"/>
    <x v="36"/>
    <n v="0"/>
    <n v="24.1"/>
    <n v="0"/>
    <n v="0"/>
    <n v="0"/>
    <n v="0"/>
    <n v="0"/>
    <n v="0"/>
    <x v="28"/>
    <x v="28"/>
    <n v="0"/>
    <x v="41"/>
    <x v="16"/>
    <n v="0"/>
    <n v="0"/>
    <n v="4"/>
  </r>
  <r>
    <x v="2"/>
    <x v="5"/>
    <x v="1"/>
    <x v="569"/>
    <x v="394"/>
    <n v="0"/>
    <n v="4.9000000000000004"/>
    <n v="0"/>
    <n v="0"/>
    <n v="0"/>
    <n v="0"/>
    <n v="0"/>
    <n v="0"/>
    <x v="722"/>
    <x v="655"/>
    <n v="0"/>
    <x v="254"/>
    <x v="207"/>
    <n v="0"/>
    <n v="50"/>
    <n v="64"/>
  </r>
  <r>
    <x v="2"/>
    <x v="64"/>
    <x v="3"/>
    <x v="420"/>
    <x v="331"/>
    <n v="24.7"/>
    <n v="4.4000000000000004"/>
    <n v="2.2999999999999998"/>
    <n v="0"/>
    <n v="0"/>
    <n v="0"/>
    <n v="0"/>
    <n v="0"/>
    <x v="533"/>
    <x v="488"/>
    <n v="161686"/>
    <x v="255"/>
    <x v="43"/>
    <n v="40"/>
    <n v="18"/>
    <n v="29"/>
  </r>
  <r>
    <x v="0"/>
    <x v="57"/>
    <x v="6"/>
    <x v="570"/>
    <x v="395"/>
    <n v="0"/>
    <n v="1.6"/>
    <n v="0"/>
    <n v="0"/>
    <n v="0"/>
    <n v="0"/>
    <n v="0"/>
    <n v="0"/>
    <x v="723"/>
    <x v="656"/>
    <n v="8679"/>
    <x v="45"/>
    <x v="39"/>
    <n v="0"/>
    <n v="80"/>
    <n v="200"/>
  </r>
  <r>
    <x v="0"/>
    <x v="119"/>
    <x v="3"/>
    <x v="2"/>
    <x v="2"/>
    <n v="0"/>
    <n v="0"/>
    <n v="0"/>
    <n v="0"/>
    <n v="0"/>
    <n v="0"/>
    <n v="0"/>
    <n v="0"/>
    <x v="249"/>
    <x v="238"/>
    <n v="162511"/>
    <x v="2"/>
    <x v="1"/>
    <n v="0"/>
    <n v="18"/>
    <n v="29"/>
  </r>
  <r>
    <x v="0"/>
    <x v="87"/>
    <x v="6"/>
    <x v="454"/>
    <x v="10"/>
    <n v="0"/>
    <n v="3"/>
    <n v="0"/>
    <n v="0"/>
    <n v="0"/>
    <n v="0"/>
    <n v="0"/>
    <n v="0"/>
    <x v="453"/>
    <x v="420"/>
    <n v="11093"/>
    <x v="18"/>
    <x v="39"/>
    <n v="0"/>
    <n v="80"/>
    <n v="200"/>
  </r>
  <r>
    <x v="2"/>
    <x v="13"/>
    <x v="2"/>
    <x v="571"/>
    <x v="396"/>
    <n v="0"/>
    <n v="0.7"/>
    <n v="0"/>
    <n v="0"/>
    <n v="0"/>
    <n v="0"/>
    <n v="0"/>
    <n v="0"/>
    <x v="724"/>
    <x v="657"/>
    <n v="0"/>
    <x v="256"/>
    <x v="208"/>
    <n v="0"/>
    <n v="5"/>
    <n v="11"/>
  </r>
  <r>
    <x v="1"/>
    <x v="18"/>
    <x v="8"/>
    <x v="40"/>
    <x v="2"/>
    <n v="0"/>
    <n v="0"/>
    <n v="0"/>
    <n v="0"/>
    <n v="0"/>
    <n v="0"/>
    <n v="0"/>
    <n v="0"/>
    <x v="28"/>
    <x v="28"/>
    <n v="0"/>
    <x v="24"/>
    <x v="1"/>
    <n v="0"/>
    <n v="0"/>
    <n v="4"/>
  </r>
  <r>
    <x v="1"/>
    <x v="8"/>
    <x v="0"/>
    <x v="572"/>
    <x v="131"/>
    <n v="0"/>
    <n v="8.9"/>
    <n v="0"/>
    <n v="22.3"/>
    <n v="1.3"/>
    <n v="0"/>
    <n v="17.8"/>
    <n v="0"/>
    <x v="685"/>
    <x v="622"/>
    <n v="0"/>
    <x v="257"/>
    <x v="3"/>
    <n v="0"/>
    <n v="999"/>
    <n v="999"/>
  </r>
  <r>
    <x v="0"/>
    <x v="48"/>
    <x v="8"/>
    <x v="2"/>
    <x v="2"/>
    <n v="0"/>
    <n v="0"/>
    <n v="0"/>
    <n v="0"/>
    <n v="0"/>
    <n v="0"/>
    <n v="0"/>
    <n v="0"/>
    <x v="28"/>
    <x v="28"/>
    <n v="0"/>
    <x v="2"/>
    <x v="1"/>
    <n v="0"/>
    <n v="0"/>
    <n v="4"/>
  </r>
  <r>
    <x v="2"/>
    <x v="135"/>
    <x v="5"/>
    <x v="573"/>
    <x v="397"/>
    <n v="0"/>
    <n v="3"/>
    <n v="0"/>
    <n v="0"/>
    <n v="0"/>
    <n v="0"/>
    <n v="0"/>
    <n v="0"/>
    <x v="725"/>
    <x v="658"/>
    <n v="0"/>
    <x v="187"/>
    <x v="82"/>
    <n v="0"/>
    <n v="30"/>
    <n v="49"/>
  </r>
  <r>
    <x v="2"/>
    <x v="42"/>
    <x v="4"/>
    <x v="226"/>
    <x v="74"/>
    <n v="76.900000000000006"/>
    <n v="1.8"/>
    <n v="1.3"/>
    <n v="0"/>
    <n v="0"/>
    <n v="0"/>
    <n v="0"/>
    <n v="0"/>
    <x v="726"/>
    <x v="659"/>
    <n v="31203"/>
    <x v="155"/>
    <x v="82"/>
    <n v="24"/>
    <n v="12"/>
    <n v="17"/>
  </r>
  <r>
    <x v="2"/>
    <x v="118"/>
    <x v="1"/>
    <x v="574"/>
    <x v="285"/>
    <n v="37"/>
    <n v="2.6"/>
    <n v="2"/>
    <n v="0"/>
    <n v="0"/>
    <n v="0"/>
    <n v="0"/>
    <n v="0"/>
    <x v="253"/>
    <x v="242"/>
    <n v="224298"/>
    <x v="75"/>
    <x v="33"/>
    <n v="83"/>
    <n v="50"/>
    <n v="64"/>
  </r>
  <r>
    <x v="0"/>
    <x v="32"/>
    <x v="8"/>
    <x v="2"/>
    <x v="2"/>
    <n v="0"/>
    <n v="0"/>
    <n v="0"/>
    <n v="0"/>
    <n v="0"/>
    <n v="0"/>
    <n v="0"/>
    <n v="0"/>
    <x v="28"/>
    <x v="28"/>
    <n v="0"/>
    <x v="2"/>
    <x v="1"/>
    <n v="0"/>
    <n v="0"/>
    <n v="4"/>
  </r>
  <r>
    <x v="1"/>
    <x v="67"/>
    <x v="0"/>
    <x v="570"/>
    <x v="95"/>
    <n v="8.1999999999999993"/>
    <n v="2"/>
    <n v="1.2"/>
    <n v="12.9"/>
    <n v="8"/>
    <n v="5.7"/>
    <n v="1.6"/>
    <n v="2.2999999999999998"/>
    <x v="727"/>
    <x v="660"/>
    <n v="1040416"/>
    <x v="106"/>
    <x v="61"/>
    <n v="85"/>
    <n v="999"/>
    <n v="999"/>
  </r>
  <r>
    <x v="0"/>
    <x v="136"/>
    <x v="6"/>
    <x v="575"/>
    <x v="4"/>
    <n v="0"/>
    <n v="8.4"/>
    <n v="0"/>
    <n v="0"/>
    <n v="0"/>
    <n v="0"/>
    <n v="0"/>
    <n v="0"/>
    <x v="548"/>
    <x v="503"/>
    <n v="0"/>
    <x v="24"/>
    <x v="11"/>
    <n v="0"/>
    <n v="80"/>
    <n v="200"/>
  </r>
  <r>
    <x v="2"/>
    <x v="130"/>
    <x v="6"/>
    <x v="576"/>
    <x v="398"/>
    <n v="0"/>
    <n v="1.3"/>
    <n v="0"/>
    <n v="0"/>
    <n v="0"/>
    <n v="0"/>
    <n v="0"/>
    <n v="0"/>
    <x v="532"/>
    <x v="487"/>
    <n v="0"/>
    <x v="118"/>
    <x v="87"/>
    <n v="0"/>
    <n v="80"/>
    <n v="200"/>
  </r>
  <r>
    <x v="1"/>
    <x v="117"/>
    <x v="7"/>
    <x v="193"/>
    <x v="196"/>
    <n v="16.899999999999999"/>
    <n v="1.1000000000000001"/>
    <n v="1.5"/>
    <n v="0"/>
    <n v="0"/>
    <n v="0"/>
    <n v="0"/>
    <n v="0"/>
    <x v="728"/>
    <x v="661"/>
    <n v="171353"/>
    <x v="6"/>
    <x v="17"/>
    <n v="29"/>
    <n v="65"/>
    <n v="79"/>
  </r>
  <r>
    <x v="1"/>
    <x v="117"/>
    <x v="1"/>
    <x v="577"/>
    <x v="62"/>
    <n v="6.9"/>
    <n v="3.8"/>
    <n v="4.8"/>
    <n v="0"/>
    <n v="0"/>
    <n v="0"/>
    <n v="0"/>
    <n v="0"/>
    <x v="574"/>
    <x v="527"/>
    <n v="246539"/>
    <x v="16"/>
    <x v="7"/>
    <n v="17"/>
    <n v="50"/>
    <n v="64"/>
  </r>
  <r>
    <x v="2"/>
    <x v="12"/>
    <x v="1"/>
    <x v="578"/>
    <x v="217"/>
    <n v="0"/>
    <n v="4.2"/>
    <n v="0"/>
    <n v="0"/>
    <n v="0"/>
    <n v="0"/>
    <n v="0"/>
    <n v="0"/>
    <x v="729"/>
    <x v="662"/>
    <n v="0"/>
    <x v="41"/>
    <x v="166"/>
    <n v="0"/>
    <n v="50"/>
    <n v="64"/>
  </r>
  <r>
    <x v="1"/>
    <x v="87"/>
    <x v="2"/>
    <x v="298"/>
    <x v="2"/>
    <n v="0"/>
    <n v="0"/>
    <n v="0"/>
    <n v="0"/>
    <n v="0"/>
    <n v="0"/>
    <n v="0"/>
    <n v="0"/>
    <x v="730"/>
    <x v="28"/>
    <n v="0"/>
    <x v="20"/>
    <x v="1"/>
    <n v="0"/>
    <n v="5"/>
    <n v="11"/>
  </r>
  <r>
    <x v="2"/>
    <x v="87"/>
    <x v="2"/>
    <x v="579"/>
    <x v="2"/>
    <n v="0"/>
    <n v="0"/>
    <n v="0"/>
    <n v="0"/>
    <n v="0"/>
    <n v="0"/>
    <n v="0"/>
    <n v="0"/>
    <x v="730"/>
    <x v="28"/>
    <n v="0"/>
    <x v="258"/>
    <x v="1"/>
    <n v="0"/>
    <n v="5"/>
    <n v="11"/>
  </r>
  <r>
    <x v="1"/>
    <x v="109"/>
    <x v="8"/>
    <x v="108"/>
    <x v="2"/>
    <n v="0"/>
    <n v="0"/>
    <n v="0"/>
    <n v="0"/>
    <n v="0"/>
    <n v="0"/>
    <n v="0"/>
    <n v="0"/>
    <x v="28"/>
    <x v="28"/>
    <n v="0"/>
    <x v="0"/>
    <x v="1"/>
    <n v="0"/>
    <n v="0"/>
    <n v="4"/>
  </r>
  <r>
    <x v="0"/>
    <x v="113"/>
    <x v="2"/>
    <x v="2"/>
    <x v="2"/>
    <n v="0"/>
    <n v="0"/>
    <n v="0"/>
    <n v="0"/>
    <n v="0"/>
    <n v="0"/>
    <n v="0"/>
    <n v="0"/>
    <x v="731"/>
    <x v="663"/>
    <n v="21271"/>
    <x v="2"/>
    <x v="1"/>
    <n v="0"/>
    <n v="5"/>
    <n v="11"/>
  </r>
  <r>
    <x v="1"/>
    <x v="133"/>
    <x v="6"/>
    <x v="580"/>
    <x v="34"/>
    <n v="0"/>
    <n v="31.1"/>
    <n v="0"/>
    <n v="0"/>
    <n v="0"/>
    <n v="0"/>
    <n v="0"/>
    <n v="0"/>
    <x v="395"/>
    <x v="370"/>
    <n v="0"/>
    <x v="17"/>
    <x v="0"/>
    <n v="0"/>
    <n v="80"/>
    <n v="200"/>
  </r>
  <r>
    <x v="0"/>
    <x v="66"/>
    <x v="2"/>
    <x v="2"/>
    <x v="2"/>
    <n v="0"/>
    <n v="0"/>
    <n v="0"/>
    <n v="0"/>
    <n v="0"/>
    <n v="0"/>
    <n v="0"/>
    <n v="0"/>
    <x v="226"/>
    <x v="28"/>
    <n v="0"/>
    <x v="2"/>
    <x v="1"/>
    <n v="0"/>
    <n v="5"/>
    <n v="11"/>
  </r>
  <r>
    <x v="2"/>
    <x v="7"/>
    <x v="6"/>
    <x v="581"/>
    <x v="399"/>
    <n v="34.700000000000003"/>
    <n v="1.1000000000000001"/>
    <n v="5.4"/>
    <n v="0"/>
    <n v="0"/>
    <n v="0"/>
    <n v="0"/>
    <n v="0"/>
    <x v="353"/>
    <x v="330"/>
    <n v="25961"/>
    <x v="198"/>
    <x v="46"/>
    <n v="9"/>
    <n v="80"/>
    <n v="200"/>
  </r>
  <r>
    <x v="2"/>
    <x v="14"/>
    <x v="8"/>
    <x v="152"/>
    <x v="2"/>
    <n v="0"/>
    <n v="0"/>
    <n v="0"/>
    <n v="0"/>
    <n v="0"/>
    <n v="0"/>
    <n v="0"/>
    <n v="0"/>
    <x v="28"/>
    <x v="28"/>
    <n v="0"/>
    <x v="255"/>
    <x v="1"/>
    <n v="0"/>
    <n v="0"/>
    <n v="4"/>
  </r>
  <r>
    <x v="2"/>
    <x v="103"/>
    <x v="6"/>
    <x v="125"/>
    <x v="2"/>
    <n v="0"/>
    <n v="0"/>
    <n v="0"/>
    <n v="0"/>
    <n v="0"/>
    <n v="0"/>
    <n v="0"/>
    <n v="0"/>
    <x v="165"/>
    <x v="162"/>
    <n v="0"/>
    <x v="33"/>
    <x v="1"/>
    <n v="0"/>
    <n v="80"/>
    <n v="200"/>
  </r>
  <r>
    <x v="1"/>
    <x v="65"/>
    <x v="6"/>
    <x v="103"/>
    <x v="2"/>
    <n v="0"/>
    <n v="0"/>
    <n v="0"/>
    <n v="0"/>
    <n v="0"/>
    <n v="0"/>
    <n v="0"/>
    <n v="0"/>
    <x v="732"/>
    <x v="664"/>
    <n v="0"/>
    <x v="1"/>
    <x v="1"/>
    <n v="0"/>
    <n v="80"/>
    <n v="200"/>
  </r>
  <r>
    <x v="0"/>
    <x v="123"/>
    <x v="8"/>
    <x v="2"/>
    <x v="2"/>
    <n v="0"/>
    <n v="0"/>
    <n v="0"/>
    <n v="0"/>
    <n v="0"/>
    <n v="0"/>
    <n v="0"/>
    <n v="0"/>
    <x v="28"/>
    <x v="28"/>
    <n v="0"/>
    <x v="2"/>
    <x v="1"/>
    <n v="0"/>
    <n v="0"/>
    <n v="4"/>
  </r>
  <r>
    <x v="1"/>
    <x v="81"/>
    <x v="6"/>
    <x v="346"/>
    <x v="400"/>
    <n v="0"/>
    <n v="2.2000000000000002"/>
    <n v="0"/>
    <n v="0"/>
    <n v="0"/>
    <n v="0"/>
    <n v="0"/>
    <n v="0"/>
    <x v="733"/>
    <x v="665"/>
    <n v="0"/>
    <x v="6"/>
    <x v="5"/>
    <n v="0"/>
    <n v="80"/>
    <n v="200"/>
  </r>
  <r>
    <x v="2"/>
    <x v="128"/>
    <x v="8"/>
    <x v="582"/>
    <x v="58"/>
    <n v="0"/>
    <n v="16.399999999999999"/>
    <n v="0"/>
    <n v="0"/>
    <n v="0"/>
    <n v="0"/>
    <n v="0"/>
    <n v="0"/>
    <x v="28"/>
    <x v="28"/>
    <n v="0"/>
    <x v="259"/>
    <x v="39"/>
    <n v="0"/>
    <n v="0"/>
    <n v="4"/>
  </r>
  <r>
    <x v="2"/>
    <x v="119"/>
    <x v="8"/>
    <x v="583"/>
    <x v="36"/>
    <n v="0"/>
    <n v="17.5"/>
    <n v="0"/>
    <n v="0"/>
    <n v="0"/>
    <n v="0"/>
    <n v="0"/>
    <n v="0"/>
    <x v="28"/>
    <x v="28"/>
    <n v="0"/>
    <x v="72"/>
    <x v="16"/>
    <n v="0"/>
    <n v="0"/>
    <n v="4"/>
  </r>
  <r>
    <x v="1"/>
    <x v="114"/>
    <x v="8"/>
    <x v="43"/>
    <x v="2"/>
    <n v="0"/>
    <n v="0"/>
    <n v="0"/>
    <n v="0"/>
    <n v="0"/>
    <n v="0"/>
    <n v="0"/>
    <n v="0"/>
    <x v="28"/>
    <x v="28"/>
    <n v="0"/>
    <x v="18"/>
    <x v="1"/>
    <n v="0"/>
    <n v="0"/>
    <n v="4"/>
  </r>
  <r>
    <x v="1"/>
    <x v="128"/>
    <x v="4"/>
    <x v="132"/>
    <x v="2"/>
    <n v="0"/>
    <n v="0"/>
    <n v="0"/>
    <n v="0"/>
    <n v="0"/>
    <n v="0"/>
    <n v="0"/>
    <n v="0"/>
    <x v="344"/>
    <x v="321"/>
    <n v="44574"/>
    <x v="1"/>
    <x v="1"/>
    <n v="0"/>
    <n v="12"/>
    <n v="17"/>
  </r>
  <r>
    <x v="1"/>
    <x v="50"/>
    <x v="8"/>
    <x v="427"/>
    <x v="2"/>
    <n v="0"/>
    <n v="0"/>
    <n v="0"/>
    <n v="0"/>
    <n v="0"/>
    <n v="0"/>
    <n v="0"/>
    <n v="0"/>
    <x v="28"/>
    <x v="28"/>
    <n v="0"/>
    <x v="64"/>
    <x v="1"/>
    <n v="0"/>
    <n v="0"/>
    <n v="4"/>
  </r>
  <r>
    <x v="0"/>
    <x v="42"/>
    <x v="6"/>
    <x v="2"/>
    <x v="2"/>
    <n v="0"/>
    <n v="0"/>
    <n v="0"/>
    <n v="0"/>
    <n v="0"/>
    <n v="0"/>
    <n v="0"/>
    <n v="0"/>
    <x v="515"/>
    <x v="471"/>
    <n v="43312"/>
    <x v="2"/>
    <x v="1"/>
    <n v="0"/>
    <n v="80"/>
    <n v="200"/>
  </r>
  <r>
    <x v="2"/>
    <x v="88"/>
    <x v="8"/>
    <x v="568"/>
    <x v="2"/>
    <n v="0"/>
    <n v="0"/>
    <n v="0"/>
    <n v="0"/>
    <n v="0"/>
    <n v="0"/>
    <n v="0"/>
    <n v="0"/>
    <x v="28"/>
    <x v="28"/>
    <n v="0"/>
    <x v="41"/>
    <x v="1"/>
    <n v="0"/>
    <n v="0"/>
    <n v="4"/>
  </r>
  <r>
    <x v="2"/>
    <x v="49"/>
    <x v="2"/>
    <x v="584"/>
    <x v="28"/>
    <n v="14.1"/>
    <n v="1.7"/>
    <n v="1.2"/>
    <n v="0"/>
    <n v="0"/>
    <n v="0"/>
    <n v="0"/>
    <n v="0"/>
    <x v="469"/>
    <x v="178"/>
    <n v="21262"/>
    <x v="36"/>
    <x v="5"/>
    <n v="3"/>
    <n v="5"/>
    <n v="11"/>
  </r>
  <r>
    <x v="2"/>
    <x v="36"/>
    <x v="3"/>
    <x v="585"/>
    <x v="366"/>
    <n v="66.8"/>
    <n v="3.1"/>
    <n v="2.4"/>
    <n v="0"/>
    <n v="0"/>
    <n v="0"/>
    <n v="0"/>
    <n v="0"/>
    <x v="734"/>
    <x v="666"/>
    <n v="161646"/>
    <x v="260"/>
    <x v="92"/>
    <n v="108"/>
    <n v="18"/>
    <n v="29"/>
  </r>
  <r>
    <x v="2"/>
    <x v="82"/>
    <x v="8"/>
    <x v="31"/>
    <x v="17"/>
    <n v="0"/>
    <n v="6.2"/>
    <n v="0"/>
    <n v="0"/>
    <n v="0"/>
    <n v="0"/>
    <n v="0"/>
    <n v="0"/>
    <x v="28"/>
    <x v="28"/>
    <n v="0"/>
    <x v="27"/>
    <x v="11"/>
    <n v="0"/>
    <n v="0"/>
    <n v="4"/>
  </r>
  <r>
    <x v="1"/>
    <x v="99"/>
    <x v="1"/>
    <x v="419"/>
    <x v="255"/>
    <n v="3.8"/>
    <n v="7.2"/>
    <n v="9.9"/>
    <n v="0"/>
    <n v="0"/>
    <n v="0"/>
    <n v="0"/>
    <n v="0"/>
    <x v="700"/>
    <x v="636"/>
    <n v="208125"/>
    <x v="8"/>
    <x v="5"/>
    <n v="8"/>
    <n v="50"/>
    <n v="64"/>
  </r>
  <r>
    <x v="0"/>
    <x v="120"/>
    <x v="0"/>
    <x v="219"/>
    <x v="0"/>
    <n v="0.2"/>
    <n v="6"/>
    <n v="3"/>
    <n v="0.6"/>
    <n v="0.2"/>
    <n v="0.1"/>
    <n v="2.8"/>
    <n v="4.5999999999999996"/>
    <x v="735"/>
    <x v="667"/>
    <n v="1040539"/>
    <x v="45"/>
    <x v="0"/>
    <n v="2"/>
    <n v="999"/>
    <n v="999"/>
  </r>
  <r>
    <x v="0"/>
    <x v="65"/>
    <x v="6"/>
    <x v="2"/>
    <x v="2"/>
    <n v="0"/>
    <n v="0"/>
    <n v="0"/>
    <n v="0"/>
    <n v="0"/>
    <n v="0"/>
    <n v="0"/>
    <n v="0"/>
    <x v="732"/>
    <x v="664"/>
    <n v="0"/>
    <x v="2"/>
    <x v="1"/>
    <n v="0"/>
    <n v="80"/>
    <n v="200"/>
  </r>
  <r>
    <x v="2"/>
    <x v="2"/>
    <x v="1"/>
    <x v="586"/>
    <x v="238"/>
    <n v="150.69999999999999"/>
    <n v="3.8"/>
    <n v="2.4"/>
    <n v="0"/>
    <n v="0"/>
    <n v="0"/>
    <n v="0"/>
    <n v="0"/>
    <x v="736"/>
    <x v="668"/>
    <n v="246259"/>
    <x v="119"/>
    <x v="209"/>
    <n v="371"/>
    <n v="50"/>
    <n v="64"/>
  </r>
  <r>
    <x v="0"/>
    <x v="88"/>
    <x v="6"/>
    <x v="433"/>
    <x v="131"/>
    <n v="0"/>
    <n v="18.899999999999999"/>
    <n v="0"/>
    <n v="0"/>
    <n v="0"/>
    <n v="0"/>
    <n v="0"/>
    <n v="0"/>
    <x v="737"/>
    <x v="669"/>
    <n v="0"/>
    <x v="6"/>
    <x v="0"/>
    <n v="0"/>
    <n v="80"/>
    <n v="200"/>
  </r>
  <r>
    <x v="2"/>
    <x v="72"/>
    <x v="8"/>
    <x v="551"/>
    <x v="13"/>
    <n v="0"/>
    <n v="45.2"/>
    <n v="0"/>
    <n v="0"/>
    <n v="0"/>
    <n v="0"/>
    <n v="0"/>
    <n v="0"/>
    <x v="28"/>
    <x v="28"/>
    <n v="0"/>
    <x v="261"/>
    <x v="0"/>
    <n v="0"/>
    <n v="0"/>
    <n v="4"/>
  </r>
  <r>
    <x v="0"/>
    <x v="74"/>
    <x v="8"/>
    <x v="2"/>
    <x v="2"/>
    <n v="0"/>
    <n v="0"/>
    <n v="0"/>
    <n v="0"/>
    <n v="0"/>
    <n v="0"/>
    <n v="0"/>
    <n v="0"/>
    <x v="28"/>
    <x v="28"/>
    <n v="0"/>
    <x v="2"/>
    <x v="1"/>
    <n v="0"/>
    <n v="0"/>
    <n v="4"/>
  </r>
  <r>
    <x v="2"/>
    <x v="123"/>
    <x v="8"/>
    <x v="429"/>
    <x v="142"/>
    <n v="0"/>
    <n v="5.7"/>
    <n v="0"/>
    <n v="0"/>
    <n v="0"/>
    <n v="0"/>
    <n v="0"/>
    <n v="0"/>
    <x v="28"/>
    <x v="28"/>
    <n v="0"/>
    <x v="204"/>
    <x v="23"/>
    <n v="0"/>
    <n v="0"/>
    <n v="4"/>
  </r>
  <r>
    <x v="1"/>
    <x v="136"/>
    <x v="6"/>
    <x v="575"/>
    <x v="401"/>
    <n v="0"/>
    <n v="1.1000000000000001"/>
    <n v="0"/>
    <n v="0"/>
    <n v="0"/>
    <n v="0"/>
    <n v="0"/>
    <n v="0"/>
    <x v="548"/>
    <x v="503"/>
    <n v="0"/>
    <x v="24"/>
    <x v="75"/>
    <n v="0"/>
    <n v="80"/>
    <n v="200"/>
  </r>
  <r>
    <x v="1"/>
    <x v="111"/>
    <x v="8"/>
    <x v="427"/>
    <x v="13"/>
    <n v="0"/>
    <n v="7.2"/>
    <n v="0"/>
    <n v="0"/>
    <n v="0"/>
    <n v="0"/>
    <n v="0"/>
    <n v="0"/>
    <x v="28"/>
    <x v="28"/>
    <n v="0"/>
    <x v="64"/>
    <x v="0"/>
    <n v="0"/>
    <n v="0"/>
    <n v="4"/>
  </r>
  <r>
    <x v="1"/>
    <x v="37"/>
    <x v="8"/>
    <x v="219"/>
    <x v="2"/>
    <n v="0"/>
    <n v="0"/>
    <n v="0"/>
    <n v="0"/>
    <n v="0"/>
    <n v="0"/>
    <n v="0"/>
    <n v="0"/>
    <x v="28"/>
    <x v="28"/>
    <n v="0"/>
    <x v="1"/>
    <x v="1"/>
    <n v="0"/>
    <n v="0"/>
    <n v="4"/>
  </r>
  <r>
    <x v="1"/>
    <x v="19"/>
    <x v="8"/>
    <x v="31"/>
    <x v="2"/>
    <n v="0"/>
    <n v="0"/>
    <n v="0"/>
    <n v="0"/>
    <n v="0"/>
    <n v="0"/>
    <n v="0"/>
    <n v="0"/>
    <x v="28"/>
    <x v="28"/>
    <n v="0"/>
    <x v="27"/>
    <x v="1"/>
    <n v="0"/>
    <n v="0"/>
    <n v="4"/>
  </r>
  <r>
    <x v="0"/>
    <x v="107"/>
    <x v="6"/>
    <x v="300"/>
    <x v="235"/>
    <n v="0"/>
    <n v="1.5"/>
    <n v="0"/>
    <n v="0"/>
    <n v="0"/>
    <n v="0"/>
    <n v="0"/>
    <n v="0"/>
    <x v="738"/>
    <x v="670"/>
    <n v="0"/>
    <x v="0"/>
    <x v="11"/>
    <n v="0"/>
    <n v="80"/>
    <n v="200"/>
  </r>
  <r>
    <x v="0"/>
    <x v="15"/>
    <x v="8"/>
    <x v="2"/>
    <x v="2"/>
    <n v="0"/>
    <n v="0"/>
    <n v="0"/>
    <n v="0"/>
    <n v="0"/>
    <n v="0"/>
    <n v="0"/>
    <n v="0"/>
    <x v="28"/>
    <x v="28"/>
    <n v="0"/>
    <x v="2"/>
    <x v="1"/>
    <n v="0"/>
    <n v="0"/>
    <n v="4"/>
  </r>
  <r>
    <x v="0"/>
    <x v="93"/>
    <x v="6"/>
    <x v="220"/>
    <x v="2"/>
    <n v="0"/>
    <n v="0"/>
    <n v="0"/>
    <n v="0"/>
    <n v="0"/>
    <n v="0"/>
    <n v="0"/>
    <n v="0"/>
    <x v="209"/>
    <x v="201"/>
    <n v="0"/>
    <x v="0"/>
    <x v="1"/>
    <n v="0"/>
    <n v="80"/>
    <n v="200"/>
  </r>
  <r>
    <x v="1"/>
    <x v="94"/>
    <x v="3"/>
    <x v="23"/>
    <x v="141"/>
    <n v="0.6"/>
    <n v="7.4"/>
    <n v="17.2"/>
    <n v="0"/>
    <n v="0"/>
    <n v="0"/>
    <n v="0"/>
    <n v="0"/>
    <x v="436"/>
    <x v="407"/>
    <n v="161636"/>
    <x v="33"/>
    <x v="39"/>
    <n v="1"/>
    <n v="18"/>
    <n v="29"/>
  </r>
  <r>
    <x v="0"/>
    <x v="119"/>
    <x v="8"/>
    <x v="2"/>
    <x v="2"/>
    <n v="0"/>
    <n v="0"/>
    <n v="0"/>
    <n v="0"/>
    <n v="0"/>
    <n v="0"/>
    <n v="0"/>
    <n v="0"/>
    <x v="28"/>
    <x v="28"/>
    <n v="0"/>
    <x v="2"/>
    <x v="1"/>
    <n v="0"/>
    <n v="0"/>
    <n v="4"/>
  </r>
  <r>
    <x v="1"/>
    <x v="128"/>
    <x v="8"/>
    <x v="219"/>
    <x v="2"/>
    <n v="0"/>
    <n v="0"/>
    <n v="0"/>
    <n v="0"/>
    <n v="0"/>
    <n v="0"/>
    <n v="0"/>
    <n v="0"/>
    <x v="28"/>
    <x v="28"/>
    <n v="0"/>
    <x v="1"/>
    <x v="1"/>
    <n v="0"/>
    <n v="0"/>
    <n v="4"/>
  </r>
  <r>
    <x v="1"/>
    <x v="132"/>
    <x v="8"/>
    <x v="20"/>
    <x v="2"/>
    <n v="0"/>
    <n v="0"/>
    <n v="0"/>
    <n v="0"/>
    <n v="0"/>
    <n v="0"/>
    <n v="0"/>
    <n v="0"/>
    <x v="28"/>
    <x v="28"/>
    <n v="0"/>
    <x v="20"/>
    <x v="1"/>
    <n v="0"/>
    <n v="0"/>
    <n v="4"/>
  </r>
  <r>
    <x v="0"/>
    <x v="97"/>
    <x v="6"/>
    <x v="587"/>
    <x v="402"/>
    <n v="3.6"/>
    <n v="2.7"/>
    <n v="10.8"/>
    <n v="0"/>
    <n v="0"/>
    <n v="0"/>
    <n v="0"/>
    <n v="0"/>
    <x v="464"/>
    <x v="430"/>
    <n v="28010"/>
    <x v="6"/>
    <x v="16"/>
    <n v="1"/>
    <n v="80"/>
    <n v="200"/>
  </r>
  <r>
    <x v="2"/>
    <x v="106"/>
    <x v="6"/>
    <x v="588"/>
    <x v="403"/>
    <n v="0"/>
    <n v="1.4"/>
    <n v="0"/>
    <n v="0"/>
    <n v="0"/>
    <n v="0"/>
    <n v="0"/>
    <n v="0"/>
    <x v="739"/>
    <x v="671"/>
    <n v="0"/>
    <x v="46"/>
    <x v="25"/>
    <n v="0"/>
    <n v="80"/>
    <n v="200"/>
  </r>
  <r>
    <x v="2"/>
    <x v="125"/>
    <x v="6"/>
    <x v="128"/>
    <x v="351"/>
    <n v="0"/>
    <n v="2.9"/>
    <n v="0"/>
    <n v="0"/>
    <n v="0"/>
    <n v="0"/>
    <n v="0"/>
    <n v="0"/>
    <x v="590"/>
    <x v="540"/>
    <n v="0"/>
    <x v="18"/>
    <x v="39"/>
    <n v="0"/>
    <n v="80"/>
    <n v="200"/>
  </r>
  <r>
    <x v="2"/>
    <x v="68"/>
    <x v="8"/>
    <x v="589"/>
    <x v="2"/>
    <n v="0"/>
    <n v="0"/>
    <n v="0"/>
    <n v="0"/>
    <n v="0"/>
    <n v="0"/>
    <n v="0"/>
    <n v="0"/>
    <x v="28"/>
    <x v="28"/>
    <n v="0"/>
    <x v="262"/>
    <x v="1"/>
    <n v="0"/>
    <n v="0"/>
    <n v="4"/>
  </r>
  <r>
    <x v="1"/>
    <x v="138"/>
    <x v="4"/>
    <x v="54"/>
    <x v="2"/>
    <n v="0"/>
    <n v="0"/>
    <n v="0"/>
    <n v="0"/>
    <n v="0"/>
    <n v="0"/>
    <n v="0"/>
    <n v="0"/>
    <x v="609"/>
    <x v="28"/>
    <n v="0"/>
    <x v="0"/>
    <x v="1"/>
    <n v="0"/>
    <n v="12"/>
    <n v="17"/>
  </r>
  <r>
    <x v="0"/>
    <x v="91"/>
    <x v="8"/>
    <x v="2"/>
    <x v="2"/>
    <n v="0"/>
    <n v="0"/>
    <n v="0"/>
    <n v="0"/>
    <n v="0"/>
    <n v="0"/>
    <n v="0"/>
    <n v="0"/>
    <x v="28"/>
    <x v="28"/>
    <n v="0"/>
    <x v="2"/>
    <x v="1"/>
    <n v="0"/>
    <n v="0"/>
    <n v="4"/>
  </r>
  <r>
    <x v="0"/>
    <x v="0"/>
    <x v="8"/>
    <x v="2"/>
    <x v="2"/>
    <n v="0"/>
    <n v="0"/>
    <n v="0"/>
    <n v="0"/>
    <n v="0"/>
    <n v="0"/>
    <n v="0"/>
    <n v="0"/>
    <x v="28"/>
    <x v="28"/>
    <n v="0"/>
    <x v="2"/>
    <x v="1"/>
    <n v="0"/>
    <n v="0"/>
    <n v="4"/>
  </r>
  <r>
    <x v="2"/>
    <x v="93"/>
    <x v="2"/>
    <x v="590"/>
    <x v="2"/>
    <n v="0"/>
    <n v="0"/>
    <n v="0"/>
    <n v="0"/>
    <n v="0"/>
    <n v="0"/>
    <n v="0"/>
    <n v="0"/>
    <x v="356"/>
    <x v="28"/>
    <n v="0"/>
    <x v="257"/>
    <x v="1"/>
    <n v="0"/>
    <n v="5"/>
    <n v="11"/>
  </r>
  <r>
    <x v="1"/>
    <x v="45"/>
    <x v="6"/>
    <x v="591"/>
    <x v="404"/>
    <n v="0"/>
    <n v="6.6"/>
    <n v="0"/>
    <n v="0"/>
    <n v="0"/>
    <n v="0"/>
    <n v="0"/>
    <n v="0"/>
    <x v="740"/>
    <x v="672"/>
    <n v="0"/>
    <x v="31"/>
    <x v="21"/>
    <n v="0"/>
    <n v="80"/>
    <n v="200"/>
  </r>
  <r>
    <x v="2"/>
    <x v="75"/>
    <x v="8"/>
    <x v="592"/>
    <x v="2"/>
    <n v="0"/>
    <n v="0"/>
    <n v="0"/>
    <n v="0"/>
    <n v="0"/>
    <n v="0"/>
    <n v="0"/>
    <n v="0"/>
    <x v="28"/>
    <x v="28"/>
    <n v="0"/>
    <x v="263"/>
    <x v="1"/>
    <n v="0"/>
    <n v="0"/>
    <n v="4"/>
  </r>
  <r>
    <x v="0"/>
    <x v="84"/>
    <x v="8"/>
    <x v="2"/>
    <x v="2"/>
    <n v="0"/>
    <n v="0"/>
    <n v="0"/>
    <n v="0"/>
    <n v="0"/>
    <n v="0"/>
    <n v="0"/>
    <n v="0"/>
    <x v="28"/>
    <x v="28"/>
    <n v="0"/>
    <x v="2"/>
    <x v="1"/>
    <n v="0"/>
    <n v="0"/>
    <n v="4"/>
  </r>
  <r>
    <x v="0"/>
    <x v="132"/>
    <x v="0"/>
    <x v="113"/>
    <x v="87"/>
    <n v="0.3"/>
    <n v="0.7"/>
    <n v="0.7"/>
    <n v="0.1"/>
    <n v="0.5"/>
    <n v="0.2"/>
    <n v="0.2"/>
    <n v="0.6"/>
    <x v="741"/>
    <x v="673"/>
    <n v="961158"/>
    <x v="1"/>
    <x v="39"/>
    <n v="3"/>
    <n v="999"/>
    <n v="999"/>
  </r>
  <r>
    <x v="1"/>
    <x v="78"/>
    <x v="6"/>
    <x v="593"/>
    <x v="47"/>
    <n v="0"/>
    <n v="7"/>
    <n v="0"/>
    <n v="0"/>
    <n v="0"/>
    <n v="0"/>
    <n v="0"/>
    <n v="0"/>
    <x v="742"/>
    <x v="674"/>
    <n v="0"/>
    <x v="48"/>
    <x v="39"/>
    <n v="0"/>
    <n v="80"/>
    <n v="200"/>
  </r>
  <r>
    <x v="2"/>
    <x v="16"/>
    <x v="8"/>
    <x v="594"/>
    <x v="2"/>
    <n v="0"/>
    <n v="0"/>
    <n v="0"/>
    <n v="0"/>
    <n v="0"/>
    <n v="0"/>
    <n v="0"/>
    <n v="0"/>
    <x v="28"/>
    <x v="28"/>
    <n v="0"/>
    <x v="264"/>
    <x v="1"/>
    <n v="0"/>
    <n v="0"/>
    <n v="4"/>
  </r>
  <r>
    <x v="2"/>
    <x v="45"/>
    <x v="2"/>
    <x v="595"/>
    <x v="2"/>
    <n v="0"/>
    <n v="0"/>
    <n v="0"/>
    <n v="0"/>
    <n v="0"/>
    <n v="0"/>
    <n v="0"/>
    <n v="0"/>
    <x v="356"/>
    <x v="28"/>
    <n v="0"/>
    <x v="265"/>
    <x v="1"/>
    <n v="0"/>
    <n v="5"/>
    <n v="11"/>
  </r>
  <r>
    <x v="1"/>
    <x v="11"/>
    <x v="8"/>
    <x v="97"/>
    <x v="2"/>
    <n v="0"/>
    <n v="0"/>
    <n v="0"/>
    <n v="0"/>
    <n v="0"/>
    <n v="0"/>
    <n v="0"/>
    <n v="0"/>
    <x v="28"/>
    <x v="28"/>
    <n v="0"/>
    <x v="45"/>
    <x v="1"/>
    <n v="0"/>
    <n v="0"/>
    <n v="4"/>
  </r>
  <r>
    <x v="0"/>
    <x v="2"/>
    <x v="8"/>
    <x v="2"/>
    <x v="2"/>
    <n v="0"/>
    <n v="0"/>
    <n v="0"/>
    <n v="0"/>
    <n v="0"/>
    <n v="0"/>
    <n v="0"/>
    <n v="0"/>
    <x v="28"/>
    <x v="28"/>
    <n v="0"/>
    <x v="2"/>
    <x v="1"/>
    <n v="0"/>
    <n v="0"/>
    <n v="4"/>
  </r>
  <r>
    <x v="0"/>
    <x v="38"/>
    <x v="8"/>
    <x v="2"/>
    <x v="2"/>
    <n v="0"/>
    <n v="0"/>
    <n v="0"/>
    <n v="0"/>
    <n v="0"/>
    <n v="0"/>
    <n v="0"/>
    <n v="0"/>
    <x v="28"/>
    <x v="28"/>
    <n v="0"/>
    <x v="2"/>
    <x v="1"/>
    <n v="0"/>
    <n v="0"/>
    <n v="4"/>
  </r>
  <r>
    <x v="1"/>
    <x v="62"/>
    <x v="7"/>
    <x v="117"/>
    <x v="218"/>
    <n v="5.8"/>
    <n v="1.7"/>
    <n v="1.3"/>
    <n v="0"/>
    <n v="0"/>
    <n v="0"/>
    <n v="0"/>
    <n v="0"/>
    <x v="743"/>
    <x v="449"/>
    <n v="171751"/>
    <x v="45"/>
    <x v="11"/>
    <n v="10"/>
    <n v="65"/>
    <n v="79"/>
  </r>
  <r>
    <x v="2"/>
    <x v="50"/>
    <x v="5"/>
    <x v="596"/>
    <x v="405"/>
    <n v="277.5"/>
    <n v="2.2000000000000002"/>
    <n v="1.1000000000000001"/>
    <n v="0"/>
    <n v="0"/>
    <n v="0"/>
    <n v="0"/>
    <n v="0"/>
    <x v="50"/>
    <x v="50"/>
    <n v="338011"/>
    <x v="266"/>
    <x v="210"/>
    <n v="938"/>
    <n v="30"/>
    <n v="49"/>
  </r>
  <r>
    <x v="0"/>
    <x v="117"/>
    <x v="8"/>
    <x v="2"/>
    <x v="2"/>
    <n v="0"/>
    <n v="0"/>
    <n v="0"/>
    <n v="0"/>
    <n v="0"/>
    <n v="0"/>
    <n v="0"/>
    <n v="0"/>
    <x v="28"/>
    <x v="28"/>
    <n v="0"/>
    <x v="2"/>
    <x v="1"/>
    <n v="0"/>
    <n v="0"/>
    <n v="4"/>
  </r>
  <r>
    <x v="2"/>
    <x v="101"/>
    <x v="8"/>
    <x v="189"/>
    <x v="2"/>
    <n v="0"/>
    <n v="0"/>
    <n v="0"/>
    <n v="0"/>
    <n v="0"/>
    <n v="0"/>
    <n v="0"/>
    <n v="0"/>
    <x v="28"/>
    <x v="28"/>
    <n v="0"/>
    <x v="54"/>
    <x v="1"/>
    <n v="0"/>
    <n v="0"/>
    <n v="4"/>
  </r>
  <r>
    <x v="0"/>
    <x v="47"/>
    <x v="8"/>
    <x v="2"/>
    <x v="2"/>
    <n v="0"/>
    <n v="0"/>
    <n v="0"/>
    <n v="0"/>
    <n v="0"/>
    <n v="0"/>
    <n v="0"/>
    <n v="0"/>
    <x v="28"/>
    <x v="28"/>
    <n v="0"/>
    <x v="2"/>
    <x v="1"/>
    <n v="0"/>
    <n v="0"/>
    <n v="4"/>
  </r>
  <r>
    <x v="2"/>
    <x v="134"/>
    <x v="1"/>
    <x v="597"/>
    <x v="406"/>
    <n v="280.2"/>
    <n v="2.4"/>
    <n v="1.6"/>
    <n v="0"/>
    <n v="0"/>
    <n v="0"/>
    <n v="0"/>
    <n v="0"/>
    <x v="520"/>
    <x v="476"/>
    <n v="235218"/>
    <x v="267"/>
    <x v="163"/>
    <n v="659"/>
    <n v="50"/>
    <n v="64"/>
  </r>
  <r>
    <x v="1"/>
    <x v="96"/>
    <x v="8"/>
    <x v="108"/>
    <x v="13"/>
    <n v="0"/>
    <n v="2"/>
    <n v="0"/>
    <n v="0"/>
    <n v="0"/>
    <n v="0"/>
    <n v="0"/>
    <n v="0"/>
    <x v="28"/>
    <x v="28"/>
    <n v="0"/>
    <x v="0"/>
    <x v="0"/>
    <n v="0"/>
    <n v="0"/>
    <n v="4"/>
  </r>
  <r>
    <x v="2"/>
    <x v="108"/>
    <x v="8"/>
    <x v="598"/>
    <x v="36"/>
    <n v="0"/>
    <n v="24.6"/>
    <n v="0"/>
    <n v="0"/>
    <n v="0"/>
    <n v="0"/>
    <n v="0"/>
    <n v="0"/>
    <x v="28"/>
    <x v="28"/>
    <n v="0"/>
    <x v="232"/>
    <x v="16"/>
    <n v="0"/>
    <n v="0"/>
    <n v="4"/>
  </r>
  <r>
    <x v="1"/>
    <x v="134"/>
    <x v="3"/>
    <x v="162"/>
    <x v="48"/>
    <n v="3.3"/>
    <n v="12.8"/>
    <n v="3.5"/>
    <n v="0"/>
    <n v="0"/>
    <n v="0"/>
    <n v="0"/>
    <n v="0"/>
    <x v="371"/>
    <x v="347"/>
    <n v="152215"/>
    <x v="6"/>
    <x v="11"/>
    <n v="5"/>
    <n v="18"/>
    <n v="29"/>
  </r>
  <r>
    <x v="0"/>
    <x v="8"/>
    <x v="7"/>
    <x v="313"/>
    <x v="17"/>
    <n v="0"/>
    <n v="20.3"/>
    <n v="0"/>
    <n v="0"/>
    <n v="0"/>
    <n v="0"/>
    <n v="0"/>
    <n v="0"/>
    <x v="744"/>
    <x v="675"/>
    <n v="0"/>
    <x v="29"/>
    <x v="11"/>
    <n v="0"/>
    <n v="65"/>
    <n v="79"/>
  </r>
  <r>
    <x v="2"/>
    <x v="91"/>
    <x v="8"/>
    <x v="599"/>
    <x v="58"/>
    <n v="0"/>
    <n v="37.9"/>
    <n v="0"/>
    <n v="0"/>
    <n v="0"/>
    <n v="0"/>
    <n v="0"/>
    <n v="0"/>
    <x v="28"/>
    <x v="28"/>
    <n v="0"/>
    <x v="115"/>
    <x v="39"/>
    <n v="0"/>
    <n v="0"/>
    <n v="4"/>
  </r>
  <r>
    <x v="2"/>
    <x v="40"/>
    <x v="2"/>
    <x v="600"/>
    <x v="2"/>
    <n v="0"/>
    <n v="0"/>
    <n v="0"/>
    <n v="0"/>
    <n v="0"/>
    <n v="0"/>
    <n v="0"/>
    <n v="0"/>
    <x v="356"/>
    <x v="28"/>
    <n v="0"/>
    <x v="268"/>
    <x v="1"/>
    <n v="0"/>
    <n v="5"/>
    <n v="11"/>
  </r>
  <r>
    <x v="1"/>
    <x v="72"/>
    <x v="8"/>
    <x v="108"/>
    <x v="2"/>
    <n v="0"/>
    <n v="0"/>
    <n v="0"/>
    <n v="0"/>
    <n v="0"/>
    <n v="0"/>
    <n v="0"/>
    <n v="0"/>
    <x v="28"/>
    <x v="28"/>
    <n v="0"/>
    <x v="0"/>
    <x v="1"/>
    <n v="0"/>
    <n v="0"/>
    <n v="4"/>
  </r>
  <r>
    <x v="0"/>
    <x v="100"/>
    <x v="4"/>
    <x v="2"/>
    <x v="2"/>
    <n v="0"/>
    <n v="0"/>
    <n v="0"/>
    <n v="0"/>
    <n v="0"/>
    <n v="0"/>
    <n v="0"/>
    <n v="0"/>
    <x v="667"/>
    <x v="605"/>
    <n v="35890"/>
    <x v="2"/>
    <x v="1"/>
    <n v="0"/>
    <n v="12"/>
    <n v="17"/>
  </r>
  <r>
    <x v="2"/>
    <x v="113"/>
    <x v="2"/>
    <x v="601"/>
    <x v="221"/>
    <n v="9.4"/>
    <n v="5.6"/>
    <n v="1.4"/>
    <n v="0"/>
    <n v="0"/>
    <n v="0"/>
    <n v="0"/>
    <n v="0"/>
    <x v="731"/>
    <x v="663"/>
    <n v="21271"/>
    <x v="27"/>
    <x v="11"/>
    <n v="2"/>
    <n v="5"/>
    <n v="11"/>
  </r>
  <r>
    <x v="2"/>
    <x v="118"/>
    <x v="6"/>
    <x v="185"/>
    <x v="407"/>
    <n v="30.3"/>
    <n v="0.3"/>
    <n v="0.4"/>
    <n v="0"/>
    <n v="0"/>
    <n v="0"/>
    <n v="0"/>
    <n v="0"/>
    <x v="228"/>
    <x v="218"/>
    <n v="42943"/>
    <x v="45"/>
    <x v="48"/>
    <n v="13"/>
    <n v="80"/>
    <n v="200"/>
  </r>
  <r>
    <x v="1"/>
    <x v="137"/>
    <x v="2"/>
    <x v="2"/>
    <x v="2"/>
    <n v="0"/>
    <n v="0"/>
    <n v="0"/>
    <n v="0"/>
    <n v="0"/>
    <n v="0"/>
    <n v="0"/>
    <n v="0"/>
    <x v="554"/>
    <x v="508"/>
    <n v="22441"/>
    <x v="2"/>
    <x v="1"/>
    <n v="0"/>
    <n v="5"/>
    <n v="11"/>
  </r>
  <r>
    <x v="0"/>
    <x v="20"/>
    <x v="1"/>
    <x v="103"/>
    <x v="87"/>
    <n v="0"/>
    <n v="10"/>
    <n v="0"/>
    <n v="0"/>
    <n v="0"/>
    <n v="0"/>
    <n v="0"/>
    <n v="0"/>
    <x v="745"/>
    <x v="676"/>
    <n v="0"/>
    <x v="45"/>
    <x v="0"/>
    <n v="0"/>
    <n v="50"/>
    <n v="64"/>
  </r>
  <r>
    <x v="1"/>
    <x v="67"/>
    <x v="8"/>
    <x v="43"/>
    <x v="2"/>
    <n v="0"/>
    <n v="0"/>
    <n v="0"/>
    <n v="0"/>
    <n v="0"/>
    <n v="0"/>
    <n v="0"/>
    <n v="0"/>
    <x v="28"/>
    <x v="28"/>
    <n v="0"/>
    <x v="18"/>
    <x v="1"/>
    <n v="0"/>
    <n v="0"/>
    <n v="4"/>
  </r>
  <r>
    <x v="1"/>
    <x v="61"/>
    <x v="0"/>
    <x v="115"/>
    <x v="51"/>
    <n v="6.1"/>
    <n v="2.6"/>
    <n v="1.3"/>
    <n v="10.8"/>
    <n v="4.9000000000000004"/>
    <n v="4.0999999999999996"/>
    <n v="2.2000000000000002"/>
    <n v="2.6"/>
    <x v="111"/>
    <x v="110"/>
    <n v="1040840"/>
    <x v="44"/>
    <x v="43"/>
    <n v="63"/>
    <n v="999"/>
    <n v="999"/>
  </r>
  <r>
    <x v="1"/>
    <x v="126"/>
    <x v="2"/>
    <x v="2"/>
    <x v="2"/>
    <n v="4.7"/>
    <n v="0"/>
    <n v="0"/>
    <n v="0"/>
    <n v="0"/>
    <n v="0"/>
    <n v="0"/>
    <n v="0"/>
    <x v="746"/>
    <x v="382"/>
    <n v="21266"/>
    <x v="2"/>
    <x v="1"/>
    <n v="1"/>
    <n v="5"/>
    <n v="11"/>
  </r>
  <r>
    <x v="2"/>
    <x v="11"/>
    <x v="8"/>
    <x v="551"/>
    <x v="13"/>
    <n v="0"/>
    <n v="45.2"/>
    <n v="0"/>
    <n v="0"/>
    <n v="0"/>
    <n v="0"/>
    <n v="0"/>
    <n v="0"/>
    <x v="28"/>
    <x v="28"/>
    <n v="0"/>
    <x v="261"/>
    <x v="0"/>
    <n v="0"/>
    <n v="0"/>
    <n v="4"/>
  </r>
  <r>
    <x v="2"/>
    <x v="80"/>
    <x v="8"/>
    <x v="602"/>
    <x v="2"/>
    <n v="0"/>
    <n v="0"/>
    <n v="0"/>
    <n v="0"/>
    <n v="0"/>
    <n v="0"/>
    <n v="0"/>
    <n v="0"/>
    <x v="28"/>
    <x v="28"/>
    <n v="0"/>
    <x v="269"/>
    <x v="1"/>
    <n v="0"/>
    <n v="0"/>
    <n v="4"/>
  </r>
  <r>
    <x v="1"/>
    <x v="52"/>
    <x v="8"/>
    <x v="472"/>
    <x v="2"/>
    <n v="0"/>
    <n v="0"/>
    <n v="0"/>
    <n v="0"/>
    <n v="0"/>
    <n v="0"/>
    <n v="0"/>
    <n v="0"/>
    <x v="28"/>
    <x v="28"/>
    <n v="0"/>
    <x v="6"/>
    <x v="1"/>
    <n v="0"/>
    <n v="0"/>
    <n v="4"/>
  </r>
  <r>
    <x v="1"/>
    <x v="36"/>
    <x v="0"/>
    <x v="517"/>
    <x v="100"/>
    <n v="7.1"/>
    <n v="2"/>
    <n v="1.2"/>
    <n v="10.3"/>
    <n v="6.3"/>
    <n v="5.0999999999999996"/>
    <n v="1.6"/>
    <n v="2"/>
    <x v="425"/>
    <x v="396"/>
    <n v="1040388"/>
    <x v="128"/>
    <x v="14"/>
    <n v="74"/>
    <n v="999"/>
    <n v="999"/>
  </r>
  <r>
    <x v="0"/>
    <x v="104"/>
    <x v="6"/>
    <x v="499"/>
    <x v="305"/>
    <n v="0"/>
    <n v="0.3"/>
    <n v="0"/>
    <n v="0"/>
    <n v="0"/>
    <n v="0"/>
    <n v="0"/>
    <n v="0"/>
    <x v="747"/>
    <x v="677"/>
    <n v="22158"/>
    <x v="0"/>
    <x v="26"/>
    <n v="0"/>
    <n v="80"/>
    <n v="200"/>
  </r>
  <r>
    <x v="2"/>
    <x v="73"/>
    <x v="8"/>
    <x v="603"/>
    <x v="2"/>
    <n v="0"/>
    <n v="0"/>
    <n v="0"/>
    <n v="0"/>
    <n v="0"/>
    <n v="0"/>
    <n v="0"/>
    <n v="0"/>
    <x v="28"/>
    <x v="28"/>
    <n v="0"/>
    <x v="270"/>
    <x v="1"/>
    <n v="0"/>
    <n v="0"/>
    <n v="4"/>
  </r>
  <r>
    <x v="0"/>
    <x v="121"/>
    <x v="6"/>
    <x v="604"/>
    <x v="257"/>
    <n v="0"/>
    <n v="6.1"/>
    <n v="0"/>
    <n v="0"/>
    <n v="0"/>
    <n v="0"/>
    <n v="0"/>
    <n v="0"/>
    <x v="748"/>
    <x v="678"/>
    <n v="0"/>
    <x v="18"/>
    <x v="0"/>
    <n v="0"/>
    <n v="80"/>
    <n v="200"/>
  </r>
  <r>
    <x v="2"/>
    <x v="15"/>
    <x v="8"/>
    <x v="605"/>
    <x v="51"/>
    <n v="0"/>
    <n v="46.8"/>
    <n v="0"/>
    <n v="0"/>
    <n v="0"/>
    <n v="0"/>
    <n v="0"/>
    <n v="0"/>
    <x v="28"/>
    <x v="28"/>
    <n v="0"/>
    <x v="271"/>
    <x v="21"/>
    <n v="0"/>
    <n v="0"/>
    <n v="4"/>
  </r>
  <r>
    <x v="2"/>
    <x v="36"/>
    <x v="8"/>
    <x v="606"/>
    <x v="176"/>
    <n v="0"/>
    <n v="11.7"/>
    <n v="0"/>
    <n v="0"/>
    <n v="0"/>
    <n v="0"/>
    <n v="0"/>
    <n v="0"/>
    <x v="28"/>
    <x v="28"/>
    <n v="0"/>
    <x v="187"/>
    <x v="5"/>
    <n v="0"/>
    <n v="0"/>
    <n v="4"/>
  </r>
  <r>
    <x v="0"/>
    <x v="36"/>
    <x v="6"/>
    <x v="2"/>
    <x v="2"/>
    <n v="4.2"/>
    <n v="0"/>
    <n v="0"/>
    <n v="0"/>
    <n v="0"/>
    <n v="0"/>
    <n v="0"/>
    <n v="0"/>
    <x v="49"/>
    <x v="49"/>
    <n v="47122"/>
    <x v="2"/>
    <x v="1"/>
    <n v="2"/>
    <n v="80"/>
    <n v="200"/>
  </r>
  <r>
    <x v="0"/>
    <x v="78"/>
    <x v="3"/>
    <x v="2"/>
    <x v="2"/>
    <n v="0"/>
    <n v="0"/>
    <n v="0"/>
    <n v="0"/>
    <n v="0"/>
    <n v="0"/>
    <n v="0"/>
    <n v="0"/>
    <x v="668"/>
    <x v="606"/>
    <n v="0"/>
    <x v="2"/>
    <x v="1"/>
    <n v="0"/>
    <n v="18"/>
    <n v="29"/>
  </r>
  <r>
    <x v="2"/>
    <x v="120"/>
    <x v="2"/>
    <x v="607"/>
    <x v="239"/>
    <n v="89.5"/>
    <n v="0.8"/>
    <n v="0.9"/>
    <n v="0"/>
    <n v="0"/>
    <n v="0"/>
    <n v="0"/>
    <n v="0"/>
    <x v="749"/>
    <x v="679"/>
    <n v="21218"/>
    <x v="4"/>
    <x v="58"/>
    <n v="19"/>
    <n v="5"/>
    <n v="11"/>
  </r>
  <r>
    <x v="2"/>
    <x v="49"/>
    <x v="8"/>
    <x v="382"/>
    <x v="58"/>
    <n v="0"/>
    <n v="23.9"/>
    <n v="0"/>
    <n v="0"/>
    <n v="0"/>
    <n v="0"/>
    <n v="0"/>
    <n v="0"/>
    <x v="28"/>
    <x v="28"/>
    <n v="0"/>
    <x v="4"/>
    <x v="39"/>
    <n v="0"/>
    <n v="0"/>
    <n v="4"/>
  </r>
  <r>
    <x v="2"/>
    <x v="20"/>
    <x v="6"/>
    <x v="109"/>
    <x v="408"/>
    <n v="0"/>
    <n v="0.6"/>
    <n v="0"/>
    <n v="0"/>
    <n v="0"/>
    <n v="0"/>
    <n v="0"/>
    <n v="0"/>
    <x v="750"/>
    <x v="680"/>
    <n v="0"/>
    <x v="64"/>
    <x v="3"/>
    <n v="0"/>
    <n v="80"/>
    <n v="200"/>
  </r>
  <r>
    <x v="0"/>
    <x v="28"/>
    <x v="0"/>
    <x v="18"/>
    <x v="82"/>
    <n v="0.9"/>
    <n v="2"/>
    <n v="0.4"/>
    <n v="0.6"/>
    <n v="0.4"/>
    <n v="0.6"/>
    <n v="1.4"/>
    <n v="1"/>
    <x v="751"/>
    <x v="681"/>
    <n v="1040439"/>
    <x v="0"/>
    <x v="11"/>
    <n v="9"/>
    <n v="999"/>
    <n v="999"/>
  </r>
  <r>
    <x v="2"/>
    <x v="4"/>
    <x v="8"/>
    <x v="608"/>
    <x v="2"/>
    <n v="0"/>
    <n v="0"/>
    <n v="0"/>
    <n v="0"/>
    <n v="0"/>
    <n v="0"/>
    <n v="0"/>
    <n v="0"/>
    <x v="28"/>
    <x v="28"/>
    <n v="0"/>
    <x v="201"/>
    <x v="1"/>
    <n v="0"/>
    <n v="0"/>
    <n v="4"/>
  </r>
  <r>
    <x v="2"/>
    <x v="35"/>
    <x v="7"/>
    <x v="165"/>
    <x v="409"/>
    <n v="51.7"/>
    <n v="0.8"/>
    <n v="0.9"/>
    <n v="0"/>
    <n v="0"/>
    <n v="0"/>
    <n v="0"/>
    <n v="0"/>
    <x v="35"/>
    <x v="35"/>
    <n v="172280"/>
    <x v="8"/>
    <x v="25"/>
    <n v="89"/>
    <n v="65"/>
    <n v="79"/>
  </r>
  <r>
    <x v="2"/>
    <x v="39"/>
    <x v="8"/>
    <x v="189"/>
    <x v="36"/>
    <n v="0"/>
    <n v="18.2"/>
    <n v="0"/>
    <n v="0"/>
    <n v="0"/>
    <n v="0"/>
    <n v="0"/>
    <n v="0"/>
    <x v="28"/>
    <x v="28"/>
    <n v="0"/>
    <x v="54"/>
    <x v="16"/>
    <n v="0"/>
    <n v="0"/>
    <n v="4"/>
  </r>
  <r>
    <x v="2"/>
    <x v="17"/>
    <x v="8"/>
    <x v="198"/>
    <x v="17"/>
    <n v="0"/>
    <n v="6.7"/>
    <n v="0"/>
    <n v="0"/>
    <n v="0"/>
    <n v="0"/>
    <n v="0"/>
    <n v="0"/>
    <x v="28"/>
    <x v="28"/>
    <n v="0"/>
    <x v="16"/>
    <x v="11"/>
    <n v="0"/>
    <n v="0"/>
    <n v="4"/>
  </r>
  <r>
    <x v="0"/>
    <x v="23"/>
    <x v="0"/>
    <x v="212"/>
    <x v="23"/>
    <n v="0.1"/>
    <n v="1.8"/>
    <n v="9"/>
    <n v="0.8"/>
    <n v="1"/>
    <n v="0.1"/>
    <n v="0.8"/>
    <n v="15.2"/>
    <x v="752"/>
    <x v="682"/>
    <n v="1039826"/>
    <x v="13"/>
    <x v="16"/>
    <n v="1"/>
    <n v="999"/>
    <n v="999"/>
  </r>
  <r>
    <x v="2"/>
    <x v="50"/>
    <x v="8"/>
    <x v="609"/>
    <x v="2"/>
    <n v="0"/>
    <n v="0"/>
    <n v="0"/>
    <n v="0"/>
    <n v="0"/>
    <n v="0"/>
    <n v="0"/>
    <n v="0"/>
    <x v="28"/>
    <x v="28"/>
    <n v="0"/>
    <x v="272"/>
    <x v="1"/>
    <n v="0"/>
    <n v="0"/>
    <n v="4"/>
  </r>
  <r>
    <x v="1"/>
    <x v="14"/>
    <x v="6"/>
    <x v="610"/>
    <x v="121"/>
    <n v="0"/>
    <n v="11.9"/>
    <n v="0"/>
    <n v="0"/>
    <n v="0"/>
    <n v="0"/>
    <n v="0"/>
    <n v="0"/>
    <x v="716"/>
    <x v="650"/>
    <n v="0"/>
    <x v="134"/>
    <x v="11"/>
    <n v="0"/>
    <n v="80"/>
    <n v="200"/>
  </r>
  <r>
    <x v="1"/>
    <x v="84"/>
    <x v="8"/>
    <x v="97"/>
    <x v="13"/>
    <n v="0"/>
    <n v="3"/>
    <n v="0"/>
    <n v="0"/>
    <n v="0"/>
    <n v="0"/>
    <n v="0"/>
    <n v="0"/>
    <x v="28"/>
    <x v="28"/>
    <n v="0"/>
    <x v="45"/>
    <x v="0"/>
    <n v="0"/>
    <n v="0"/>
    <n v="4"/>
  </r>
  <r>
    <x v="0"/>
    <x v="132"/>
    <x v="3"/>
    <x v="2"/>
    <x v="2"/>
    <n v="0.7"/>
    <n v="0"/>
    <n v="0"/>
    <n v="0"/>
    <n v="0"/>
    <n v="0"/>
    <n v="0"/>
    <n v="0"/>
    <x v="409"/>
    <x v="383"/>
    <n v="151504"/>
    <x v="2"/>
    <x v="1"/>
    <n v="1"/>
    <n v="18"/>
    <n v="29"/>
  </r>
  <r>
    <x v="0"/>
    <x v="139"/>
    <x v="8"/>
    <x v="2"/>
    <x v="2"/>
    <n v="0"/>
    <n v="0"/>
    <n v="0"/>
    <n v="0"/>
    <n v="0"/>
    <n v="0"/>
    <n v="0"/>
    <n v="0"/>
    <x v="28"/>
    <x v="28"/>
    <n v="0"/>
    <x v="2"/>
    <x v="1"/>
    <n v="0"/>
    <n v="0"/>
    <n v="4"/>
  </r>
  <r>
    <x v="2"/>
    <x v="9"/>
    <x v="2"/>
    <x v="611"/>
    <x v="2"/>
    <n v="0"/>
    <n v="0"/>
    <n v="0"/>
    <n v="0"/>
    <n v="0"/>
    <n v="0"/>
    <n v="0"/>
    <n v="0"/>
    <x v="356"/>
    <x v="28"/>
    <n v="0"/>
    <x v="95"/>
    <x v="1"/>
    <n v="0"/>
    <n v="5"/>
    <n v="11"/>
  </r>
  <r>
    <x v="2"/>
    <x v="90"/>
    <x v="8"/>
    <x v="381"/>
    <x v="2"/>
    <n v="0"/>
    <n v="0"/>
    <n v="0"/>
    <n v="0"/>
    <n v="0"/>
    <n v="0"/>
    <n v="0"/>
    <n v="0"/>
    <x v="28"/>
    <x v="28"/>
    <n v="0"/>
    <x v="184"/>
    <x v="1"/>
    <n v="0"/>
    <n v="0"/>
    <n v="4"/>
  </r>
  <r>
    <x v="0"/>
    <x v="35"/>
    <x v="8"/>
    <x v="2"/>
    <x v="2"/>
    <n v="0"/>
    <n v="0"/>
    <n v="0"/>
    <n v="0"/>
    <n v="0"/>
    <n v="0"/>
    <n v="0"/>
    <n v="0"/>
    <x v="28"/>
    <x v="28"/>
    <n v="0"/>
    <x v="2"/>
    <x v="1"/>
    <n v="0"/>
    <n v="0"/>
    <n v="4"/>
  </r>
  <r>
    <x v="1"/>
    <x v="53"/>
    <x v="8"/>
    <x v="97"/>
    <x v="2"/>
    <n v="0"/>
    <n v="0"/>
    <n v="0"/>
    <n v="0"/>
    <n v="0"/>
    <n v="0"/>
    <n v="0"/>
    <n v="0"/>
    <x v="28"/>
    <x v="28"/>
    <n v="0"/>
    <x v="45"/>
    <x v="1"/>
    <n v="0"/>
    <n v="0"/>
    <n v="4"/>
  </r>
  <r>
    <x v="1"/>
    <x v="86"/>
    <x v="8"/>
    <x v="37"/>
    <x v="2"/>
    <n v="0"/>
    <n v="0"/>
    <n v="0"/>
    <n v="0"/>
    <n v="0"/>
    <n v="0"/>
    <n v="0"/>
    <n v="0"/>
    <x v="28"/>
    <x v="28"/>
    <n v="0"/>
    <x v="51"/>
    <x v="1"/>
    <n v="0"/>
    <n v="0"/>
    <n v="4"/>
  </r>
  <r>
    <x v="0"/>
    <x v="64"/>
    <x v="8"/>
    <x v="2"/>
    <x v="2"/>
    <n v="0"/>
    <n v="0"/>
    <n v="0"/>
    <n v="0"/>
    <n v="0"/>
    <n v="0"/>
    <n v="0"/>
    <n v="0"/>
    <x v="28"/>
    <x v="28"/>
    <n v="0"/>
    <x v="2"/>
    <x v="1"/>
    <n v="0"/>
    <n v="0"/>
    <n v="4"/>
  </r>
  <r>
    <x v="1"/>
    <x v="20"/>
    <x v="6"/>
    <x v="109"/>
    <x v="390"/>
    <n v="0"/>
    <n v="1.9"/>
    <n v="0"/>
    <n v="0"/>
    <n v="0"/>
    <n v="0"/>
    <n v="0"/>
    <n v="0"/>
    <x v="750"/>
    <x v="680"/>
    <n v="0"/>
    <x v="64"/>
    <x v="48"/>
    <n v="0"/>
    <n v="80"/>
    <n v="200"/>
  </r>
  <r>
    <x v="2"/>
    <x v="88"/>
    <x v="6"/>
    <x v="335"/>
    <x v="367"/>
    <n v="0"/>
    <n v="1.6"/>
    <n v="0"/>
    <n v="0"/>
    <n v="0"/>
    <n v="0"/>
    <n v="0"/>
    <n v="0"/>
    <x v="737"/>
    <x v="669"/>
    <n v="0"/>
    <x v="46"/>
    <x v="97"/>
    <n v="0"/>
    <n v="80"/>
    <n v="200"/>
  </r>
  <r>
    <x v="2"/>
    <x v="57"/>
    <x v="4"/>
    <x v="612"/>
    <x v="410"/>
    <n v="0"/>
    <n v="8.1999999999999993"/>
    <n v="0"/>
    <n v="0"/>
    <n v="0"/>
    <n v="0"/>
    <n v="0"/>
    <n v="0"/>
    <x v="703"/>
    <x v="639"/>
    <n v="0"/>
    <x v="273"/>
    <x v="88"/>
    <n v="0"/>
    <n v="12"/>
    <n v="17"/>
  </r>
  <r>
    <x v="1"/>
    <x v="15"/>
    <x v="8"/>
    <x v="17"/>
    <x v="2"/>
    <n v="0"/>
    <n v="0"/>
    <n v="0"/>
    <n v="0"/>
    <n v="0"/>
    <n v="0"/>
    <n v="0"/>
    <n v="0"/>
    <x v="28"/>
    <x v="28"/>
    <n v="0"/>
    <x v="35"/>
    <x v="1"/>
    <n v="0"/>
    <n v="0"/>
    <n v="4"/>
  </r>
  <r>
    <x v="1"/>
    <x v="122"/>
    <x v="5"/>
    <x v="352"/>
    <x v="38"/>
    <n v="0"/>
    <n v="28"/>
    <n v="0"/>
    <n v="0"/>
    <n v="0"/>
    <n v="0"/>
    <n v="0"/>
    <n v="0"/>
    <x v="611"/>
    <x v="557"/>
    <n v="0"/>
    <x v="154"/>
    <x v="0"/>
    <n v="0"/>
    <n v="30"/>
    <n v="49"/>
  </r>
  <r>
    <x v="2"/>
    <x v="89"/>
    <x v="7"/>
    <x v="502"/>
    <x v="288"/>
    <n v="0"/>
    <n v="3.9"/>
    <n v="0"/>
    <n v="0"/>
    <n v="0"/>
    <n v="0"/>
    <n v="0"/>
    <n v="0"/>
    <x v="380"/>
    <x v="356"/>
    <n v="0"/>
    <x v="36"/>
    <x v="17"/>
    <n v="0"/>
    <n v="65"/>
    <n v="79"/>
  </r>
  <r>
    <x v="1"/>
    <x v="57"/>
    <x v="6"/>
    <x v="613"/>
    <x v="356"/>
    <n v="0"/>
    <n v="1.9"/>
    <n v="0"/>
    <n v="0"/>
    <n v="0"/>
    <n v="0"/>
    <n v="0"/>
    <n v="0"/>
    <x v="723"/>
    <x v="656"/>
    <n v="8679"/>
    <x v="24"/>
    <x v="5"/>
    <n v="0"/>
    <n v="80"/>
    <n v="200"/>
  </r>
  <r>
    <x v="2"/>
    <x v="65"/>
    <x v="6"/>
    <x v="300"/>
    <x v="2"/>
    <n v="0"/>
    <n v="0"/>
    <n v="0"/>
    <n v="0"/>
    <n v="0"/>
    <n v="0"/>
    <n v="0"/>
    <n v="0"/>
    <x v="732"/>
    <x v="664"/>
    <n v="0"/>
    <x v="0"/>
    <x v="1"/>
    <n v="0"/>
    <n v="80"/>
    <n v="200"/>
  </r>
  <r>
    <x v="1"/>
    <x v="58"/>
    <x v="8"/>
    <x v="37"/>
    <x v="2"/>
    <n v="0"/>
    <n v="0"/>
    <n v="0"/>
    <n v="0"/>
    <n v="0"/>
    <n v="0"/>
    <n v="0"/>
    <n v="0"/>
    <x v="28"/>
    <x v="28"/>
    <n v="0"/>
    <x v="51"/>
    <x v="1"/>
    <n v="0"/>
    <n v="0"/>
    <n v="4"/>
  </r>
  <r>
    <x v="2"/>
    <x v="31"/>
    <x v="8"/>
    <x v="592"/>
    <x v="2"/>
    <n v="0"/>
    <n v="0"/>
    <n v="0"/>
    <n v="0"/>
    <n v="0"/>
    <n v="0"/>
    <n v="0"/>
    <n v="0"/>
    <x v="28"/>
    <x v="28"/>
    <n v="0"/>
    <x v="263"/>
    <x v="1"/>
    <n v="0"/>
    <n v="0"/>
    <n v="4"/>
  </r>
  <r>
    <x v="2"/>
    <x v="130"/>
    <x v="2"/>
    <x v="614"/>
    <x v="2"/>
    <n v="0"/>
    <n v="0"/>
    <n v="0"/>
    <n v="0"/>
    <n v="0"/>
    <n v="0"/>
    <n v="0"/>
    <n v="0"/>
    <x v="356"/>
    <x v="28"/>
    <n v="0"/>
    <x v="274"/>
    <x v="1"/>
    <n v="0"/>
    <n v="5"/>
    <n v="11"/>
  </r>
  <r>
    <x v="1"/>
    <x v="136"/>
    <x v="5"/>
    <x v="615"/>
    <x v="141"/>
    <n v="0"/>
    <n v="20.399999999999999"/>
    <n v="0"/>
    <n v="0"/>
    <n v="0"/>
    <n v="0"/>
    <n v="0"/>
    <n v="0"/>
    <x v="415"/>
    <x v="388"/>
    <n v="0"/>
    <x v="47"/>
    <x v="26"/>
    <n v="0"/>
    <n v="30"/>
    <n v="49"/>
  </r>
  <r>
    <x v="2"/>
    <x v="132"/>
    <x v="8"/>
    <x v="616"/>
    <x v="2"/>
    <n v="0"/>
    <n v="0"/>
    <n v="0"/>
    <n v="0"/>
    <n v="0"/>
    <n v="0"/>
    <n v="0"/>
    <n v="0"/>
    <x v="28"/>
    <x v="28"/>
    <n v="0"/>
    <x v="275"/>
    <x v="1"/>
    <n v="0"/>
    <n v="0"/>
    <n v="4"/>
  </r>
  <r>
    <x v="1"/>
    <x v="139"/>
    <x v="5"/>
    <x v="212"/>
    <x v="19"/>
    <n v="0"/>
    <n v="2.2000000000000002"/>
    <n v="0"/>
    <n v="0"/>
    <n v="0"/>
    <n v="0"/>
    <n v="0"/>
    <n v="0"/>
    <x v="513"/>
    <x v="197"/>
    <n v="347307"/>
    <x v="1"/>
    <x v="0"/>
    <n v="0"/>
    <n v="30"/>
    <n v="49"/>
  </r>
  <r>
    <x v="2"/>
    <x v="8"/>
    <x v="3"/>
    <x v="617"/>
    <x v="411"/>
    <n v="0"/>
    <n v="12.7"/>
    <n v="0"/>
    <n v="0"/>
    <n v="0"/>
    <n v="0"/>
    <n v="0"/>
    <n v="0"/>
    <x v="753"/>
    <x v="683"/>
    <n v="0"/>
    <x v="276"/>
    <x v="28"/>
    <n v="0"/>
    <n v="18"/>
    <n v="29"/>
  </r>
  <r>
    <x v="2"/>
    <x v="12"/>
    <x v="4"/>
    <x v="618"/>
    <x v="283"/>
    <n v="0"/>
    <n v="4.3"/>
    <n v="0"/>
    <n v="0"/>
    <n v="0"/>
    <n v="0"/>
    <n v="0"/>
    <n v="0"/>
    <x v="754"/>
    <x v="684"/>
    <n v="0"/>
    <x v="204"/>
    <x v="17"/>
    <n v="0"/>
    <n v="12"/>
    <n v="17"/>
  </r>
  <r>
    <x v="2"/>
    <x v="100"/>
    <x v="4"/>
    <x v="619"/>
    <x v="412"/>
    <n v="220.1"/>
    <n v="1.8"/>
    <n v="1.4"/>
    <n v="0"/>
    <n v="0"/>
    <n v="0"/>
    <n v="0"/>
    <n v="0"/>
    <x v="667"/>
    <x v="605"/>
    <n v="35890"/>
    <x v="239"/>
    <x v="161"/>
    <n v="79"/>
    <n v="12"/>
    <n v="17"/>
  </r>
  <r>
    <x v="0"/>
    <x v="130"/>
    <x v="5"/>
    <x v="86"/>
    <x v="82"/>
    <n v="0"/>
    <n v="4"/>
    <n v="0"/>
    <n v="0"/>
    <n v="0"/>
    <n v="0"/>
    <n v="0"/>
    <n v="0"/>
    <x v="755"/>
    <x v="685"/>
    <n v="0"/>
    <x v="0"/>
    <x v="0"/>
    <n v="0"/>
    <n v="30"/>
    <n v="49"/>
  </r>
  <r>
    <x v="1"/>
    <x v="123"/>
    <x v="6"/>
    <x v="620"/>
    <x v="96"/>
    <n v="34"/>
    <n v="0.3"/>
    <n v="0.2"/>
    <n v="0"/>
    <n v="0"/>
    <n v="0"/>
    <n v="0"/>
    <n v="0"/>
    <x v="417"/>
    <x v="353"/>
    <n v="47126"/>
    <x v="0"/>
    <x v="39"/>
    <n v="16"/>
    <n v="80"/>
    <n v="200"/>
  </r>
  <r>
    <x v="0"/>
    <x v="48"/>
    <x v="4"/>
    <x v="2"/>
    <x v="2"/>
    <n v="0"/>
    <n v="0"/>
    <n v="0"/>
    <n v="0"/>
    <n v="0"/>
    <n v="0"/>
    <n v="0"/>
    <n v="0"/>
    <x v="756"/>
    <x v="686"/>
    <n v="44606"/>
    <x v="2"/>
    <x v="1"/>
    <n v="0"/>
    <n v="12"/>
    <n v="17"/>
  </r>
  <r>
    <x v="2"/>
    <x v="114"/>
    <x v="1"/>
    <x v="621"/>
    <x v="413"/>
    <n v="103.8"/>
    <n v="3.9"/>
    <n v="2.9"/>
    <n v="0"/>
    <n v="0"/>
    <n v="0"/>
    <n v="0"/>
    <n v="0"/>
    <x v="693"/>
    <x v="629"/>
    <n v="246635"/>
    <x v="277"/>
    <x v="211"/>
    <n v="256"/>
    <n v="50"/>
    <n v="64"/>
  </r>
  <r>
    <x v="2"/>
    <x v="62"/>
    <x v="7"/>
    <x v="369"/>
    <x v="414"/>
    <n v="32.6"/>
    <n v="0.6"/>
    <n v="0.6"/>
    <n v="0"/>
    <n v="0"/>
    <n v="0"/>
    <n v="0"/>
    <n v="0"/>
    <x v="743"/>
    <x v="449"/>
    <n v="171751"/>
    <x v="33"/>
    <x v="36"/>
    <n v="56"/>
    <n v="65"/>
    <n v="79"/>
  </r>
  <r>
    <x v="0"/>
    <x v="52"/>
    <x v="1"/>
    <x v="2"/>
    <x v="1"/>
    <n v="0"/>
    <n v="0"/>
    <n v="0"/>
    <n v="0"/>
    <n v="0"/>
    <n v="0"/>
    <n v="0"/>
    <n v="0"/>
    <x v="757"/>
    <x v="687"/>
    <n v="245378"/>
    <x v="2"/>
    <x v="0"/>
    <n v="0"/>
    <n v="50"/>
    <n v="64"/>
  </r>
  <r>
    <x v="2"/>
    <x v="33"/>
    <x v="6"/>
    <x v="82"/>
    <x v="66"/>
    <n v="23.3"/>
    <n v="0.2"/>
    <n v="0.2"/>
    <n v="0"/>
    <n v="0"/>
    <n v="0"/>
    <n v="0"/>
    <n v="0"/>
    <x v="758"/>
    <x v="101"/>
    <n v="47130"/>
    <x v="1"/>
    <x v="11"/>
    <n v="11"/>
    <n v="80"/>
    <n v="200"/>
  </r>
  <r>
    <x v="1"/>
    <x v="93"/>
    <x v="5"/>
    <x v="548"/>
    <x v="17"/>
    <n v="0"/>
    <n v="18.7"/>
    <n v="0"/>
    <n v="0"/>
    <n v="0"/>
    <n v="0"/>
    <n v="0"/>
    <n v="0"/>
    <x v="759"/>
    <x v="688"/>
    <n v="0"/>
    <x v="26"/>
    <x v="48"/>
    <n v="0"/>
    <n v="30"/>
    <n v="49"/>
  </r>
  <r>
    <x v="1"/>
    <x v="104"/>
    <x v="4"/>
    <x v="431"/>
    <x v="2"/>
    <n v="0"/>
    <n v="0"/>
    <n v="0"/>
    <n v="0"/>
    <n v="0"/>
    <n v="0"/>
    <n v="0"/>
    <n v="0"/>
    <x v="760"/>
    <x v="689"/>
    <n v="0"/>
    <x v="1"/>
    <x v="1"/>
    <n v="0"/>
    <n v="12"/>
    <n v="17"/>
  </r>
  <r>
    <x v="2"/>
    <x v="52"/>
    <x v="8"/>
    <x v="3"/>
    <x v="36"/>
    <n v="0"/>
    <n v="49.2"/>
    <n v="0"/>
    <n v="0"/>
    <n v="0"/>
    <n v="0"/>
    <n v="0"/>
    <n v="0"/>
    <x v="28"/>
    <x v="28"/>
    <n v="0"/>
    <x v="278"/>
    <x v="16"/>
    <n v="0"/>
    <n v="0"/>
    <n v="4"/>
  </r>
  <r>
    <x v="2"/>
    <x v="52"/>
    <x v="4"/>
    <x v="622"/>
    <x v="177"/>
    <n v="82"/>
    <n v="2.1"/>
    <n v="2.1"/>
    <n v="0"/>
    <n v="0"/>
    <n v="0"/>
    <n v="0"/>
    <n v="0"/>
    <x v="299"/>
    <x v="282"/>
    <n v="42657"/>
    <x v="90"/>
    <x v="114"/>
    <n v="35"/>
    <n v="12"/>
    <n v="17"/>
  </r>
  <r>
    <x v="2"/>
    <x v="70"/>
    <x v="2"/>
    <x v="623"/>
    <x v="115"/>
    <n v="80.099999999999994"/>
    <n v="1.3"/>
    <n v="0.6"/>
    <n v="0"/>
    <n v="0"/>
    <n v="0"/>
    <n v="0"/>
    <n v="0"/>
    <x v="761"/>
    <x v="690"/>
    <n v="21228"/>
    <x v="80"/>
    <x v="168"/>
    <n v="17"/>
    <n v="5"/>
    <n v="11"/>
  </r>
  <r>
    <x v="1"/>
    <x v="79"/>
    <x v="3"/>
    <x v="102"/>
    <x v="23"/>
    <n v="1.2"/>
    <n v="8"/>
    <n v="3.3"/>
    <n v="0"/>
    <n v="0"/>
    <n v="0"/>
    <n v="0"/>
    <n v="0"/>
    <x v="639"/>
    <x v="580"/>
    <n v="161691"/>
    <x v="45"/>
    <x v="0"/>
    <n v="2"/>
    <n v="18"/>
    <n v="29"/>
  </r>
  <r>
    <x v="0"/>
    <x v="5"/>
    <x v="5"/>
    <x v="102"/>
    <x v="2"/>
    <n v="0"/>
    <n v="0"/>
    <n v="0"/>
    <n v="0"/>
    <n v="0"/>
    <n v="0"/>
    <n v="0"/>
    <n v="0"/>
    <x v="762"/>
    <x v="691"/>
    <n v="0"/>
    <x v="51"/>
    <x v="1"/>
    <n v="0"/>
    <n v="30"/>
    <n v="49"/>
  </r>
  <r>
    <x v="0"/>
    <x v="32"/>
    <x v="3"/>
    <x v="2"/>
    <x v="2"/>
    <n v="0"/>
    <n v="0"/>
    <n v="0"/>
    <n v="0"/>
    <n v="0"/>
    <n v="0"/>
    <n v="0"/>
    <n v="0"/>
    <x v="763"/>
    <x v="692"/>
    <n v="161571"/>
    <x v="2"/>
    <x v="1"/>
    <n v="0"/>
    <n v="18"/>
    <n v="29"/>
  </r>
  <r>
    <x v="1"/>
    <x v="119"/>
    <x v="8"/>
    <x v="41"/>
    <x v="2"/>
    <n v="0"/>
    <n v="0"/>
    <n v="0"/>
    <n v="0"/>
    <n v="0"/>
    <n v="0"/>
    <n v="0"/>
    <n v="0"/>
    <x v="28"/>
    <x v="28"/>
    <n v="0"/>
    <x v="33"/>
    <x v="1"/>
    <n v="0"/>
    <n v="0"/>
    <n v="4"/>
  </r>
  <r>
    <x v="0"/>
    <x v="14"/>
    <x v="7"/>
    <x v="442"/>
    <x v="2"/>
    <n v="0"/>
    <n v="0"/>
    <n v="0"/>
    <n v="0"/>
    <n v="0"/>
    <n v="0"/>
    <n v="0"/>
    <n v="0"/>
    <x v="764"/>
    <x v="693"/>
    <n v="0"/>
    <x v="51"/>
    <x v="1"/>
    <n v="0"/>
    <n v="65"/>
    <n v="79"/>
  </r>
  <r>
    <x v="2"/>
    <x v="95"/>
    <x v="8"/>
    <x v="624"/>
    <x v="2"/>
    <n v="0"/>
    <n v="0"/>
    <n v="0"/>
    <n v="0"/>
    <n v="0"/>
    <n v="0"/>
    <n v="0"/>
    <n v="0"/>
    <x v="28"/>
    <x v="28"/>
    <n v="0"/>
    <x v="279"/>
    <x v="1"/>
    <n v="0"/>
    <n v="0"/>
    <n v="4"/>
  </r>
  <r>
    <x v="2"/>
    <x v="85"/>
    <x v="4"/>
    <x v="625"/>
    <x v="415"/>
    <n v="1041.7"/>
    <n v="1.6"/>
    <n v="2.4"/>
    <n v="0"/>
    <n v="0"/>
    <n v="0"/>
    <n v="0"/>
    <n v="0"/>
    <x v="765"/>
    <x v="694"/>
    <n v="3456"/>
    <x v="280"/>
    <x v="212"/>
    <n v="36"/>
    <n v="12"/>
    <n v="17"/>
  </r>
  <r>
    <x v="0"/>
    <x v="64"/>
    <x v="0"/>
    <x v="18"/>
    <x v="2"/>
    <n v="0.1"/>
    <n v="0"/>
    <n v="4"/>
    <n v="0.7"/>
    <n v="0"/>
    <n v="0.1"/>
    <n v="0"/>
    <n v="10.4"/>
    <x v="364"/>
    <x v="340"/>
    <n v="1040623"/>
    <x v="0"/>
    <x v="1"/>
    <n v="1"/>
    <n v="999"/>
    <n v="999"/>
  </r>
  <r>
    <x v="2"/>
    <x v="107"/>
    <x v="1"/>
    <x v="389"/>
    <x v="95"/>
    <n v="0"/>
    <n v="7.3"/>
    <n v="0"/>
    <n v="0"/>
    <n v="0"/>
    <n v="0"/>
    <n v="0"/>
    <n v="0"/>
    <x v="766"/>
    <x v="695"/>
    <n v="0"/>
    <x v="44"/>
    <x v="52"/>
    <n v="0"/>
    <n v="50"/>
    <n v="64"/>
  </r>
  <r>
    <x v="0"/>
    <x v="84"/>
    <x v="5"/>
    <x v="2"/>
    <x v="19"/>
    <n v="0"/>
    <n v="0"/>
    <n v="0"/>
    <n v="0"/>
    <n v="0"/>
    <n v="0"/>
    <n v="0"/>
    <n v="0"/>
    <x v="767"/>
    <x v="696"/>
    <n v="347333"/>
    <x v="2"/>
    <x v="0"/>
    <n v="0"/>
    <n v="30"/>
    <n v="49"/>
  </r>
  <r>
    <x v="1"/>
    <x v="94"/>
    <x v="8"/>
    <x v="132"/>
    <x v="2"/>
    <n v="0"/>
    <n v="0"/>
    <n v="0"/>
    <n v="0"/>
    <n v="0"/>
    <n v="0"/>
    <n v="0"/>
    <n v="0"/>
    <x v="28"/>
    <x v="28"/>
    <n v="0"/>
    <x v="13"/>
    <x v="1"/>
    <n v="0"/>
    <n v="0"/>
    <n v="4"/>
  </r>
  <r>
    <x v="0"/>
    <x v="7"/>
    <x v="2"/>
    <x v="2"/>
    <x v="2"/>
    <n v="0"/>
    <n v="0"/>
    <n v="0"/>
    <n v="0"/>
    <n v="0"/>
    <n v="0"/>
    <n v="0"/>
    <n v="0"/>
    <x v="768"/>
    <x v="697"/>
    <n v="0"/>
    <x v="2"/>
    <x v="1"/>
    <n v="0"/>
    <n v="5"/>
    <n v="11"/>
  </r>
  <r>
    <x v="1"/>
    <x v="68"/>
    <x v="5"/>
    <x v="103"/>
    <x v="116"/>
    <n v="1.8"/>
    <n v="1.4"/>
    <n v="1.7"/>
    <n v="0"/>
    <n v="0"/>
    <n v="0"/>
    <n v="0"/>
    <n v="0"/>
    <x v="769"/>
    <x v="698"/>
    <n v="328103"/>
    <x v="20"/>
    <x v="48"/>
    <n v="6"/>
    <n v="30"/>
    <n v="49"/>
  </r>
  <r>
    <x v="1"/>
    <x v="96"/>
    <x v="6"/>
    <x v="389"/>
    <x v="290"/>
    <n v="42.4"/>
    <n v="0.7"/>
    <n v="0.9"/>
    <n v="0"/>
    <n v="0"/>
    <n v="0"/>
    <n v="0"/>
    <n v="0"/>
    <x v="551"/>
    <x v="506"/>
    <n v="47126"/>
    <x v="51"/>
    <x v="48"/>
    <n v="20"/>
    <n v="80"/>
    <n v="200"/>
  </r>
  <r>
    <x v="1"/>
    <x v="95"/>
    <x v="8"/>
    <x v="41"/>
    <x v="2"/>
    <n v="0"/>
    <n v="0"/>
    <n v="0"/>
    <n v="0"/>
    <n v="0"/>
    <n v="0"/>
    <n v="0"/>
    <n v="0"/>
    <x v="28"/>
    <x v="28"/>
    <n v="0"/>
    <x v="33"/>
    <x v="1"/>
    <n v="0"/>
    <n v="0"/>
    <n v="4"/>
  </r>
  <r>
    <x v="2"/>
    <x v="103"/>
    <x v="7"/>
    <x v="78"/>
    <x v="142"/>
    <n v="0"/>
    <n v="4.9000000000000004"/>
    <n v="0"/>
    <n v="0"/>
    <n v="0"/>
    <n v="0"/>
    <n v="0"/>
    <n v="0"/>
    <x v="462"/>
    <x v="428"/>
    <n v="0"/>
    <x v="17"/>
    <x v="52"/>
    <n v="0"/>
    <n v="65"/>
    <n v="79"/>
  </r>
  <r>
    <x v="0"/>
    <x v="110"/>
    <x v="8"/>
    <x v="2"/>
    <x v="2"/>
    <n v="0"/>
    <n v="0"/>
    <n v="0"/>
    <n v="0"/>
    <n v="0"/>
    <n v="0"/>
    <n v="0"/>
    <n v="0"/>
    <x v="28"/>
    <x v="28"/>
    <n v="0"/>
    <x v="2"/>
    <x v="1"/>
    <n v="0"/>
    <n v="0"/>
    <n v="4"/>
  </r>
  <r>
    <x v="1"/>
    <x v="70"/>
    <x v="4"/>
    <x v="2"/>
    <x v="17"/>
    <n v="0"/>
    <n v="0"/>
    <n v="0"/>
    <n v="0"/>
    <n v="0"/>
    <n v="0"/>
    <n v="0"/>
    <n v="0"/>
    <x v="83"/>
    <x v="83"/>
    <n v="44572"/>
    <x v="2"/>
    <x v="0"/>
    <n v="0"/>
    <n v="12"/>
    <n v="17"/>
  </r>
  <r>
    <x v="1"/>
    <x v="121"/>
    <x v="1"/>
    <x v="626"/>
    <x v="2"/>
    <n v="0"/>
    <n v="0"/>
    <n v="0"/>
    <n v="0"/>
    <n v="0"/>
    <n v="0"/>
    <n v="0"/>
    <n v="0"/>
    <x v="379"/>
    <x v="355"/>
    <n v="0"/>
    <x v="281"/>
    <x v="1"/>
    <n v="0"/>
    <n v="50"/>
    <n v="64"/>
  </r>
  <r>
    <x v="2"/>
    <x v="55"/>
    <x v="5"/>
    <x v="599"/>
    <x v="416"/>
    <n v="39.700000000000003"/>
    <n v="2.6"/>
    <n v="1.7"/>
    <n v="0"/>
    <n v="0"/>
    <n v="0"/>
    <n v="0"/>
    <n v="0"/>
    <x v="602"/>
    <x v="551"/>
    <n v="347321"/>
    <x v="231"/>
    <x v="114"/>
    <n v="138"/>
    <n v="30"/>
    <n v="49"/>
  </r>
  <r>
    <x v="1"/>
    <x v="80"/>
    <x v="0"/>
    <x v="372"/>
    <x v="235"/>
    <n v="4.5"/>
    <n v="1.4"/>
    <n v="1.3"/>
    <n v="7.4"/>
    <n v="5.6"/>
    <n v="3.3"/>
    <n v="1.3"/>
    <n v="2.2999999999999998"/>
    <x v="591"/>
    <x v="541"/>
    <n v="952817"/>
    <x v="42"/>
    <x v="14"/>
    <n v="43"/>
    <n v="999"/>
    <n v="999"/>
  </r>
  <r>
    <x v="2"/>
    <x v="105"/>
    <x v="3"/>
    <x v="627"/>
    <x v="417"/>
    <n v="236.2"/>
    <n v="2.7"/>
    <n v="1.7"/>
    <n v="0"/>
    <n v="0"/>
    <n v="0"/>
    <n v="0"/>
    <n v="0"/>
    <x v="597"/>
    <x v="546"/>
    <n v="158786"/>
    <x v="282"/>
    <x v="177"/>
    <n v="375"/>
    <n v="18"/>
    <n v="29"/>
  </r>
  <r>
    <x v="0"/>
    <x v="13"/>
    <x v="0"/>
    <x v="511"/>
    <x v="56"/>
    <n v="1.2"/>
    <n v="3"/>
    <n v="13.8"/>
    <n v="21.5"/>
    <n v="8.1"/>
    <n v="0.7"/>
    <n v="2.7"/>
    <n v="30.4"/>
    <x v="770"/>
    <x v="699"/>
    <n v="733279"/>
    <x v="171"/>
    <x v="18"/>
    <n v="9"/>
    <n v="999"/>
    <n v="999"/>
  </r>
  <r>
    <x v="2"/>
    <x v="71"/>
    <x v="0"/>
    <x v="628"/>
    <x v="100"/>
    <n v="0"/>
    <n v="3.6"/>
    <n v="0"/>
    <n v="16.600000000000001"/>
    <n v="3.3"/>
    <n v="0"/>
    <n v="5.0999999999999996"/>
    <n v="0"/>
    <x v="771"/>
    <x v="700"/>
    <n v="0"/>
    <x v="191"/>
    <x v="82"/>
    <n v="0"/>
    <n v="999"/>
    <n v="999"/>
  </r>
  <r>
    <x v="2"/>
    <x v="4"/>
    <x v="1"/>
    <x v="629"/>
    <x v="418"/>
    <n v="95.4"/>
    <n v="2.5"/>
    <n v="1.1000000000000001"/>
    <n v="0"/>
    <n v="0"/>
    <n v="0"/>
    <n v="0"/>
    <n v="0"/>
    <x v="772"/>
    <x v="701"/>
    <n v="228401"/>
    <x v="259"/>
    <x v="213"/>
    <n v="218"/>
    <n v="50"/>
    <n v="64"/>
  </r>
  <r>
    <x v="2"/>
    <x v="50"/>
    <x v="4"/>
    <x v="630"/>
    <x v="419"/>
    <n v="121.1"/>
    <n v="1.6"/>
    <n v="1"/>
    <n v="0"/>
    <n v="0"/>
    <n v="0"/>
    <n v="0"/>
    <n v="0"/>
    <x v="662"/>
    <x v="602"/>
    <n v="36325"/>
    <x v="261"/>
    <x v="166"/>
    <n v="44"/>
    <n v="12"/>
    <n v="17"/>
  </r>
  <r>
    <x v="1"/>
    <x v="104"/>
    <x v="6"/>
    <x v="631"/>
    <x v="420"/>
    <n v="0"/>
    <n v="1.3"/>
    <n v="0"/>
    <n v="0"/>
    <n v="0"/>
    <n v="0"/>
    <n v="0"/>
    <n v="0"/>
    <x v="747"/>
    <x v="677"/>
    <n v="22158"/>
    <x v="8"/>
    <x v="36"/>
    <n v="0"/>
    <n v="80"/>
    <n v="200"/>
  </r>
  <r>
    <x v="1"/>
    <x v="82"/>
    <x v="3"/>
    <x v="197"/>
    <x v="2"/>
    <n v="0"/>
    <n v="0"/>
    <n v="0"/>
    <n v="0"/>
    <n v="0"/>
    <n v="0"/>
    <n v="0"/>
    <n v="0"/>
    <x v="523"/>
    <x v="478"/>
    <n v="161703"/>
    <x v="0"/>
    <x v="1"/>
    <n v="0"/>
    <n v="18"/>
    <n v="29"/>
  </r>
  <r>
    <x v="2"/>
    <x v="13"/>
    <x v="4"/>
    <x v="632"/>
    <x v="421"/>
    <n v="291.3"/>
    <n v="1.4"/>
    <n v="2.7"/>
    <n v="0"/>
    <n v="0"/>
    <n v="0"/>
    <n v="0"/>
    <n v="0"/>
    <x v="437"/>
    <x v="408"/>
    <n v="8581"/>
    <x v="283"/>
    <x v="214"/>
    <n v="25"/>
    <n v="12"/>
    <n v="17"/>
  </r>
  <r>
    <x v="0"/>
    <x v="69"/>
    <x v="7"/>
    <x v="633"/>
    <x v="342"/>
    <n v="2.6"/>
    <n v="1.8"/>
    <n v="6.2"/>
    <n v="0"/>
    <n v="0"/>
    <n v="0"/>
    <n v="0"/>
    <n v="0"/>
    <x v="773"/>
    <x v="702"/>
    <n v="153089"/>
    <x v="33"/>
    <x v="21"/>
    <n v="4"/>
    <n v="65"/>
    <n v="79"/>
  </r>
  <r>
    <x v="0"/>
    <x v="96"/>
    <x v="8"/>
    <x v="2"/>
    <x v="2"/>
    <n v="0"/>
    <n v="0"/>
    <n v="0"/>
    <n v="0"/>
    <n v="0"/>
    <n v="0"/>
    <n v="0"/>
    <n v="0"/>
    <x v="28"/>
    <x v="28"/>
    <n v="0"/>
    <x v="2"/>
    <x v="1"/>
    <n v="0"/>
    <n v="0"/>
    <n v="4"/>
  </r>
  <r>
    <x v="1"/>
    <x v="64"/>
    <x v="8"/>
    <x v="2"/>
    <x v="2"/>
    <n v="0"/>
    <n v="0"/>
    <n v="0"/>
    <n v="0"/>
    <n v="0"/>
    <n v="0"/>
    <n v="0"/>
    <n v="0"/>
    <x v="28"/>
    <x v="28"/>
    <n v="0"/>
    <x v="2"/>
    <x v="1"/>
    <n v="0"/>
    <n v="0"/>
    <n v="4"/>
  </r>
  <r>
    <x v="0"/>
    <x v="30"/>
    <x v="8"/>
    <x v="2"/>
    <x v="2"/>
    <n v="0"/>
    <n v="0"/>
    <n v="0"/>
    <n v="0"/>
    <n v="0"/>
    <n v="0"/>
    <n v="0"/>
    <n v="0"/>
    <x v="28"/>
    <x v="28"/>
    <n v="0"/>
    <x v="2"/>
    <x v="1"/>
    <n v="0"/>
    <n v="0"/>
    <n v="4"/>
  </r>
  <r>
    <x v="2"/>
    <x v="40"/>
    <x v="6"/>
    <x v="634"/>
    <x v="422"/>
    <n v="0"/>
    <n v="1.1000000000000001"/>
    <n v="0"/>
    <n v="0"/>
    <n v="0"/>
    <n v="0"/>
    <n v="0"/>
    <n v="0"/>
    <x v="148"/>
    <x v="146"/>
    <n v="0"/>
    <x v="27"/>
    <x v="130"/>
    <n v="0"/>
    <n v="80"/>
    <n v="200"/>
  </r>
  <r>
    <x v="0"/>
    <x v="58"/>
    <x v="6"/>
    <x v="635"/>
    <x v="62"/>
    <n v="4.2"/>
    <n v="2.2999999999999998"/>
    <n v="4.7"/>
    <n v="0"/>
    <n v="0"/>
    <n v="0"/>
    <n v="0"/>
    <n v="0"/>
    <x v="774"/>
    <x v="703"/>
    <n v="47093"/>
    <x v="13"/>
    <x v="0"/>
    <n v="2"/>
    <n v="80"/>
    <n v="200"/>
  </r>
  <r>
    <x v="2"/>
    <x v="100"/>
    <x v="7"/>
    <x v="636"/>
    <x v="423"/>
    <n v="176.4"/>
    <n v="1.2"/>
    <n v="1"/>
    <n v="0"/>
    <n v="0"/>
    <n v="0"/>
    <n v="0"/>
    <n v="0"/>
    <x v="775"/>
    <x v="704"/>
    <n v="166138"/>
    <x v="63"/>
    <x v="24"/>
    <n v="293"/>
    <n v="65"/>
    <n v="79"/>
  </r>
  <r>
    <x v="1"/>
    <x v="95"/>
    <x v="6"/>
    <x v="407"/>
    <x v="424"/>
    <n v="60.7"/>
    <n v="0.5"/>
    <n v="0.9"/>
    <n v="0"/>
    <n v="0"/>
    <n v="0"/>
    <n v="0"/>
    <n v="0"/>
    <x v="776"/>
    <x v="705"/>
    <n v="46163"/>
    <x v="35"/>
    <x v="23"/>
    <n v="28"/>
    <n v="80"/>
    <n v="200"/>
  </r>
  <r>
    <x v="2"/>
    <x v="7"/>
    <x v="0"/>
    <x v="637"/>
    <x v="425"/>
    <n v="47.4"/>
    <n v="2.2999999999999998"/>
    <n v="9.5"/>
    <n v="514"/>
    <n v="162"/>
    <n v="43.8"/>
    <n v="3.2"/>
    <n v="11.7"/>
    <x v="16"/>
    <x v="16"/>
    <n v="333146"/>
    <x v="284"/>
    <x v="215"/>
    <n v="158"/>
    <n v="999"/>
    <n v="999"/>
  </r>
  <r>
    <x v="0"/>
    <x v="18"/>
    <x v="0"/>
    <x v="219"/>
    <x v="0"/>
    <n v="0.2"/>
    <n v="6"/>
    <n v="3"/>
    <n v="0.8"/>
    <n v="0.3"/>
    <n v="0.1"/>
    <n v="3"/>
    <n v="5.4"/>
    <x v="777"/>
    <x v="706"/>
    <n v="974045"/>
    <x v="20"/>
    <x v="0"/>
    <n v="2"/>
    <n v="999"/>
    <n v="999"/>
  </r>
  <r>
    <x v="1"/>
    <x v="81"/>
    <x v="4"/>
    <x v="75"/>
    <x v="2"/>
    <n v="0"/>
    <n v="0"/>
    <n v="0"/>
    <n v="0"/>
    <n v="0"/>
    <n v="0"/>
    <n v="0"/>
    <n v="0"/>
    <x v="577"/>
    <x v="530"/>
    <n v="0"/>
    <x v="0"/>
    <x v="1"/>
    <n v="0"/>
    <n v="12"/>
    <n v="17"/>
  </r>
  <r>
    <x v="0"/>
    <x v="23"/>
    <x v="3"/>
    <x v="2"/>
    <x v="2"/>
    <n v="0"/>
    <n v="0"/>
    <n v="0"/>
    <n v="0"/>
    <n v="0"/>
    <n v="0"/>
    <n v="0"/>
    <n v="0"/>
    <x v="568"/>
    <x v="521"/>
    <n v="161582"/>
    <x v="2"/>
    <x v="1"/>
    <n v="0"/>
    <n v="18"/>
    <n v="29"/>
  </r>
  <r>
    <x v="0"/>
    <x v="19"/>
    <x v="3"/>
    <x v="2"/>
    <x v="2"/>
    <n v="0"/>
    <n v="0"/>
    <n v="0"/>
    <n v="0"/>
    <n v="0"/>
    <n v="0"/>
    <n v="0"/>
    <n v="0"/>
    <x v="778"/>
    <x v="707"/>
    <n v="161600"/>
    <x v="2"/>
    <x v="1"/>
    <n v="0"/>
    <n v="18"/>
    <n v="29"/>
  </r>
  <r>
    <x v="1"/>
    <x v="17"/>
    <x v="7"/>
    <x v="42"/>
    <x v="2"/>
    <n v="2.2999999999999998"/>
    <n v="0"/>
    <n v="4.4000000000000004"/>
    <n v="0"/>
    <n v="0"/>
    <n v="0"/>
    <n v="0"/>
    <n v="0"/>
    <x v="699"/>
    <x v="635"/>
    <n v="171741"/>
    <x v="20"/>
    <x v="1"/>
    <n v="4"/>
    <n v="65"/>
    <n v="79"/>
  </r>
  <r>
    <x v="2"/>
    <x v="54"/>
    <x v="4"/>
    <x v="398"/>
    <x v="72"/>
    <n v="26.9"/>
    <n v="1.6"/>
    <n v="1.1000000000000001"/>
    <n v="0"/>
    <n v="0"/>
    <n v="0"/>
    <n v="0"/>
    <n v="0"/>
    <x v="672"/>
    <x v="610"/>
    <n v="44641"/>
    <x v="51"/>
    <x v="75"/>
    <n v="12"/>
    <n v="12"/>
    <n v="17"/>
  </r>
  <r>
    <x v="1"/>
    <x v="28"/>
    <x v="1"/>
    <x v="638"/>
    <x v="25"/>
    <n v="7.3"/>
    <n v="2.8"/>
    <n v="2.4"/>
    <n v="0"/>
    <n v="0"/>
    <n v="0"/>
    <n v="0"/>
    <n v="0"/>
    <x v="306"/>
    <x v="289"/>
    <n v="246874"/>
    <x v="18"/>
    <x v="5"/>
    <n v="18"/>
    <n v="50"/>
    <n v="64"/>
  </r>
  <r>
    <x v="1"/>
    <x v="27"/>
    <x v="8"/>
    <x v="37"/>
    <x v="2"/>
    <n v="0"/>
    <n v="0"/>
    <n v="0"/>
    <n v="0"/>
    <n v="0"/>
    <n v="0"/>
    <n v="0"/>
    <n v="0"/>
    <x v="28"/>
    <x v="28"/>
    <n v="0"/>
    <x v="51"/>
    <x v="1"/>
    <n v="0"/>
    <n v="0"/>
    <n v="4"/>
  </r>
  <r>
    <x v="2"/>
    <x v="125"/>
    <x v="4"/>
    <x v="639"/>
    <x v="2"/>
    <n v="0"/>
    <n v="0"/>
    <n v="0"/>
    <n v="0"/>
    <n v="0"/>
    <n v="0"/>
    <n v="0"/>
    <n v="0"/>
    <x v="779"/>
    <x v="708"/>
    <n v="0"/>
    <x v="31"/>
    <x v="1"/>
    <n v="0"/>
    <n v="12"/>
    <n v="17"/>
  </r>
  <r>
    <x v="2"/>
    <x v="77"/>
    <x v="0"/>
    <x v="640"/>
    <x v="426"/>
    <n v="63.5"/>
    <n v="1.6"/>
    <n v="1.2"/>
    <n v="86.9"/>
    <n v="50.3"/>
    <n v="59.8"/>
    <n v="1.7"/>
    <n v="1.5"/>
    <x v="780"/>
    <x v="709"/>
    <n v="1040518"/>
    <x v="285"/>
    <x v="216"/>
    <n v="661"/>
    <n v="999"/>
    <n v="999"/>
  </r>
  <r>
    <x v="0"/>
    <x v="38"/>
    <x v="1"/>
    <x v="2"/>
    <x v="2"/>
    <n v="0"/>
    <n v="0"/>
    <n v="0"/>
    <n v="0"/>
    <n v="0"/>
    <n v="0"/>
    <n v="0"/>
    <n v="0"/>
    <x v="38"/>
    <x v="38"/>
    <n v="246940"/>
    <x v="2"/>
    <x v="1"/>
    <n v="0"/>
    <n v="50"/>
    <n v="64"/>
  </r>
  <r>
    <x v="1"/>
    <x v="133"/>
    <x v="4"/>
    <x v="108"/>
    <x v="2"/>
    <n v="0"/>
    <n v="0"/>
    <n v="0"/>
    <n v="0"/>
    <n v="0"/>
    <n v="0"/>
    <n v="0"/>
    <n v="0"/>
    <x v="781"/>
    <x v="28"/>
    <n v="0"/>
    <x v="0"/>
    <x v="1"/>
    <n v="0"/>
    <n v="12"/>
    <n v="17"/>
  </r>
  <r>
    <x v="2"/>
    <x v="30"/>
    <x v="2"/>
    <x v="172"/>
    <x v="427"/>
    <n v="128.30000000000001"/>
    <n v="0.9"/>
    <n v="1"/>
    <n v="0"/>
    <n v="0"/>
    <n v="0"/>
    <n v="0"/>
    <n v="0"/>
    <x v="616"/>
    <x v="561"/>
    <n v="21043"/>
    <x v="113"/>
    <x v="65"/>
    <n v="27"/>
    <n v="5"/>
    <n v="11"/>
  </r>
  <r>
    <x v="0"/>
    <x v="53"/>
    <x v="0"/>
    <x v="2"/>
    <x v="2"/>
    <n v="0"/>
    <n v="0"/>
    <n v="0"/>
    <n v="0"/>
    <n v="0"/>
    <n v="0"/>
    <n v="0"/>
    <n v="0"/>
    <x v="782"/>
    <x v="312"/>
    <n v="1040665"/>
    <x v="2"/>
    <x v="1"/>
    <n v="0"/>
    <n v="999"/>
    <n v="999"/>
  </r>
  <r>
    <x v="0"/>
    <x v="10"/>
    <x v="4"/>
    <x v="2"/>
    <x v="2"/>
    <n v="0"/>
    <n v="0"/>
    <n v="0"/>
    <n v="0"/>
    <n v="0"/>
    <n v="0"/>
    <n v="0"/>
    <n v="0"/>
    <x v="69"/>
    <x v="69"/>
    <n v="44537"/>
    <x v="2"/>
    <x v="1"/>
    <n v="0"/>
    <n v="12"/>
    <n v="17"/>
  </r>
  <r>
    <x v="1"/>
    <x v="24"/>
    <x v="0"/>
    <x v="210"/>
    <x v="61"/>
    <n v="3.5"/>
    <n v="1.7"/>
    <n v="1.1000000000000001"/>
    <n v="4.4000000000000004"/>
    <n v="2.8"/>
    <n v="2.8"/>
    <n v="1.6"/>
    <n v="1.6"/>
    <x v="783"/>
    <x v="710"/>
    <n v="1040782"/>
    <x v="29"/>
    <x v="130"/>
    <n v="36"/>
    <n v="999"/>
    <n v="999"/>
  </r>
  <r>
    <x v="1"/>
    <x v="27"/>
    <x v="5"/>
    <x v="567"/>
    <x v="116"/>
    <n v="2.9"/>
    <n v="2.9"/>
    <n v="2.1"/>
    <n v="0"/>
    <n v="0"/>
    <n v="0"/>
    <n v="0"/>
    <n v="0"/>
    <x v="784"/>
    <x v="711"/>
    <n v="348926"/>
    <x v="18"/>
    <x v="48"/>
    <n v="10"/>
    <n v="30"/>
    <n v="49"/>
  </r>
  <r>
    <x v="0"/>
    <x v="76"/>
    <x v="0"/>
    <x v="2"/>
    <x v="0"/>
    <n v="0.1"/>
    <n v="0"/>
    <n v="0"/>
    <n v="0"/>
    <n v="0.1"/>
    <n v="0.1"/>
    <n v="0"/>
    <n v="0"/>
    <x v="334"/>
    <x v="312"/>
    <n v="1040674"/>
    <x v="2"/>
    <x v="0"/>
    <n v="1"/>
    <n v="999"/>
    <n v="999"/>
  </r>
  <r>
    <x v="1"/>
    <x v="69"/>
    <x v="1"/>
    <x v="641"/>
    <x v="142"/>
    <n v="1.4"/>
    <n v="2.9"/>
    <n v="15.1"/>
    <n v="0"/>
    <n v="0"/>
    <n v="0"/>
    <n v="0"/>
    <n v="0"/>
    <x v="785"/>
    <x v="712"/>
    <n v="212791"/>
    <x v="24"/>
    <x v="7"/>
    <n v="3"/>
    <n v="50"/>
    <n v="64"/>
  </r>
  <r>
    <x v="0"/>
    <x v="54"/>
    <x v="8"/>
    <x v="2"/>
    <x v="2"/>
    <n v="0"/>
    <n v="0"/>
    <n v="0"/>
    <n v="0"/>
    <n v="0"/>
    <n v="0"/>
    <n v="0"/>
    <n v="0"/>
    <x v="28"/>
    <x v="28"/>
    <n v="0"/>
    <x v="2"/>
    <x v="1"/>
    <n v="0"/>
    <n v="0"/>
    <n v="4"/>
  </r>
  <r>
    <x v="2"/>
    <x v="27"/>
    <x v="6"/>
    <x v="642"/>
    <x v="428"/>
    <n v="141.6"/>
    <n v="0.8"/>
    <n v="0.7"/>
    <n v="0"/>
    <n v="0"/>
    <n v="0"/>
    <n v="0"/>
    <n v="0"/>
    <x v="189"/>
    <x v="184"/>
    <n v="47321"/>
    <x v="56"/>
    <x v="75"/>
    <n v="67"/>
    <n v="80"/>
    <n v="200"/>
  </r>
  <r>
    <x v="2"/>
    <x v="20"/>
    <x v="5"/>
    <x v="643"/>
    <x v="429"/>
    <n v="0"/>
    <n v="2.7"/>
    <n v="0"/>
    <n v="0"/>
    <n v="0"/>
    <n v="0"/>
    <n v="0"/>
    <n v="0"/>
    <x v="786"/>
    <x v="713"/>
    <n v="0"/>
    <x v="286"/>
    <x v="68"/>
    <n v="0"/>
    <n v="30"/>
    <n v="49"/>
  </r>
  <r>
    <x v="2"/>
    <x v="111"/>
    <x v="4"/>
    <x v="644"/>
    <x v="430"/>
    <n v="176.6"/>
    <n v="2.5"/>
    <n v="2"/>
    <n v="0"/>
    <n v="0"/>
    <n v="0"/>
    <n v="0"/>
    <n v="0"/>
    <x v="787"/>
    <x v="714"/>
    <n v="43599"/>
    <x v="220"/>
    <x v="217"/>
    <n v="77"/>
    <n v="12"/>
    <n v="17"/>
  </r>
  <r>
    <x v="2"/>
    <x v="65"/>
    <x v="7"/>
    <x v="645"/>
    <x v="431"/>
    <n v="0"/>
    <n v="5.5"/>
    <n v="0"/>
    <n v="0"/>
    <n v="0"/>
    <n v="0"/>
    <n v="0"/>
    <n v="0"/>
    <x v="499"/>
    <x v="461"/>
    <n v="0"/>
    <x v="6"/>
    <x v="21"/>
    <n v="0"/>
    <n v="65"/>
    <n v="79"/>
  </r>
  <r>
    <x v="1"/>
    <x v="31"/>
    <x v="2"/>
    <x v="2"/>
    <x v="2"/>
    <n v="12.8"/>
    <n v="0"/>
    <n v="0"/>
    <n v="0"/>
    <n v="0"/>
    <n v="0"/>
    <n v="0"/>
    <n v="0"/>
    <x v="138"/>
    <x v="137"/>
    <n v="7798"/>
    <x v="2"/>
    <x v="1"/>
    <n v="1"/>
    <n v="5"/>
    <n v="11"/>
  </r>
  <r>
    <x v="2"/>
    <x v="29"/>
    <x v="0"/>
    <x v="646"/>
    <x v="430"/>
    <n v="249"/>
    <n v="1.7"/>
    <n v="0.9"/>
    <n v="278.3"/>
    <n v="131.69999999999999"/>
    <n v="214.4"/>
    <n v="2.1"/>
    <n v="1.3"/>
    <x v="30"/>
    <x v="30"/>
    <n v="988583"/>
    <x v="287"/>
    <x v="218"/>
    <n v="2462"/>
    <n v="999"/>
    <n v="999"/>
  </r>
  <r>
    <x v="2"/>
    <x v="67"/>
    <x v="7"/>
    <x v="647"/>
    <x v="432"/>
    <n v="106.6"/>
    <n v="1.7"/>
    <n v="1.6"/>
    <n v="0"/>
    <n v="0"/>
    <n v="0"/>
    <n v="0"/>
    <n v="0"/>
    <x v="788"/>
    <x v="715"/>
    <n v="171700"/>
    <x v="47"/>
    <x v="87"/>
    <n v="183"/>
    <n v="65"/>
    <n v="79"/>
  </r>
  <r>
    <x v="1"/>
    <x v="18"/>
    <x v="4"/>
    <x v="197"/>
    <x v="73"/>
    <n v="2.8"/>
    <n v="2.5"/>
    <n v="1"/>
    <n v="0"/>
    <n v="0"/>
    <n v="0"/>
    <n v="0"/>
    <n v="0"/>
    <x v="789"/>
    <x v="716"/>
    <n v="35358"/>
    <x v="1"/>
    <x v="0"/>
    <n v="1"/>
    <n v="12"/>
    <n v="17"/>
  </r>
  <r>
    <x v="2"/>
    <x v="105"/>
    <x v="1"/>
    <x v="648"/>
    <x v="433"/>
    <n v="243.7"/>
    <n v="2.6"/>
    <n v="1.8"/>
    <n v="0"/>
    <n v="0"/>
    <n v="0"/>
    <n v="0"/>
    <n v="0"/>
    <x v="573"/>
    <x v="526"/>
    <n v="243708"/>
    <x v="288"/>
    <x v="219"/>
    <n v="594"/>
    <n v="50"/>
    <n v="64"/>
  </r>
  <r>
    <x v="2"/>
    <x v="18"/>
    <x v="6"/>
    <x v="649"/>
    <x v="434"/>
    <n v="249.6"/>
    <n v="0.5"/>
    <n v="0.5"/>
    <n v="0"/>
    <n v="0"/>
    <n v="0"/>
    <n v="0"/>
    <n v="0"/>
    <x v="790"/>
    <x v="717"/>
    <n v="45272"/>
    <x v="66"/>
    <x v="27"/>
    <n v="113"/>
    <n v="80"/>
    <n v="200"/>
  </r>
  <r>
    <x v="1"/>
    <x v="8"/>
    <x v="3"/>
    <x v="161"/>
    <x v="13"/>
    <n v="0"/>
    <n v="16.3"/>
    <n v="0"/>
    <n v="0"/>
    <n v="0"/>
    <n v="0"/>
    <n v="0"/>
    <n v="0"/>
    <x v="753"/>
    <x v="683"/>
    <n v="0"/>
    <x v="17"/>
    <x v="0"/>
    <n v="0"/>
    <n v="18"/>
    <n v="29"/>
  </r>
  <r>
    <x v="0"/>
    <x v="45"/>
    <x v="0"/>
    <x v="197"/>
    <x v="87"/>
    <n v="0"/>
    <n v="9"/>
    <n v="0"/>
    <n v="3.6"/>
    <n v="0.1"/>
    <n v="0"/>
    <n v="25"/>
    <n v="0"/>
    <x v="44"/>
    <x v="44"/>
    <n v="0"/>
    <x v="155"/>
    <x v="11"/>
    <n v="0"/>
    <n v="999"/>
    <n v="999"/>
  </r>
  <r>
    <x v="1"/>
    <x v="108"/>
    <x v="5"/>
    <x v="650"/>
    <x v="141"/>
    <n v="1.2"/>
    <n v="5.0999999999999996"/>
    <n v="6"/>
    <n v="0"/>
    <n v="0"/>
    <n v="0"/>
    <n v="0"/>
    <n v="0"/>
    <x v="478"/>
    <x v="442"/>
    <n v="347246"/>
    <x v="33"/>
    <x v="16"/>
    <n v="4"/>
    <n v="30"/>
    <n v="49"/>
  </r>
  <r>
    <x v="2"/>
    <x v="87"/>
    <x v="4"/>
    <x v="651"/>
    <x v="435"/>
    <n v="0"/>
    <n v="6.3"/>
    <n v="0"/>
    <n v="0"/>
    <n v="0"/>
    <n v="0"/>
    <n v="0"/>
    <n v="0"/>
    <x v="458"/>
    <x v="424"/>
    <n v="0"/>
    <x v="289"/>
    <x v="46"/>
    <n v="0"/>
    <n v="12"/>
    <n v="17"/>
  </r>
  <r>
    <x v="0"/>
    <x v="106"/>
    <x v="7"/>
    <x v="365"/>
    <x v="49"/>
    <n v="0"/>
    <n v="7.9"/>
    <n v="0"/>
    <n v="0"/>
    <n v="0"/>
    <n v="0"/>
    <n v="0"/>
    <n v="0"/>
    <x v="638"/>
    <x v="579"/>
    <n v="0"/>
    <x v="13"/>
    <x v="11"/>
    <n v="0"/>
    <n v="65"/>
    <n v="79"/>
  </r>
  <r>
    <x v="1"/>
    <x v="137"/>
    <x v="7"/>
    <x v="652"/>
    <x v="436"/>
    <n v="18.5"/>
    <n v="0.5"/>
    <n v="0.6"/>
    <n v="0"/>
    <n v="0"/>
    <n v="0"/>
    <n v="0"/>
    <n v="0"/>
    <x v="440"/>
    <x v="411"/>
    <n v="172629"/>
    <x v="20"/>
    <x v="13"/>
    <n v="32"/>
    <n v="65"/>
    <n v="79"/>
  </r>
  <r>
    <x v="2"/>
    <x v="123"/>
    <x v="6"/>
    <x v="653"/>
    <x v="114"/>
    <n v="93.4"/>
    <n v="0.3"/>
    <n v="0.3"/>
    <n v="0"/>
    <n v="0"/>
    <n v="0"/>
    <n v="0"/>
    <n v="0"/>
    <x v="417"/>
    <x v="353"/>
    <n v="47126"/>
    <x v="18"/>
    <x v="5"/>
    <n v="44"/>
    <n v="80"/>
    <n v="200"/>
  </r>
  <r>
    <x v="2"/>
    <x v="104"/>
    <x v="2"/>
    <x v="654"/>
    <x v="2"/>
    <n v="0"/>
    <n v="0"/>
    <n v="0"/>
    <n v="0"/>
    <n v="0"/>
    <n v="0"/>
    <n v="0"/>
    <n v="0"/>
    <x v="791"/>
    <x v="718"/>
    <n v="0"/>
    <x v="290"/>
    <x v="1"/>
    <n v="0"/>
    <n v="5"/>
    <n v="11"/>
  </r>
  <r>
    <x v="2"/>
    <x v="123"/>
    <x v="4"/>
    <x v="655"/>
    <x v="437"/>
    <n v="53.9"/>
    <n v="2.9"/>
    <n v="2.1"/>
    <n v="0"/>
    <n v="0"/>
    <n v="0"/>
    <n v="0"/>
    <n v="0"/>
    <x v="792"/>
    <x v="719"/>
    <n v="44563"/>
    <x v="42"/>
    <x v="168"/>
    <n v="24"/>
    <n v="12"/>
    <n v="17"/>
  </r>
  <r>
    <x v="2"/>
    <x v="83"/>
    <x v="4"/>
    <x v="656"/>
    <x v="438"/>
    <n v="382.8"/>
    <n v="2"/>
    <n v="1.1000000000000001"/>
    <n v="0"/>
    <n v="0"/>
    <n v="0"/>
    <n v="0"/>
    <n v="0"/>
    <x v="793"/>
    <x v="720"/>
    <n v="33698"/>
    <x v="291"/>
    <x v="220"/>
    <n v="129"/>
    <n v="12"/>
    <n v="17"/>
  </r>
  <r>
    <x v="0"/>
    <x v="43"/>
    <x v="0"/>
    <x v="2"/>
    <x v="2"/>
    <n v="0.1"/>
    <n v="0"/>
    <n v="0"/>
    <n v="0"/>
    <n v="0"/>
    <n v="0.1"/>
    <n v="0"/>
    <n v="0"/>
    <x v="794"/>
    <x v="721"/>
    <n v="1040764"/>
    <x v="2"/>
    <x v="1"/>
    <n v="1"/>
    <n v="999"/>
    <n v="999"/>
  </r>
  <r>
    <x v="2"/>
    <x v="126"/>
    <x v="3"/>
    <x v="657"/>
    <x v="280"/>
    <n v="31.5"/>
    <n v="5.0999999999999996"/>
    <n v="2.6"/>
    <n v="0"/>
    <n v="0"/>
    <n v="0"/>
    <n v="0"/>
    <n v="0"/>
    <x v="491"/>
    <x v="455"/>
    <n v="161725"/>
    <x v="76"/>
    <x v="168"/>
    <n v="51"/>
    <n v="18"/>
    <n v="29"/>
  </r>
  <r>
    <x v="0"/>
    <x v="67"/>
    <x v="0"/>
    <x v="219"/>
    <x v="87"/>
    <n v="0.1"/>
    <n v="2"/>
    <n v="6"/>
    <n v="0.8"/>
    <n v="0.7"/>
    <n v="0.1"/>
    <n v="1.1000000000000001"/>
    <n v="14.6"/>
    <x v="727"/>
    <x v="660"/>
    <n v="1040416"/>
    <x v="45"/>
    <x v="39"/>
    <n v="1"/>
    <n v="999"/>
    <n v="999"/>
  </r>
  <r>
    <x v="1"/>
    <x v="32"/>
    <x v="3"/>
    <x v="31"/>
    <x v="125"/>
    <n v="2.5"/>
    <n v="2.6"/>
    <n v="3"/>
    <n v="0"/>
    <n v="0"/>
    <n v="0"/>
    <n v="0"/>
    <n v="0"/>
    <x v="763"/>
    <x v="692"/>
    <n v="161571"/>
    <x v="18"/>
    <x v="48"/>
    <n v="4"/>
    <n v="18"/>
    <n v="29"/>
  </r>
  <r>
    <x v="0"/>
    <x v="28"/>
    <x v="3"/>
    <x v="2"/>
    <x v="2"/>
    <n v="0"/>
    <n v="0"/>
    <n v="0"/>
    <n v="0"/>
    <n v="0"/>
    <n v="0"/>
    <n v="0"/>
    <n v="0"/>
    <x v="641"/>
    <x v="582"/>
    <n v="161659"/>
    <x v="2"/>
    <x v="1"/>
    <n v="0"/>
    <n v="18"/>
    <n v="29"/>
  </r>
  <r>
    <x v="1"/>
    <x v="13"/>
    <x v="4"/>
    <x v="528"/>
    <x v="127"/>
    <n v="11.7"/>
    <n v="4.5"/>
    <n v="1.1000000000000001"/>
    <n v="0"/>
    <n v="0"/>
    <n v="0"/>
    <n v="0"/>
    <n v="0"/>
    <x v="437"/>
    <x v="408"/>
    <n v="8581"/>
    <x v="18"/>
    <x v="39"/>
    <n v="1"/>
    <n v="12"/>
    <n v="17"/>
  </r>
  <r>
    <x v="0"/>
    <x v="132"/>
    <x v="1"/>
    <x v="2"/>
    <x v="38"/>
    <n v="0"/>
    <n v="0"/>
    <n v="0"/>
    <n v="0"/>
    <n v="0"/>
    <n v="0"/>
    <n v="0"/>
    <n v="0"/>
    <x v="556"/>
    <x v="510"/>
    <n v="234246"/>
    <x v="2"/>
    <x v="0"/>
    <n v="0"/>
    <n v="50"/>
    <n v="64"/>
  </r>
  <r>
    <x v="2"/>
    <x v="46"/>
    <x v="7"/>
    <x v="172"/>
    <x v="439"/>
    <n v="98.4"/>
    <n v="1.3"/>
    <n v="1.3"/>
    <n v="0"/>
    <n v="0"/>
    <n v="0"/>
    <n v="0"/>
    <n v="0"/>
    <x v="795"/>
    <x v="722"/>
    <n v="172734"/>
    <x v="185"/>
    <x v="87"/>
    <n v="170"/>
    <n v="65"/>
    <n v="79"/>
  </r>
  <r>
    <x v="2"/>
    <x v="79"/>
    <x v="1"/>
    <x v="626"/>
    <x v="404"/>
    <n v="23.5"/>
    <n v="4.8"/>
    <n v="2.5"/>
    <n v="0"/>
    <n v="0"/>
    <n v="0"/>
    <n v="0"/>
    <n v="0"/>
    <x v="580"/>
    <x v="53"/>
    <n v="246910"/>
    <x v="34"/>
    <x v="75"/>
    <n v="58"/>
    <n v="50"/>
    <n v="64"/>
  </r>
  <r>
    <x v="0"/>
    <x v="48"/>
    <x v="1"/>
    <x v="2"/>
    <x v="2"/>
    <n v="0"/>
    <n v="0"/>
    <n v="0"/>
    <n v="0"/>
    <n v="0"/>
    <n v="0"/>
    <n v="0"/>
    <n v="0"/>
    <x v="796"/>
    <x v="723"/>
    <n v="247106"/>
    <x v="2"/>
    <x v="1"/>
    <n v="0"/>
    <n v="50"/>
    <n v="64"/>
  </r>
  <r>
    <x v="0"/>
    <x v="1"/>
    <x v="5"/>
    <x v="2"/>
    <x v="2"/>
    <n v="0"/>
    <n v="0"/>
    <n v="0"/>
    <n v="0"/>
    <n v="0"/>
    <n v="0"/>
    <n v="0"/>
    <n v="0"/>
    <x v="797"/>
    <x v="724"/>
    <n v="347241"/>
    <x v="2"/>
    <x v="1"/>
    <n v="0"/>
    <n v="30"/>
    <n v="49"/>
  </r>
  <r>
    <x v="2"/>
    <x v="91"/>
    <x v="3"/>
    <x v="658"/>
    <x v="440"/>
    <n v="73.7"/>
    <n v="3.6"/>
    <n v="2.4"/>
    <n v="0"/>
    <n v="0"/>
    <n v="0"/>
    <n v="0"/>
    <n v="0"/>
    <x v="124"/>
    <x v="123"/>
    <n v="161526"/>
    <x v="292"/>
    <x v="221"/>
    <n v="119"/>
    <n v="18"/>
    <n v="29"/>
  </r>
  <r>
    <x v="2"/>
    <x v="79"/>
    <x v="7"/>
    <x v="289"/>
    <x v="441"/>
    <n v="42.5"/>
    <n v="1.2"/>
    <n v="0.9"/>
    <n v="0"/>
    <n v="0"/>
    <n v="0"/>
    <n v="0"/>
    <n v="0"/>
    <x v="413"/>
    <x v="367"/>
    <n v="171728"/>
    <x v="36"/>
    <x v="52"/>
    <n v="73"/>
    <n v="65"/>
    <n v="79"/>
  </r>
  <r>
    <x v="2"/>
    <x v="116"/>
    <x v="2"/>
    <x v="556"/>
    <x v="307"/>
    <n v="28.2"/>
    <n v="1.5"/>
    <n v="1.3"/>
    <n v="0"/>
    <n v="0"/>
    <n v="0"/>
    <n v="0"/>
    <n v="0"/>
    <x v="408"/>
    <x v="382"/>
    <n v="21265"/>
    <x v="182"/>
    <x v="31"/>
    <n v="6"/>
    <n v="5"/>
    <n v="11"/>
  </r>
  <r>
    <x v="2"/>
    <x v="53"/>
    <x v="8"/>
    <x v="371"/>
    <x v="58"/>
    <n v="0"/>
    <n v="6.8"/>
    <n v="0"/>
    <n v="0"/>
    <n v="0"/>
    <n v="0"/>
    <n v="0"/>
    <n v="0"/>
    <x v="28"/>
    <x v="28"/>
    <n v="0"/>
    <x v="29"/>
    <x v="39"/>
    <n v="0"/>
    <n v="0"/>
    <n v="4"/>
  </r>
  <r>
    <x v="2"/>
    <x v="122"/>
    <x v="1"/>
    <x v="659"/>
    <x v="262"/>
    <n v="0"/>
    <n v="12.1"/>
    <n v="0"/>
    <n v="0"/>
    <n v="0"/>
    <n v="0"/>
    <n v="0"/>
    <n v="0"/>
    <x v="798"/>
    <x v="725"/>
    <n v="0"/>
    <x v="293"/>
    <x v="59"/>
    <n v="0"/>
    <n v="50"/>
    <n v="64"/>
  </r>
  <r>
    <x v="1"/>
    <x v="92"/>
    <x v="5"/>
    <x v="37"/>
    <x v="61"/>
    <n v="1.7"/>
    <n v="2.5"/>
    <n v="3.2"/>
    <n v="0"/>
    <n v="0"/>
    <n v="0"/>
    <n v="0"/>
    <n v="0"/>
    <x v="799"/>
    <x v="726"/>
    <n v="347283"/>
    <x v="18"/>
    <x v="48"/>
    <n v="6"/>
    <n v="30"/>
    <n v="49"/>
  </r>
  <r>
    <x v="1"/>
    <x v="124"/>
    <x v="5"/>
    <x v="660"/>
    <x v="331"/>
    <n v="4.5999999999999996"/>
    <n v="6.6"/>
    <n v="18"/>
    <n v="0"/>
    <n v="0"/>
    <n v="0"/>
    <n v="0"/>
    <n v="0"/>
    <x v="800"/>
    <x v="727"/>
    <n v="175179"/>
    <x v="119"/>
    <x v="182"/>
    <n v="8"/>
    <n v="30"/>
    <n v="49"/>
  </r>
  <r>
    <x v="1"/>
    <x v="98"/>
    <x v="4"/>
    <x v="2"/>
    <x v="2"/>
    <n v="4.5"/>
    <n v="0"/>
    <n v="0"/>
    <n v="0"/>
    <n v="0"/>
    <n v="0"/>
    <n v="0"/>
    <n v="0"/>
    <x v="801"/>
    <x v="728"/>
    <n v="44583"/>
    <x v="2"/>
    <x v="1"/>
    <n v="2"/>
    <n v="12"/>
    <n v="17"/>
  </r>
  <r>
    <x v="0"/>
    <x v="63"/>
    <x v="8"/>
    <x v="2"/>
    <x v="2"/>
    <n v="0"/>
    <n v="0"/>
    <n v="0"/>
    <n v="0"/>
    <n v="0"/>
    <n v="0"/>
    <n v="0"/>
    <n v="0"/>
    <x v="28"/>
    <x v="28"/>
    <n v="0"/>
    <x v="2"/>
    <x v="1"/>
    <n v="0"/>
    <n v="0"/>
    <n v="4"/>
  </r>
  <r>
    <x v="1"/>
    <x v="106"/>
    <x v="3"/>
    <x v="661"/>
    <x v="87"/>
    <n v="0"/>
    <n v="39.299999999999997"/>
    <n v="0"/>
    <n v="0"/>
    <n v="0"/>
    <n v="0"/>
    <n v="0"/>
    <n v="0"/>
    <x v="486"/>
    <x v="450"/>
    <n v="0"/>
    <x v="46"/>
    <x v="0"/>
    <n v="0"/>
    <n v="18"/>
    <n v="29"/>
  </r>
  <r>
    <x v="0"/>
    <x v="132"/>
    <x v="6"/>
    <x v="43"/>
    <x v="387"/>
    <n v="0"/>
    <n v="0.5"/>
    <n v="0"/>
    <n v="0"/>
    <n v="0"/>
    <n v="0"/>
    <n v="0"/>
    <n v="0"/>
    <x v="293"/>
    <x v="276"/>
    <n v="44628"/>
    <x v="1"/>
    <x v="0"/>
    <n v="0"/>
    <n v="80"/>
    <n v="200"/>
  </r>
  <r>
    <x v="1"/>
    <x v="68"/>
    <x v="7"/>
    <x v="220"/>
    <x v="120"/>
    <n v="5"/>
    <n v="0.8"/>
    <n v="1.2"/>
    <n v="0"/>
    <n v="0"/>
    <n v="0"/>
    <n v="0"/>
    <n v="0"/>
    <x v="802"/>
    <x v="729"/>
    <n v="160443"/>
    <x v="45"/>
    <x v="16"/>
    <n v="8"/>
    <n v="65"/>
    <n v="79"/>
  </r>
  <r>
    <x v="2"/>
    <x v="35"/>
    <x v="1"/>
    <x v="662"/>
    <x v="92"/>
    <n v="38.4"/>
    <n v="4.5999999999999996"/>
    <n v="3.1"/>
    <n v="0"/>
    <n v="0"/>
    <n v="0"/>
    <n v="0"/>
    <n v="0"/>
    <x v="386"/>
    <x v="362"/>
    <n v="247617"/>
    <x v="194"/>
    <x v="77"/>
    <n v="95"/>
    <n v="50"/>
    <n v="64"/>
  </r>
  <r>
    <x v="0"/>
    <x v="66"/>
    <x v="5"/>
    <x v="241"/>
    <x v="82"/>
    <n v="0"/>
    <n v="2.5"/>
    <n v="0"/>
    <n v="0"/>
    <n v="0"/>
    <n v="0"/>
    <n v="0"/>
    <n v="0"/>
    <x v="803"/>
    <x v="730"/>
    <n v="46608"/>
    <x v="1"/>
    <x v="0"/>
    <n v="0"/>
    <n v="30"/>
    <n v="49"/>
  </r>
  <r>
    <x v="1"/>
    <x v="92"/>
    <x v="4"/>
    <x v="2"/>
    <x v="34"/>
    <n v="0"/>
    <n v="0"/>
    <n v="0"/>
    <n v="0"/>
    <n v="0"/>
    <n v="0"/>
    <n v="0"/>
    <n v="0"/>
    <x v="157"/>
    <x v="154"/>
    <n v="44571"/>
    <x v="2"/>
    <x v="11"/>
    <n v="0"/>
    <n v="12"/>
    <n v="17"/>
  </r>
  <r>
    <x v="1"/>
    <x v="92"/>
    <x v="8"/>
    <x v="2"/>
    <x v="2"/>
    <n v="0"/>
    <n v="0"/>
    <n v="0"/>
    <n v="0"/>
    <n v="0"/>
    <n v="0"/>
    <n v="0"/>
    <n v="0"/>
    <x v="28"/>
    <x v="28"/>
    <n v="0"/>
    <x v="2"/>
    <x v="1"/>
    <n v="0"/>
    <n v="0"/>
    <n v="4"/>
  </r>
  <r>
    <x v="0"/>
    <x v="116"/>
    <x v="8"/>
    <x v="2"/>
    <x v="2"/>
    <n v="0"/>
    <n v="0"/>
    <n v="0"/>
    <n v="0"/>
    <n v="0"/>
    <n v="0"/>
    <n v="0"/>
    <n v="0"/>
    <x v="28"/>
    <x v="28"/>
    <n v="0"/>
    <x v="2"/>
    <x v="1"/>
    <n v="0"/>
    <n v="0"/>
    <n v="4"/>
  </r>
  <r>
    <x v="2"/>
    <x v="138"/>
    <x v="2"/>
    <x v="663"/>
    <x v="2"/>
    <n v="0"/>
    <n v="0"/>
    <n v="0"/>
    <n v="0"/>
    <n v="0"/>
    <n v="0"/>
    <n v="0"/>
    <n v="0"/>
    <x v="356"/>
    <x v="28"/>
    <n v="0"/>
    <x v="294"/>
    <x v="1"/>
    <n v="0"/>
    <n v="5"/>
    <n v="11"/>
  </r>
  <r>
    <x v="2"/>
    <x v="78"/>
    <x v="8"/>
    <x v="664"/>
    <x v="2"/>
    <n v="0"/>
    <n v="0"/>
    <n v="0"/>
    <n v="0"/>
    <n v="0"/>
    <n v="0"/>
    <n v="0"/>
    <n v="0"/>
    <x v="28"/>
    <x v="28"/>
    <n v="0"/>
    <x v="212"/>
    <x v="1"/>
    <n v="0"/>
    <n v="0"/>
    <n v="4"/>
  </r>
  <r>
    <x v="2"/>
    <x v="122"/>
    <x v="8"/>
    <x v="665"/>
    <x v="2"/>
    <n v="0"/>
    <n v="0"/>
    <n v="0"/>
    <n v="0"/>
    <n v="0"/>
    <n v="0"/>
    <n v="0"/>
    <n v="0"/>
    <x v="28"/>
    <x v="28"/>
    <n v="0"/>
    <x v="144"/>
    <x v="1"/>
    <n v="0"/>
    <n v="0"/>
    <n v="4"/>
  </r>
  <r>
    <x v="2"/>
    <x v="18"/>
    <x v="5"/>
    <x v="666"/>
    <x v="442"/>
    <n v="359.9"/>
    <n v="2"/>
    <n v="0.9"/>
    <n v="0"/>
    <n v="0"/>
    <n v="0"/>
    <n v="0"/>
    <n v="0"/>
    <x v="804"/>
    <x v="731"/>
    <n v="336241"/>
    <x v="295"/>
    <x v="222"/>
    <n v="1210"/>
    <n v="30"/>
    <n v="49"/>
  </r>
  <r>
    <x v="0"/>
    <x v="113"/>
    <x v="5"/>
    <x v="2"/>
    <x v="2"/>
    <n v="0"/>
    <n v="0"/>
    <n v="0"/>
    <n v="0"/>
    <n v="0"/>
    <n v="0"/>
    <n v="0"/>
    <n v="0"/>
    <x v="304"/>
    <x v="287"/>
    <n v="347458"/>
    <x v="2"/>
    <x v="1"/>
    <n v="0"/>
    <n v="30"/>
    <n v="49"/>
  </r>
  <r>
    <x v="2"/>
    <x v="122"/>
    <x v="2"/>
    <x v="667"/>
    <x v="2"/>
    <n v="0"/>
    <n v="0"/>
    <n v="0"/>
    <n v="0"/>
    <n v="0"/>
    <n v="0"/>
    <n v="0"/>
    <n v="0"/>
    <x v="356"/>
    <x v="28"/>
    <n v="0"/>
    <x v="96"/>
    <x v="1"/>
    <n v="0"/>
    <n v="5"/>
    <n v="11"/>
  </r>
  <r>
    <x v="2"/>
    <x v="121"/>
    <x v="8"/>
    <x v="668"/>
    <x v="2"/>
    <n v="0"/>
    <n v="0"/>
    <n v="0"/>
    <n v="0"/>
    <n v="0"/>
    <n v="0"/>
    <n v="0"/>
    <n v="0"/>
    <x v="28"/>
    <x v="28"/>
    <n v="0"/>
    <x v="296"/>
    <x v="1"/>
    <n v="0"/>
    <n v="0"/>
    <n v="4"/>
  </r>
  <r>
    <x v="2"/>
    <x v="121"/>
    <x v="2"/>
    <x v="669"/>
    <x v="2"/>
    <n v="0"/>
    <n v="0"/>
    <n v="0"/>
    <n v="0"/>
    <n v="0"/>
    <n v="0"/>
    <n v="0"/>
    <n v="0"/>
    <x v="356"/>
    <x v="28"/>
    <n v="0"/>
    <x v="297"/>
    <x v="1"/>
    <n v="0"/>
    <n v="5"/>
    <n v="11"/>
  </r>
  <r>
    <x v="2"/>
    <x v="51"/>
    <x v="5"/>
    <x v="670"/>
    <x v="443"/>
    <n v="285.60000000000002"/>
    <n v="2"/>
    <n v="1.3"/>
    <n v="0"/>
    <n v="0"/>
    <n v="0"/>
    <n v="0"/>
    <n v="0"/>
    <x v="316"/>
    <x v="298"/>
    <n v="341686"/>
    <x v="298"/>
    <x v="223"/>
    <n v="976"/>
    <n v="30"/>
    <n v="49"/>
  </r>
  <r>
    <x v="2"/>
    <x v="133"/>
    <x v="8"/>
    <x v="262"/>
    <x v="2"/>
    <n v="0"/>
    <n v="0"/>
    <n v="0"/>
    <n v="0"/>
    <n v="0"/>
    <n v="0"/>
    <n v="0"/>
    <n v="0"/>
    <x v="28"/>
    <x v="28"/>
    <n v="0"/>
    <x v="139"/>
    <x v="1"/>
    <n v="0"/>
    <n v="0"/>
    <n v="4"/>
  </r>
  <r>
    <x v="1"/>
    <x v="23"/>
    <x v="8"/>
    <x v="40"/>
    <x v="2"/>
    <n v="0"/>
    <n v="0"/>
    <n v="0"/>
    <n v="0"/>
    <n v="0"/>
    <n v="0"/>
    <n v="0"/>
    <n v="0"/>
    <x v="28"/>
    <x v="28"/>
    <n v="0"/>
    <x v="24"/>
    <x v="1"/>
    <n v="0"/>
    <n v="0"/>
    <n v="4"/>
  </r>
  <r>
    <x v="2"/>
    <x v="115"/>
    <x v="0"/>
    <x v="671"/>
    <x v="444"/>
    <n v="221.5"/>
    <n v="1.3"/>
    <n v="0.7"/>
    <n v="168.7"/>
    <n v="107.4"/>
    <n v="191.8"/>
    <n v="1.6"/>
    <n v="0.9"/>
    <x v="805"/>
    <x v="732"/>
    <n v="947960"/>
    <x v="299"/>
    <x v="224"/>
    <n v="2100"/>
    <n v="999"/>
    <n v="999"/>
  </r>
  <r>
    <x v="2"/>
    <x v="8"/>
    <x v="8"/>
    <x v="558"/>
    <x v="2"/>
    <n v="0"/>
    <n v="0"/>
    <n v="0"/>
    <n v="0"/>
    <n v="0"/>
    <n v="0"/>
    <n v="0"/>
    <n v="0"/>
    <x v="28"/>
    <x v="28"/>
    <n v="0"/>
    <x v="135"/>
    <x v="1"/>
    <n v="0"/>
    <n v="0"/>
    <n v="4"/>
  </r>
  <r>
    <x v="2"/>
    <x v="8"/>
    <x v="2"/>
    <x v="399"/>
    <x v="2"/>
    <n v="0"/>
    <n v="0"/>
    <n v="0"/>
    <n v="0"/>
    <n v="0"/>
    <n v="0"/>
    <n v="0"/>
    <n v="0"/>
    <x v="356"/>
    <x v="28"/>
    <n v="0"/>
    <x v="143"/>
    <x v="1"/>
    <n v="0"/>
    <n v="5"/>
    <n v="11"/>
  </r>
  <r>
    <x v="2"/>
    <x v="112"/>
    <x v="8"/>
    <x v="672"/>
    <x v="2"/>
    <n v="0"/>
    <n v="0"/>
    <n v="0"/>
    <n v="0"/>
    <n v="0"/>
    <n v="0"/>
    <n v="0"/>
    <n v="0"/>
    <x v="28"/>
    <x v="28"/>
    <n v="0"/>
    <x v="40"/>
    <x v="1"/>
    <n v="0"/>
    <n v="0"/>
    <n v="4"/>
  </r>
  <r>
    <x v="1"/>
    <x v="113"/>
    <x v="8"/>
    <x v="20"/>
    <x v="2"/>
    <n v="0"/>
    <n v="0"/>
    <n v="0"/>
    <n v="0"/>
    <n v="0"/>
    <n v="0"/>
    <n v="0"/>
    <n v="0"/>
    <x v="28"/>
    <x v="28"/>
    <n v="0"/>
    <x v="20"/>
    <x v="1"/>
    <n v="0"/>
    <n v="0"/>
    <n v="4"/>
  </r>
  <r>
    <x v="2"/>
    <x v="112"/>
    <x v="2"/>
    <x v="673"/>
    <x v="2"/>
    <n v="0"/>
    <n v="0"/>
    <n v="0"/>
    <n v="0"/>
    <n v="0"/>
    <n v="0"/>
    <n v="0"/>
    <n v="0"/>
    <x v="356"/>
    <x v="28"/>
    <n v="0"/>
    <x v="140"/>
    <x v="1"/>
    <n v="0"/>
    <n v="5"/>
    <n v="11"/>
  </r>
  <r>
    <x v="0"/>
    <x v="112"/>
    <x v="6"/>
    <x v="122"/>
    <x v="116"/>
    <n v="0"/>
    <n v="13.5"/>
    <n v="0"/>
    <n v="0"/>
    <n v="0"/>
    <n v="0"/>
    <n v="0"/>
    <n v="0"/>
    <x v="806"/>
    <x v="733"/>
    <n v="0"/>
    <x v="24"/>
    <x v="0"/>
    <n v="0"/>
    <n v="80"/>
    <n v="200"/>
  </r>
  <r>
    <x v="1"/>
    <x v="89"/>
    <x v="6"/>
    <x v="567"/>
    <x v="2"/>
    <n v="0"/>
    <n v="0"/>
    <n v="0"/>
    <n v="0"/>
    <n v="0"/>
    <n v="0"/>
    <n v="0"/>
    <n v="0"/>
    <x v="807"/>
    <x v="734"/>
    <n v="0"/>
    <x v="0"/>
    <x v="1"/>
    <n v="0"/>
    <n v="80"/>
    <n v="200"/>
  </r>
  <r>
    <x v="2"/>
    <x v="14"/>
    <x v="2"/>
    <x v="674"/>
    <x v="2"/>
    <n v="0"/>
    <n v="0"/>
    <n v="0"/>
    <n v="0"/>
    <n v="0"/>
    <n v="0"/>
    <n v="0"/>
    <n v="0"/>
    <x v="356"/>
    <x v="28"/>
    <n v="0"/>
    <x v="300"/>
    <x v="1"/>
    <n v="0"/>
    <n v="5"/>
    <n v="11"/>
  </r>
  <r>
    <x v="0"/>
    <x v="108"/>
    <x v="8"/>
    <x v="2"/>
    <x v="2"/>
    <n v="0"/>
    <n v="0"/>
    <n v="0"/>
    <n v="0"/>
    <n v="0"/>
    <n v="0"/>
    <n v="0"/>
    <n v="0"/>
    <x v="28"/>
    <x v="28"/>
    <n v="0"/>
    <x v="2"/>
    <x v="1"/>
    <n v="0"/>
    <n v="0"/>
    <n v="4"/>
  </r>
  <r>
    <x v="2"/>
    <x v="125"/>
    <x v="8"/>
    <x v="72"/>
    <x v="2"/>
    <n v="0"/>
    <n v="0"/>
    <n v="0"/>
    <n v="0"/>
    <n v="0"/>
    <n v="0"/>
    <n v="0"/>
    <n v="0"/>
    <x v="28"/>
    <x v="28"/>
    <n v="0"/>
    <x v="48"/>
    <x v="1"/>
    <n v="0"/>
    <n v="0"/>
    <n v="4"/>
  </r>
  <r>
    <x v="2"/>
    <x v="125"/>
    <x v="2"/>
    <x v="356"/>
    <x v="2"/>
    <n v="0"/>
    <n v="0"/>
    <n v="0"/>
    <n v="0"/>
    <n v="0"/>
    <n v="0"/>
    <n v="0"/>
    <n v="0"/>
    <x v="356"/>
    <x v="28"/>
    <n v="0"/>
    <x v="117"/>
    <x v="1"/>
    <n v="0"/>
    <n v="5"/>
    <n v="11"/>
  </r>
  <r>
    <x v="2"/>
    <x v="107"/>
    <x v="8"/>
    <x v="94"/>
    <x v="2"/>
    <n v="0"/>
    <n v="0"/>
    <n v="0"/>
    <n v="0"/>
    <n v="0"/>
    <n v="0"/>
    <n v="0"/>
    <n v="0"/>
    <x v="28"/>
    <x v="28"/>
    <n v="0"/>
    <x v="37"/>
    <x v="1"/>
    <n v="0"/>
    <n v="0"/>
    <n v="4"/>
  </r>
  <r>
    <x v="2"/>
    <x v="68"/>
    <x v="7"/>
    <x v="675"/>
    <x v="445"/>
    <n v="97.2"/>
    <n v="0.6"/>
    <n v="0.4"/>
    <n v="0"/>
    <n v="0"/>
    <n v="0"/>
    <n v="0"/>
    <n v="0"/>
    <x v="802"/>
    <x v="729"/>
    <n v="160443"/>
    <x v="34"/>
    <x v="37"/>
    <n v="156"/>
    <n v="65"/>
    <n v="79"/>
  </r>
  <r>
    <x v="2"/>
    <x v="65"/>
    <x v="8"/>
    <x v="40"/>
    <x v="2"/>
    <n v="0"/>
    <n v="0"/>
    <n v="0"/>
    <n v="0"/>
    <n v="0"/>
    <n v="0"/>
    <n v="0"/>
    <n v="0"/>
    <x v="28"/>
    <x v="28"/>
    <n v="0"/>
    <x v="24"/>
    <x v="1"/>
    <n v="0"/>
    <n v="0"/>
    <n v="4"/>
  </r>
  <r>
    <x v="2"/>
    <x v="65"/>
    <x v="2"/>
    <x v="117"/>
    <x v="2"/>
    <n v="0"/>
    <n v="0"/>
    <n v="0"/>
    <n v="0"/>
    <n v="0"/>
    <n v="0"/>
    <n v="0"/>
    <n v="0"/>
    <x v="356"/>
    <x v="28"/>
    <n v="0"/>
    <x v="91"/>
    <x v="1"/>
    <n v="0"/>
    <n v="5"/>
    <n v="11"/>
  </r>
  <r>
    <x v="1"/>
    <x v="100"/>
    <x v="5"/>
    <x v="168"/>
    <x v="37"/>
    <n v="4.2"/>
    <n v="0.8"/>
    <n v="1.1000000000000001"/>
    <n v="0"/>
    <n v="0"/>
    <n v="0"/>
    <n v="0"/>
    <n v="0"/>
    <x v="435"/>
    <x v="406"/>
    <n v="337248"/>
    <x v="18"/>
    <x v="36"/>
    <n v="14"/>
    <n v="30"/>
    <n v="49"/>
  </r>
  <r>
    <x v="1"/>
    <x v="31"/>
    <x v="1"/>
    <x v="423"/>
    <x v="387"/>
    <n v="9.5"/>
    <n v="5"/>
    <n v="4"/>
    <n v="0"/>
    <n v="0"/>
    <n v="0"/>
    <n v="0"/>
    <n v="0"/>
    <x v="808"/>
    <x v="735"/>
    <n v="240866"/>
    <x v="91"/>
    <x v="17"/>
    <n v="23"/>
    <n v="50"/>
    <n v="64"/>
  </r>
  <r>
    <x v="0"/>
    <x v="79"/>
    <x v="2"/>
    <x v="2"/>
    <x v="2"/>
    <n v="0"/>
    <n v="0"/>
    <n v="0"/>
    <n v="0"/>
    <n v="0"/>
    <n v="0"/>
    <n v="0"/>
    <n v="0"/>
    <x v="361"/>
    <x v="337"/>
    <n v="21243"/>
    <x v="2"/>
    <x v="1"/>
    <n v="0"/>
    <n v="5"/>
    <n v="11"/>
  </r>
  <r>
    <x v="2"/>
    <x v="71"/>
    <x v="8"/>
    <x v="14"/>
    <x v="2"/>
    <n v="0"/>
    <n v="0"/>
    <n v="0"/>
    <n v="0"/>
    <n v="0"/>
    <n v="0"/>
    <n v="0"/>
    <n v="0"/>
    <x v="28"/>
    <x v="28"/>
    <n v="0"/>
    <x v="134"/>
    <x v="1"/>
    <n v="0"/>
    <n v="0"/>
    <n v="4"/>
  </r>
  <r>
    <x v="2"/>
    <x v="71"/>
    <x v="2"/>
    <x v="220"/>
    <x v="2"/>
    <n v="0"/>
    <n v="0"/>
    <n v="0"/>
    <n v="0"/>
    <n v="0"/>
    <n v="0"/>
    <n v="0"/>
    <n v="0"/>
    <x v="356"/>
    <x v="28"/>
    <n v="0"/>
    <x v="16"/>
    <x v="1"/>
    <n v="0"/>
    <n v="5"/>
    <n v="11"/>
  </r>
  <r>
    <x v="1"/>
    <x v="3"/>
    <x v="3"/>
    <x v="42"/>
    <x v="87"/>
    <n v="0"/>
    <n v="34"/>
    <n v="0"/>
    <n v="0"/>
    <n v="0"/>
    <n v="0"/>
    <n v="0"/>
    <n v="0"/>
    <x v="423"/>
    <x v="394"/>
    <n v="19377"/>
    <x v="91"/>
    <x v="0"/>
    <n v="0"/>
    <n v="18"/>
    <n v="29"/>
  </r>
  <r>
    <x v="1"/>
    <x v="120"/>
    <x v="2"/>
    <x v="2"/>
    <x v="17"/>
    <n v="0"/>
    <n v="0"/>
    <n v="0"/>
    <n v="0"/>
    <n v="0"/>
    <n v="0"/>
    <n v="0"/>
    <n v="0"/>
    <x v="749"/>
    <x v="679"/>
    <n v="21218"/>
    <x v="2"/>
    <x v="0"/>
    <n v="0"/>
    <n v="5"/>
    <n v="11"/>
  </r>
  <r>
    <x v="0"/>
    <x v="4"/>
    <x v="2"/>
    <x v="2"/>
    <x v="2"/>
    <n v="0"/>
    <n v="0"/>
    <n v="0"/>
    <n v="0"/>
    <n v="0"/>
    <n v="0"/>
    <n v="0"/>
    <n v="0"/>
    <x v="393"/>
    <x v="368"/>
    <n v="0"/>
    <x v="2"/>
    <x v="1"/>
    <n v="0"/>
    <n v="5"/>
    <n v="11"/>
  </r>
  <r>
    <x v="0"/>
    <x v="61"/>
    <x v="7"/>
    <x v="2"/>
    <x v="2"/>
    <n v="0"/>
    <n v="0"/>
    <n v="0"/>
    <n v="0"/>
    <n v="0"/>
    <n v="0"/>
    <n v="0"/>
    <n v="0"/>
    <x v="553"/>
    <x v="57"/>
    <n v="171758"/>
    <x v="2"/>
    <x v="1"/>
    <n v="0"/>
    <n v="65"/>
    <n v="79"/>
  </r>
  <r>
    <x v="2"/>
    <x v="89"/>
    <x v="8"/>
    <x v="405"/>
    <x v="2"/>
    <n v="0"/>
    <n v="0"/>
    <n v="0"/>
    <n v="0"/>
    <n v="0"/>
    <n v="0"/>
    <n v="0"/>
    <n v="0"/>
    <x v="28"/>
    <x v="28"/>
    <n v="0"/>
    <x v="46"/>
    <x v="1"/>
    <n v="0"/>
    <n v="0"/>
    <n v="4"/>
  </r>
  <r>
    <x v="1"/>
    <x v="59"/>
    <x v="5"/>
    <x v="401"/>
    <x v="34"/>
    <n v="0"/>
    <n v="9.5"/>
    <n v="0"/>
    <n v="0"/>
    <n v="0"/>
    <n v="0"/>
    <n v="0"/>
    <n v="0"/>
    <x v="183"/>
    <x v="179"/>
    <n v="0"/>
    <x v="39"/>
    <x v="23"/>
    <n v="0"/>
    <n v="30"/>
    <n v="49"/>
  </r>
  <r>
    <x v="2"/>
    <x v="133"/>
    <x v="1"/>
    <x v="676"/>
    <x v="446"/>
    <n v="0"/>
    <n v="13.6"/>
    <n v="0"/>
    <n v="0"/>
    <n v="0"/>
    <n v="0"/>
    <n v="0"/>
    <n v="0"/>
    <x v="809"/>
    <x v="736"/>
    <n v="0"/>
    <x v="301"/>
    <x v="30"/>
    <n v="0"/>
    <n v="50"/>
    <n v="64"/>
  </r>
  <r>
    <x v="0"/>
    <x v="20"/>
    <x v="5"/>
    <x v="393"/>
    <x v="2"/>
    <n v="0"/>
    <n v="0"/>
    <n v="0"/>
    <n v="0"/>
    <n v="0"/>
    <n v="0"/>
    <n v="0"/>
    <n v="0"/>
    <x v="786"/>
    <x v="713"/>
    <n v="0"/>
    <x v="20"/>
    <x v="1"/>
    <n v="0"/>
    <n v="30"/>
    <n v="49"/>
  </r>
  <r>
    <x v="2"/>
    <x v="89"/>
    <x v="2"/>
    <x v="17"/>
    <x v="2"/>
    <n v="0"/>
    <n v="0"/>
    <n v="0"/>
    <n v="0"/>
    <n v="0"/>
    <n v="0"/>
    <n v="0"/>
    <n v="0"/>
    <x v="356"/>
    <x v="28"/>
    <n v="0"/>
    <x v="8"/>
    <x v="1"/>
    <n v="0"/>
    <n v="5"/>
    <n v="11"/>
  </r>
  <r>
    <x v="2"/>
    <x v="82"/>
    <x v="2"/>
    <x v="54"/>
    <x v="17"/>
    <n v="0"/>
    <n v="0.9"/>
    <n v="0"/>
    <n v="0"/>
    <n v="0"/>
    <n v="0"/>
    <n v="0"/>
    <n v="0"/>
    <x v="277"/>
    <x v="262"/>
    <n v="21257"/>
    <x v="1"/>
    <x v="0"/>
    <n v="0"/>
    <n v="5"/>
    <n v="11"/>
  </r>
  <r>
    <x v="0"/>
    <x v="67"/>
    <x v="5"/>
    <x v="2"/>
    <x v="2"/>
    <n v="0"/>
    <n v="0"/>
    <n v="0"/>
    <n v="0"/>
    <n v="0"/>
    <n v="0"/>
    <n v="0"/>
    <n v="0"/>
    <x v="810"/>
    <x v="737"/>
    <n v="347256"/>
    <x v="2"/>
    <x v="1"/>
    <n v="0"/>
    <n v="30"/>
    <n v="49"/>
  </r>
  <r>
    <x v="2"/>
    <x v="135"/>
    <x v="8"/>
    <x v="392"/>
    <x v="2"/>
    <n v="0"/>
    <n v="0"/>
    <n v="0"/>
    <n v="0"/>
    <n v="0"/>
    <n v="0"/>
    <n v="0"/>
    <n v="0"/>
    <x v="28"/>
    <x v="28"/>
    <n v="0"/>
    <x v="17"/>
    <x v="1"/>
    <n v="0"/>
    <n v="0"/>
    <n v="4"/>
  </r>
  <r>
    <x v="2"/>
    <x v="61"/>
    <x v="1"/>
    <x v="677"/>
    <x v="447"/>
    <n v="53.9"/>
    <n v="4.4000000000000004"/>
    <n v="2.5"/>
    <n v="0"/>
    <n v="0"/>
    <n v="0"/>
    <n v="0"/>
    <n v="0"/>
    <x v="204"/>
    <x v="196"/>
    <n v="246945"/>
    <x v="44"/>
    <x v="60"/>
    <n v="133"/>
    <n v="50"/>
    <n v="64"/>
  </r>
  <r>
    <x v="2"/>
    <x v="135"/>
    <x v="2"/>
    <x v="628"/>
    <x v="2"/>
    <n v="0"/>
    <n v="0"/>
    <n v="0"/>
    <n v="0"/>
    <n v="0"/>
    <n v="0"/>
    <n v="0"/>
    <n v="0"/>
    <x v="356"/>
    <x v="28"/>
    <n v="0"/>
    <x v="182"/>
    <x v="1"/>
    <n v="0"/>
    <n v="5"/>
    <n v="11"/>
  </r>
  <r>
    <x v="2"/>
    <x v="54"/>
    <x v="1"/>
    <x v="678"/>
    <x v="448"/>
    <n v="38.799999999999997"/>
    <n v="4.2"/>
    <n v="2.6"/>
    <n v="0"/>
    <n v="0"/>
    <n v="0"/>
    <n v="0"/>
    <n v="0"/>
    <x v="54"/>
    <x v="54"/>
    <n v="247425"/>
    <x v="66"/>
    <x v="167"/>
    <n v="96"/>
    <n v="50"/>
    <n v="64"/>
  </r>
  <r>
    <x v="2"/>
    <x v="133"/>
    <x v="3"/>
    <x v="679"/>
    <x v="225"/>
    <n v="0"/>
    <n v="13.9"/>
    <n v="0"/>
    <n v="0"/>
    <n v="0"/>
    <n v="0"/>
    <n v="0"/>
    <n v="0"/>
    <x v="351"/>
    <x v="328"/>
    <n v="0"/>
    <x v="302"/>
    <x v="59"/>
    <n v="0"/>
    <n v="18"/>
    <n v="29"/>
  </r>
  <r>
    <x v="1"/>
    <x v="58"/>
    <x v="2"/>
    <x v="54"/>
    <x v="17"/>
    <n v="0"/>
    <n v="0.9"/>
    <n v="0"/>
    <n v="0"/>
    <n v="0"/>
    <n v="0"/>
    <n v="0"/>
    <n v="0"/>
    <x v="107"/>
    <x v="106"/>
    <n v="21068"/>
    <x v="1"/>
    <x v="0"/>
    <n v="0"/>
    <n v="5"/>
    <n v="11"/>
  </r>
  <r>
    <x v="2"/>
    <x v="103"/>
    <x v="8"/>
    <x v="638"/>
    <x v="2"/>
    <n v="0"/>
    <n v="0"/>
    <n v="0"/>
    <n v="0"/>
    <n v="0"/>
    <n v="0"/>
    <n v="0"/>
    <n v="0"/>
    <x v="28"/>
    <x v="28"/>
    <n v="0"/>
    <x v="31"/>
    <x v="1"/>
    <n v="0"/>
    <n v="0"/>
    <n v="4"/>
  </r>
  <r>
    <x v="0"/>
    <x v="62"/>
    <x v="3"/>
    <x v="2"/>
    <x v="2"/>
    <n v="0"/>
    <n v="0"/>
    <n v="0"/>
    <n v="0"/>
    <n v="0"/>
    <n v="0"/>
    <n v="0"/>
    <n v="0"/>
    <x v="114"/>
    <x v="113"/>
    <n v="161713"/>
    <x v="2"/>
    <x v="1"/>
    <n v="0"/>
    <n v="18"/>
    <n v="29"/>
  </r>
  <r>
    <x v="2"/>
    <x v="103"/>
    <x v="2"/>
    <x v="680"/>
    <x v="2"/>
    <n v="0"/>
    <n v="0"/>
    <n v="0"/>
    <n v="0"/>
    <n v="0"/>
    <n v="0"/>
    <n v="0"/>
    <n v="0"/>
    <x v="356"/>
    <x v="28"/>
    <n v="0"/>
    <x v="223"/>
    <x v="1"/>
    <n v="0"/>
    <n v="5"/>
    <n v="11"/>
  </r>
  <r>
    <x v="1"/>
    <x v="125"/>
    <x v="5"/>
    <x v="620"/>
    <x v="82"/>
    <n v="0"/>
    <n v="40.5"/>
    <n v="0"/>
    <n v="0"/>
    <n v="0"/>
    <n v="0"/>
    <n v="0"/>
    <n v="0"/>
    <x v="811"/>
    <x v="738"/>
    <n v="0"/>
    <x v="32"/>
    <x v="0"/>
    <n v="0"/>
    <n v="30"/>
    <n v="49"/>
  </r>
  <r>
    <x v="2"/>
    <x v="12"/>
    <x v="8"/>
    <x v="235"/>
    <x v="2"/>
    <n v="0"/>
    <n v="0"/>
    <n v="0"/>
    <n v="0"/>
    <n v="0"/>
    <n v="0"/>
    <n v="0"/>
    <n v="0"/>
    <x v="28"/>
    <x v="28"/>
    <n v="0"/>
    <x v="303"/>
    <x v="1"/>
    <n v="0"/>
    <n v="0"/>
    <n v="4"/>
  </r>
  <r>
    <x v="2"/>
    <x v="12"/>
    <x v="2"/>
    <x v="681"/>
    <x v="2"/>
    <n v="0"/>
    <n v="0"/>
    <n v="0"/>
    <n v="0"/>
    <n v="0"/>
    <n v="0"/>
    <n v="0"/>
    <n v="0"/>
    <x v="356"/>
    <x v="28"/>
    <n v="0"/>
    <x v="145"/>
    <x v="1"/>
    <n v="0"/>
    <n v="5"/>
    <n v="11"/>
  </r>
  <r>
    <x v="1"/>
    <x v="119"/>
    <x v="6"/>
    <x v="383"/>
    <x v="449"/>
    <n v="61.3"/>
    <n v="0.3"/>
    <n v="0.3"/>
    <n v="0"/>
    <n v="0"/>
    <n v="0"/>
    <n v="0"/>
    <n v="0"/>
    <x v="812"/>
    <x v="739"/>
    <n v="47294"/>
    <x v="13"/>
    <x v="26"/>
    <n v="29"/>
    <n v="80"/>
    <n v="200"/>
  </r>
  <r>
    <x v="2"/>
    <x v="48"/>
    <x v="8"/>
    <x v="551"/>
    <x v="58"/>
    <n v="0"/>
    <n v="15.1"/>
    <n v="0"/>
    <n v="0"/>
    <n v="0"/>
    <n v="0"/>
    <n v="0"/>
    <n v="0"/>
    <x v="28"/>
    <x v="28"/>
    <n v="0"/>
    <x v="261"/>
    <x v="39"/>
    <n v="0"/>
    <n v="0"/>
    <n v="4"/>
  </r>
  <r>
    <x v="1"/>
    <x v="122"/>
    <x v="1"/>
    <x v="682"/>
    <x v="162"/>
    <n v="0"/>
    <n v="18.399999999999999"/>
    <n v="0"/>
    <n v="0"/>
    <n v="0"/>
    <n v="0"/>
    <n v="0"/>
    <n v="0"/>
    <x v="798"/>
    <x v="725"/>
    <n v="0"/>
    <x v="158"/>
    <x v="39"/>
    <n v="0"/>
    <n v="50"/>
    <n v="64"/>
  </r>
  <r>
    <x v="2"/>
    <x v="20"/>
    <x v="8"/>
    <x v="683"/>
    <x v="2"/>
    <n v="0"/>
    <n v="0"/>
    <n v="0"/>
    <n v="0"/>
    <n v="0"/>
    <n v="0"/>
    <n v="0"/>
    <n v="0"/>
    <x v="28"/>
    <x v="28"/>
    <n v="0"/>
    <x v="304"/>
    <x v="1"/>
    <n v="0"/>
    <n v="0"/>
    <n v="4"/>
  </r>
  <r>
    <x v="0"/>
    <x v="20"/>
    <x v="0"/>
    <x v="44"/>
    <x v="0"/>
    <n v="0"/>
    <n v="13"/>
    <n v="0"/>
    <n v="1.9"/>
    <n v="0.1"/>
    <n v="0"/>
    <n v="17.5"/>
    <n v="0"/>
    <x v="441"/>
    <x v="412"/>
    <n v="0"/>
    <x v="36"/>
    <x v="11"/>
    <n v="0"/>
    <n v="999"/>
    <n v="999"/>
  </r>
  <r>
    <x v="2"/>
    <x v="20"/>
    <x v="2"/>
    <x v="673"/>
    <x v="2"/>
    <n v="0"/>
    <n v="0"/>
    <n v="0"/>
    <n v="0"/>
    <n v="0"/>
    <n v="0"/>
    <n v="0"/>
    <n v="0"/>
    <x v="356"/>
    <x v="28"/>
    <n v="0"/>
    <x v="140"/>
    <x v="1"/>
    <n v="0"/>
    <n v="5"/>
    <n v="11"/>
  </r>
  <r>
    <x v="1"/>
    <x v="4"/>
    <x v="0"/>
    <x v="287"/>
    <x v="116"/>
    <n v="2.9"/>
    <n v="1.7"/>
    <n v="1.2"/>
    <n v="4.7"/>
    <n v="2.8"/>
    <n v="2.1"/>
    <n v="1.7"/>
    <n v="2.2000000000000002"/>
    <x v="813"/>
    <x v="740"/>
    <n v="937807"/>
    <x v="87"/>
    <x v="130"/>
    <n v="27"/>
    <n v="999"/>
    <n v="999"/>
  </r>
  <r>
    <x v="2"/>
    <x v="2"/>
    <x v="7"/>
    <x v="684"/>
    <x v="450"/>
    <n v="124.5"/>
    <n v="1.1000000000000001"/>
    <n v="1"/>
    <n v="0"/>
    <n v="0"/>
    <n v="0"/>
    <n v="0"/>
    <n v="0"/>
    <x v="333"/>
    <x v="311"/>
    <n v="171141"/>
    <x v="76"/>
    <x v="182"/>
    <n v="213"/>
    <n v="65"/>
    <n v="79"/>
  </r>
  <r>
    <x v="0"/>
    <x v="29"/>
    <x v="6"/>
    <x v="210"/>
    <x v="451"/>
    <n v="2.2000000000000002"/>
    <n v="0.5"/>
    <n v="1.7"/>
    <n v="0"/>
    <n v="0"/>
    <n v="0"/>
    <n v="0"/>
    <n v="0"/>
    <x v="814"/>
    <x v="741"/>
    <n v="45782"/>
    <x v="1"/>
    <x v="0"/>
    <n v="1"/>
    <n v="80"/>
    <n v="200"/>
  </r>
  <r>
    <x v="1"/>
    <x v="64"/>
    <x v="5"/>
    <x v="37"/>
    <x v="141"/>
    <n v="0.9"/>
    <n v="3.9"/>
    <n v="6.1"/>
    <n v="0"/>
    <n v="0"/>
    <n v="0"/>
    <n v="0"/>
    <n v="0"/>
    <x v="815"/>
    <x v="742"/>
    <n v="347292"/>
    <x v="18"/>
    <x v="16"/>
    <n v="3"/>
    <n v="30"/>
    <n v="49"/>
  </r>
  <r>
    <x v="2"/>
    <x v="81"/>
    <x v="8"/>
    <x v="682"/>
    <x v="2"/>
    <n v="0"/>
    <n v="0"/>
    <n v="0"/>
    <n v="0"/>
    <n v="0"/>
    <n v="0"/>
    <n v="0"/>
    <n v="0"/>
    <x v="28"/>
    <x v="28"/>
    <n v="0"/>
    <x v="156"/>
    <x v="1"/>
    <n v="0"/>
    <n v="0"/>
    <n v="4"/>
  </r>
  <r>
    <x v="1"/>
    <x v="47"/>
    <x v="6"/>
    <x v="685"/>
    <x v="452"/>
    <n v="106.1"/>
    <n v="0.3"/>
    <n v="0.5"/>
    <n v="0"/>
    <n v="0"/>
    <n v="0"/>
    <n v="0"/>
    <n v="0"/>
    <x v="816"/>
    <x v="309"/>
    <n v="47114"/>
    <x v="27"/>
    <x v="28"/>
    <n v="50"/>
    <n v="80"/>
    <n v="200"/>
  </r>
  <r>
    <x v="2"/>
    <x v="106"/>
    <x v="5"/>
    <x v="686"/>
    <x v="453"/>
    <n v="0"/>
    <n v="2.8"/>
    <n v="0"/>
    <n v="0"/>
    <n v="0"/>
    <n v="0"/>
    <n v="0"/>
    <n v="0"/>
    <x v="175"/>
    <x v="172"/>
    <n v="0"/>
    <x v="305"/>
    <x v="225"/>
    <n v="0"/>
    <n v="30"/>
    <n v="49"/>
  </r>
  <r>
    <x v="2"/>
    <x v="139"/>
    <x v="5"/>
    <x v="57"/>
    <x v="110"/>
    <n v="10.1"/>
    <n v="3.7"/>
    <n v="1.6"/>
    <n v="0"/>
    <n v="0"/>
    <n v="0"/>
    <n v="0"/>
    <n v="0"/>
    <x v="513"/>
    <x v="197"/>
    <n v="347307"/>
    <x v="134"/>
    <x v="23"/>
    <n v="35"/>
    <n v="30"/>
    <n v="49"/>
  </r>
  <r>
    <x v="2"/>
    <x v="81"/>
    <x v="2"/>
    <x v="687"/>
    <x v="2"/>
    <n v="0"/>
    <n v="0"/>
    <n v="0"/>
    <n v="0"/>
    <n v="0"/>
    <n v="0"/>
    <n v="0"/>
    <n v="0"/>
    <x v="356"/>
    <x v="28"/>
    <n v="0"/>
    <x v="306"/>
    <x v="1"/>
    <n v="0"/>
    <n v="5"/>
    <n v="11"/>
  </r>
  <r>
    <x v="2"/>
    <x v="100"/>
    <x v="6"/>
    <x v="688"/>
    <x v="454"/>
    <n v="189"/>
    <n v="0.4"/>
    <n v="0.6"/>
    <n v="0"/>
    <n v="0"/>
    <n v="0"/>
    <n v="0"/>
    <n v="0"/>
    <x v="539"/>
    <x v="494"/>
    <n v="45506"/>
    <x v="48"/>
    <x v="37"/>
    <n v="86"/>
    <n v="80"/>
    <n v="200"/>
  </r>
  <r>
    <x v="0"/>
    <x v="84"/>
    <x v="6"/>
    <x v="82"/>
    <x v="62"/>
    <n v="0"/>
    <n v="0.5"/>
    <n v="0"/>
    <n v="0"/>
    <n v="0"/>
    <n v="0"/>
    <n v="0"/>
    <n v="0"/>
    <x v="384"/>
    <x v="360"/>
    <n v="47134"/>
    <x v="1"/>
    <x v="0"/>
    <n v="0"/>
    <n v="80"/>
    <n v="200"/>
  </r>
  <r>
    <x v="0"/>
    <x v="56"/>
    <x v="3"/>
    <x v="2"/>
    <x v="2"/>
    <n v="0"/>
    <n v="0"/>
    <n v="0"/>
    <n v="0"/>
    <n v="0"/>
    <n v="0"/>
    <n v="0"/>
    <n v="0"/>
    <x v="817"/>
    <x v="743"/>
    <n v="145029"/>
    <x v="2"/>
    <x v="1"/>
    <n v="0"/>
    <n v="18"/>
    <n v="29"/>
  </r>
  <r>
    <x v="2"/>
    <x v="93"/>
    <x v="8"/>
    <x v="10"/>
    <x v="2"/>
    <n v="0"/>
    <n v="0"/>
    <n v="0"/>
    <n v="0"/>
    <n v="0"/>
    <n v="0"/>
    <n v="0"/>
    <n v="0"/>
    <x v="28"/>
    <x v="28"/>
    <n v="0"/>
    <x v="189"/>
    <x v="1"/>
    <n v="0"/>
    <n v="0"/>
    <n v="4"/>
  </r>
  <r>
    <x v="1"/>
    <x v="136"/>
    <x v="1"/>
    <x v="626"/>
    <x v="176"/>
    <n v="0"/>
    <n v="11.8"/>
    <n v="0"/>
    <n v="0"/>
    <n v="0"/>
    <n v="0"/>
    <n v="0"/>
    <n v="0"/>
    <x v="510"/>
    <x v="744"/>
    <n v="0"/>
    <x v="67"/>
    <x v="36"/>
    <n v="0"/>
    <n v="50"/>
    <n v="64"/>
  </r>
  <r>
    <x v="0"/>
    <x v="99"/>
    <x v="6"/>
    <x v="213"/>
    <x v="455"/>
    <n v="9.6999999999999993"/>
    <n v="1.7"/>
    <n v="4.5"/>
    <n v="0"/>
    <n v="0"/>
    <n v="0"/>
    <n v="0"/>
    <n v="0"/>
    <x v="488"/>
    <x v="452"/>
    <n v="41310"/>
    <x v="27"/>
    <x v="16"/>
    <n v="4"/>
    <n v="80"/>
    <n v="200"/>
  </r>
  <r>
    <x v="0"/>
    <x v="103"/>
    <x v="5"/>
    <x v="2"/>
    <x v="2"/>
    <n v="0"/>
    <n v="0"/>
    <n v="0"/>
    <n v="0"/>
    <n v="0"/>
    <n v="0"/>
    <n v="0"/>
    <n v="0"/>
    <x v="818"/>
    <x v="745"/>
    <n v="0"/>
    <x v="2"/>
    <x v="1"/>
    <n v="0"/>
    <n v="30"/>
    <n v="49"/>
  </r>
  <r>
    <x v="2"/>
    <x v="73"/>
    <x v="4"/>
    <x v="95"/>
    <x v="456"/>
    <n v="171.5"/>
    <n v="2.2999999999999998"/>
    <n v="0.9"/>
    <n v="0"/>
    <n v="0"/>
    <n v="0"/>
    <n v="0"/>
    <n v="0"/>
    <x v="819"/>
    <x v="746"/>
    <n v="37326"/>
    <x v="177"/>
    <x v="116"/>
    <n v="64"/>
    <n v="12"/>
    <n v="17"/>
  </r>
  <r>
    <x v="0"/>
    <x v="75"/>
    <x v="0"/>
    <x v="86"/>
    <x v="0"/>
    <n v="0.6"/>
    <n v="8"/>
    <n v="1.3"/>
    <n v="1.4"/>
    <n v="0.3"/>
    <n v="0.4"/>
    <n v="4.8"/>
    <n v="3.5"/>
    <x v="635"/>
    <x v="576"/>
    <n v="1009629"/>
    <x v="13"/>
    <x v="0"/>
    <n v="6"/>
    <n v="999"/>
    <n v="999"/>
  </r>
  <r>
    <x v="0"/>
    <x v="135"/>
    <x v="6"/>
    <x v="64"/>
    <x v="2"/>
    <n v="0"/>
    <n v="0"/>
    <n v="0"/>
    <n v="0"/>
    <n v="0"/>
    <n v="0"/>
    <n v="0"/>
    <n v="0"/>
    <x v="720"/>
    <x v="653"/>
    <n v="0"/>
    <x v="45"/>
    <x v="1"/>
    <n v="0"/>
    <n v="80"/>
    <n v="200"/>
  </r>
  <r>
    <x v="2"/>
    <x v="9"/>
    <x v="8"/>
    <x v="337"/>
    <x v="2"/>
    <n v="0"/>
    <n v="0"/>
    <n v="0"/>
    <n v="0"/>
    <n v="0"/>
    <n v="0"/>
    <n v="0"/>
    <n v="0"/>
    <x v="28"/>
    <x v="28"/>
    <n v="0"/>
    <x v="7"/>
    <x v="1"/>
    <n v="0"/>
    <n v="0"/>
    <n v="4"/>
  </r>
  <r>
    <x v="0"/>
    <x v="122"/>
    <x v="3"/>
    <x v="219"/>
    <x v="2"/>
    <n v="0"/>
    <n v="0"/>
    <n v="0"/>
    <n v="0"/>
    <n v="0"/>
    <n v="0"/>
    <n v="0"/>
    <n v="0"/>
    <x v="474"/>
    <x v="438"/>
    <n v="0"/>
    <x v="0"/>
    <x v="1"/>
    <n v="0"/>
    <n v="18"/>
    <n v="29"/>
  </r>
  <r>
    <x v="1"/>
    <x v="69"/>
    <x v="7"/>
    <x v="313"/>
    <x v="457"/>
    <n v="7.8"/>
    <n v="0.9"/>
    <n v="3.1"/>
    <n v="0"/>
    <n v="0"/>
    <n v="0"/>
    <n v="0"/>
    <n v="0"/>
    <x v="773"/>
    <x v="702"/>
    <n v="153089"/>
    <x v="27"/>
    <x v="75"/>
    <n v="12"/>
    <n v="65"/>
    <n v="79"/>
  </r>
  <r>
    <x v="0"/>
    <x v="127"/>
    <x v="1"/>
    <x v="302"/>
    <x v="4"/>
    <n v="1.2"/>
    <n v="11"/>
    <n v="34.799999999999997"/>
    <n v="0"/>
    <n v="0"/>
    <n v="0"/>
    <n v="0"/>
    <n v="0"/>
    <x v="498"/>
    <x v="460"/>
    <n v="171854"/>
    <x v="37"/>
    <x v="26"/>
    <n v="2"/>
    <n v="50"/>
    <n v="64"/>
  </r>
  <r>
    <x v="1"/>
    <x v="53"/>
    <x v="0"/>
    <x v="431"/>
    <x v="48"/>
    <n v="2.6"/>
    <n v="1.9"/>
    <n v="0.7"/>
    <n v="1.9"/>
    <n v="1.4"/>
    <n v="1.7"/>
    <n v="1.4"/>
    <n v="1.1000000000000001"/>
    <x v="782"/>
    <x v="312"/>
    <n v="1040665"/>
    <x v="51"/>
    <x v="5"/>
    <n v="27"/>
    <n v="999"/>
    <n v="999"/>
  </r>
  <r>
    <x v="2"/>
    <x v="25"/>
    <x v="3"/>
    <x v="689"/>
    <x v="458"/>
    <n v="273.39999999999998"/>
    <n v="2.2999999999999998"/>
    <n v="1.6"/>
    <n v="0"/>
    <n v="0"/>
    <n v="0"/>
    <n v="0"/>
    <n v="0"/>
    <x v="820"/>
    <x v="747"/>
    <n v="114102"/>
    <x v="307"/>
    <x v="226"/>
    <n v="312"/>
    <n v="18"/>
    <n v="29"/>
  </r>
  <r>
    <x v="2"/>
    <x v="127"/>
    <x v="5"/>
    <x v="690"/>
    <x v="459"/>
    <n v="751.4"/>
    <n v="1.6"/>
    <n v="1.7"/>
    <n v="0"/>
    <n v="0"/>
    <n v="0"/>
    <n v="0"/>
    <n v="0"/>
    <x v="279"/>
    <x v="264"/>
    <n v="239415"/>
    <x v="308"/>
    <x v="227"/>
    <n v="1799"/>
    <n v="30"/>
    <n v="49"/>
  </r>
  <r>
    <x v="2"/>
    <x v="125"/>
    <x v="1"/>
    <x v="691"/>
    <x v="61"/>
    <n v="0"/>
    <n v="28.8"/>
    <n v="0"/>
    <n v="0"/>
    <n v="0"/>
    <n v="0"/>
    <n v="0"/>
    <n v="0"/>
    <x v="610"/>
    <x v="556"/>
    <n v="0"/>
    <x v="25"/>
    <x v="48"/>
    <n v="0"/>
    <n v="50"/>
    <n v="64"/>
  </r>
  <r>
    <x v="2"/>
    <x v="130"/>
    <x v="8"/>
    <x v="692"/>
    <x v="2"/>
    <n v="0"/>
    <n v="0"/>
    <n v="0"/>
    <n v="0"/>
    <n v="0"/>
    <n v="0"/>
    <n v="0"/>
    <n v="0"/>
    <x v="28"/>
    <x v="28"/>
    <n v="0"/>
    <x v="119"/>
    <x v="1"/>
    <n v="0"/>
    <n v="0"/>
    <n v="4"/>
  </r>
  <r>
    <x v="0"/>
    <x v="50"/>
    <x v="7"/>
    <x v="2"/>
    <x v="2"/>
    <n v="0"/>
    <n v="0"/>
    <n v="0"/>
    <n v="0"/>
    <n v="0"/>
    <n v="0"/>
    <n v="0"/>
    <n v="0"/>
    <x v="821"/>
    <x v="748"/>
    <n v="166552"/>
    <x v="2"/>
    <x v="1"/>
    <n v="0"/>
    <n v="65"/>
    <n v="79"/>
  </r>
  <r>
    <x v="1"/>
    <x v="91"/>
    <x v="1"/>
    <x v="109"/>
    <x v="400"/>
    <n v="4.9000000000000004"/>
    <n v="1.4"/>
    <n v="4.4000000000000004"/>
    <n v="0"/>
    <n v="0"/>
    <n v="0"/>
    <n v="0"/>
    <n v="0"/>
    <x v="822"/>
    <x v="749"/>
    <n v="246658"/>
    <x v="33"/>
    <x v="130"/>
    <n v="12"/>
    <n v="50"/>
    <n v="64"/>
  </r>
  <r>
    <x v="1"/>
    <x v="4"/>
    <x v="3"/>
    <x v="82"/>
    <x v="2"/>
    <n v="2"/>
    <n v="0"/>
    <n v="2"/>
    <n v="0"/>
    <n v="0"/>
    <n v="0"/>
    <n v="0"/>
    <n v="0"/>
    <x v="4"/>
    <x v="4"/>
    <n v="147442"/>
    <x v="20"/>
    <x v="1"/>
    <n v="3"/>
    <n v="18"/>
    <n v="29"/>
  </r>
  <r>
    <x v="0"/>
    <x v="14"/>
    <x v="1"/>
    <x v="198"/>
    <x v="2"/>
    <n v="0"/>
    <n v="0"/>
    <n v="0"/>
    <n v="0"/>
    <n v="0"/>
    <n v="0"/>
    <n v="0"/>
    <n v="0"/>
    <x v="823"/>
    <x v="750"/>
    <n v="0"/>
    <x v="24"/>
    <x v="1"/>
    <n v="0"/>
    <n v="50"/>
    <n v="64"/>
  </r>
  <r>
    <x v="2"/>
    <x v="136"/>
    <x v="8"/>
    <x v="693"/>
    <x v="2"/>
    <n v="0"/>
    <n v="0"/>
    <n v="0"/>
    <n v="0"/>
    <n v="0"/>
    <n v="0"/>
    <n v="0"/>
    <n v="0"/>
    <x v="28"/>
    <x v="28"/>
    <n v="0"/>
    <x v="309"/>
    <x v="1"/>
    <n v="0"/>
    <n v="0"/>
    <n v="4"/>
  </r>
  <r>
    <x v="0"/>
    <x v="57"/>
    <x v="1"/>
    <x v="499"/>
    <x v="460"/>
    <n v="0"/>
    <n v="4.5999999999999996"/>
    <n v="0"/>
    <n v="0"/>
    <n v="0"/>
    <n v="0"/>
    <n v="0"/>
    <n v="0"/>
    <x v="824"/>
    <x v="751"/>
    <n v="18445"/>
    <x v="13"/>
    <x v="21"/>
    <n v="0"/>
    <n v="50"/>
    <n v="64"/>
  </r>
  <r>
    <x v="2"/>
    <x v="132"/>
    <x v="2"/>
    <x v="694"/>
    <x v="461"/>
    <n v="0"/>
    <n v="0.6"/>
    <n v="0"/>
    <n v="0"/>
    <n v="0"/>
    <n v="0"/>
    <n v="0"/>
    <n v="0"/>
    <x v="825"/>
    <x v="752"/>
    <n v="0"/>
    <x v="310"/>
    <x v="228"/>
    <n v="0"/>
    <n v="5"/>
    <n v="11"/>
  </r>
  <r>
    <x v="2"/>
    <x v="59"/>
    <x v="8"/>
    <x v="668"/>
    <x v="2"/>
    <n v="0"/>
    <n v="0"/>
    <n v="0"/>
    <n v="0"/>
    <n v="0"/>
    <n v="0"/>
    <n v="0"/>
    <n v="0"/>
    <x v="28"/>
    <x v="28"/>
    <n v="0"/>
    <x v="296"/>
    <x v="1"/>
    <n v="0"/>
    <n v="0"/>
    <n v="4"/>
  </r>
  <r>
    <x v="1"/>
    <x v="82"/>
    <x v="7"/>
    <x v="20"/>
    <x v="34"/>
    <n v="2.2999999999999998"/>
    <n v="1.1000000000000001"/>
    <n v="1.1000000000000001"/>
    <n v="0"/>
    <n v="0"/>
    <n v="0"/>
    <n v="0"/>
    <n v="0"/>
    <x v="826"/>
    <x v="635"/>
    <n v="171742"/>
    <x v="1"/>
    <x v="0"/>
    <n v="4"/>
    <n v="65"/>
    <n v="79"/>
  </r>
  <r>
    <x v="2"/>
    <x v="67"/>
    <x v="8"/>
    <x v="695"/>
    <x v="58"/>
    <n v="0"/>
    <n v="31.1"/>
    <n v="0"/>
    <n v="0"/>
    <n v="0"/>
    <n v="0"/>
    <n v="0"/>
    <n v="0"/>
    <x v="28"/>
    <x v="28"/>
    <n v="0"/>
    <x v="250"/>
    <x v="39"/>
    <n v="0"/>
    <n v="0"/>
    <n v="4"/>
  </r>
  <r>
    <x v="2"/>
    <x v="59"/>
    <x v="2"/>
    <x v="696"/>
    <x v="2"/>
    <n v="0"/>
    <n v="0"/>
    <n v="0"/>
    <n v="0"/>
    <n v="0"/>
    <n v="0"/>
    <n v="0"/>
    <n v="0"/>
    <x v="356"/>
    <x v="28"/>
    <n v="0"/>
    <x v="311"/>
    <x v="1"/>
    <n v="0"/>
    <n v="5"/>
    <n v="11"/>
  </r>
  <r>
    <x v="1"/>
    <x v="126"/>
    <x v="0"/>
    <x v="168"/>
    <x v="51"/>
    <n v="6.2"/>
    <n v="1.5"/>
    <n v="0.8"/>
    <n v="5.7"/>
    <n v="5.2"/>
    <n v="4.5999999999999996"/>
    <n v="1.1000000000000001"/>
    <n v="1.2"/>
    <x v="472"/>
    <x v="437"/>
    <n v="1040830"/>
    <x v="32"/>
    <x v="43"/>
    <n v="65"/>
    <n v="999"/>
    <n v="999"/>
  </r>
  <r>
    <x v="0"/>
    <x v="21"/>
    <x v="3"/>
    <x v="219"/>
    <x v="2"/>
    <n v="0"/>
    <n v="0"/>
    <n v="0"/>
    <n v="0"/>
    <n v="0"/>
    <n v="0"/>
    <n v="0"/>
    <n v="0"/>
    <x v="562"/>
    <x v="516"/>
    <n v="0"/>
    <x v="1"/>
    <x v="1"/>
    <n v="0"/>
    <n v="18"/>
    <n v="29"/>
  </r>
  <r>
    <x v="0"/>
    <x v="38"/>
    <x v="4"/>
    <x v="2"/>
    <x v="2"/>
    <n v="0"/>
    <n v="0"/>
    <n v="0"/>
    <n v="0"/>
    <n v="0"/>
    <n v="0"/>
    <n v="0"/>
    <n v="0"/>
    <x v="827"/>
    <x v="208"/>
    <n v="44596"/>
    <x v="2"/>
    <x v="1"/>
    <n v="0"/>
    <n v="12"/>
    <n v="17"/>
  </r>
  <r>
    <x v="1"/>
    <x v="37"/>
    <x v="3"/>
    <x v="93"/>
    <x v="2"/>
    <n v="0"/>
    <n v="0"/>
    <n v="0"/>
    <n v="0"/>
    <n v="0"/>
    <n v="0"/>
    <n v="0"/>
    <n v="0"/>
    <x v="603"/>
    <x v="113"/>
    <n v="161712"/>
    <x v="1"/>
    <x v="1"/>
    <n v="0"/>
    <n v="18"/>
    <n v="29"/>
  </r>
  <r>
    <x v="2"/>
    <x v="0"/>
    <x v="4"/>
    <x v="697"/>
    <x v="462"/>
    <n v="63"/>
    <n v="2.2000000000000002"/>
    <n v="2.1"/>
    <n v="0"/>
    <n v="0"/>
    <n v="0"/>
    <n v="0"/>
    <n v="0"/>
    <x v="828"/>
    <x v="753"/>
    <n v="44418"/>
    <x v="128"/>
    <x v="182"/>
    <n v="28"/>
    <n v="12"/>
    <n v="17"/>
  </r>
  <r>
    <x v="1"/>
    <x v="15"/>
    <x v="1"/>
    <x v="255"/>
    <x v="404"/>
    <n v="4.9000000000000004"/>
    <n v="2.7"/>
    <n v="6.6"/>
    <n v="0"/>
    <n v="0"/>
    <n v="0"/>
    <n v="0"/>
    <n v="0"/>
    <x v="15"/>
    <x v="15"/>
    <n v="244938"/>
    <x v="16"/>
    <x v="75"/>
    <n v="12"/>
    <n v="50"/>
    <n v="64"/>
  </r>
  <r>
    <x v="0"/>
    <x v="14"/>
    <x v="3"/>
    <x v="2"/>
    <x v="2"/>
    <n v="0"/>
    <n v="0"/>
    <n v="0"/>
    <n v="0"/>
    <n v="0"/>
    <n v="0"/>
    <n v="0"/>
    <n v="0"/>
    <x v="625"/>
    <x v="569"/>
    <n v="0"/>
    <x v="2"/>
    <x v="1"/>
    <n v="0"/>
    <n v="18"/>
    <n v="29"/>
  </r>
  <r>
    <x v="1"/>
    <x v="33"/>
    <x v="1"/>
    <x v="132"/>
    <x v="2"/>
    <n v="0.8"/>
    <n v="0"/>
    <n v="3.9"/>
    <n v="0"/>
    <n v="0"/>
    <n v="0"/>
    <n v="0"/>
    <n v="0"/>
    <x v="829"/>
    <x v="65"/>
    <n v="246933"/>
    <x v="1"/>
    <x v="1"/>
    <n v="2"/>
    <n v="50"/>
    <n v="64"/>
  </r>
  <r>
    <x v="1"/>
    <x v="131"/>
    <x v="3"/>
    <x v="698"/>
    <x v="87"/>
    <n v="0"/>
    <n v="22"/>
    <n v="0"/>
    <n v="0"/>
    <n v="0"/>
    <n v="0"/>
    <n v="0"/>
    <n v="0"/>
    <x v="830"/>
    <x v="754"/>
    <n v="5594"/>
    <x v="6"/>
    <x v="0"/>
    <n v="0"/>
    <n v="18"/>
    <n v="29"/>
  </r>
  <r>
    <x v="2"/>
    <x v="106"/>
    <x v="8"/>
    <x v="606"/>
    <x v="2"/>
    <n v="0"/>
    <n v="0"/>
    <n v="0"/>
    <n v="0"/>
    <n v="0"/>
    <n v="0"/>
    <n v="0"/>
    <n v="0"/>
    <x v="28"/>
    <x v="28"/>
    <n v="0"/>
    <x v="187"/>
    <x v="1"/>
    <n v="0"/>
    <n v="0"/>
    <n v="4"/>
  </r>
  <r>
    <x v="2"/>
    <x v="2"/>
    <x v="3"/>
    <x v="699"/>
    <x v="463"/>
    <n v="110.4"/>
    <n v="2.8"/>
    <n v="1.6"/>
    <n v="0"/>
    <n v="0"/>
    <n v="0"/>
    <n v="0"/>
    <n v="0"/>
    <x v="831"/>
    <x v="755"/>
    <n v="161187"/>
    <x v="312"/>
    <x v="229"/>
    <n v="178"/>
    <n v="18"/>
    <n v="29"/>
  </r>
  <r>
    <x v="2"/>
    <x v="135"/>
    <x v="3"/>
    <x v="145"/>
    <x v="397"/>
    <n v="0"/>
    <n v="3.2"/>
    <n v="0"/>
    <n v="0"/>
    <n v="0"/>
    <n v="0"/>
    <n v="0"/>
    <n v="0"/>
    <x v="832"/>
    <x v="756"/>
    <n v="0"/>
    <x v="142"/>
    <x v="167"/>
    <n v="0"/>
    <n v="18"/>
    <n v="29"/>
  </r>
  <r>
    <x v="2"/>
    <x v="106"/>
    <x v="2"/>
    <x v="700"/>
    <x v="2"/>
    <n v="0"/>
    <n v="0"/>
    <n v="0"/>
    <n v="0"/>
    <n v="0"/>
    <n v="0"/>
    <n v="0"/>
    <n v="0"/>
    <x v="356"/>
    <x v="28"/>
    <n v="0"/>
    <x v="313"/>
    <x v="1"/>
    <n v="0"/>
    <n v="5"/>
    <n v="11"/>
  </r>
  <r>
    <x v="2"/>
    <x v="43"/>
    <x v="6"/>
    <x v="115"/>
    <x v="66"/>
    <n v="23.3"/>
    <n v="0.5"/>
    <n v="0.4"/>
    <n v="0"/>
    <n v="0"/>
    <n v="0"/>
    <n v="0"/>
    <n v="0"/>
    <x v="833"/>
    <x v="101"/>
    <n v="47130"/>
    <x v="0"/>
    <x v="11"/>
    <n v="11"/>
    <n v="80"/>
    <n v="200"/>
  </r>
  <r>
    <x v="0"/>
    <x v="19"/>
    <x v="4"/>
    <x v="2"/>
    <x v="2"/>
    <n v="0"/>
    <n v="0"/>
    <n v="0"/>
    <n v="0"/>
    <n v="0"/>
    <n v="0"/>
    <n v="0"/>
    <n v="0"/>
    <x v="834"/>
    <x v="757"/>
    <n v="44526"/>
    <x v="2"/>
    <x v="1"/>
    <n v="0"/>
    <n v="12"/>
    <n v="17"/>
  </r>
  <r>
    <x v="2"/>
    <x v="65"/>
    <x v="1"/>
    <x v="551"/>
    <x v="51"/>
    <n v="0"/>
    <n v="8.6999999999999993"/>
    <n v="0"/>
    <n v="0"/>
    <n v="0"/>
    <n v="0"/>
    <n v="0"/>
    <n v="0"/>
    <x v="835"/>
    <x v="758"/>
    <n v="0"/>
    <x v="66"/>
    <x v="13"/>
    <n v="0"/>
    <n v="50"/>
    <n v="64"/>
  </r>
  <r>
    <x v="2"/>
    <x v="125"/>
    <x v="5"/>
    <x v="701"/>
    <x v="25"/>
    <n v="0"/>
    <n v="7"/>
    <n v="0"/>
    <n v="0"/>
    <n v="0"/>
    <n v="0"/>
    <n v="0"/>
    <n v="0"/>
    <x v="811"/>
    <x v="738"/>
    <n v="0"/>
    <x v="314"/>
    <x v="43"/>
    <n v="0"/>
    <n v="30"/>
    <n v="49"/>
  </r>
  <r>
    <x v="0"/>
    <x v="55"/>
    <x v="8"/>
    <x v="2"/>
    <x v="2"/>
    <n v="0"/>
    <n v="0"/>
    <n v="0"/>
    <n v="0"/>
    <n v="0"/>
    <n v="0"/>
    <n v="0"/>
    <n v="0"/>
    <x v="28"/>
    <x v="28"/>
    <n v="0"/>
    <x v="2"/>
    <x v="1"/>
    <n v="0"/>
    <n v="0"/>
    <n v="4"/>
  </r>
  <r>
    <x v="1"/>
    <x v="100"/>
    <x v="1"/>
    <x v="702"/>
    <x v="411"/>
    <n v="6.3"/>
    <n v="2.2000000000000002"/>
    <n v="3.7"/>
    <n v="0"/>
    <n v="0"/>
    <n v="0"/>
    <n v="0"/>
    <n v="0"/>
    <x v="235"/>
    <x v="225"/>
    <n v="238179"/>
    <x v="24"/>
    <x v="52"/>
    <n v="15"/>
    <n v="50"/>
    <n v="64"/>
  </r>
  <r>
    <x v="0"/>
    <x v="1"/>
    <x v="2"/>
    <x v="2"/>
    <x v="2"/>
    <n v="0"/>
    <n v="0"/>
    <n v="0"/>
    <n v="0"/>
    <n v="0"/>
    <n v="0"/>
    <n v="0"/>
    <n v="0"/>
    <x v="529"/>
    <x v="484"/>
    <n v="21192"/>
    <x v="2"/>
    <x v="1"/>
    <n v="0"/>
    <n v="5"/>
    <n v="11"/>
  </r>
  <r>
    <x v="2"/>
    <x v="116"/>
    <x v="3"/>
    <x v="703"/>
    <x v="448"/>
    <n v="27.8"/>
    <n v="3.7"/>
    <n v="3.2"/>
    <n v="0"/>
    <n v="0"/>
    <n v="0"/>
    <n v="0"/>
    <n v="0"/>
    <x v="402"/>
    <x v="376"/>
    <n v="161722"/>
    <x v="125"/>
    <x v="182"/>
    <n v="45"/>
    <n v="18"/>
    <n v="29"/>
  </r>
  <r>
    <x v="1"/>
    <x v="49"/>
    <x v="1"/>
    <x v="537"/>
    <x v="145"/>
    <n v="2.8"/>
    <n v="5.8"/>
    <n v="3.3"/>
    <n v="0"/>
    <n v="0"/>
    <n v="0"/>
    <n v="0"/>
    <n v="0"/>
    <x v="652"/>
    <x v="593"/>
    <n v="246936"/>
    <x v="45"/>
    <x v="11"/>
    <n v="7"/>
    <n v="50"/>
    <n v="64"/>
  </r>
  <r>
    <x v="0"/>
    <x v="17"/>
    <x v="7"/>
    <x v="2"/>
    <x v="2"/>
    <n v="0"/>
    <n v="0"/>
    <n v="0"/>
    <n v="0"/>
    <n v="0"/>
    <n v="0"/>
    <n v="0"/>
    <n v="0"/>
    <x v="699"/>
    <x v="635"/>
    <n v="171741"/>
    <x v="2"/>
    <x v="1"/>
    <n v="0"/>
    <n v="65"/>
    <n v="79"/>
  </r>
  <r>
    <x v="2"/>
    <x v="40"/>
    <x v="8"/>
    <x v="557"/>
    <x v="2"/>
    <n v="0"/>
    <n v="0"/>
    <n v="0"/>
    <n v="0"/>
    <n v="0"/>
    <n v="0"/>
    <n v="0"/>
    <n v="0"/>
    <x v="28"/>
    <x v="28"/>
    <n v="0"/>
    <x v="145"/>
    <x v="1"/>
    <n v="0"/>
    <n v="0"/>
    <n v="4"/>
  </r>
  <r>
    <x v="1"/>
    <x v="135"/>
    <x v="0"/>
    <x v="60"/>
    <x v="38"/>
    <n v="0"/>
    <n v="4"/>
    <n v="0"/>
    <n v="3.5"/>
    <n v="0.5"/>
    <n v="0"/>
    <n v="6.8"/>
    <n v="0"/>
    <x v="406"/>
    <x v="380"/>
    <n v="0"/>
    <x v="118"/>
    <x v="13"/>
    <n v="0"/>
    <n v="999"/>
    <n v="999"/>
  </r>
  <r>
    <x v="1"/>
    <x v="39"/>
    <x v="2"/>
    <x v="99"/>
    <x v="2"/>
    <n v="4.9000000000000004"/>
    <n v="0"/>
    <n v="0.4"/>
    <n v="0"/>
    <n v="0"/>
    <n v="0"/>
    <n v="0"/>
    <n v="0"/>
    <x v="39"/>
    <x v="39"/>
    <n v="20269"/>
    <x v="0"/>
    <x v="1"/>
    <n v="1"/>
    <n v="5"/>
    <n v="11"/>
  </r>
  <r>
    <x v="2"/>
    <x v="69"/>
    <x v="6"/>
    <x v="704"/>
    <x v="464"/>
    <n v="62.4"/>
    <n v="0.6"/>
    <n v="0.9"/>
    <n v="0"/>
    <n v="0"/>
    <n v="0"/>
    <n v="0"/>
    <n v="0"/>
    <x v="836"/>
    <x v="759"/>
    <n v="41699"/>
    <x v="36"/>
    <x v="38"/>
    <n v="26"/>
    <n v="80"/>
    <n v="200"/>
  </r>
  <r>
    <x v="0"/>
    <x v="129"/>
    <x v="7"/>
    <x v="2"/>
    <x v="2"/>
    <n v="0"/>
    <n v="0"/>
    <n v="0"/>
    <n v="0"/>
    <n v="0"/>
    <n v="0"/>
    <n v="0"/>
    <n v="0"/>
    <x v="837"/>
    <x v="760"/>
    <n v="171735"/>
    <x v="2"/>
    <x v="1"/>
    <n v="0"/>
    <n v="65"/>
    <n v="79"/>
  </r>
  <r>
    <x v="1"/>
    <x v="33"/>
    <x v="2"/>
    <x v="2"/>
    <x v="17"/>
    <n v="0"/>
    <n v="0"/>
    <n v="0"/>
    <n v="0"/>
    <n v="0"/>
    <n v="0"/>
    <n v="0"/>
    <n v="0"/>
    <x v="838"/>
    <x v="42"/>
    <n v="21259"/>
    <x v="2"/>
    <x v="0"/>
    <n v="0"/>
    <n v="5"/>
    <n v="11"/>
  </r>
  <r>
    <x v="2"/>
    <x v="21"/>
    <x v="8"/>
    <x v="705"/>
    <x v="2"/>
    <n v="0"/>
    <n v="0"/>
    <n v="0"/>
    <n v="0"/>
    <n v="0"/>
    <n v="0"/>
    <n v="0"/>
    <n v="0"/>
    <x v="28"/>
    <x v="28"/>
    <n v="0"/>
    <x v="142"/>
    <x v="1"/>
    <n v="0"/>
    <n v="0"/>
    <n v="4"/>
  </r>
  <r>
    <x v="2"/>
    <x v="131"/>
    <x v="8"/>
    <x v="706"/>
    <x v="2"/>
    <n v="0"/>
    <n v="0"/>
    <n v="0"/>
    <n v="0"/>
    <n v="0"/>
    <n v="0"/>
    <n v="0"/>
    <n v="0"/>
    <x v="28"/>
    <x v="28"/>
    <n v="0"/>
    <x v="109"/>
    <x v="1"/>
    <n v="0"/>
    <n v="0"/>
    <n v="4"/>
  </r>
  <r>
    <x v="2"/>
    <x v="57"/>
    <x v="8"/>
    <x v="221"/>
    <x v="2"/>
    <n v="0"/>
    <n v="0"/>
    <n v="0"/>
    <n v="0"/>
    <n v="0"/>
    <n v="0"/>
    <n v="0"/>
    <n v="0"/>
    <x v="28"/>
    <x v="28"/>
    <n v="0"/>
    <x v="114"/>
    <x v="1"/>
    <n v="0"/>
    <n v="0"/>
    <n v="4"/>
  </r>
  <r>
    <x v="1"/>
    <x v="84"/>
    <x v="3"/>
    <x v="60"/>
    <x v="23"/>
    <n v="0.6"/>
    <n v="5.6"/>
    <n v="4.7"/>
    <n v="0"/>
    <n v="0"/>
    <n v="0"/>
    <n v="0"/>
    <n v="0"/>
    <x v="839"/>
    <x v="520"/>
    <n v="161728"/>
    <x v="0"/>
    <x v="0"/>
    <n v="1"/>
    <n v="18"/>
    <n v="29"/>
  </r>
  <r>
    <x v="2"/>
    <x v="57"/>
    <x v="2"/>
    <x v="707"/>
    <x v="2"/>
    <n v="0"/>
    <n v="0"/>
    <n v="0"/>
    <n v="0"/>
    <n v="0"/>
    <n v="0"/>
    <n v="0"/>
    <n v="0"/>
    <x v="356"/>
    <x v="28"/>
    <n v="0"/>
    <x v="150"/>
    <x v="1"/>
    <n v="0"/>
    <n v="5"/>
    <n v="11"/>
  </r>
  <r>
    <x v="1"/>
    <x v="30"/>
    <x v="8"/>
    <x v="41"/>
    <x v="2"/>
    <n v="0"/>
    <n v="0"/>
    <n v="0"/>
    <n v="0"/>
    <n v="0"/>
    <n v="0"/>
    <n v="0"/>
    <n v="0"/>
    <x v="28"/>
    <x v="28"/>
    <n v="0"/>
    <x v="33"/>
    <x v="1"/>
    <n v="0"/>
    <n v="0"/>
    <n v="4"/>
  </r>
  <r>
    <x v="2"/>
    <x v="87"/>
    <x v="8"/>
    <x v="708"/>
    <x v="2"/>
    <n v="0"/>
    <n v="0"/>
    <n v="0"/>
    <n v="0"/>
    <n v="0"/>
    <n v="0"/>
    <n v="0"/>
    <n v="0"/>
    <x v="28"/>
    <x v="28"/>
    <n v="0"/>
    <x v="221"/>
    <x v="1"/>
    <n v="0"/>
    <n v="0"/>
    <n v="4"/>
  </r>
  <r>
    <x v="2"/>
    <x v="5"/>
    <x v="7"/>
    <x v="709"/>
    <x v="465"/>
    <n v="0"/>
    <n v="3.1"/>
    <n v="0"/>
    <n v="0"/>
    <n v="0"/>
    <n v="0"/>
    <n v="0"/>
    <n v="0"/>
    <x v="587"/>
    <x v="537"/>
    <n v="0"/>
    <x v="218"/>
    <x v="104"/>
    <n v="0"/>
    <n v="65"/>
    <n v="79"/>
  </r>
  <r>
    <x v="2"/>
    <x v="66"/>
    <x v="8"/>
    <x v="710"/>
    <x v="2"/>
    <n v="0"/>
    <n v="0"/>
    <n v="0"/>
    <n v="0"/>
    <n v="0"/>
    <n v="0"/>
    <n v="0"/>
    <n v="0"/>
    <x v="28"/>
    <x v="28"/>
    <n v="0"/>
    <x v="291"/>
    <x v="1"/>
    <n v="0"/>
    <n v="0"/>
    <n v="4"/>
  </r>
  <r>
    <x v="1"/>
    <x v="10"/>
    <x v="8"/>
    <x v="198"/>
    <x v="2"/>
    <n v="0"/>
    <n v="0"/>
    <n v="0"/>
    <n v="0"/>
    <n v="0"/>
    <n v="0"/>
    <n v="0"/>
    <n v="0"/>
    <x v="28"/>
    <x v="28"/>
    <n v="0"/>
    <x v="16"/>
    <x v="1"/>
    <n v="0"/>
    <n v="0"/>
    <n v="4"/>
  </r>
  <r>
    <x v="2"/>
    <x v="107"/>
    <x v="6"/>
    <x v="363"/>
    <x v="123"/>
    <n v="0"/>
    <n v="2.6"/>
    <n v="0"/>
    <n v="0"/>
    <n v="0"/>
    <n v="0"/>
    <n v="0"/>
    <n v="0"/>
    <x v="738"/>
    <x v="670"/>
    <n v="0"/>
    <x v="64"/>
    <x v="16"/>
    <n v="0"/>
    <n v="80"/>
    <n v="200"/>
  </r>
  <r>
    <x v="2"/>
    <x v="104"/>
    <x v="8"/>
    <x v="642"/>
    <x v="2"/>
    <n v="0"/>
    <n v="0"/>
    <n v="0"/>
    <n v="0"/>
    <n v="0"/>
    <n v="0"/>
    <n v="0"/>
    <n v="0"/>
    <x v="28"/>
    <x v="28"/>
    <n v="0"/>
    <x v="193"/>
    <x v="1"/>
    <n v="0"/>
    <n v="0"/>
    <n v="4"/>
  </r>
  <r>
    <x v="1"/>
    <x v="19"/>
    <x v="6"/>
    <x v="711"/>
    <x v="452"/>
    <n v="89.2"/>
    <n v="0.5"/>
    <n v="0.9"/>
    <n v="0"/>
    <n v="0"/>
    <n v="0"/>
    <n v="0"/>
    <n v="0"/>
    <x v="840"/>
    <x v="207"/>
    <n v="47108"/>
    <x v="34"/>
    <x v="28"/>
    <n v="42"/>
    <n v="80"/>
    <n v="200"/>
  </r>
  <r>
    <x v="2"/>
    <x v="39"/>
    <x v="0"/>
    <x v="576"/>
    <x v="466"/>
    <n v="94.6"/>
    <n v="1.9"/>
    <n v="1.1000000000000001"/>
    <n v="134.30000000000001"/>
    <n v="63.3"/>
    <n v="81.5"/>
    <n v="2.1"/>
    <n v="1.6"/>
    <x v="653"/>
    <x v="594"/>
    <n v="1038311"/>
    <x v="315"/>
    <x v="230"/>
    <n v="982"/>
    <n v="999"/>
    <n v="999"/>
  </r>
  <r>
    <x v="2"/>
    <x v="73"/>
    <x v="0"/>
    <x v="712"/>
    <x v="467"/>
    <n v="256.2"/>
    <n v="1.8"/>
    <n v="0.9"/>
    <n v="291.39999999999998"/>
    <n v="133"/>
    <n v="229.9"/>
    <n v="2.2000000000000002"/>
    <n v="1.3"/>
    <x v="841"/>
    <x v="761"/>
    <n v="992967"/>
    <x v="316"/>
    <x v="231"/>
    <n v="2544"/>
    <n v="999"/>
    <n v="999"/>
  </r>
  <r>
    <x v="2"/>
    <x v="97"/>
    <x v="7"/>
    <x v="713"/>
    <x v="468"/>
    <n v="26.8"/>
    <n v="2"/>
    <n v="12.1"/>
    <n v="0"/>
    <n v="0"/>
    <n v="0"/>
    <n v="0"/>
    <n v="0"/>
    <x v="842"/>
    <x v="762"/>
    <n v="100914"/>
    <x v="317"/>
    <x v="232"/>
    <n v="27"/>
    <n v="65"/>
    <n v="79"/>
  </r>
  <r>
    <x v="1"/>
    <x v="50"/>
    <x v="7"/>
    <x v="714"/>
    <x v="469"/>
    <n v="15.6"/>
    <n v="1.5"/>
    <n v="2.6"/>
    <n v="0"/>
    <n v="0"/>
    <n v="0"/>
    <n v="0"/>
    <n v="0"/>
    <x v="821"/>
    <x v="748"/>
    <n v="166552"/>
    <x v="34"/>
    <x v="38"/>
    <n v="26"/>
    <n v="65"/>
    <n v="79"/>
  </r>
  <r>
    <x v="2"/>
    <x v="31"/>
    <x v="7"/>
    <x v="715"/>
    <x v="470"/>
    <n v="209"/>
    <n v="1.3"/>
    <n v="1"/>
    <n v="0"/>
    <n v="0"/>
    <n v="0"/>
    <n v="0"/>
    <n v="0"/>
    <x v="328"/>
    <x v="307"/>
    <n v="167927"/>
    <x v="232"/>
    <x v="146"/>
    <n v="351"/>
    <n v="65"/>
    <n v="79"/>
  </r>
  <r>
    <x v="2"/>
    <x v="75"/>
    <x v="1"/>
    <x v="716"/>
    <x v="471"/>
    <n v="248.3"/>
    <n v="2.8"/>
    <n v="2.1"/>
    <n v="0"/>
    <n v="0"/>
    <n v="0"/>
    <n v="0"/>
    <n v="0"/>
    <x v="400"/>
    <x v="374"/>
    <n v="242873"/>
    <x v="318"/>
    <x v="233"/>
    <n v="603"/>
    <n v="50"/>
    <n v="64"/>
  </r>
  <r>
    <x v="0"/>
    <x v="105"/>
    <x v="1"/>
    <x v="408"/>
    <x v="1"/>
    <n v="0.4"/>
    <n v="3"/>
    <n v="6"/>
    <n v="0"/>
    <n v="0"/>
    <n v="0"/>
    <n v="0"/>
    <n v="0"/>
    <x v="573"/>
    <x v="526"/>
    <n v="243708"/>
    <x v="1"/>
    <x v="0"/>
    <n v="1"/>
    <n v="50"/>
    <n v="64"/>
  </r>
  <r>
    <x v="0"/>
    <x v="13"/>
    <x v="1"/>
    <x v="717"/>
    <x v="241"/>
    <n v="0"/>
    <n v="7.4"/>
    <n v="0"/>
    <n v="0"/>
    <n v="0"/>
    <n v="0"/>
    <n v="0"/>
    <n v="0"/>
    <x v="765"/>
    <x v="763"/>
    <n v="182773"/>
    <x v="17"/>
    <x v="23"/>
    <n v="0"/>
    <n v="50"/>
    <n v="64"/>
  </r>
  <r>
    <x v="1"/>
    <x v="76"/>
    <x v="4"/>
    <x v="2"/>
    <x v="17"/>
    <n v="0"/>
    <n v="0"/>
    <n v="0"/>
    <n v="0"/>
    <n v="0"/>
    <n v="0"/>
    <n v="0"/>
    <n v="0"/>
    <x v="843"/>
    <x v="764"/>
    <n v="44580"/>
    <x v="2"/>
    <x v="0"/>
    <n v="0"/>
    <n v="12"/>
    <n v="17"/>
  </r>
  <r>
    <x v="2"/>
    <x v="44"/>
    <x v="3"/>
    <x v="718"/>
    <x v="472"/>
    <n v="72.099999999999994"/>
    <n v="2.7"/>
    <n v="1.4"/>
    <n v="0"/>
    <n v="0"/>
    <n v="0"/>
    <n v="0"/>
    <n v="0"/>
    <x v="844"/>
    <x v="765"/>
    <n v="137242"/>
    <x v="215"/>
    <x v="234"/>
    <n v="99"/>
    <n v="18"/>
    <n v="29"/>
  </r>
  <r>
    <x v="1"/>
    <x v="1"/>
    <x v="6"/>
    <x v="719"/>
    <x v="290"/>
    <n v="23.3"/>
    <n v="0.5"/>
    <n v="1.2"/>
    <n v="0"/>
    <n v="0"/>
    <n v="0"/>
    <n v="0"/>
    <n v="0"/>
    <x v="845"/>
    <x v="766"/>
    <n v="47121"/>
    <x v="64"/>
    <x v="48"/>
    <n v="11"/>
    <n v="80"/>
    <n v="200"/>
  </r>
  <r>
    <x v="2"/>
    <x v="117"/>
    <x v="8"/>
    <x v="706"/>
    <x v="17"/>
    <n v="0"/>
    <n v="45.6"/>
    <n v="0"/>
    <n v="0"/>
    <n v="0"/>
    <n v="0"/>
    <n v="0"/>
    <n v="0"/>
    <x v="28"/>
    <x v="28"/>
    <n v="0"/>
    <x v="109"/>
    <x v="11"/>
    <n v="0"/>
    <n v="0"/>
    <n v="4"/>
  </r>
  <r>
    <x v="0"/>
    <x v="20"/>
    <x v="3"/>
    <x v="241"/>
    <x v="2"/>
    <n v="0"/>
    <n v="0"/>
    <n v="0"/>
    <n v="0"/>
    <n v="0"/>
    <n v="0"/>
    <n v="0"/>
    <n v="0"/>
    <x v="719"/>
    <x v="652"/>
    <n v="0"/>
    <x v="1"/>
    <x v="1"/>
    <n v="0"/>
    <n v="18"/>
    <n v="29"/>
  </r>
  <r>
    <x v="1"/>
    <x v="115"/>
    <x v="6"/>
    <x v="182"/>
    <x v="39"/>
    <n v="18.2"/>
    <n v="0.8"/>
    <n v="1"/>
    <n v="0"/>
    <n v="0"/>
    <n v="0"/>
    <n v="0"/>
    <n v="0"/>
    <x v="352"/>
    <x v="329"/>
    <n v="43906"/>
    <x v="13"/>
    <x v="39"/>
    <n v="8"/>
    <n v="80"/>
    <n v="200"/>
  </r>
  <r>
    <x v="0"/>
    <x v="44"/>
    <x v="0"/>
    <x v="99"/>
    <x v="17"/>
    <n v="0.7"/>
    <n v="1.8"/>
    <n v="3"/>
    <n v="2.9"/>
    <n v="1.9"/>
    <n v="0.4"/>
    <n v="1.5"/>
    <n v="6.9"/>
    <x v="80"/>
    <x v="80"/>
    <n v="888098"/>
    <x v="35"/>
    <x v="7"/>
    <n v="6"/>
    <n v="999"/>
    <n v="999"/>
  </r>
  <r>
    <x v="1"/>
    <x v="125"/>
    <x v="3"/>
    <x v="20"/>
    <x v="19"/>
    <n v="0"/>
    <n v="6.2"/>
    <n v="0"/>
    <n v="0"/>
    <n v="0"/>
    <n v="0"/>
    <n v="0"/>
    <n v="0"/>
    <x v="654"/>
    <x v="595"/>
    <n v="0"/>
    <x v="18"/>
    <x v="0"/>
    <n v="0"/>
    <n v="18"/>
    <n v="29"/>
  </r>
  <r>
    <x v="0"/>
    <x v="22"/>
    <x v="8"/>
    <x v="2"/>
    <x v="2"/>
    <n v="0"/>
    <n v="0"/>
    <n v="0"/>
    <n v="0"/>
    <n v="0"/>
    <n v="0"/>
    <n v="0"/>
    <n v="0"/>
    <x v="28"/>
    <x v="28"/>
    <n v="0"/>
    <x v="2"/>
    <x v="1"/>
    <n v="0"/>
    <n v="0"/>
    <n v="4"/>
  </r>
  <r>
    <x v="1"/>
    <x v="104"/>
    <x v="1"/>
    <x v="720"/>
    <x v="159"/>
    <n v="3.2"/>
    <n v="13.3"/>
    <n v="27.9"/>
    <n v="0"/>
    <n v="0"/>
    <n v="0"/>
    <n v="0"/>
    <n v="0"/>
    <x v="846"/>
    <x v="767"/>
    <n v="63187"/>
    <x v="76"/>
    <x v="130"/>
    <n v="2"/>
    <n v="50"/>
    <n v="64"/>
  </r>
  <r>
    <x v="2"/>
    <x v="59"/>
    <x v="6"/>
    <x v="721"/>
    <x v="187"/>
    <n v="0"/>
    <n v="1.6"/>
    <n v="0"/>
    <n v="0"/>
    <n v="0"/>
    <n v="0"/>
    <n v="0"/>
    <n v="0"/>
    <x v="88"/>
    <x v="88"/>
    <n v="0"/>
    <x v="60"/>
    <x v="27"/>
    <n v="0"/>
    <n v="80"/>
    <n v="200"/>
  </r>
  <r>
    <x v="2"/>
    <x v="19"/>
    <x v="5"/>
    <x v="722"/>
    <x v="473"/>
    <n v="165.6"/>
    <n v="1.6"/>
    <n v="1.3"/>
    <n v="0"/>
    <n v="0"/>
    <n v="0"/>
    <n v="0"/>
    <n v="0"/>
    <x v="358"/>
    <x v="334"/>
    <n v="347151"/>
    <x v="319"/>
    <x v="235"/>
    <n v="575"/>
    <n v="30"/>
    <n v="49"/>
  </r>
  <r>
    <x v="2"/>
    <x v="13"/>
    <x v="3"/>
    <x v="723"/>
    <x v="474"/>
    <n v="428.6"/>
    <n v="1.9"/>
    <n v="1.6"/>
    <n v="0"/>
    <n v="0"/>
    <n v="0"/>
    <n v="0"/>
    <n v="0"/>
    <x v="649"/>
    <x v="590"/>
    <n v="103823"/>
    <x v="320"/>
    <x v="236"/>
    <n v="445"/>
    <n v="18"/>
    <n v="29"/>
  </r>
  <r>
    <x v="0"/>
    <x v="82"/>
    <x v="7"/>
    <x v="2"/>
    <x v="2"/>
    <n v="0.6"/>
    <n v="0"/>
    <n v="0"/>
    <n v="0"/>
    <n v="0"/>
    <n v="0"/>
    <n v="0"/>
    <n v="0"/>
    <x v="826"/>
    <x v="635"/>
    <n v="171742"/>
    <x v="2"/>
    <x v="1"/>
    <n v="1"/>
    <n v="65"/>
    <n v="79"/>
  </r>
  <r>
    <x v="0"/>
    <x v="89"/>
    <x v="0"/>
    <x v="147"/>
    <x v="2"/>
    <n v="0"/>
    <n v="0"/>
    <n v="0"/>
    <n v="1"/>
    <n v="0"/>
    <n v="0"/>
    <n v="0"/>
    <n v="0"/>
    <x v="847"/>
    <x v="768"/>
    <n v="0"/>
    <x v="33"/>
    <x v="1"/>
    <n v="0"/>
    <n v="999"/>
    <n v="999"/>
  </r>
  <r>
    <x v="1"/>
    <x v="107"/>
    <x v="6"/>
    <x v="192"/>
    <x v="475"/>
    <n v="0"/>
    <n v="2.9"/>
    <n v="0"/>
    <n v="0"/>
    <n v="0"/>
    <n v="0"/>
    <n v="0"/>
    <n v="0"/>
    <x v="738"/>
    <x v="670"/>
    <n v="0"/>
    <x v="18"/>
    <x v="39"/>
    <n v="0"/>
    <n v="80"/>
    <n v="200"/>
  </r>
  <r>
    <x v="2"/>
    <x v="15"/>
    <x v="0"/>
    <x v="724"/>
    <x v="476"/>
    <n v="174.8"/>
    <n v="1.8"/>
    <n v="1.1000000000000001"/>
    <n v="227.1"/>
    <n v="108.2"/>
    <n v="147.4"/>
    <n v="2.1"/>
    <n v="1.5"/>
    <x v="196"/>
    <x v="190"/>
    <n v="1022491"/>
    <x v="321"/>
    <x v="237"/>
    <n v="1787"/>
    <n v="999"/>
    <n v="999"/>
  </r>
  <r>
    <x v="2"/>
    <x v="89"/>
    <x v="4"/>
    <x v="584"/>
    <x v="116"/>
    <n v="0"/>
    <n v="8"/>
    <n v="0"/>
    <n v="0"/>
    <n v="0"/>
    <n v="0"/>
    <n v="0"/>
    <n v="0"/>
    <x v="598"/>
    <x v="547"/>
    <n v="0"/>
    <x v="8"/>
    <x v="0"/>
    <n v="0"/>
    <n v="12"/>
    <n v="17"/>
  </r>
  <r>
    <x v="2"/>
    <x v="72"/>
    <x v="0"/>
    <x v="725"/>
    <x v="436"/>
    <n v="29.8"/>
    <n v="2.9"/>
    <n v="2"/>
    <n v="68.599999999999994"/>
    <n v="21.8"/>
    <n v="25.2"/>
    <n v="3.1"/>
    <n v="2.7"/>
    <x v="848"/>
    <x v="350"/>
    <n v="1040648"/>
    <x v="322"/>
    <x v="74"/>
    <n v="310"/>
    <n v="999"/>
    <n v="999"/>
  </r>
  <r>
    <x v="0"/>
    <x v="132"/>
    <x v="7"/>
    <x v="2"/>
    <x v="77"/>
    <n v="1.2"/>
    <n v="0"/>
    <n v="0"/>
    <n v="0"/>
    <n v="0"/>
    <n v="0"/>
    <n v="0"/>
    <n v="0"/>
    <x v="295"/>
    <x v="278"/>
    <n v="163445"/>
    <x v="2"/>
    <x v="0"/>
    <n v="2"/>
    <n v="65"/>
    <n v="79"/>
  </r>
  <r>
    <x v="1"/>
    <x v="20"/>
    <x v="1"/>
    <x v="726"/>
    <x v="257"/>
    <n v="0"/>
    <n v="13.5"/>
    <n v="0"/>
    <n v="0"/>
    <n v="0"/>
    <n v="0"/>
    <n v="0"/>
    <n v="0"/>
    <x v="745"/>
    <x v="676"/>
    <n v="0"/>
    <x v="137"/>
    <x v="5"/>
    <n v="0"/>
    <n v="50"/>
    <n v="64"/>
  </r>
  <r>
    <x v="2"/>
    <x v="34"/>
    <x v="0"/>
    <x v="727"/>
    <x v="477"/>
    <n v="384.6"/>
    <n v="1.5"/>
    <n v="2.7"/>
    <n v="1195.7"/>
    <n v="571.79999999999995"/>
    <n v="431.4"/>
    <n v="2.1"/>
    <n v="2.8"/>
    <x v="849"/>
    <x v="769"/>
    <n v="447192"/>
    <x v="323"/>
    <x v="238"/>
    <n v="1720"/>
    <n v="999"/>
    <n v="999"/>
  </r>
  <r>
    <x v="0"/>
    <x v="27"/>
    <x v="2"/>
    <x v="2"/>
    <x v="2"/>
    <n v="0"/>
    <n v="0"/>
    <n v="0"/>
    <n v="0"/>
    <n v="0"/>
    <n v="0"/>
    <n v="0"/>
    <n v="0"/>
    <x v="850"/>
    <x v="770"/>
    <n v="22205"/>
    <x v="2"/>
    <x v="1"/>
    <n v="0"/>
    <n v="5"/>
    <n v="11"/>
  </r>
  <r>
    <x v="0"/>
    <x v="112"/>
    <x v="0"/>
    <x v="103"/>
    <x v="0"/>
    <n v="0"/>
    <n v="30"/>
    <n v="0"/>
    <n v="4.3"/>
    <n v="0.1"/>
    <n v="0"/>
    <n v="61.2"/>
    <n v="0"/>
    <x v="851"/>
    <x v="771"/>
    <n v="0"/>
    <x v="93"/>
    <x v="0"/>
    <n v="0"/>
    <n v="999"/>
    <n v="999"/>
  </r>
  <r>
    <x v="2"/>
    <x v="53"/>
    <x v="6"/>
    <x v="313"/>
    <x v="62"/>
    <n v="36.1"/>
    <n v="2.8"/>
    <n v="0.7"/>
    <n v="0"/>
    <n v="0"/>
    <n v="0"/>
    <n v="0"/>
    <n v="0"/>
    <x v="852"/>
    <x v="97"/>
    <n v="47129"/>
    <x v="18"/>
    <x v="0"/>
    <n v="17"/>
    <n v="80"/>
    <n v="200"/>
  </r>
  <r>
    <x v="0"/>
    <x v="101"/>
    <x v="5"/>
    <x v="2"/>
    <x v="2"/>
    <n v="0"/>
    <n v="0"/>
    <n v="0"/>
    <n v="0"/>
    <n v="0"/>
    <n v="0"/>
    <n v="0"/>
    <n v="0"/>
    <x v="407"/>
    <x v="381"/>
    <n v="314346"/>
    <x v="2"/>
    <x v="1"/>
    <n v="0"/>
    <n v="30"/>
    <n v="49"/>
  </r>
  <r>
    <x v="0"/>
    <x v="39"/>
    <x v="2"/>
    <x v="2"/>
    <x v="2"/>
    <n v="0"/>
    <n v="0"/>
    <n v="0"/>
    <n v="0"/>
    <n v="0"/>
    <n v="0"/>
    <n v="0"/>
    <n v="0"/>
    <x v="39"/>
    <x v="39"/>
    <n v="20269"/>
    <x v="2"/>
    <x v="1"/>
    <n v="0"/>
    <n v="5"/>
    <n v="11"/>
  </r>
  <r>
    <x v="1"/>
    <x v="74"/>
    <x v="8"/>
    <x v="20"/>
    <x v="2"/>
    <n v="0"/>
    <n v="0"/>
    <n v="0"/>
    <n v="0"/>
    <n v="0"/>
    <n v="0"/>
    <n v="0"/>
    <n v="0"/>
    <x v="28"/>
    <x v="28"/>
    <n v="0"/>
    <x v="20"/>
    <x v="1"/>
    <n v="0"/>
    <n v="0"/>
    <n v="4"/>
  </r>
  <r>
    <x v="0"/>
    <x v="4"/>
    <x v="6"/>
    <x v="2"/>
    <x v="391"/>
    <n v="0"/>
    <n v="0"/>
    <n v="0"/>
    <n v="0"/>
    <n v="0"/>
    <n v="0"/>
    <n v="0"/>
    <n v="0"/>
    <x v="522"/>
    <x v="477"/>
    <n v="43462"/>
    <x v="2"/>
    <x v="11"/>
    <n v="0"/>
    <n v="80"/>
    <n v="200"/>
  </r>
  <r>
    <x v="1"/>
    <x v="106"/>
    <x v="6"/>
    <x v="728"/>
    <x v="478"/>
    <n v="0"/>
    <n v="1.6"/>
    <n v="0"/>
    <n v="0"/>
    <n v="0"/>
    <n v="0"/>
    <n v="0"/>
    <n v="0"/>
    <x v="739"/>
    <x v="671"/>
    <n v="0"/>
    <x v="27"/>
    <x v="38"/>
    <n v="0"/>
    <n v="80"/>
    <n v="200"/>
  </r>
  <r>
    <x v="2"/>
    <x v="137"/>
    <x v="3"/>
    <x v="729"/>
    <x v="479"/>
    <n v="28.2"/>
    <n v="3.2"/>
    <n v="2.1"/>
    <n v="0"/>
    <n v="0"/>
    <n v="0"/>
    <n v="0"/>
    <n v="0"/>
    <x v="853"/>
    <x v="772"/>
    <n v="162833"/>
    <x v="211"/>
    <x v="165"/>
    <n v="46"/>
    <n v="18"/>
    <n v="29"/>
  </r>
  <r>
    <x v="0"/>
    <x v="97"/>
    <x v="2"/>
    <x v="2"/>
    <x v="2"/>
    <n v="0"/>
    <n v="0"/>
    <n v="0"/>
    <n v="0"/>
    <n v="0"/>
    <n v="0"/>
    <n v="0"/>
    <n v="0"/>
    <x v="656"/>
    <x v="597"/>
    <n v="0"/>
    <x v="2"/>
    <x v="1"/>
    <n v="0"/>
    <n v="5"/>
    <n v="11"/>
  </r>
  <r>
    <x v="2"/>
    <x v="46"/>
    <x v="1"/>
    <x v="730"/>
    <x v="480"/>
    <n v="74.099999999999994"/>
    <n v="3.8"/>
    <n v="3"/>
    <n v="0"/>
    <n v="0"/>
    <n v="0"/>
    <n v="0"/>
    <n v="0"/>
    <x v="854"/>
    <x v="773"/>
    <n v="248283"/>
    <x v="304"/>
    <x v="6"/>
    <n v="184"/>
    <n v="50"/>
    <n v="64"/>
  </r>
  <r>
    <x v="1"/>
    <x v="75"/>
    <x v="8"/>
    <x v="132"/>
    <x v="2"/>
    <n v="0"/>
    <n v="0"/>
    <n v="0"/>
    <n v="0"/>
    <n v="0"/>
    <n v="0"/>
    <n v="0"/>
    <n v="0"/>
    <x v="28"/>
    <x v="28"/>
    <n v="0"/>
    <x v="13"/>
    <x v="1"/>
    <n v="0"/>
    <n v="0"/>
    <n v="4"/>
  </r>
  <r>
    <x v="2"/>
    <x v="5"/>
    <x v="6"/>
    <x v="731"/>
    <x v="481"/>
    <n v="0"/>
    <n v="1.8"/>
    <n v="0"/>
    <n v="0"/>
    <n v="0"/>
    <n v="0"/>
    <n v="0"/>
    <n v="0"/>
    <x v="710"/>
    <x v="646"/>
    <n v="0"/>
    <x v="29"/>
    <x v="130"/>
    <n v="0"/>
    <n v="80"/>
    <n v="200"/>
  </r>
  <r>
    <x v="0"/>
    <x v="89"/>
    <x v="6"/>
    <x v="2"/>
    <x v="2"/>
    <n v="0"/>
    <n v="0"/>
    <n v="0"/>
    <n v="0"/>
    <n v="0"/>
    <n v="0"/>
    <n v="0"/>
    <n v="0"/>
    <x v="807"/>
    <x v="734"/>
    <n v="0"/>
    <x v="2"/>
    <x v="1"/>
    <n v="0"/>
    <n v="80"/>
    <n v="200"/>
  </r>
  <r>
    <x v="0"/>
    <x v="12"/>
    <x v="4"/>
    <x v="2"/>
    <x v="2"/>
    <n v="0"/>
    <n v="0"/>
    <n v="0"/>
    <n v="0"/>
    <n v="0"/>
    <n v="0"/>
    <n v="0"/>
    <n v="0"/>
    <x v="754"/>
    <x v="684"/>
    <n v="0"/>
    <x v="2"/>
    <x v="1"/>
    <n v="0"/>
    <n v="12"/>
    <n v="17"/>
  </r>
  <r>
    <x v="0"/>
    <x v="5"/>
    <x v="6"/>
    <x v="450"/>
    <x v="131"/>
    <n v="0"/>
    <n v="13.5"/>
    <n v="0"/>
    <n v="0"/>
    <n v="0"/>
    <n v="0"/>
    <n v="0"/>
    <n v="0"/>
    <x v="710"/>
    <x v="646"/>
    <n v="0"/>
    <x v="33"/>
    <x v="0"/>
    <n v="0"/>
    <n v="80"/>
    <n v="200"/>
  </r>
  <r>
    <x v="2"/>
    <x v="34"/>
    <x v="6"/>
    <x v="167"/>
    <x v="482"/>
    <n v="90.3"/>
    <n v="1.1000000000000001"/>
    <n v="3"/>
    <n v="0"/>
    <n v="0"/>
    <n v="0"/>
    <n v="0"/>
    <n v="0"/>
    <x v="193"/>
    <x v="187"/>
    <n v="31019"/>
    <x v="135"/>
    <x v="98"/>
    <n v="28"/>
    <n v="80"/>
    <n v="200"/>
  </r>
  <r>
    <x v="1"/>
    <x v="38"/>
    <x v="5"/>
    <x v="348"/>
    <x v="36"/>
    <n v="1.4"/>
    <n v="2.2000000000000002"/>
    <n v="4"/>
    <n v="0"/>
    <n v="0"/>
    <n v="0"/>
    <n v="0"/>
    <n v="0"/>
    <x v="855"/>
    <x v="774"/>
    <n v="347322"/>
    <x v="18"/>
    <x v="26"/>
    <n v="5"/>
    <n v="30"/>
    <n v="49"/>
  </r>
  <r>
    <x v="1"/>
    <x v="66"/>
    <x v="6"/>
    <x v="732"/>
    <x v="483"/>
    <n v="13.7"/>
    <n v="1.1000000000000001"/>
    <n v="3.5"/>
    <n v="0"/>
    <n v="0"/>
    <n v="0"/>
    <n v="0"/>
    <n v="0"/>
    <x v="74"/>
    <x v="74"/>
    <n v="14603"/>
    <x v="35"/>
    <x v="3"/>
    <n v="2"/>
    <n v="80"/>
    <n v="200"/>
  </r>
  <r>
    <x v="2"/>
    <x v="13"/>
    <x v="8"/>
    <x v="733"/>
    <x v="2"/>
    <n v="0"/>
    <n v="0"/>
    <n v="0"/>
    <n v="0"/>
    <n v="0"/>
    <n v="0"/>
    <n v="0"/>
    <n v="0"/>
    <x v="28"/>
    <x v="28"/>
    <n v="0"/>
    <x v="324"/>
    <x v="1"/>
    <n v="0"/>
    <n v="0"/>
    <n v="4"/>
  </r>
  <r>
    <x v="2"/>
    <x v="96"/>
    <x v="8"/>
    <x v="186"/>
    <x v="110"/>
    <n v="0"/>
    <n v="11"/>
    <n v="0"/>
    <n v="0"/>
    <n v="0"/>
    <n v="0"/>
    <n v="0"/>
    <n v="0"/>
    <x v="28"/>
    <x v="28"/>
    <n v="0"/>
    <x v="25"/>
    <x v="26"/>
    <n v="0"/>
    <n v="0"/>
    <n v="4"/>
  </r>
  <r>
    <x v="1"/>
    <x v="56"/>
    <x v="8"/>
    <x v="97"/>
    <x v="2"/>
    <n v="0"/>
    <n v="0"/>
    <n v="0"/>
    <n v="0"/>
    <n v="0"/>
    <n v="0"/>
    <n v="0"/>
    <n v="0"/>
    <x v="28"/>
    <x v="28"/>
    <n v="0"/>
    <x v="45"/>
    <x v="1"/>
    <n v="0"/>
    <n v="0"/>
    <n v="4"/>
  </r>
  <r>
    <x v="2"/>
    <x v="118"/>
    <x v="8"/>
    <x v="303"/>
    <x v="2"/>
    <n v="0"/>
    <n v="0"/>
    <n v="0"/>
    <n v="0"/>
    <n v="0"/>
    <n v="0"/>
    <n v="0"/>
    <n v="0"/>
    <x v="28"/>
    <x v="28"/>
    <n v="0"/>
    <x v="47"/>
    <x v="1"/>
    <n v="0"/>
    <n v="0"/>
    <n v="4"/>
  </r>
  <r>
    <x v="0"/>
    <x v="81"/>
    <x v="4"/>
    <x v="2"/>
    <x v="2"/>
    <n v="0"/>
    <n v="0"/>
    <n v="0"/>
    <n v="0"/>
    <n v="0"/>
    <n v="0"/>
    <n v="0"/>
    <n v="0"/>
    <x v="577"/>
    <x v="530"/>
    <n v="0"/>
    <x v="2"/>
    <x v="1"/>
    <n v="0"/>
    <n v="12"/>
    <n v="17"/>
  </r>
  <r>
    <x v="1"/>
    <x v="42"/>
    <x v="5"/>
    <x v="210"/>
    <x v="49"/>
    <n v="0.9"/>
    <n v="3.8"/>
    <n v="4.2"/>
    <n v="0"/>
    <n v="0"/>
    <n v="0"/>
    <n v="0"/>
    <n v="0"/>
    <x v="595"/>
    <x v="544"/>
    <n v="324980"/>
    <x v="13"/>
    <x v="39"/>
    <n v="3"/>
    <n v="30"/>
    <n v="49"/>
  </r>
  <r>
    <x v="2"/>
    <x v="0"/>
    <x v="8"/>
    <x v="734"/>
    <x v="176"/>
    <n v="0"/>
    <n v="8.4"/>
    <n v="0"/>
    <n v="0"/>
    <n v="0"/>
    <n v="0"/>
    <n v="0"/>
    <n v="0"/>
    <x v="28"/>
    <x v="28"/>
    <n v="0"/>
    <x v="325"/>
    <x v="5"/>
    <n v="0"/>
    <n v="0"/>
    <n v="4"/>
  </r>
  <r>
    <x v="2"/>
    <x v="27"/>
    <x v="1"/>
    <x v="735"/>
    <x v="484"/>
    <n v="60.1"/>
    <n v="5"/>
    <n v="3.2"/>
    <n v="0"/>
    <n v="0"/>
    <n v="0"/>
    <n v="0"/>
    <n v="0"/>
    <x v="355"/>
    <x v="332"/>
    <n v="247977"/>
    <x v="26"/>
    <x v="175"/>
    <n v="149"/>
    <n v="50"/>
    <n v="64"/>
  </r>
  <r>
    <x v="1"/>
    <x v="137"/>
    <x v="3"/>
    <x v="1"/>
    <x v="23"/>
    <n v="0"/>
    <n v="5.8"/>
    <n v="0"/>
    <n v="0"/>
    <n v="0"/>
    <n v="0"/>
    <n v="0"/>
    <n v="0"/>
    <x v="853"/>
    <x v="772"/>
    <n v="162833"/>
    <x v="0"/>
    <x v="0"/>
    <n v="0"/>
    <n v="18"/>
    <n v="29"/>
  </r>
  <r>
    <x v="2"/>
    <x v="96"/>
    <x v="5"/>
    <x v="736"/>
    <x v="485"/>
    <n v="70.8"/>
    <n v="2.2999999999999998"/>
    <n v="1.6"/>
    <n v="0"/>
    <n v="0"/>
    <n v="0"/>
    <n v="0"/>
    <n v="0"/>
    <x v="856"/>
    <x v="775"/>
    <n v="347264"/>
    <x v="65"/>
    <x v="239"/>
    <n v="246"/>
    <n v="30"/>
    <n v="49"/>
  </r>
  <r>
    <x v="0"/>
    <x v="139"/>
    <x v="1"/>
    <x v="2"/>
    <x v="2"/>
    <n v="0"/>
    <n v="0"/>
    <n v="0"/>
    <n v="0"/>
    <n v="0"/>
    <n v="0"/>
    <n v="0"/>
    <n v="0"/>
    <x v="857"/>
    <x v="776"/>
    <n v="246925"/>
    <x v="2"/>
    <x v="1"/>
    <n v="0"/>
    <n v="50"/>
    <n v="64"/>
  </r>
  <r>
    <x v="1"/>
    <x v="98"/>
    <x v="2"/>
    <x v="54"/>
    <x v="2"/>
    <n v="0"/>
    <n v="0"/>
    <n v="0"/>
    <n v="0"/>
    <n v="0"/>
    <n v="0"/>
    <n v="0"/>
    <n v="0"/>
    <x v="858"/>
    <x v="142"/>
    <n v="21245"/>
    <x v="1"/>
    <x v="1"/>
    <n v="0"/>
    <n v="5"/>
    <n v="11"/>
  </r>
  <r>
    <x v="2"/>
    <x v="28"/>
    <x v="2"/>
    <x v="277"/>
    <x v="63"/>
    <n v="217"/>
    <n v="0.9"/>
    <n v="0.6"/>
    <n v="0"/>
    <n v="0"/>
    <n v="0"/>
    <n v="0"/>
    <n v="0"/>
    <x v="615"/>
    <x v="560"/>
    <n v="21203"/>
    <x v="277"/>
    <x v="92"/>
    <n v="46"/>
    <n v="5"/>
    <n v="11"/>
  </r>
  <r>
    <x v="1"/>
    <x v="54"/>
    <x v="3"/>
    <x v="1"/>
    <x v="2"/>
    <n v="0.6"/>
    <n v="0"/>
    <n v="4.8"/>
    <n v="0"/>
    <n v="0"/>
    <n v="0"/>
    <n v="0"/>
    <n v="0"/>
    <x v="859"/>
    <x v="777"/>
    <n v="162196"/>
    <x v="0"/>
    <x v="1"/>
    <n v="1"/>
    <n v="18"/>
    <n v="29"/>
  </r>
  <r>
    <x v="1"/>
    <x v="89"/>
    <x v="7"/>
    <x v="331"/>
    <x v="23"/>
    <n v="0"/>
    <n v="22"/>
    <n v="0"/>
    <n v="0"/>
    <n v="0"/>
    <n v="0"/>
    <n v="0"/>
    <n v="0"/>
    <x v="380"/>
    <x v="356"/>
    <n v="0"/>
    <x v="33"/>
    <x v="0"/>
    <n v="0"/>
    <n v="65"/>
    <n v="79"/>
  </r>
  <r>
    <x v="2"/>
    <x v="42"/>
    <x v="8"/>
    <x v="737"/>
    <x v="2"/>
    <n v="0"/>
    <n v="0"/>
    <n v="0"/>
    <n v="0"/>
    <n v="0"/>
    <n v="0"/>
    <n v="0"/>
    <n v="0"/>
    <x v="28"/>
    <x v="28"/>
    <n v="0"/>
    <x v="326"/>
    <x v="1"/>
    <n v="0"/>
    <n v="0"/>
    <n v="4"/>
  </r>
  <r>
    <x v="2"/>
    <x v="138"/>
    <x v="0"/>
    <x v="738"/>
    <x v="92"/>
    <n v="0"/>
    <n v="7.9"/>
    <n v="0"/>
    <n v="198.6"/>
    <n v="21"/>
    <n v="0"/>
    <n v="9.4"/>
    <n v="0"/>
    <x v="860"/>
    <x v="778"/>
    <n v="0"/>
    <x v="327"/>
    <x v="240"/>
    <n v="0"/>
    <n v="999"/>
    <n v="999"/>
  </r>
  <r>
    <x v="0"/>
    <x v="94"/>
    <x v="4"/>
    <x v="2"/>
    <x v="2"/>
    <n v="0"/>
    <n v="0"/>
    <n v="0"/>
    <n v="0"/>
    <n v="0"/>
    <n v="0"/>
    <n v="0"/>
    <n v="0"/>
    <x v="861"/>
    <x v="779"/>
    <n v="44551"/>
    <x v="2"/>
    <x v="1"/>
    <n v="0"/>
    <n v="12"/>
    <n v="17"/>
  </r>
  <r>
    <x v="1"/>
    <x v="17"/>
    <x v="0"/>
    <x v="431"/>
    <x v="87"/>
    <n v="0.9"/>
    <n v="5.7"/>
    <n v="1.9"/>
    <n v="2.7"/>
    <n v="0.7"/>
    <n v="0.6"/>
    <n v="3.9"/>
    <n v="4.9000000000000004"/>
    <x v="19"/>
    <x v="19"/>
    <n v="1040733"/>
    <x v="51"/>
    <x v="39"/>
    <n v="9"/>
    <n v="999"/>
    <n v="999"/>
  </r>
  <r>
    <x v="2"/>
    <x v="26"/>
    <x v="6"/>
    <x v="739"/>
    <x v="486"/>
    <n v="212.2"/>
    <n v="0.6"/>
    <n v="0.6"/>
    <n v="0"/>
    <n v="0"/>
    <n v="0"/>
    <n v="0"/>
    <n v="0"/>
    <x v="862"/>
    <x v="780"/>
    <n v="47117"/>
    <x v="31"/>
    <x v="133"/>
    <n v="100"/>
    <n v="80"/>
    <n v="200"/>
  </r>
  <r>
    <x v="1"/>
    <x v="29"/>
    <x v="8"/>
    <x v="472"/>
    <x v="2"/>
    <n v="0"/>
    <n v="0"/>
    <n v="0"/>
    <n v="0"/>
    <n v="0"/>
    <n v="0"/>
    <n v="0"/>
    <n v="0"/>
    <x v="28"/>
    <x v="28"/>
    <n v="0"/>
    <x v="6"/>
    <x v="1"/>
    <n v="0"/>
    <n v="0"/>
    <n v="4"/>
  </r>
  <r>
    <x v="0"/>
    <x v="40"/>
    <x v="2"/>
    <x v="2"/>
    <x v="2"/>
    <n v="0"/>
    <n v="0"/>
    <n v="0"/>
    <n v="0"/>
    <n v="0"/>
    <n v="0"/>
    <n v="0"/>
    <n v="0"/>
    <x v="356"/>
    <x v="28"/>
    <n v="0"/>
    <x v="2"/>
    <x v="1"/>
    <n v="0"/>
    <n v="5"/>
    <n v="11"/>
  </r>
  <r>
    <x v="1"/>
    <x v="1"/>
    <x v="0"/>
    <x v="198"/>
    <x v="487"/>
    <n v="6.2"/>
    <n v="1.8"/>
    <n v="1.3"/>
    <n v="9.9"/>
    <n v="6.1"/>
    <n v="4.2"/>
    <n v="1.6"/>
    <n v="2.2999999999999998"/>
    <x v="863"/>
    <x v="781"/>
    <n v="1040343"/>
    <x v="261"/>
    <x v="60"/>
    <n v="64"/>
    <n v="999"/>
    <n v="999"/>
  </r>
  <r>
    <x v="0"/>
    <x v="129"/>
    <x v="1"/>
    <x v="2"/>
    <x v="2"/>
    <n v="0"/>
    <n v="0"/>
    <n v="0"/>
    <n v="0"/>
    <n v="0"/>
    <n v="0"/>
    <n v="0"/>
    <n v="0"/>
    <x v="864"/>
    <x v="782"/>
    <n v="246922"/>
    <x v="2"/>
    <x v="1"/>
    <n v="0"/>
    <n v="50"/>
    <n v="64"/>
  </r>
  <r>
    <x v="0"/>
    <x v="9"/>
    <x v="1"/>
    <x v="117"/>
    <x v="2"/>
    <n v="0"/>
    <n v="0"/>
    <n v="0"/>
    <n v="0"/>
    <n v="0"/>
    <n v="0"/>
    <n v="0"/>
    <n v="0"/>
    <x v="865"/>
    <x v="783"/>
    <n v="0"/>
    <x v="64"/>
    <x v="1"/>
    <n v="0"/>
    <n v="50"/>
    <n v="64"/>
  </r>
  <r>
    <x v="2"/>
    <x v="8"/>
    <x v="1"/>
    <x v="740"/>
    <x v="488"/>
    <n v="0"/>
    <n v="20.3"/>
    <n v="0"/>
    <n v="0"/>
    <n v="0"/>
    <n v="0"/>
    <n v="0"/>
    <n v="0"/>
    <x v="866"/>
    <x v="784"/>
    <n v="0"/>
    <x v="328"/>
    <x v="31"/>
    <n v="0"/>
    <n v="50"/>
    <n v="64"/>
  </r>
  <r>
    <x v="2"/>
    <x v="113"/>
    <x v="4"/>
    <x v="251"/>
    <x v="132"/>
    <n v="9"/>
    <n v="0.6"/>
    <n v="0.7"/>
    <n v="0"/>
    <n v="0"/>
    <n v="0"/>
    <n v="0"/>
    <n v="0"/>
    <x v="867"/>
    <x v="785"/>
    <n v="44601"/>
    <x v="0"/>
    <x v="13"/>
    <n v="4"/>
    <n v="12"/>
    <n v="17"/>
  </r>
  <r>
    <x v="0"/>
    <x v="104"/>
    <x v="2"/>
    <x v="2"/>
    <x v="2"/>
    <n v="0"/>
    <n v="0"/>
    <n v="0"/>
    <n v="0"/>
    <n v="0"/>
    <n v="0"/>
    <n v="0"/>
    <n v="0"/>
    <x v="791"/>
    <x v="718"/>
    <n v="0"/>
    <x v="2"/>
    <x v="1"/>
    <n v="0"/>
    <n v="5"/>
    <n v="11"/>
  </r>
  <r>
    <x v="1"/>
    <x v="111"/>
    <x v="6"/>
    <x v="741"/>
    <x v="489"/>
    <n v="76.7"/>
    <n v="1.1000000000000001"/>
    <n v="0.8"/>
    <n v="0"/>
    <n v="0"/>
    <n v="0"/>
    <n v="0"/>
    <n v="0"/>
    <x v="868"/>
    <x v="786"/>
    <n v="46907"/>
    <x v="134"/>
    <x v="26"/>
    <n v="36"/>
    <n v="80"/>
    <n v="200"/>
  </r>
  <r>
    <x v="0"/>
    <x v="133"/>
    <x v="3"/>
    <x v="147"/>
    <x v="2"/>
    <n v="0"/>
    <n v="0"/>
    <n v="0"/>
    <n v="0"/>
    <n v="0"/>
    <n v="0"/>
    <n v="0"/>
    <n v="0"/>
    <x v="351"/>
    <x v="328"/>
    <n v="0"/>
    <x v="0"/>
    <x v="1"/>
    <n v="0"/>
    <n v="18"/>
    <n v="29"/>
  </r>
  <r>
    <x v="1"/>
    <x v="88"/>
    <x v="4"/>
    <x v="393"/>
    <x v="2"/>
    <n v="0"/>
    <n v="0"/>
    <n v="0"/>
    <n v="0"/>
    <n v="0"/>
    <n v="0"/>
    <n v="0"/>
    <n v="0"/>
    <x v="869"/>
    <x v="787"/>
    <n v="0"/>
    <x v="1"/>
    <x v="1"/>
    <n v="0"/>
    <n v="12"/>
    <n v="17"/>
  </r>
  <r>
    <x v="2"/>
    <x v="33"/>
    <x v="2"/>
    <x v="8"/>
    <x v="221"/>
    <n v="9.4"/>
    <n v="1.4"/>
    <n v="0.4"/>
    <n v="0"/>
    <n v="0"/>
    <n v="0"/>
    <n v="0"/>
    <n v="0"/>
    <x v="838"/>
    <x v="42"/>
    <n v="21259"/>
    <x v="45"/>
    <x v="11"/>
    <n v="2"/>
    <n v="5"/>
    <n v="11"/>
  </r>
  <r>
    <x v="1"/>
    <x v="110"/>
    <x v="3"/>
    <x v="499"/>
    <x v="221"/>
    <n v="2.5"/>
    <n v="2.9"/>
    <n v="2.8"/>
    <n v="0"/>
    <n v="0"/>
    <n v="0"/>
    <n v="0"/>
    <n v="0"/>
    <x v="870"/>
    <x v="788"/>
    <n v="161468"/>
    <x v="18"/>
    <x v="21"/>
    <n v="4"/>
    <n v="18"/>
    <n v="29"/>
  </r>
  <r>
    <x v="2"/>
    <x v="79"/>
    <x v="8"/>
    <x v="392"/>
    <x v="13"/>
    <n v="0"/>
    <n v="26.7"/>
    <n v="0"/>
    <n v="0"/>
    <n v="0"/>
    <n v="0"/>
    <n v="0"/>
    <n v="0"/>
    <x v="28"/>
    <x v="28"/>
    <n v="0"/>
    <x v="17"/>
    <x v="0"/>
    <n v="0"/>
    <n v="0"/>
    <n v="4"/>
  </r>
  <r>
    <x v="1"/>
    <x v="8"/>
    <x v="7"/>
    <x v="704"/>
    <x v="379"/>
    <n v="0"/>
    <n v="15.3"/>
    <n v="0"/>
    <n v="0"/>
    <n v="0"/>
    <n v="0"/>
    <n v="0"/>
    <n v="0"/>
    <x v="744"/>
    <x v="675"/>
    <n v="0"/>
    <x v="117"/>
    <x v="48"/>
    <n v="0"/>
    <n v="65"/>
    <n v="79"/>
  </r>
  <r>
    <x v="2"/>
    <x v="121"/>
    <x v="6"/>
    <x v="742"/>
    <x v="490"/>
    <n v="0"/>
    <n v="8.8000000000000007"/>
    <n v="0"/>
    <n v="0"/>
    <n v="0"/>
    <n v="0"/>
    <n v="0"/>
    <n v="0"/>
    <x v="748"/>
    <x v="678"/>
    <n v="0"/>
    <x v="44"/>
    <x v="21"/>
    <n v="0"/>
    <n v="80"/>
    <n v="200"/>
  </r>
  <r>
    <x v="0"/>
    <x v="77"/>
    <x v="2"/>
    <x v="2"/>
    <x v="2"/>
    <n v="0"/>
    <n v="0"/>
    <n v="0"/>
    <n v="0"/>
    <n v="0"/>
    <n v="0"/>
    <n v="0"/>
    <n v="0"/>
    <x v="416"/>
    <x v="389"/>
    <n v="21217"/>
    <x v="2"/>
    <x v="1"/>
    <n v="0"/>
    <n v="5"/>
    <n v="11"/>
  </r>
  <r>
    <x v="0"/>
    <x v="19"/>
    <x v="0"/>
    <x v="18"/>
    <x v="23"/>
    <n v="0.2"/>
    <n v="0.8"/>
    <n v="2"/>
    <n v="0.3"/>
    <n v="0.9"/>
    <n v="0.1"/>
    <n v="0.3"/>
    <n v="1.9"/>
    <x v="871"/>
    <x v="789"/>
    <n v="1039974"/>
    <x v="0"/>
    <x v="16"/>
    <n v="2"/>
    <n v="999"/>
    <n v="999"/>
  </r>
  <r>
    <x v="1"/>
    <x v="51"/>
    <x v="7"/>
    <x v="743"/>
    <x v="491"/>
    <n v="16.600000000000001"/>
    <n v="1"/>
    <n v="2.6"/>
    <n v="0"/>
    <n v="0"/>
    <n v="0"/>
    <n v="0"/>
    <n v="0"/>
    <x v="91"/>
    <x v="91"/>
    <n v="168622"/>
    <x v="29"/>
    <x v="31"/>
    <n v="28"/>
    <n v="65"/>
    <n v="79"/>
  </r>
  <r>
    <x v="2"/>
    <x v="35"/>
    <x v="8"/>
    <x v="583"/>
    <x v="58"/>
    <n v="0"/>
    <n v="24.3"/>
    <n v="0"/>
    <n v="0"/>
    <n v="0"/>
    <n v="0"/>
    <n v="0"/>
    <n v="0"/>
    <x v="28"/>
    <x v="28"/>
    <n v="0"/>
    <x v="72"/>
    <x v="39"/>
    <n v="0"/>
    <n v="0"/>
    <n v="4"/>
  </r>
  <r>
    <x v="2"/>
    <x v="91"/>
    <x v="1"/>
    <x v="744"/>
    <x v="492"/>
    <n v="136.19999999999999"/>
    <n v="3.5"/>
    <n v="2.6"/>
    <n v="0"/>
    <n v="0"/>
    <n v="0"/>
    <n v="0"/>
    <n v="0"/>
    <x v="822"/>
    <x v="749"/>
    <n v="246658"/>
    <x v="22"/>
    <x v="241"/>
    <n v="336"/>
    <n v="50"/>
    <n v="64"/>
  </r>
  <r>
    <x v="0"/>
    <x v="120"/>
    <x v="2"/>
    <x v="2"/>
    <x v="2"/>
    <n v="0"/>
    <n v="0"/>
    <n v="0"/>
    <n v="0"/>
    <n v="0"/>
    <n v="0"/>
    <n v="0"/>
    <n v="0"/>
    <x v="749"/>
    <x v="679"/>
    <n v="21218"/>
    <x v="2"/>
    <x v="1"/>
    <n v="0"/>
    <n v="5"/>
    <n v="11"/>
  </r>
  <r>
    <x v="0"/>
    <x v="119"/>
    <x v="6"/>
    <x v="2"/>
    <x v="2"/>
    <n v="4.2"/>
    <n v="0"/>
    <n v="0"/>
    <n v="0"/>
    <n v="0"/>
    <n v="0"/>
    <n v="0"/>
    <n v="0"/>
    <x v="812"/>
    <x v="739"/>
    <n v="47294"/>
    <x v="2"/>
    <x v="1"/>
    <n v="2"/>
    <n v="80"/>
    <n v="200"/>
  </r>
  <r>
    <x v="1"/>
    <x v="91"/>
    <x v="2"/>
    <x v="54"/>
    <x v="2"/>
    <n v="4.8"/>
    <n v="0"/>
    <n v="0.2"/>
    <n v="0"/>
    <n v="0"/>
    <n v="0"/>
    <n v="0"/>
    <n v="0"/>
    <x v="872"/>
    <x v="790"/>
    <n v="20921"/>
    <x v="1"/>
    <x v="1"/>
    <n v="1"/>
    <n v="5"/>
    <n v="11"/>
  </r>
  <r>
    <x v="2"/>
    <x v="12"/>
    <x v="0"/>
    <x v="745"/>
    <x v="46"/>
    <n v="0"/>
    <n v="2.4"/>
    <n v="0"/>
    <n v="81.3"/>
    <n v="25.5"/>
    <n v="0"/>
    <n v="3.2"/>
    <n v="0"/>
    <x v="678"/>
    <x v="615"/>
    <n v="0"/>
    <x v="329"/>
    <x v="242"/>
    <n v="0"/>
    <n v="999"/>
    <n v="999"/>
  </r>
  <r>
    <x v="2"/>
    <x v="34"/>
    <x v="8"/>
    <x v="496"/>
    <x v="2"/>
    <n v="0"/>
    <n v="0"/>
    <n v="0"/>
    <n v="0"/>
    <n v="0"/>
    <n v="0"/>
    <n v="0"/>
    <n v="0"/>
    <x v="28"/>
    <x v="28"/>
    <n v="0"/>
    <x v="330"/>
    <x v="1"/>
    <n v="0"/>
    <n v="0"/>
    <n v="4"/>
  </r>
  <r>
    <x v="0"/>
    <x v="33"/>
    <x v="4"/>
    <x v="2"/>
    <x v="2"/>
    <n v="0"/>
    <n v="0"/>
    <n v="0"/>
    <n v="0"/>
    <n v="0"/>
    <n v="0"/>
    <n v="0"/>
    <n v="0"/>
    <x v="873"/>
    <x v="241"/>
    <n v="44590"/>
    <x v="2"/>
    <x v="1"/>
    <n v="0"/>
    <n v="12"/>
    <n v="17"/>
  </r>
  <r>
    <x v="2"/>
    <x v="23"/>
    <x v="0"/>
    <x v="746"/>
    <x v="493"/>
    <n v="161.6"/>
    <n v="1.9"/>
    <n v="1.5"/>
    <n v="283"/>
    <n v="127.6"/>
    <n v="141.30000000000001"/>
    <n v="2.2000000000000002"/>
    <n v="2"/>
    <x v="752"/>
    <x v="682"/>
    <n v="1039826"/>
    <x v="331"/>
    <x v="243"/>
    <n v="1680"/>
    <n v="999"/>
    <n v="999"/>
  </r>
  <r>
    <x v="2"/>
    <x v="137"/>
    <x v="1"/>
    <x v="747"/>
    <x v="426"/>
    <n v="49.6"/>
    <n v="3.5"/>
    <n v="3.5"/>
    <n v="0"/>
    <n v="0"/>
    <n v="0"/>
    <n v="0"/>
    <n v="0"/>
    <x v="874"/>
    <x v="791"/>
    <n v="248112"/>
    <x v="23"/>
    <x v="111"/>
    <n v="123"/>
    <n v="50"/>
    <n v="64"/>
  </r>
  <r>
    <x v="1"/>
    <x v="48"/>
    <x v="3"/>
    <x v="348"/>
    <x v="23"/>
    <n v="0"/>
    <n v="11.2"/>
    <n v="0"/>
    <n v="0"/>
    <n v="0"/>
    <n v="0"/>
    <n v="0"/>
    <n v="0"/>
    <x v="494"/>
    <x v="457"/>
    <n v="161898"/>
    <x v="20"/>
    <x v="0"/>
    <n v="0"/>
    <n v="18"/>
    <n v="29"/>
  </r>
  <r>
    <x v="0"/>
    <x v="63"/>
    <x v="7"/>
    <x v="101"/>
    <x v="2"/>
    <n v="1.2"/>
    <n v="0"/>
    <n v="5.9"/>
    <n v="0"/>
    <n v="0"/>
    <n v="0"/>
    <n v="0"/>
    <n v="0"/>
    <x v="101"/>
    <x v="100"/>
    <n v="171562"/>
    <x v="45"/>
    <x v="1"/>
    <n v="2"/>
    <n v="65"/>
    <n v="79"/>
  </r>
  <r>
    <x v="2"/>
    <x v="120"/>
    <x v="1"/>
    <x v="748"/>
    <x v="494"/>
    <n v="59.5"/>
    <n v="2.7"/>
    <n v="2.1"/>
    <n v="0"/>
    <n v="0"/>
    <n v="0"/>
    <n v="0"/>
    <n v="0"/>
    <x v="509"/>
    <x v="467"/>
    <n v="246893"/>
    <x v="255"/>
    <x v="213"/>
    <n v="147"/>
    <n v="50"/>
    <n v="64"/>
  </r>
  <r>
    <x v="0"/>
    <x v="126"/>
    <x v="7"/>
    <x v="2"/>
    <x v="2"/>
    <n v="0.6"/>
    <n v="0"/>
    <n v="0"/>
    <n v="0"/>
    <n v="0"/>
    <n v="0"/>
    <n v="0"/>
    <n v="0"/>
    <x v="875"/>
    <x v="57"/>
    <n v="171757"/>
    <x v="2"/>
    <x v="1"/>
    <n v="1"/>
    <n v="65"/>
    <n v="79"/>
  </r>
  <r>
    <x v="0"/>
    <x v="37"/>
    <x v="7"/>
    <x v="2"/>
    <x v="2"/>
    <n v="0"/>
    <n v="0"/>
    <n v="0"/>
    <n v="0"/>
    <n v="0"/>
    <n v="0"/>
    <n v="0"/>
    <n v="0"/>
    <x v="709"/>
    <x v="645"/>
    <n v="171749"/>
    <x v="2"/>
    <x v="1"/>
    <n v="0"/>
    <n v="65"/>
    <n v="79"/>
  </r>
  <r>
    <x v="1"/>
    <x v="2"/>
    <x v="6"/>
    <x v="741"/>
    <x v="495"/>
    <n v="38.299999999999997"/>
    <n v="0.7"/>
    <n v="1.7"/>
    <n v="0"/>
    <n v="0"/>
    <n v="0"/>
    <n v="0"/>
    <n v="0"/>
    <x v="681"/>
    <x v="618"/>
    <n v="46990"/>
    <x v="134"/>
    <x v="17"/>
    <n v="18"/>
    <n v="80"/>
    <n v="200"/>
  </r>
  <r>
    <x v="2"/>
    <x v="3"/>
    <x v="5"/>
    <x v="749"/>
    <x v="496"/>
    <n v="40.700000000000003"/>
    <n v="2.6"/>
    <n v="9.3000000000000007"/>
    <n v="0"/>
    <n v="0"/>
    <n v="0"/>
    <n v="0"/>
    <n v="0"/>
    <x v="466"/>
    <x v="432"/>
    <n v="63876"/>
    <x v="332"/>
    <x v="244"/>
    <n v="26"/>
    <n v="30"/>
    <n v="49"/>
  </r>
  <r>
    <x v="0"/>
    <x v="80"/>
    <x v="5"/>
    <x v="2"/>
    <x v="2"/>
    <n v="0"/>
    <n v="0"/>
    <n v="0"/>
    <n v="0"/>
    <n v="0"/>
    <n v="0"/>
    <n v="0"/>
    <n v="0"/>
    <x v="99"/>
    <x v="98"/>
    <n v="330602"/>
    <x v="2"/>
    <x v="1"/>
    <n v="0"/>
    <n v="30"/>
    <n v="49"/>
  </r>
  <r>
    <x v="0"/>
    <x v="62"/>
    <x v="7"/>
    <x v="2"/>
    <x v="2"/>
    <n v="0"/>
    <n v="0"/>
    <n v="0"/>
    <n v="0"/>
    <n v="0"/>
    <n v="0"/>
    <n v="0"/>
    <n v="0"/>
    <x v="743"/>
    <x v="449"/>
    <n v="171751"/>
    <x v="2"/>
    <x v="1"/>
    <n v="0"/>
    <n v="65"/>
    <n v="79"/>
  </r>
  <r>
    <x v="1"/>
    <x v="108"/>
    <x v="1"/>
    <x v="195"/>
    <x v="123"/>
    <n v="5.7"/>
    <n v="3.3"/>
    <n v="4.5999999999999996"/>
    <n v="0"/>
    <n v="0"/>
    <n v="0"/>
    <n v="0"/>
    <n v="0"/>
    <x v="224"/>
    <x v="215"/>
    <n v="246859"/>
    <x v="51"/>
    <x v="17"/>
    <n v="14"/>
    <n v="50"/>
    <n v="64"/>
  </r>
  <r>
    <x v="0"/>
    <x v="43"/>
    <x v="6"/>
    <x v="2"/>
    <x v="2"/>
    <n v="0"/>
    <n v="0"/>
    <n v="0"/>
    <n v="0"/>
    <n v="0"/>
    <n v="0"/>
    <n v="0"/>
    <n v="0"/>
    <x v="833"/>
    <x v="101"/>
    <n v="47130"/>
    <x v="2"/>
    <x v="1"/>
    <n v="0"/>
    <n v="80"/>
    <n v="200"/>
  </r>
  <r>
    <x v="2"/>
    <x v="70"/>
    <x v="7"/>
    <x v="750"/>
    <x v="497"/>
    <n v="68.099999999999994"/>
    <n v="1"/>
    <n v="0.8"/>
    <n v="0"/>
    <n v="0"/>
    <n v="0"/>
    <n v="0"/>
    <n v="0"/>
    <x v="876"/>
    <x v="129"/>
    <n v="171719"/>
    <x v="87"/>
    <x v="88"/>
    <n v="117"/>
    <n v="65"/>
    <n v="79"/>
  </r>
  <r>
    <x v="1"/>
    <x v="91"/>
    <x v="6"/>
    <x v="751"/>
    <x v="498"/>
    <n v="34"/>
    <n v="0.8"/>
    <n v="1.7"/>
    <n v="0"/>
    <n v="0"/>
    <n v="0"/>
    <n v="0"/>
    <n v="0"/>
    <x v="606"/>
    <x v="553"/>
    <n v="47077"/>
    <x v="36"/>
    <x v="5"/>
    <n v="16"/>
    <n v="80"/>
    <n v="200"/>
  </r>
  <r>
    <x v="1"/>
    <x v="77"/>
    <x v="1"/>
    <x v="321"/>
    <x v="56"/>
    <n v="4.5"/>
    <n v="4.2"/>
    <n v="5.3"/>
    <n v="0"/>
    <n v="0"/>
    <n v="0"/>
    <n v="0"/>
    <n v="0"/>
    <x v="480"/>
    <x v="444"/>
    <n v="246890"/>
    <x v="33"/>
    <x v="26"/>
    <n v="11"/>
    <n v="50"/>
    <n v="64"/>
  </r>
  <r>
    <x v="1"/>
    <x v="60"/>
    <x v="0"/>
    <x v="752"/>
    <x v="327"/>
    <n v="7.7"/>
    <n v="1.5"/>
    <n v="1.7"/>
    <n v="17.3"/>
    <n v="11.7"/>
    <n v="4.8"/>
    <n v="1.5"/>
    <n v="3.6"/>
    <x v="877"/>
    <x v="792"/>
    <n v="818642"/>
    <x v="250"/>
    <x v="91"/>
    <n v="63"/>
    <n v="999"/>
    <n v="999"/>
  </r>
  <r>
    <x v="2"/>
    <x v="115"/>
    <x v="7"/>
    <x v="753"/>
    <x v="499"/>
    <n v="132.1"/>
    <n v="1.3"/>
    <n v="0.7"/>
    <n v="0"/>
    <n v="0"/>
    <n v="0"/>
    <n v="0"/>
    <n v="0"/>
    <x v="878"/>
    <x v="793"/>
    <n v="161284"/>
    <x v="80"/>
    <x v="33"/>
    <n v="213"/>
    <n v="65"/>
    <n v="79"/>
  </r>
  <r>
    <x v="2"/>
    <x v="6"/>
    <x v="7"/>
    <x v="754"/>
    <x v="500"/>
    <n v="141.80000000000001"/>
    <n v="1.2"/>
    <n v="1"/>
    <n v="0"/>
    <n v="0"/>
    <n v="0"/>
    <n v="0"/>
    <n v="0"/>
    <x v="426"/>
    <x v="397"/>
    <n v="171309"/>
    <x v="94"/>
    <x v="94"/>
    <n v="243"/>
    <n v="65"/>
    <n v="79"/>
  </r>
  <r>
    <x v="1"/>
    <x v="72"/>
    <x v="6"/>
    <x v="755"/>
    <x v="96"/>
    <n v="29.7"/>
    <n v="0.6"/>
    <n v="0.5"/>
    <n v="0"/>
    <n v="0"/>
    <n v="0"/>
    <n v="0"/>
    <n v="0"/>
    <x v="879"/>
    <x v="97"/>
    <n v="47128"/>
    <x v="20"/>
    <x v="39"/>
    <n v="14"/>
    <n v="80"/>
    <n v="200"/>
  </r>
  <r>
    <x v="1"/>
    <x v="24"/>
    <x v="6"/>
    <x v="115"/>
    <x v="66"/>
    <n v="25.5"/>
    <n v="0.5"/>
    <n v="0.3"/>
    <n v="0"/>
    <n v="0"/>
    <n v="0"/>
    <n v="0"/>
    <n v="0"/>
    <x v="880"/>
    <x v="360"/>
    <n v="47131"/>
    <x v="0"/>
    <x v="11"/>
    <n v="12"/>
    <n v="80"/>
    <n v="200"/>
  </r>
  <r>
    <x v="2"/>
    <x v="51"/>
    <x v="0"/>
    <x v="756"/>
    <x v="501"/>
    <n v="258.89999999999998"/>
    <n v="1.7"/>
    <n v="1.1000000000000001"/>
    <n v="334.5"/>
    <n v="164.4"/>
    <n v="230"/>
    <n v="2"/>
    <n v="1.5"/>
    <x v="308"/>
    <x v="291"/>
    <n v="1004817"/>
    <x v="333"/>
    <x v="245"/>
    <n v="2601"/>
    <n v="999"/>
    <n v="999"/>
  </r>
  <r>
    <x v="0"/>
    <x v="102"/>
    <x v="6"/>
    <x v="185"/>
    <x v="469"/>
    <n v="0"/>
    <n v="0.4"/>
    <n v="0"/>
    <n v="0"/>
    <n v="0"/>
    <n v="0"/>
    <n v="0"/>
    <n v="0"/>
    <x v="661"/>
    <x v="601"/>
    <n v="42701"/>
    <x v="45"/>
    <x v="16"/>
    <n v="0"/>
    <n v="80"/>
    <n v="200"/>
  </r>
  <r>
    <x v="2"/>
    <x v="109"/>
    <x v="0"/>
    <x v="757"/>
    <x v="502"/>
    <n v="93.1"/>
    <n v="1.8"/>
    <n v="1.4"/>
    <n v="148.19999999999999"/>
    <n v="73.5"/>
    <n v="88.7"/>
    <n v="2"/>
    <n v="1.7"/>
    <x v="881"/>
    <x v="794"/>
    <n v="1040253"/>
    <x v="334"/>
    <x v="246"/>
    <n v="968"/>
    <n v="999"/>
    <n v="999"/>
  </r>
  <r>
    <x v="2"/>
    <x v="68"/>
    <x v="1"/>
    <x v="455"/>
    <x v="503"/>
    <n v="124.9"/>
    <n v="3"/>
    <n v="1.4"/>
    <n v="0"/>
    <n v="0"/>
    <n v="0"/>
    <n v="0"/>
    <n v="0"/>
    <x v="113"/>
    <x v="112"/>
    <n v="229793"/>
    <x v="25"/>
    <x v="91"/>
    <n v="287"/>
    <n v="50"/>
    <n v="64"/>
  </r>
  <r>
    <x v="2"/>
    <x v="56"/>
    <x v="7"/>
    <x v="758"/>
    <x v="339"/>
    <n v="41.6"/>
    <n v="1.2"/>
    <n v="0.9"/>
    <n v="0"/>
    <n v="0"/>
    <n v="0"/>
    <n v="0"/>
    <n v="0"/>
    <x v="424"/>
    <x v="395"/>
    <n v="158525"/>
    <x v="34"/>
    <x v="28"/>
    <n v="66"/>
    <n v="65"/>
    <n v="79"/>
  </r>
  <r>
    <x v="0"/>
    <x v="11"/>
    <x v="3"/>
    <x v="2"/>
    <x v="2"/>
    <n v="0"/>
    <n v="0"/>
    <n v="0"/>
    <n v="0"/>
    <n v="0"/>
    <n v="0"/>
    <n v="0"/>
    <n v="0"/>
    <x v="882"/>
    <x v="520"/>
    <n v="161688"/>
    <x v="2"/>
    <x v="1"/>
    <n v="0"/>
    <n v="18"/>
    <n v="29"/>
  </r>
  <r>
    <x v="0"/>
    <x v="87"/>
    <x v="2"/>
    <x v="2"/>
    <x v="2"/>
    <n v="0"/>
    <n v="0"/>
    <n v="0"/>
    <n v="0"/>
    <n v="0"/>
    <n v="0"/>
    <n v="0"/>
    <n v="0"/>
    <x v="730"/>
    <x v="28"/>
    <n v="0"/>
    <x v="2"/>
    <x v="1"/>
    <n v="0"/>
    <n v="5"/>
    <n v="11"/>
  </r>
  <r>
    <x v="1"/>
    <x v="7"/>
    <x v="3"/>
    <x v="759"/>
    <x v="162"/>
    <n v="0"/>
    <n v="6.4"/>
    <n v="0"/>
    <n v="0"/>
    <n v="0"/>
    <n v="0"/>
    <n v="0"/>
    <n v="0"/>
    <x v="581"/>
    <x v="532"/>
    <n v="31036"/>
    <x v="31"/>
    <x v="13"/>
    <n v="0"/>
    <n v="18"/>
    <n v="29"/>
  </r>
  <r>
    <x v="0"/>
    <x v="24"/>
    <x v="3"/>
    <x v="2"/>
    <x v="2"/>
    <n v="0"/>
    <n v="0"/>
    <n v="0"/>
    <n v="0"/>
    <n v="0"/>
    <n v="0"/>
    <n v="0"/>
    <n v="0"/>
    <x v="883"/>
    <x v="795"/>
    <n v="161715"/>
    <x v="2"/>
    <x v="1"/>
    <n v="0"/>
    <n v="18"/>
    <n v="29"/>
  </r>
  <r>
    <x v="2"/>
    <x v="10"/>
    <x v="8"/>
    <x v="760"/>
    <x v="176"/>
    <n v="0"/>
    <n v="18.3"/>
    <n v="0"/>
    <n v="0"/>
    <n v="0"/>
    <n v="0"/>
    <n v="0"/>
    <n v="0"/>
    <x v="28"/>
    <x v="28"/>
    <n v="0"/>
    <x v="228"/>
    <x v="5"/>
    <n v="0"/>
    <n v="0"/>
    <n v="4"/>
  </r>
  <r>
    <x v="1"/>
    <x v="108"/>
    <x v="8"/>
    <x v="20"/>
    <x v="2"/>
    <n v="0"/>
    <n v="0"/>
    <n v="0"/>
    <n v="0"/>
    <n v="0"/>
    <n v="0"/>
    <n v="0"/>
    <n v="0"/>
    <x v="28"/>
    <x v="28"/>
    <n v="0"/>
    <x v="20"/>
    <x v="1"/>
    <n v="0"/>
    <n v="0"/>
    <n v="4"/>
  </r>
  <r>
    <x v="0"/>
    <x v="138"/>
    <x v="8"/>
    <x v="2"/>
    <x v="2"/>
    <n v="0"/>
    <n v="0"/>
    <n v="0"/>
    <n v="0"/>
    <n v="0"/>
    <n v="0"/>
    <n v="0"/>
    <n v="0"/>
    <x v="28"/>
    <x v="28"/>
    <n v="0"/>
    <x v="2"/>
    <x v="1"/>
    <n v="0"/>
    <n v="0"/>
    <n v="4"/>
  </r>
  <r>
    <x v="0"/>
    <x v="138"/>
    <x v="2"/>
    <x v="2"/>
    <x v="2"/>
    <n v="0"/>
    <n v="0"/>
    <n v="0"/>
    <n v="0"/>
    <n v="0"/>
    <n v="0"/>
    <n v="0"/>
    <n v="0"/>
    <x v="356"/>
    <x v="28"/>
    <n v="0"/>
    <x v="2"/>
    <x v="1"/>
    <n v="0"/>
    <n v="5"/>
    <n v="11"/>
  </r>
  <r>
    <x v="0"/>
    <x v="26"/>
    <x v="7"/>
    <x v="20"/>
    <x v="218"/>
    <n v="1.2"/>
    <n v="0.5"/>
    <n v="2.1"/>
    <n v="0"/>
    <n v="0"/>
    <n v="0"/>
    <n v="0"/>
    <n v="0"/>
    <x v="231"/>
    <x v="221"/>
    <n v="171679"/>
    <x v="1"/>
    <x v="11"/>
    <n v="2"/>
    <n v="65"/>
    <n v="79"/>
  </r>
  <r>
    <x v="0"/>
    <x v="78"/>
    <x v="8"/>
    <x v="2"/>
    <x v="2"/>
    <n v="0"/>
    <n v="0"/>
    <n v="0"/>
    <n v="0"/>
    <n v="0"/>
    <n v="0"/>
    <n v="0"/>
    <n v="0"/>
    <x v="28"/>
    <x v="28"/>
    <n v="0"/>
    <x v="2"/>
    <x v="1"/>
    <n v="0"/>
    <n v="0"/>
    <n v="4"/>
  </r>
  <r>
    <x v="2"/>
    <x v="25"/>
    <x v="8"/>
    <x v="761"/>
    <x v="2"/>
    <n v="0"/>
    <n v="0"/>
    <n v="0"/>
    <n v="0"/>
    <n v="0"/>
    <n v="0"/>
    <n v="0"/>
    <n v="0"/>
    <x v="28"/>
    <x v="28"/>
    <n v="0"/>
    <x v="335"/>
    <x v="1"/>
    <n v="0"/>
    <n v="0"/>
    <n v="4"/>
  </r>
  <r>
    <x v="0"/>
    <x v="78"/>
    <x v="2"/>
    <x v="2"/>
    <x v="2"/>
    <n v="0"/>
    <n v="0"/>
    <n v="0"/>
    <n v="0"/>
    <n v="0"/>
    <n v="0"/>
    <n v="0"/>
    <n v="0"/>
    <x v="356"/>
    <x v="28"/>
    <n v="0"/>
    <x v="2"/>
    <x v="1"/>
    <n v="0"/>
    <n v="5"/>
    <n v="11"/>
  </r>
  <r>
    <x v="0"/>
    <x v="122"/>
    <x v="8"/>
    <x v="2"/>
    <x v="2"/>
    <n v="0"/>
    <n v="0"/>
    <n v="0"/>
    <n v="0"/>
    <n v="0"/>
    <n v="0"/>
    <n v="0"/>
    <n v="0"/>
    <x v="28"/>
    <x v="28"/>
    <n v="0"/>
    <x v="2"/>
    <x v="1"/>
    <n v="0"/>
    <n v="0"/>
    <n v="4"/>
  </r>
  <r>
    <x v="0"/>
    <x v="128"/>
    <x v="8"/>
    <x v="2"/>
    <x v="2"/>
    <n v="0"/>
    <n v="0"/>
    <n v="0"/>
    <n v="0"/>
    <n v="0"/>
    <n v="0"/>
    <n v="0"/>
    <n v="0"/>
    <x v="28"/>
    <x v="28"/>
    <n v="0"/>
    <x v="2"/>
    <x v="1"/>
    <n v="0"/>
    <n v="0"/>
    <n v="4"/>
  </r>
  <r>
    <x v="0"/>
    <x v="122"/>
    <x v="2"/>
    <x v="2"/>
    <x v="2"/>
    <n v="0"/>
    <n v="0"/>
    <n v="0"/>
    <n v="0"/>
    <n v="0"/>
    <n v="0"/>
    <n v="0"/>
    <n v="0"/>
    <x v="356"/>
    <x v="28"/>
    <n v="0"/>
    <x v="2"/>
    <x v="1"/>
    <n v="0"/>
    <n v="5"/>
    <n v="11"/>
  </r>
  <r>
    <x v="1"/>
    <x v="138"/>
    <x v="5"/>
    <x v="601"/>
    <x v="131"/>
    <n v="0"/>
    <n v="7.1"/>
    <n v="0"/>
    <n v="0"/>
    <n v="0"/>
    <n v="0"/>
    <n v="0"/>
    <n v="0"/>
    <x v="884"/>
    <x v="796"/>
    <n v="0"/>
    <x v="47"/>
    <x v="11"/>
    <n v="0"/>
    <n v="30"/>
    <n v="49"/>
  </r>
  <r>
    <x v="0"/>
    <x v="121"/>
    <x v="8"/>
    <x v="2"/>
    <x v="2"/>
    <n v="0"/>
    <n v="0"/>
    <n v="0"/>
    <n v="0"/>
    <n v="0"/>
    <n v="0"/>
    <n v="0"/>
    <n v="0"/>
    <x v="28"/>
    <x v="28"/>
    <n v="0"/>
    <x v="2"/>
    <x v="1"/>
    <n v="0"/>
    <n v="0"/>
    <n v="4"/>
  </r>
  <r>
    <x v="0"/>
    <x v="45"/>
    <x v="6"/>
    <x v="762"/>
    <x v="221"/>
    <n v="0"/>
    <n v="12.4"/>
    <n v="0"/>
    <n v="0"/>
    <n v="0"/>
    <n v="0"/>
    <n v="0"/>
    <n v="0"/>
    <x v="740"/>
    <x v="672"/>
    <n v="0"/>
    <x v="6"/>
    <x v="0"/>
    <n v="0"/>
    <n v="80"/>
    <n v="200"/>
  </r>
  <r>
    <x v="0"/>
    <x v="121"/>
    <x v="2"/>
    <x v="2"/>
    <x v="2"/>
    <n v="0"/>
    <n v="0"/>
    <n v="0"/>
    <n v="0"/>
    <n v="0"/>
    <n v="0"/>
    <n v="0"/>
    <n v="0"/>
    <x v="356"/>
    <x v="28"/>
    <n v="0"/>
    <x v="2"/>
    <x v="1"/>
    <n v="0"/>
    <n v="5"/>
    <n v="11"/>
  </r>
  <r>
    <x v="0"/>
    <x v="45"/>
    <x v="8"/>
    <x v="2"/>
    <x v="2"/>
    <n v="0"/>
    <n v="0"/>
    <n v="0"/>
    <n v="0"/>
    <n v="0"/>
    <n v="0"/>
    <n v="0"/>
    <n v="0"/>
    <x v="28"/>
    <x v="28"/>
    <n v="0"/>
    <x v="2"/>
    <x v="1"/>
    <n v="0"/>
    <n v="0"/>
    <n v="4"/>
  </r>
  <r>
    <x v="0"/>
    <x v="45"/>
    <x v="2"/>
    <x v="2"/>
    <x v="2"/>
    <n v="0"/>
    <n v="0"/>
    <n v="0"/>
    <n v="0"/>
    <n v="0"/>
    <n v="0"/>
    <n v="0"/>
    <n v="0"/>
    <x v="356"/>
    <x v="28"/>
    <n v="0"/>
    <x v="2"/>
    <x v="1"/>
    <n v="0"/>
    <n v="5"/>
    <n v="11"/>
  </r>
  <r>
    <x v="0"/>
    <x v="133"/>
    <x v="8"/>
    <x v="2"/>
    <x v="2"/>
    <n v="0"/>
    <n v="0"/>
    <n v="0"/>
    <n v="0"/>
    <n v="0"/>
    <n v="0"/>
    <n v="0"/>
    <n v="0"/>
    <x v="28"/>
    <x v="28"/>
    <n v="0"/>
    <x v="2"/>
    <x v="1"/>
    <n v="0"/>
    <n v="0"/>
    <n v="4"/>
  </r>
  <r>
    <x v="0"/>
    <x v="9"/>
    <x v="6"/>
    <x v="763"/>
    <x v="4"/>
    <n v="0"/>
    <n v="3.3"/>
    <n v="0"/>
    <n v="0"/>
    <n v="0"/>
    <n v="0"/>
    <n v="0"/>
    <n v="0"/>
    <x v="9"/>
    <x v="9"/>
    <n v="0"/>
    <x v="20"/>
    <x v="11"/>
    <n v="0"/>
    <n v="80"/>
    <n v="200"/>
  </r>
  <r>
    <x v="0"/>
    <x v="133"/>
    <x v="2"/>
    <x v="2"/>
    <x v="2"/>
    <n v="0"/>
    <n v="0"/>
    <n v="0"/>
    <n v="0"/>
    <n v="0"/>
    <n v="0"/>
    <n v="0"/>
    <n v="0"/>
    <x v="356"/>
    <x v="28"/>
    <n v="0"/>
    <x v="2"/>
    <x v="1"/>
    <n v="0"/>
    <n v="5"/>
    <n v="11"/>
  </r>
  <r>
    <x v="0"/>
    <x v="8"/>
    <x v="8"/>
    <x v="2"/>
    <x v="2"/>
    <n v="0"/>
    <n v="0"/>
    <n v="0"/>
    <n v="0"/>
    <n v="0"/>
    <n v="0"/>
    <n v="0"/>
    <n v="0"/>
    <x v="28"/>
    <x v="28"/>
    <n v="0"/>
    <x v="2"/>
    <x v="1"/>
    <n v="0"/>
    <n v="0"/>
    <n v="4"/>
  </r>
  <r>
    <x v="0"/>
    <x v="8"/>
    <x v="2"/>
    <x v="2"/>
    <x v="2"/>
    <n v="0"/>
    <n v="0"/>
    <n v="0"/>
    <n v="0"/>
    <n v="0"/>
    <n v="0"/>
    <n v="0"/>
    <n v="0"/>
    <x v="356"/>
    <x v="28"/>
    <n v="0"/>
    <x v="2"/>
    <x v="1"/>
    <n v="0"/>
    <n v="5"/>
    <n v="11"/>
  </r>
  <r>
    <x v="2"/>
    <x v="37"/>
    <x v="8"/>
    <x v="175"/>
    <x v="13"/>
    <n v="0"/>
    <n v="36.799999999999997"/>
    <n v="0"/>
    <n v="0"/>
    <n v="0"/>
    <n v="0"/>
    <n v="0"/>
    <n v="0"/>
    <x v="28"/>
    <x v="28"/>
    <n v="0"/>
    <x v="194"/>
    <x v="0"/>
    <n v="0"/>
    <n v="0"/>
    <n v="4"/>
  </r>
  <r>
    <x v="0"/>
    <x v="112"/>
    <x v="8"/>
    <x v="2"/>
    <x v="2"/>
    <n v="0"/>
    <n v="0"/>
    <n v="0"/>
    <n v="0"/>
    <n v="0"/>
    <n v="0"/>
    <n v="0"/>
    <n v="0"/>
    <x v="28"/>
    <x v="28"/>
    <n v="0"/>
    <x v="2"/>
    <x v="1"/>
    <n v="0"/>
    <n v="0"/>
    <n v="4"/>
  </r>
  <r>
    <x v="0"/>
    <x v="112"/>
    <x v="2"/>
    <x v="2"/>
    <x v="2"/>
    <n v="0"/>
    <n v="0"/>
    <n v="0"/>
    <n v="0"/>
    <n v="0"/>
    <n v="0"/>
    <n v="0"/>
    <n v="0"/>
    <x v="356"/>
    <x v="28"/>
    <n v="0"/>
    <x v="2"/>
    <x v="1"/>
    <n v="0"/>
    <n v="5"/>
    <n v="11"/>
  </r>
  <r>
    <x v="0"/>
    <x v="14"/>
    <x v="8"/>
    <x v="2"/>
    <x v="2"/>
    <n v="0"/>
    <n v="0"/>
    <n v="0"/>
    <n v="0"/>
    <n v="0"/>
    <n v="0"/>
    <n v="0"/>
    <n v="0"/>
    <x v="28"/>
    <x v="28"/>
    <n v="0"/>
    <x v="2"/>
    <x v="1"/>
    <n v="0"/>
    <n v="0"/>
    <n v="4"/>
  </r>
  <r>
    <x v="0"/>
    <x v="14"/>
    <x v="2"/>
    <x v="2"/>
    <x v="2"/>
    <n v="0"/>
    <n v="0"/>
    <n v="0"/>
    <n v="0"/>
    <n v="0"/>
    <n v="0"/>
    <n v="0"/>
    <n v="0"/>
    <x v="356"/>
    <x v="28"/>
    <n v="0"/>
    <x v="2"/>
    <x v="1"/>
    <n v="0"/>
    <n v="5"/>
    <n v="11"/>
  </r>
  <r>
    <x v="0"/>
    <x v="125"/>
    <x v="8"/>
    <x v="2"/>
    <x v="2"/>
    <n v="0"/>
    <n v="0"/>
    <n v="0"/>
    <n v="0"/>
    <n v="0"/>
    <n v="0"/>
    <n v="0"/>
    <n v="0"/>
    <x v="28"/>
    <x v="28"/>
    <n v="0"/>
    <x v="2"/>
    <x v="1"/>
    <n v="0"/>
    <n v="0"/>
    <n v="4"/>
  </r>
  <r>
    <x v="0"/>
    <x v="125"/>
    <x v="2"/>
    <x v="2"/>
    <x v="2"/>
    <n v="0"/>
    <n v="0"/>
    <n v="0"/>
    <n v="0"/>
    <n v="0"/>
    <n v="0"/>
    <n v="0"/>
    <n v="0"/>
    <x v="356"/>
    <x v="28"/>
    <n v="0"/>
    <x v="2"/>
    <x v="1"/>
    <n v="0"/>
    <n v="5"/>
    <n v="11"/>
  </r>
  <r>
    <x v="1"/>
    <x v="77"/>
    <x v="8"/>
    <x v="43"/>
    <x v="2"/>
    <n v="0"/>
    <n v="0"/>
    <n v="0"/>
    <n v="0"/>
    <n v="0"/>
    <n v="0"/>
    <n v="0"/>
    <n v="0"/>
    <x v="28"/>
    <x v="28"/>
    <n v="0"/>
    <x v="18"/>
    <x v="1"/>
    <n v="0"/>
    <n v="0"/>
    <n v="4"/>
  </r>
  <r>
    <x v="0"/>
    <x v="107"/>
    <x v="8"/>
    <x v="2"/>
    <x v="2"/>
    <n v="0"/>
    <n v="0"/>
    <n v="0"/>
    <n v="0"/>
    <n v="0"/>
    <n v="0"/>
    <n v="0"/>
    <n v="0"/>
    <x v="28"/>
    <x v="28"/>
    <n v="0"/>
    <x v="2"/>
    <x v="1"/>
    <n v="0"/>
    <n v="0"/>
    <n v="4"/>
  </r>
  <r>
    <x v="0"/>
    <x v="120"/>
    <x v="5"/>
    <x v="2"/>
    <x v="2"/>
    <n v="0"/>
    <n v="0"/>
    <n v="0"/>
    <n v="0"/>
    <n v="0"/>
    <n v="0"/>
    <n v="0"/>
    <n v="0"/>
    <x v="350"/>
    <x v="327"/>
    <n v="347279"/>
    <x v="2"/>
    <x v="1"/>
    <n v="0"/>
    <n v="30"/>
    <n v="49"/>
  </r>
  <r>
    <x v="0"/>
    <x v="107"/>
    <x v="2"/>
    <x v="2"/>
    <x v="2"/>
    <n v="0"/>
    <n v="0"/>
    <n v="0"/>
    <n v="0"/>
    <n v="0"/>
    <n v="0"/>
    <n v="0"/>
    <n v="0"/>
    <x v="356"/>
    <x v="28"/>
    <n v="0"/>
    <x v="2"/>
    <x v="1"/>
    <n v="0"/>
    <n v="5"/>
    <n v="11"/>
  </r>
  <r>
    <x v="2"/>
    <x v="41"/>
    <x v="7"/>
    <x v="764"/>
    <x v="106"/>
    <n v="210"/>
    <n v="1.4"/>
    <n v="1.1000000000000001"/>
    <n v="0"/>
    <n v="0"/>
    <n v="0"/>
    <n v="0"/>
    <n v="0"/>
    <x v="430"/>
    <x v="401"/>
    <n v="169993"/>
    <x v="158"/>
    <x v="166"/>
    <n v="357"/>
    <n v="65"/>
    <n v="79"/>
  </r>
  <r>
    <x v="0"/>
    <x v="25"/>
    <x v="2"/>
    <x v="2"/>
    <x v="2"/>
    <n v="0"/>
    <n v="0"/>
    <n v="0"/>
    <n v="0"/>
    <n v="0"/>
    <n v="0"/>
    <n v="0"/>
    <n v="0"/>
    <x v="524"/>
    <x v="479"/>
    <n v="0"/>
    <x v="2"/>
    <x v="1"/>
    <n v="0"/>
    <n v="5"/>
    <n v="11"/>
  </r>
  <r>
    <x v="2"/>
    <x v="121"/>
    <x v="1"/>
    <x v="765"/>
    <x v="39"/>
    <n v="0"/>
    <n v="10.7"/>
    <n v="0"/>
    <n v="0"/>
    <n v="0"/>
    <n v="0"/>
    <n v="0"/>
    <n v="0"/>
    <x v="379"/>
    <x v="355"/>
    <n v="0"/>
    <x v="310"/>
    <x v="167"/>
    <n v="0"/>
    <n v="50"/>
    <n v="64"/>
  </r>
  <r>
    <x v="0"/>
    <x v="122"/>
    <x v="1"/>
    <x v="766"/>
    <x v="2"/>
    <n v="0"/>
    <n v="0"/>
    <n v="0"/>
    <n v="0"/>
    <n v="0"/>
    <n v="0"/>
    <n v="0"/>
    <n v="0"/>
    <x v="798"/>
    <x v="725"/>
    <n v="0"/>
    <x v="35"/>
    <x v="1"/>
    <n v="0"/>
    <n v="50"/>
    <n v="64"/>
  </r>
  <r>
    <x v="0"/>
    <x v="65"/>
    <x v="8"/>
    <x v="2"/>
    <x v="2"/>
    <n v="0"/>
    <n v="0"/>
    <n v="0"/>
    <n v="0"/>
    <n v="0"/>
    <n v="0"/>
    <n v="0"/>
    <n v="0"/>
    <x v="28"/>
    <x v="28"/>
    <n v="0"/>
    <x v="2"/>
    <x v="1"/>
    <n v="0"/>
    <n v="0"/>
    <n v="4"/>
  </r>
  <r>
    <x v="0"/>
    <x v="110"/>
    <x v="1"/>
    <x v="59"/>
    <x v="2"/>
    <n v="0.4"/>
    <n v="0"/>
    <n v="13"/>
    <n v="0"/>
    <n v="0"/>
    <n v="0"/>
    <n v="0"/>
    <n v="0"/>
    <x v="885"/>
    <x v="797"/>
    <n v="246593"/>
    <x v="0"/>
    <x v="1"/>
    <n v="1"/>
    <n v="50"/>
    <n v="64"/>
  </r>
  <r>
    <x v="1"/>
    <x v="9"/>
    <x v="1"/>
    <x v="767"/>
    <x v="121"/>
    <n v="0"/>
    <n v="13"/>
    <n v="0"/>
    <n v="0"/>
    <n v="0"/>
    <n v="0"/>
    <n v="0"/>
    <n v="0"/>
    <x v="865"/>
    <x v="783"/>
    <n v="0"/>
    <x v="185"/>
    <x v="38"/>
    <n v="0"/>
    <n v="50"/>
    <n v="64"/>
  </r>
  <r>
    <x v="0"/>
    <x v="65"/>
    <x v="2"/>
    <x v="2"/>
    <x v="2"/>
    <n v="0"/>
    <n v="0"/>
    <n v="0"/>
    <n v="0"/>
    <n v="0"/>
    <n v="0"/>
    <n v="0"/>
    <n v="0"/>
    <x v="356"/>
    <x v="28"/>
    <n v="0"/>
    <x v="2"/>
    <x v="1"/>
    <n v="0"/>
    <n v="5"/>
    <n v="11"/>
  </r>
  <r>
    <x v="1"/>
    <x v="26"/>
    <x v="5"/>
    <x v="161"/>
    <x v="379"/>
    <n v="3.5"/>
    <n v="2.7"/>
    <n v="2.8"/>
    <n v="0"/>
    <n v="0"/>
    <n v="0"/>
    <n v="0"/>
    <n v="0"/>
    <x v="342"/>
    <x v="319"/>
    <n v="347213"/>
    <x v="6"/>
    <x v="17"/>
    <n v="12"/>
    <n v="30"/>
    <n v="49"/>
  </r>
  <r>
    <x v="1"/>
    <x v="66"/>
    <x v="5"/>
    <x v="768"/>
    <x v="460"/>
    <n v="0"/>
    <n v="12.2"/>
    <n v="0"/>
    <n v="0"/>
    <n v="0"/>
    <n v="0"/>
    <n v="0"/>
    <n v="0"/>
    <x v="803"/>
    <x v="730"/>
    <n v="46608"/>
    <x v="194"/>
    <x v="5"/>
    <n v="0"/>
    <n v="30"/>
    <n v="49"/>
  </r>
  <r>
    <x v="0"/>
    <x v="131"/>
    <x v="5"/>
    <x v="408"/>
    <x v="2"/>
    <n v="0"/>
    <n v="0"/>
    <n v="0"/>
    <n v="0"/>
    <n v="0"/>
    <n v="0"/>
    <n v="0"/>
    <n v="0"/>
    <x v="886"/>
    <x v="798"/>
    <n v="17244"/>
    <x v="13"/>
    <x v="1"/>
    <n v="0"/>
    <n v="30"/>
    <n v="49"/>
  </r>
  <r>
    <x v="0"/>
    <x v="71"/>
    <x v="8"/>
    <x v="2"/>
    <x v="2"/>
    <n v="0"/>
    <n v="0"/>
    <n v="0"/>
    <n v="0"/>
    <n v="0"/>
    <n v="0"/>
    <n v="0"/>
    <n v="0"/>
    <x v="28"/>
    <x v="28"/>
    <n v="0"/>
    <x v="2"/>
    <x v="1"/>
    <n v="0"/>
    <n v="0"/>
    <n v="4"/>
  </r>
  <r>
    <x v="2"/>
    <x v="101"/>
    <x v="0"/>
    <x v="769"/>
    <x v="504"/>
    <n v="40.1"/>
    <n v="1.9"/>
    <n v="1.3"/>
    <n v="56.2"/>
    <n v="26.6"/>
    <n v="33.4"/>
    <n v="2.1"/>
    <n v="1.7"/>
    <x v="629"/>
    <x v="572"/>
    <n v="900419"/>
    <x v="336"/>
    <x v="247"/>
    <n v="361"/>
    <n v="999"/>
    <n v="999"/>
  </r>
  <r>
    <x v="0"/>
    <x v="94"/>
    <x v="0"/>
    <x v="18"/>
    <x v="82"/>
    <n v="0.3"/>
    <n v="2"/>
    <n v="1.3"/>
    <n v="0.6"/>
    <n v="0.5"/>
    <n v="0.2"/>
    <n v="1.1000000000000001"/>
    <n v="3"/>
    <x v="135"/>
    <x v="134"/>
    <n v="1040296"/>
    <x v="0"/>
    <x v="11"/>
    <n v="3"/>
    <n v="999"/>
    <n v="999"/>
  </r>
  <r>
    <x v="1"/>
    <x v="7"/>
    <x v="2"/>
    <x v="44"/>
    <x v="2"/>
    <n v="0"/>
    <n v="0"/>
    <n v="0"/>
    <n v="0"/>
    <n v="0"/>
    <n v="0"/>
    <n v="0"/>
    <n v="0"/>
    <x v="768"/>
    <x v="697"/>
    <n v="0"/>
    <x v="0"/>
    <x v="1"/>
    <n v="0"/>
    <n v="5"/>
    <n v="11"/>
  </r>
  <r>
    <x v="0"/>
    <x v="71"/>
    <x v="2"/>
    <x v="2"/>
    <x v="2"/>
    <n v="0"/>
    <n v="0"/>
    <n v="0"/>
    <n v="0"/>
    <n v="0"/>
    <n v="0"/>
    <n v="0"/>
    <n v="0"/>
    <x v="356"/>
    <x v="28"/>
    <n v="0"/>
    <x v="2"/>
    <x v="1"/>
    <n v="0"/>
    <n v="5"/>
    <n v="11"/>
  </r>
  <r>
    <x v="1"/>
    <x v="129"/>
    <x v="5"/>
    <x v="212"/>
    <x v="2"/>
    <n v="0.3"/>
    <n v="0"/>
    <n v="3"/>
    <n v="0"/>
    <n v="0"/>
    <n v="0"/>
    <n v="0"/>
    <n v="0"/>
    <x v="887"/>
    <x v="799"/>
    <n v="347307"/>
    <x v="1"/>
    <x v="1"/>
    <n v="1"/>
    <n v="30"/>
    <n v="49"/>
  </r>
  <r>
    <x v="1"/>
    <x v="36"/>
    <x v="8"/>
    <x v="43"/>
    <x v="2"/>
    <n v="0"/>
    <n v="0"/>
    <n v="0"/>
    <n v="0"/>
    <n v="0"/>
    <n v="0"/>
    <n v="0"/>
    <n v="0"/>
    <x v="28"/>
    <x v="28"/>
    <n v="0"/>
    <x v="18"/>
    <x v="1"/>
    <n v="0"/>
    <n v="0"/>
    <n v="4"/>
  </r>
  <r>
    <x v="2"/>
    <x v="130"/>
    <x v="5"/>
    <x v="770"/>
    <x v="505"/>
    <n v="0"/>
    <n v="3"/>
    <n v="0"/>
    <n v="0"/>
    <n v="0"/>
    <n v="0"/>
    <n v="0"/>
    <n v="0"/>
    <x v="755"/>
    <x v="685"/>
    <n v="0"/>
    <x v="337"/>
    <x v="248"/>
    <n v="0"/>
    <n v="30"/>
    <n v="49"/>
  </r>
  <r>
    <x v="2"/>
    <x v="38"/>
    <x v="4"/>
    <x v="771"/>
    <x v="457"/>
    <n v="31.4"/>
    <n v="1.3"/>
    <n v="1.1000000000000001"/>
    <n v="0"/>
    <n v="0"/>
    <n v="0"/>
    <n v="0"/>
    <n v="0"/>
    <x v="827"/>
    <x v="208"/>
    <n v="44596"/>
    <x v="6"/>
    <x v="57"/>
    <n v="14"/>
    <n v="12"/>
    <n v="17"/>
  </r>
  <r>
    <x v="0"/>
    <x v="89"/>
    <x v="8"/>
    <x v="2"/>
    <x v="2"/>
    <n v="0"/>
    <n v="0"/>
    <n v="0"/>
    <n v="0"/>
    <n v="0"/>
    <n v="0"/>
    <n v="0"/>
    <n v="0"/>
    <x v="28"/>
    <x v="28"/>
    <n v="0"/>
    <x v="2"/>
    <x v="1"/>
    <n v="0"/>
    <n v="0"/>
    <n v="4"/>
  </r>
  <r>
    <x v="1"/>
    <x v="117"/>
    <x v="2"/>
    <x v="99"/>
    <x v="2"/>
    <n v="0"/>
    <n v="0"/>
    <n v="0"/>
    <n v="0"/>
    <n v="0"/>
    <n v="0"/>
    <n v="0"/>
    <n v="0"/>
    <x v="888"/>
    <x v="800"/>
    <n v="18722"/>
    <x v="0"/>
    <x v="1"/>
    <n v="0"/>
    <n v="5"/>
    <n v="11"/>
  </r>
  <r>
    <x v="0"/>
    <x v="9"/>
    <x v="3"/>
    <x v="241"/>
    <x v="2"/>
    <n v="0"/>
    <n v="0"/>
    <n v="0"/>
    <n v="0"/>
    <n v="0"/>
    <n v="0"/>
    <n v="0"/>
    <n v="0"/>
    <x v="110"/>
    <x v="109"/>
    <n v="0"/>
    <x v="1"/>
    <x v="1"/>
    <n v="0"/>
    <n v="18"/>
    <n v="29"/>
  </r>
  <r>
    <x v="0"/>
    <x v="89"/>
    <x v="2"/>
    <x v="2"/>
    <x v="2"/>
    <n v="0"/>
    <n v="0"/>
    <n v="0"/>
    <n v="0"/>
    <n v="0"/>
    <n v="0"/>
    <n v="0"/>
    <n v="0"/>
    <x v="356"/>
    <x v="28"/>
    <n v="0"/>
    <x v="2"/>
    <x v="1"/>
    <n v="0"/>
    <n v="5"/>
    <n v="11"/>
  </r>
  <r>
    <x v="2"/>
    <x v="84"/>
    <x v="0"/>
    <x v="429"/>
    <x v="86"/>
    <n v="39.9"/>
    <n v="2"/>
    <n v="1.1000000000000001"/>
    <n v="51.8"/>
    <n v="23.5"/>
    <n v="31.6"/>
    <n v="2.2000000000000002"/>
    <n v="1.6"/>
    <x v="319"/>
    <x v="301"/>
    <n v="1040855"/>
    <x v="338"/>
    <x v="180"/>
    <n v="415"/>
    <n v="999"/>
    <n v="999"/>
  </r>
  <r>
    <x v="0"/>
    <x v="135"/>
    <x v="8"/>
    <x v="2"/>
    <x v="2"/>
    <n v="0"/>
    <n v="0"/>
    <n v="0"/>
    <n v="0"/>
    <n v="0"/>
    <n v="0"/>
    <n v="0"/>
    <n v="0"/>
    <x v="28"/>
    <x v="28"/>
    <n v="0"/>
    <x v="2"/>
    <x v="1"/>
    <n v="0"/>
    <n v="0"/>
    <n v="4"/>
  </r>
  <r>
    <x v="0"/>
    <x v="135"/>
    <x v="2"/>
    <x v="2"/>
    <x v="2"/>
    <n v="0"/>
    <n v="0"/>
    <n v="0"/>
    <n v="0"/>
    <n v="0"/>
    <n v="0"/>
    <n v="0"/>
    <n v="0"/>
    <x v="356"/>
    <x v="28"/>
    <n v="0"/>
    <x v="2"/>
    <x v="1"/>
    <n v="0"/>
    <n v="5"/>
    <n v="11"/>
  </r>
  <r>
    <x v="1"/>
    <x v="107"/>
    <x v="3"/>
    <x v="20"/>
    <x v="2"/>
    <n v="0"/>
    <n v="0"/>
    <n v="0"/>
    <n v="0"/>
    <n v="0"/>
    <n v="0"/>
    <n v="0"/>
    <n v="0"/>
    <x v="397"/>
    <x v="371"/>
    <n v="0"/>
    <x v="18"/>
    <x v="1"/>
    <n v="0"/>
    <n v="18"/>
    <n v="29"/>
  </r>
  <r>
    <x v="1"/>
    <x v="23"/>
    <x v="7"/>
    <x v="772"/>
    <x v="261"/>
    <n v="25.1"/>
    <n v="1.5"/>
    <n v="2.9"/>
    <n v="0"/>
    <n v="0"/>
    <n v="0"/>
    <n v="0"/>
    <n v="0"/>
    <x v="889"/>
    <x v="801"/>
    <n v="171626"/>
    <x v="71"/>
    <x v="59"/>
    <n v="43"/>
    <n v="65"/>
    <n v="79"/>
  </r>
  <r>
    <x v="0"/>
    <x v="103"/>
    <x v="8"/>
    <x v="2"/>
    <x v="2"/>
    <n v="0"/>
    <n v="0"/>
    <n v="0"/>
    <n v="0"/>
    <n v="0"/>
    <n v="0"/>
    <n v="0"/>
    <n v="0"/>
    <x v="28"/>
    <x v="28"/>
    <n v="0"/>
    <x v="2"/>
    <x v="1"/>
    <n v="0"/>
    <n v="0"/>
    <n v="4"/>
  </r>
  <r>
    <x v="1"/>
    <x v="22"/>
    <x v="0"/>
    <x v="477"/>
    <x v="109"/>
    <n v="13.3"/>
    <n v="1.8"/>
    <n v="1.3"/>
    <n v="21.7"/>
    <n v="13.4"/>
    <n v="9"/>
    <n v="1.6"/>
    <n v="2.4"/>
    <x v="24"/>
    <x v="24"/>
    <n v="1039873"/>
    <x v="195"/>
    <x v="20"/>
    <n v="138"/>
    <n v="999"/>
    <n v="999"/>
  </r>
  <r>
    <x v="0"/>
    <x v="103"/>
    <x v="2"/>
    <x v="2"/>
    <x v="2"/>
    <n v="0"/>
    <n v="0"/>
    <n v="0"/>
    <n v="0"/>
    <n v="0"/>
    <n v="0"/>
    <n v="0"/>
    <n v="0"/>
    <x v="356"/>
    <x v="28"/>
    <n v="0"/>
    <x v="2"/>
    <x v="1"/>
    <n v="0"/>
    <n v="5"/>
    <n v="11"/>
  </r>
  <r>
    <x v="2"/>
    <x v="0"/>
    <x v="7"/>
    <x v="773"/>
    <x v="113"/>
    <n v="100.4"/>
    <n v="0.9"/>
    <n v="1"/>
    <n v="0"/>
    <n v="0"/>
    <n v="0"/>
    <n v="0"/>
    <n v="0"/>
    <x v="890"/>
    <x v="67"/>
    <n v="171376"/>
    <x v="44"/>
    <x v="73"/>
    <n v="172"/>
    <n v="65"/>
    <n v="79"/>
  </r>
  <r>
    <x v="0"/>
    <x v="113"/>
    <x v="4"/>
    <x v="2"/>
    <x v="2"/>
    <n v="0"/>
    <n v="0"/>
    <n v="0"/>
    <n v="0"/>
    <n v="0"/>
    <n v="0"/>
    <n v="0"/>
    <n v="0"/>
    <x v="867"/>
    <x v="785"/>
    <n v="44601"/>
    <x v="2"/>
    <x v="1"/>
    <n v="0"/>
    <n v="12"/>
    <n v="17"/>
  </r>
  <r>
    <x v="2"/>
    <x v="86"/>
    <x v="7"/>
    <x v="774"/>
    <x v="506"/>
    <n v="148"/>
    <n v="1.3"/>
    <n v="1.3"/>
    <n v="0"/>
    <n v="0"/>
    <n v="0"/>
    <n v="0"/>
    <n v="0"/>
    <x v="593"/>
    <x v="46"/>
    <n v="171679"/>
    <x v="135"/>
    <x v="111"/>
    <n v="254"/>
    <n v="65"/>
    <n v="79"/>
  </r>
  <r>
    <x v="2"/>
    <x v="44"/>
    <x v="0"/>
    <x v="775"/>
    <x v="507"/>
    <n v="50.7"/>
    <n v="2.1"/>
    <n v="1.5"/>
    <n v="88.9"/>
    <n v="36"/>
    <n v="44.8"/>
    <n v="2.5"/>
    <n v="2"/>
    <x v="80"/>
    <x v="80"/>
    <n v="888098"/>
    <x v="339"/>
    <x v="249"/>
    <n v="450"/>
    <n v="999"/>
    <n v="999"/>
  </r>
  <r>
    <x v="0"/>
    <x v="12"/>
    <x v="8"/>
    <x v="2"/>
    <x v="2"/>
    <n v="0"/>
    <n v="0"/>
    <n v="0"/>
    <n v="0"/>
    <n v="0"/>
    <n v="0"/>
    <n v="0"/>
    <n v="0"/>
    <x v="28"/>
    <x v="28"/>
    <n v="0"/>
    <x v="2"/>
    <x v="1"/>
    <n v="0"/>
    <n v="0"/>
    <n v="4"/>
  </r>
  <r>
    <x v="1"/>
    <x v="99"/>
    <x v="7"/>
    <x v="310"/>
    <x v="508"/>
    <n v="8.6"/>
    <n v="1.2"/>
    <n v="4.2"/>
    <n v="0"/>
    <n v="0"/>
    <n v="0"/>
    <n v="0"/>
    <n v="0"/>
    <x v="546"/>
    <x v="501"/>
    <n v="151402"/>
    <x v="8"/>
    <x v="3"/>
    <n v="13"/>
    <n v="65"/>
    <n v="79"/>
  </r>
  <r>
    <x v="2"/>
    <x v="93"/>
    <x v="1"/>
    <x v="776"/>
    <x v="509"/>
    <n v="0"/>
    <n v="4.4000000000000004"/>
    <n v="0"/>
    <n v="0"/>
    <n v="0"/>
    <n v="0"/>
    <n v="0"/>
    <n v="0"/>
    <x v="891"/>
    <x v="802"/>
    <n v="0"/>
    <x v="338"/>
    <x v="250"/>
    <n v="0"/>
    <n v="50"/>
    <n v="64"/>
  </r>
  <r>
    <x v="0"/>
    <x v="35"/>
    <x v="3"/>
    <x v="2"/>
    <x v="2"/>
    <n v="0"/>
    <n v="0"/>
    <n v="0"/>
    <n v="0"/>
    <n v="0"/>
    <n v="0"/>
    <n v="0"/>
    <n v="0"/>
    <x v="892"/>
    <x v="803"/>
    <n v="162370"/>
    <x v="2"/>
    <x v="1"/>
    <n v="0"/>
    <n v="18"/>
    <n v="29"/>
  </r>
  <r>
    <x v="0"/>
    <x v="12"/>
    <x v="2"/>
    <x v="2"/>
    <x v="2"/>
    <n v="0"/>
    <n v="0"/>
    <n v="0"/>
    <n v="0"/>
    <n v="0"/>
    <n v="0"/>
    <n v="0"/>
    <n v="0"/>
    <x v="356"/>
    <x v="28"/>
    <n v="0"/>
    <x v="2"/>
    <x v="1"/>
    <n v="0"/>
    <n v="5"/>
    <n v="11"/>
  </r>
  <r>
    <x v="2"/>
    <x v="124"/>
    <x v="6"/>
    <x v="777"/>
    <x v="510"/>
    <n v="266.3"/>
    <n v="0.6"/>
    <n v="1.9"/>
    <n v="0"/>
    <n v="0"/>
    <n v="0"/>
    <n v="0"/>
    <n v="0"/>
    <x v="264"/>
    <x v="253"/>
    <n v="33427"/>
    <x v="309"/>
    <x v="44"/>
    <n v="89"/>
    <n v="80"/>
    <n v="200"/>
  </r>
  <r>
    <x v="2"/>
    <x v="67"/>
    <x v="5"/>
    <x v="778"/>
    <x v="511"/>
    <n v="79.5"/>
    <n v="2"/>
    <n v="1.5"/>
    <n v="0"/>
    <n v="0"/>
    <n v="0"/>
    <n v="0"/>
    <n v="0"/>
    <x v="810"/>
    <x v="737"/>
    <n v="347256"/>
    <x v="233"/>
    <x v="251"/>
    <n v="276"/>
    <n v="30"/>
    <n v="49"/>
  </r>
  <r>
    <x v="0"/>
    <x v="20"/>
    <x v="8"/>
    <x v="2"/>
    <x v="2"/>
    <n v="0"/>
    <n v="0"/>
    <n v="0"/>
    <n v="0"/>
    <n v="0"/>
    <n v="0"/>
    <n v="0"/>
    <n v="0"/>
    <x v="28"/>
    <x v="28"/>
    <n v="0"/>
    <x v="2"/>
    <x v="1"/>
    <n v="0"/>
    <n v="0"/>
    <n v="4"/>
  </r>
  <r>
    <x v="2"/>
    <x v="7"/>
    <x v="3"/>
    <x v="779"/>
    <x v="512"/>
    <n v="103.1"/>
    <n v="2.6"/>
    <n v="5.2"/>
    <n v="0"/>
    <n v="0"/>
    <n v="0"/>
    <n v="0"/>
    <n v="0"/>
    <x v="581"/>
    <x v="532"/>
    <n v="31036"/>
    <x v="340"/>
    <x v="246"/>
    <n v="32"/>
    <n v="18"/>
    <n v="29"/>
  </r>
  <r>
    <x v="2"/>
    <x v="39"/>
    <x v="1"/>
    <x v="780"/>
    <x v="513"/>
    <n v="106.2"/>
    <n v="3.8"/>
    <n v="2.4"/>
    <n v="0"/>
    <n v="0"/>
    <n v="0"/>
    <n v="0"/>
    <n v="0"/>
    <x v="893"/>
    <x v="804"/>
    <n v="246614"/>
    <x v="122"/>
    <x v="234"/>
    <n v="262"/>
    <n v="50"/>
    <n v="64"/>
  </r>
  <r>
    <x v="1"/>
    <x v="62"/>
    <x v="4"/>
    <x v="2"/>
    <x v="2"/>
    <n v="0"/>
    <n v="0"/>
    <n v="0"/>
    <n v="0"/>
    <n v="0"/>
    <n v="0"/>
    <n v="0"/>
    <n v="0"/>
    <x v="632"/>
    <x v="241"/>
    <n v="44592"/>
    <x v="2"/>
    <x v="1"/>
    <n v="0"/>
    <n v="12"/>
    <n v="17"/>
  </r>
  <r>
    <x v="0"/>
    <x v="20"/>
    <x v="2"/>
    <x v="2"/>
    <x v="2"/>
    <n v="0"/>
    <n v="0"/>
    <n v="0"/>
    <n v="0"/>
    <n v="0"/>
    <n v="0"/>
    <n v="0"/>
    <n v="0"/>
    <x v="356"/>
    <x v="28"/>
    <n v="0"/>
    <x v="2"/>
    <x v="1"/>
    <n v="0"/>
    <n v="5"/>
    <n v="11"/>
  </r>
  <r>
    <x v="2"/>
    <x v="5"/>
    <x v="0"/>
    <x v="781"/>
    <x v="514"/>
    <n v="0"/>
    <n v="3"/>
    <n v="0"/>
    <n v="211.4"/>
    <n v="51.8"/>
    <n v="0"/>
    <n v="4.0999999999999996"/>
    <n v="0"/>
    <x v="894"/>
    <x v="805"/>
    <n v="0"/>
    <x v="341"/>
    <x v="252"/>
    <n v="0"/>
    <n v="999"/>
    <n v="999"/>
  </r>
  <r>
    <x v="2"/>
    <x v="99"/>
    <x v="1"/>
    <x v="782"/>
    <x v="515"/>
    <n v="71.599999999999994"/>
    <n v="3.2"/>
    <n v="3.2"/>
    <n v="0"/>
    <n v="0"/>
    <n v="0"/>
    <n v="0"/>
    <n v="0"/>
    <x v="700"/>
    <x v="636"/>
    <n v="208125"/>
    <x v="326"/>
    <x v="253"/>
    <n v="149"/>
    <n v="50"/>
    <n v="64"/>
  </r>
  <r>
    <x v="0"/>
    <x v="134"/>
    <x v="2"/>
    <x v="2"/>
    <x v="2"/>
    <n v="0"/>
    <n v="0"/>
    <n v="0"/>
    <n v="0"/>
    <n v="0"/>
    <n v="0"/>
    <n v="0"/>
    <n v="0"/>
    <x v="405"/>
    <x v="379"/>
    <n v="411"/>
    <x v="2"/>
    <x v="1"/>
    <n v="0"/>
    <n v="5"/>
    <n v="11"/>
  </r>
  <r>
    <x v="0"/>
    <x v="81"/>
    <x v="8"/>
    <x v="2"/>
    <x v="2"/>
    <n v="0"/>
    <n v="0"/>
    <n v="0"/>
    <n v="0"/>
    <n v="0"/>
    <n v="0"/>
    <n v="0"/>
    <n v="0"/>
    <x v="28"/>
    <x v="28"/>
    <n v="0"/>
    <x v="2"/>
    <x v="1"/>
    <n v="0"/>
    <n v="0"/>
    <n v="4"/>
  </r>
  <r>
    <x v="2"/>
    <x v="19"/>
    <x v="8"/>
    <x v="783"/>
    <x v="142"/>
    <n v="0"/>
    <n v="17.100000000000001"/>
    <n v="0"/>
    <n v="0"/>
    <n v="0"/>
    <n v="0"/>
    <n v="0"/>
    <n v="0"/>
    <x v="28"/>
    <x v="28"/>
    <n v="0"/>
    <x v="289"/>
    <x v="23"/>
    <n v="0"/>
    <n v="0"/>
    <n v="4"/>
  </r>
  <r>
    <x v="2"/>
    <x v="51"/>
    <x v="4"/>
    <x v="784"/>
    <x v="516"/>
    <n v="120.5"/>
    <n v="2"/>
    <n v="1.4"/>
    <n v="0"/>
    <n v="0"/>
    <n v="0"/>
    <n v="0"/>
    <n v="0"/>
    <x v="51"/>
    <x v="51"/>
    <n v="39015"/>
    <x v="300"/>
    <x v="117"/>
    <n v="47"/>
    <n v="12"/>
    <n v="17"/>
  </r>
  <r>
    <x v="0"/>
    <x v="81"/>
    <x v="2"/>
    <x v="241"/>
    <x v="2"/>
    <n v="0"/>
    <n v="0"/>
    <n v="0"/>
    <n v="0"/>
    <n v="0"/>
    <n v="0"/>
    <n v="0"/>
    <n v="0"/>
    <x v="356"/>
    <x v="28"/>
    <n v="0"/>
    <x v="1"/>
    <x v="1"/>
    <n v="0"/>
    <n v="5"/>
    <n v="11"/>
  </r>
  <r>
    <x v="0"/>
    <x v="138"/>
    <x v="0"/>
    <x v="393"/>
    <x v="87"/>
    <n v="0"/>
    <n v="5"/>
    <n v="0"/>
    <n v="2"/>
    <n v="0.1"/>
    <n v="0"/>
    <n v="19.3"/>
    <n v="0"/>
    <x v="860"/>
    <x v="778"/>
    <n v="0"/>
    <x v="60"/>
    <x v="0"/>
    <n v="0"/>
    <n v="999"/>
    <n v="999"/>
  </r>
  <r>
    <x v="0"/>
    <x v="93"/>
    <x v="8"/>
    <x v="2"/>
    <x v="2"/>
    <n v="0"/>
    <n v="0"/>
    <n v="0"/>
    <n v="0"/>
    <n v="0"/>
    <n v="0"/>
    <n v="0"/>
    <n v="0"/>
    <x v="28"/>
    <x v="28"/>
    <n v="0"/>
    <x v="2"/>
    <x v="1"/>
    <n v="0"/>
    <n v="0"/>
    <n v="4"/>
  </r>
  <r>
    <x v="2"/>
    <x v="6"/>
    <x v="4"/>
    <x v="785"/>
    <x v="517"/>
    <n v="85.7"/>
    <n v="2.6"/>
    <n v="2.4"/>
    <n v="0"/>
    <n v="0"/>
    <n v="0"/>
    <n v="0"/>
    <n v="0"/>
    <x v="219"/>
    <x v="210"/>
    <n v="44338"/>
    <x v="231"/>
    <x v="179"/>
    <n v="38"/>
    <n v="12"/>
    <n v="17"/>
  </r>
  <r>
    <x v="2"/>
    <x v="83"/>
    <x v="2"/>
    <x v="786"/>
    <x v="518"/>
    <n v="0"/>
    <n v="0.5"/>
    <n v="0"/>
    <n v="0"/>
    <n v="0"/>
    <n v="0"/>
    <n v="0"/>
    <n v="0"/>
    <x v="895"/>
    <x v="806"/>
    <n v="0"/>
    <x v="342"/>
    <x v="254"/>
    <n v="0"/>
    <n v="5"/>
    <n v="11"/>
  </r>
  <r>
    <x v="1"/>
    <x v="40"/>
    <x v="5"/>
    <x v="222"/>
    <x v="519"/>
    <n v="0"/>
    <n v="8.5"/>
    <n v="0"/>
    <n v="0"/>
    <n v="0"/>
    <n v="0"/>
    <n v="0"/>
    <n v="0"/>
    <x v="701"/>
    <x v="637"/>
    <n v="0"/>
    <x v="66"/>
    <x v="13"/>
    <n v="0"/>
    <n v="30"/>
    <n v="49"/>
  </r>
  <r>
    <x v="0"/>
    <x v="93"/>
    <x v="2"/>
    <x v="2"/>
    <x v="2"/>
    <n v="0"/>
    <n v="0"/>
    <n v="0"/>
    <n v="0"/>
    <n v="0"/>
    <n v="0"/>
    <n v="0"/>
    <n v="0"/>
    <x v="356"/>
    <x v="28"/>
    <n v="0"/>
    <x v="2"/>
    <x v="1"/>
    <n v="0"/>
    <n v="5"/>
    <n v="11"/>
  </r>
  <r>
    <x v="2"/>
    <x v="86"/>
    <x v="5"/>
    <x v="83"/>
    <x v="520"/>
    <n v="97.3"/>
    <n v="2.6"/>
    <n v="1.8"/>
    <n v="0"/>
    <n v="0"/>
    <n v="0"/>
    <n v="0"/>
    <n v="0"/>
    <x v="109"/>
    <x v="108"/>
    <n v="347207"/>
    <x v="343"/>
    <x v="255"/>
    <n v="338"/>
    <n v="30"/>
    <n v="49"/>
  </r>
  <r>
    <x v="0"/>
    <x v="9"/>
    <x v="8"/>
    <x v="2"/>
    <x v="2"/>
    <n v="0"/>
    <n v="0"/>
    <n v="0"/>
    <n v="0"/>
    <n v="0"/>
    <n v="0"/>
    <n v="0"/>
    <n v="0"/>
    <x v="28"/>
    <x v="28"/>
    <n v="0"/>
    <x v="2"/>
    <x v="1"/>
    <n v="0"/>
    <n v="0"/>
    <n v="4"/>
  </r>
  <r>
    <x v="0"/>
    <x v="9"/>
    <x v="2"/>
    <x v="2"/>
    <x v="2"/>
    <n v="0"/>
    <n v="0"/>
    <n v="0"/>
    <n v="0"/>
    <n v="0"/>
    <n v="0"/>
    <n v="0"/>
    <n v="0"/>
    <x v="356"/>
    <x v="28"/>
    <n v="0"/>
    <x v="2"/>
    <x v="1"/>
    <n v="0"/>
    <n v="5"/>
    <n v="11"/>
  </r>
  <r>
    <x v="0"/>
    <x v="130"/>
    <x v="8"/>
    <x v="2"/>
    <x v="2"/>
    <n v="0"/>
    <n v="0"/>
    <n v="0"/>
    <n v="0"/>
    <n v="0"/>
    <n v="0"/>
    <n v="0"/>
    <n v="0"/>
    <x v="28"/>
    <x v="28"/>
    <n v="0"/>
    <x v="2"/>
    <x v="1"/>
    <n v="0"/>
    <n v="0"/>
    <n v="4"/>
  </r>
  <r>
    <x v="0"/>
    <x v="95"/>
    <x v="6"/>
    <x v="628"/>
    <x v="88"/>
    <n v="6.5"/>
    <n v="1.8"/>
    <n v="2.2999999999999998"/>
    <n v="0"/>
    <n v="0"/>
    <n v="0"/>
    <n v="0"/>
    <n v="0"/>
    <x v="776"/>
    <x v="705"/>
    <n v="46163"/>
    <x v="20"/>
    <x v="0"/>
    <n v="3"/>
    <n v="80"/>
    <n v="200"/>
  </r>
  <r>
    <x v="1"/>
    <x v="22"/>
    <x v="5"/>
    <x v="542"/>
    <x v="235"/>
    <n v="3.5"/>
    <n v="3.7"/>
    <n v="4.3"/>
    <n v="0"/>
    <n v="0"/>
    <n v="0"/>
    <n v="0"/>
    <n v="0"/>
    <x v="896"/>
    <x v="807"/>
    <n v="347125"/>
    <x v="134"/>
    <x v="7"/>
    <n v="12"/>
    <n v="30"/>
    <n v="49"/>
  </r>
  <r>
    <x v="0"/>
    <x v="130"/>
    <x v="2"/>
    <x v="2"/>
    <x v="2"/>
    <n v="0"/>
    <n v="0"/>
    <n v="0"/>
    <n v="0"/>
    <n v="0"/>
    <n v="0"/>
    <n v="0"/>
    <n v="0"/>
    <x v="356"/>
    <x v="28"/>
    <n v="0"/>
    <x v="2"/>
    <x v="1"/>
    <n v="0"/>
    <n v="5"/>
    <n v="11"/>
  </r>
  <r>
    <x v="2"/>
    <x v="88"/>
    <x v="7"/>
    <x v="787"/>
    <x v="521"/>
    <n v="0"/>
    <n v="2.8"/>
    <n v="0"/>
    <n v="0"/>
    <n v="0"/>
    <n v="0"/>
    <n v="0"/>
    <n v="0"/>
    <x v="596"/>
    <x v="545"/>
    <n v="0"/>
    <x v="21"/>
    <x v="178"/>
    <n v="0"/>
    <n v="65"/>
    <n v="79"/>
  </r>
  <r>
    <x v="2"/>
    <x v="68"/>
    <x v="5"/>
    <x v="788"/>
    <x v="522"/>
    <n v="259.39999999999998"/>
    <n v="2.1"/>
    <n v="0.6"/>
    <n v="0"/>
    <n v="0"/>
    <n v="0"/>
    <n v="0"/>
    <n v="0"/>
    <x v="769"/>
    <x v="698"/>
    <n v="328103"/>
    <x v="344"/>
    <x v="256"/>
    <n v="851"/>
    <n v="30"/>
    <n v="49"/>
  </r>
  <r>
    <x v="0"/>
    <x v="136"/>
    <x v="8"/>
    <x v="2"/>
    <x v="2"/>
    <n v="0"/>
    <n v="0"/>
    <n v="0"/>
    <n v="0"/>
    <n v="0"/>
    <n v="0"/>
    <n v="0"/>
    <n v="0"/>
    <x v="28"/>
    <x v="28"/>
    <n v="0"/>
    <x v="2"/>
    <x v="1"/>
    <n v="0"/>
    <n v="0"/>
    <n v="4"/>
  </r>
  <r>
    <x v="2"/>
    <x v="108"/>
    <x v="7"/>
    <x v="789"/>
    <x v="523"/>
    <n v="96.7"/>
    <n v="1.2"/>
    <n v="1.3"/>
    <n v="0"/>
    <n v="0"/>
    <n v="0"/>
    <n v="0"/>
    <n v="0"/>
    <x v="636"/>
    <x v="577"/>
    <n v="171693"/>
    <x v="67"/>
    <x v="78"/>
    <n v="166"/>
    <n v="65"/>
    <n v="79"/>
  </r>
  <r>
    <x v="2"/>
    <x v="1"/>
    <x v="5"/>
    <x v="790"/>
    <x v="524"/>
    <n v="79.2"/>
    <n v="2.2999999999999998"/>
    <n v="1.6"/>
    <n v="0"/>
    <n v="0"/>
    <n v="0"/>
    <n v="0"/>
    <n v="0"/>
    <x v="797"/>
    <x v="724"/>
    <n v="347241"/>
    <x v="314"/>
    <x v="187"/>
    <n v="275"/>
    <n v="30"/>
    <n v="49"/>
  </r>
  <r>
    <x v="0"/>
    <x v="136"/>
    <x v="2"/>
    <x v="2"/>
    <x v="2"/>
    <n v="0"/>
    <n v="0"/>
    <n v="0"/>
    <n v="0"/>
    <n v="0"/>
    <n v="0"/>
    <n v="0"/>
    <n v="0"/>
    <x v="356"/>
    <x v="28"/>
    <n v="0"/>
    <x v="2"/>
    <x v="1"/>
    <n v="0"/>
    <n v="5"/>
    <n v="11"/>
  </r>
  <r>
    <x v="2"/>
    <x v="47"/>
    <x v="8"/>
    <x v="791"/>
    <x v="289"/>
    <n v="0"/>
    <n v="10.1"/>
    <n v="0"/>
    <n v="0"/>
    <n v="0"/>
    <n v="0"/>
    <n v="0"/>
    <n v="0"/>
    <x v="28"/>
    <x v="28"/>
    <n v="0"/>
    <x v="345"/>
    <x v="36"/>
    <n v="0"/>
    <n v="0"/>
    <n v="4"/>
  </r>
  <r>
    <x v="2"/>
    <x v="106"/>
    <x v="0"/>
    <x v="792"/>
    <x v="525"/>
    <n v="0"/>
    <n v="2.6"/>
    <n v="0"/>
    <n v="167.7"/>
    <n v="48.1"/>
    <n v="0"/>
    <n v="3.5"/>
    <n v="0"/>
    <x v="236"/>
    <x v="226"/>
    <n v="0"/>
    <x v="346"/>
    <x v="257"/>
    <n v="0"/>
    <n v="999"/>
    <n v="999"/>
  </r>
  <r>
    <x v="0"/>
    <x v="3"/>
    <x v="7"/>
    <x v="133"/>
    <x v="2"/>
    <n v="0"/>
    <n v="0"/>
    <n v="0"/>
    <n v="0"/>
    <n v="0"/>
    <n v="0"/>
    <n v="0"/>
    <n v="0"/>
    <x v="301"/>
    <x v="284"/>
    <n v="69658"/>
    <x v="45"/>
    <x v="1"/>
    <n v="0"/>
    <n v="65"/>
    <n v="79"/>
  </r>
  <r>
    <x v="0"/>
    <x v="59"/>
    <x v="8"/>
    <x v="2"/>
    <x v="2"/>
    <n v="0"/>
    <n v="0"/>
    <n v="0"/>
    <n v="0"/>
    <n v="0"/>
    <n v="0"/>
    <n v="0"/>
    <n v="0"/>
    <x v="28"/>
    <x v="28"/>
    <n v="0"/>
    <x v="2"/>
    <x v="1"/>
    <n v="0"/>
    <n v="0"/>
    <n v="4"/>
  </r>
  <r>
    <x v="0"/>
    <x v="59"/>
    <x v="2"/>
    <x v="2"/>
    <x v="2"/>
    <n v="0"/>
    <n v="0"/>
    <n v="0"/>
    <n v="0"/>
    <n v="0"/>
    <n v="0"/>
    <n v="0"/>
    <n v="0"/>
    <x v="356"/>
    <x v="28"/>
    <n v="0"/>
    <x v="2"/>
    <x v="1"/>
    <n v="0"/>
    <n v="5"/>
    <n v="11"/>
  </r>
  <r>
    <x v="0"/>
    <x v="5"/>
    <x v="8"/>
    <x v="2"/>
    <x v="2"/>
    <n v="0"/>
    <n v="0"/>
    <n v="0"/>
    <n v="0"/>
    <n v="0"/>
    <n v="0"/>
    <n v="0"/>
    <n v="0"/>
    <x v="28"/>
    <x v="28"/>
    <n v="0"/>
    <x v="2"/>
    <x v="1"/>
    <n v="0"/>
    <n v="0"/>
    <n v="4"/>
  </r>
  <r>
    <x v="0"/>
    <x v="5"/>
    <x v="2"/>
    <x v="2"/>
    <x v="2"/>
    <n v="0"/>
    <n v="0"/>
    <n v="0"/>
    <n v="0"/>
    <n v="0"/>
    <n v="0"/>
    <n v="0"/>
    <n v="0"/>
    <x v="356"/>
    <x v="28"/>
    <n v="0"/>
    <x v="2"/>
    <x v="1"/>
    <n v="0"/>
    <n v="5"/>
    <n v="11"/>
  </r>
  <r>
    <x v="0"/>
    <x v="106"/>
    <x v="8"/>
    <x v="2"/>
    <x v="2"/>
    <n v="0"/>
    <n v="0"/>
    <n v="0"/>
    <n v="0"/>
    <n v="0"/>
    <n v="0"/>
    <n v="0"/>
    <n v="0"/>
    <x v="28"/>
    <x v="28"/>
    <n v="0"/>
    <x v="2"/>
    <x v="1"/>
    <n v="0"/>
    <n v="0"/>
    <n v="4"/>
  </r>
  <r>
    <x v="0"/>
    <x v="106"/>
    <x v="2"/>
    <x v="2"/>
    <x v="2"/>
    <n v="0"/>
    <n v="0"/>
    <n v="0"/>
    <n v="0"/>
    <n v="0"/>
    <n v="0"/>
    <n v="0"/>
    <n v="0"/>
    <x v="356"/>
    <x v="28"/>
    <n v="0"/>
    <x v="2"/>
    <x v="1"/>
    <n v="0"/>
    <n v="5"/>
    <n v="11"/>
  </r>
  <r>
    <x v="0"/>
    <x v="88"/>
    <x v="8"/>
    <x v="2"/>
    <x v="2"/>
    <n v="0"/>
    <n v="0"/>
    <n v="0"/>
    <n v="0"/>
    <n v="0"/>
    <n v="0"/>
    <n v="0"/>
    <n v="0"/>
    <x v="28"/>
    <x v="28"/>
    <n v="0"/>
    <x v="2"/>
    <x v="1"/>
    <n v="0"/>
    <n v="0"/>
    <n v="4"/>
  </r>
  <r>
    <x v="0"/>
    <x v="88"/>
    <x v="2"/>
    <x v="2"/>
    <x v="2"/>
    <n v="0"/>
    <n v="0"/>
    <n v="0"/>
    <n v="0"/>
    <n v="0"/>
    <n v="0"/>
    <n v="0"/>
    <n v="0"/>
    <x v="356"/>
    <x v="28"/>
    <n v="0"/>
    <x v="2"/>
    <x v="1"/>
    <n v="0"/>
    <n v="5"/>
    <n v="11"/>
  </r>
  <r>
    <x v="1"/>
    <x v="38"/>
    <x v="2"/>
    <x v="2"/>
    <x v="2"/>
    <n v="0"/>
    <n v="0"/>
    <n v="0"/>
    <n v="0"/>
    <n v="0"/>
    <n v="0"/>
    <n v="0"/>
    <n v="0"/>
    <x v="630"/>
    <x v="262"/>
    <n v="21265"/>
    <x v="2"/>
    <x v="1"/>
    <n v="0"/>
    <n v="5"/>
    <n v="11"/>
  </r>
  <r>
    <x v="0"/>
    <x v="40"/>
    <x v="8"/>
    <x v="2"/>
    <x v="2"/>
    <n v="0"/>
    <n v="0"/>
    <n v="0"/>
    <n v="0"/>
    <n v="0"/>
    <n v="0"/>
    <n v="0"/>
    <n v="0"/>
    <x v="28"/>
    <x v="28"/>
    <n v="0"/>
    <x v="2"/>
    <x v="1"/>
    <n v="0"/>
    <n v="0"/>
    <n v="4"/>
  </r>
  <r>
    <x v="2"/>
    <x v="66"/>
    <x v="6"/>
    <x v="793"/>
    <x v="526"/>
    <n v="13.7"/>
    <n v="0.7"/>
    <n v="7"/>
    <n v="0"/>
    <n v="0"/>
    <n v="0"/>
    <n v="0"/>
    <n v="0"/>
    <x v="74"/>
    <x v="74"/>
    <n v="14603"/>
    <x v="48"/>
    <x v="100"/>
    <n v="2"/>
    <n v="80"/>
    <n v="200"/>
  </r>
  <r>
    <x v="0"/>
    <x v="21"/>
    <x v="8"/>
    <x v="2"/>
    <x v="2"/>
    <n v="0"/>
    <n v="0"/>
    <n v="0"/>
    <n v="0"/>
    <n v="0"/>
    <n v="0"/>
    <n v="0"/>
    <n v="0"/>
    <x v="28"/>
    <x v="28"/>
    <n v="0"/>
    <x v="2"/>
    <x v="1"/>
    <n v="0"/>
    <n v="0"/>
    <n v="4"/>
  </r>
  <r>
    <x v="0"/>
    <x v="21"/>
    <x v="2"/>
    <x v="2"/>
    <x v="2"/>
    <n v="0"/>
    <n v="0"/>
    <n v="0"/>
    <n v="0"/>
    <n v="0"/>
    <n v="0"/>
    <n v="0"/>
    <n v="0"/>
    <x v="356"/>
    <x v="28"/>
    <n v="0"/>
    <x v="2"/>
    <x v="1"/>
    <n v="0"/>
    <n v="5"/>
    <n v="11"/>
  </r>
  <r>
    <x v="0"/>
    <x v="47"/>
    <x v="5"/>
    <x v="2"/>
    <x v="2"/>
    <n v="0"/>
    <n v="0"/>
    <n v="0"/>
    <n v="0"/>
    <n v="0"/>
    <n v="0"/>
    <n v="0"/>
    <n v="0"/>
    <x v="552"/>
    <x v="507"/>
    <n v="347177"/>
    <x v="2"/>
    <x v="1"/>
    <n v="0"/>
    <n v="30"/>
    <n v="49"/>
  </r>
  <r>
    <x v="0"/>
    <x v="131"/>
    <x v="8"/>
    <x v="2"/>
    <x v="2"/>
    <n v="0"/>
    <n v="0"/>
    <n v="0"/>
    <n v="0"/>
    <n v="0"/>
    <n v="0"/>
    <n v="0"/>
    <n v="0"/>
    <x v="28"/>
    <x v="28"/>
    <n v="0"/>
    <x v="2"/>
    <x v="1"/>
    <n v="0"/>
    <n v="0"/>
    <n v="4"/>
  </r>
  <r>
    <x v="0"/>
    <x v="131"/>
    <x v="2"/>
    <x v="2"/>
    <x v="2"/>
    <n v="0"/>
    <n v="0"/>
    <n v="0"/>
    <n v="0"/>
    <n v="0"/>
    <n v="0"/>
    <n v="0"/>
    <n v="0"/>
    <x v="356"/>
    <x v="28"/>
    <n v="0"/>
    <x v="2"/>
    <x v="1"/>
    <n v="0"/>
    <n v="5"/>
    <n v="11"/>
  </r>
  <r>
    <x v="0"/>
    <x v="57"/>
    <x v="8"/>
    <x v="2"/>
    <x v="2"/>
    <n v="0"/>
    <n v="0"/>
    <n v="0"/>
    <n v="0"/>
    <n v="0"/>
    <n v="0"/>
    <n v="0"/>
    <n v="0"/>
    <x v="28"/>
    <x v="28"/>
    <n v="0"/>
    <x v="2"/>
    <x v="1"/>
    <n v="0"/>
    <n v="0"/>
    <n v="4"/>
  </r>
  <r>
    <x v="0"/>
    <x v="57"/>
    <x v="2"/>
    <x v="2"/>
    <x v="2"/>
    <n v="0"/>
    <n v="0"/>
    <n v="0"/>
    <n v="0"/>
    <n v="0"/>
    <n v="0"/>
    <n v="0"/>
    <n v="0"/>
    <x v="356"/>
    <x v="28"/>
    <n v="0"/>
    <x v="2"/>
    <x v="1"/>
    <n v="0"/>
    <n v="5"/>
    <n v="11"/>
  </r>
  <r>
    <x v="0"/>
    <x v="19"/>
    <x v="8"/>
    <x v="2"/>
    <x v="2"/>
    <n v="0"/>
    <n v="0"/>
    <n v="0"/>
    <n v="0"/>
    <n v="0"/>
    <n v="0"/>
    <n v="0"/>
    <n v="0"/>
    <x v="28"/>
    <x v="28"/>
    <n v="0"/>
    <x v="2"/>
    <x v="1"/>
    <n v="0"/>
    <n v="0"/>
    <n v="4"/>
  </r>
  <r>
    <x v="0"/>
    <x v="44"/>
    <x v="2"/>
    <x v="2"/>
    <x v="2"/>
    <n v="0"/>
    <n v="0"/>
    <n v="0"/>
    <n v="0"/>
    <n v="0"/>
    <n v="0"/>
    <n v="0"/>
    <n v="0"/>
    <x v="897"/>
    <x v="808"/>
    <n v="0"/>
    <x v="2"/>
    <x v="1"/>
    <n v="0"/>
    <n v="5"/>
    <n v="11"/>
  </r>
  <r>
    <x v="0"/>
    <x v="87"/>
    <x v="8"/>
    <x v="2"/>
    <x v="2"/>
    <n v="0"/>
    <n v="0"/>
    <n v="0"/>
    <n v="0"/>
    <n v="0"/>
    <n v="0"/>
    <n v="0"/>
    <n v="0"/>
    <x v="28"/>
    <x v="28"/>
    <n v="0"/>
    <x v="2"/>
    <x v="1"/>
    <n v="0"/>
    <n v="0"/>
    <n v="4"/>
  </r>
  <r>
    <x v="1"/>
    <x v="110"/>
    <x v="0"/>
    <x v="766"/>
    <x v="4"/>
    <n v="7.1"/>
    <n v="2"/>
    <n v="1.1000000000000001"/>
    <n v="10.5"/>
    <n v="6.1"/>
    <n v="4.9000000000000004"/>
    <n v="1.7"/>
    <n v="2.2000000000000002"/>
    <x v="359"/>
    <x v="335"/>
    <n v="1037728"/>
    <x v="261"/>
    <x v="77"/>
    <n v="74"/>
    <n v="999"/>
    <n v="999"/>
  </r>
  <r>
    <x v="2"/>
    <x v="98"/>
    <x v="5"/>
    <x v="794"/>
    <x v="10"/>
    <n v="10.9"/>
    <n v="3.5"/>
    <n v="2.2000000000000002"/>
    <n v="0"/>
    <n v="0"/>
    <n v="0"/>
    <n v="0"/>
    <n v="0"/>
    <x v="898"/>
    <x v="809"/>
    <n v="347307"/>
    <x v="17"/>
    <x v="130"/>
    <n v="38"/>
    <n v="30"/>
    <n v="49"/>
  </r>
  <r>
    <x v="0"/>
    <x v="115"/>
    <x v="4"/>
    <x v="2"/>
    <x v="2"/>
    <n v="0"/>
    <n v="0"/>
    <n v="0"/>
    <n v="0"/>
    <n v="0"/>
    <n v="0"/>
    <n v="0"/>
    <n v="0"/>
    <x v="899"/>
    <x v="810"/>
    <n v="32716"/>
    <x v="2"/>
    <x v="1"/>
    <n v="0"/>
    <n v="12"/>
    <n v="17"/>
  </r>
  <r>
    <x v="2"/>
    <x v="56"/>
    <x v="3"/>
    <x v="30"/>
    <x v="527"/>
    <n v="113.8"/>
    <n v="2.8"/>
    <n v="0.8"/>
    <n v="0"/>
    <n v="0"/>
    <n v="0"/>
    <n v="0"/>
    <n v="0"/>
    <x v="817"/>
    <x v="743"/>
    <n v="145029"/>
    <x v="139"/>
    <x v="114"/>
    <n v="165"/>
    <n v="18"/>
    <n v="29"/>
  </r>
  <r>
    <x v="1"/>
    <x v="100"/>
    <x v="6"/>
    <x v="795"/>
    <x v="345"/>
    <n v="54.9"/>
    <n v="0.3"/>
    <n v="0.5"/>
    <n v="0"/>
    <n v="0"/>
    <n v="0"/>
    <n v="0"/>
    <n v="0"/>
    <x v="539"/>
    <x v="494"/>
    <n v="45506"/>
    <x v="33"/>
    <x v="38"/>
    <n v="25"/>
    <n v="80"/>
    <n v="200"/>
  </r>
  <r>
    <x v="2"/>
    <x v="35"/>
    <x v="0"/>
    <x v="407"/>
    <x v="86"/>
    <n v="33"/>
    <n v="2.5"/>
    <n v="1.6"/>
    <n v="60.5"/>
    <n v="23.2"/>
    <n v="26.2"/>
    <n v="2.6"/>
    <n v="2.2999999999999998"/>
    <x v="571"/>
    <x v="524"/>
    <n v="1044756"/>
    <x v="347"/>
    <x v="184"/>
    <n v="345"/>
    <n v="999"/>
    <n v="999"/>
  </r>
  <r>
    <x v="2"/>
    <x v="29"/>
    <x v="2"/>
    <x v="412"/>
    <x v="528"/>
    <n v="76.5"/>
    <n v="0.7"/>
    <n v="0.9"/>
    <n v="0"/>
    <n v="0"/>
    <n v="0"/>
    <n v="0"/>
    <n v="0"/>
    <x v="471"/>
    <x v="436"/>
    <n v="5230"/>
    <x v="325"/>
    <x v="234"/>
    <n v="4"/>
    <n v="5"/>
    <n v="11"/>
  </r>
  <r>
    <x v="0"/>
    <x v="66"/>
    <x v="8"/>
    <x v="2"/>
    <x v="2"/>
    <n v="0"/>
    <n v="0"/>
    <n v="0"/>
    <n v="0"/>
    <n v="0"/>
    <n v="0"/>
    <n v="0"/>
    <n v="0"/>
    <x v="28"/>
    <x v="28"/>
    <n v="0"/>
    <x v="2"/>
    <x v="1"/>
    <n v="0"/>
    <n v="0"/>
    <n v="4"/>
  </r>
  <r>
    <x v="2"/>
    <x v="84"/>
    <x v="8"/>
    <x v="796"/>
    <x v="58"/>
    <n v="0"/>
    <n v="15.4"/>
    <n v="0"/>
    <n v="0"/>
    <n v="0"/>
    <n v="0"/>
    <n v="0"/>
    <n v="0"/>
    <x v="28"/>
    <x v="28"/>
    <n v="0"/>
    <x v="117"/>
    <x v="39"/>
    <n v="0"/>
    <n v="0"/>
    <n v="4"/>
  </r>
  <r>
    <x v="0"/>
    <x v="83"/>
    <x v="2"/>
    <x v="2"/>
    <x v="2"/>
    <n v="0"/>
    <n v="0"/>
    <n v="0"/>
    <n v="0"/>
    <n v="0"/>
    <n v="0"/>
    <n v="0"/>
    <n v="0"/>
    <x v="895"/>
    <x v="806"/>
    <n v="0"/>
    <x v="2"/>
    <x v="1"/>
    <n v="0"/>
    <n v="5"/>
    <n v="11"/>
  </r>
  <r>
    <x v="1"/>
    <x v="6"/>
    <x v="8"/>
    <x v="40"/>
    <x v="2"/>
    <n v="0"/>
    <n v="0"/>
    <n v="0"/>
    <n v="0"/>
    <n v="0"/>
    <n v="0"/>
    <n v="0"/>
    <n v="0"/>
    <x v="28"/>
    <x v="28"/>
    <n v="0"/>
    <x v="24"/>
    <x v="1"/>
    <n v="0"/>
    <n v="0"/>
    <n v="4"/>
  </r>
  <r>
    <x v="2"/>
    <x v="89"/>
    <x v="3"/>
    <x v="363"/>
    <x v="241"/>
    <n v="0"/>
    <n v="3"/>
    <n v="0"/>
    <n v="0"/>
    <n v="0"/>
    <n v="0"/>
    <n v="0"/>
    <n v="0"/>
    <x v="900"/>
    <x v="811"/>
    <n v="0"/>
    <x v="128"/>
    <x v="3"/>
    <n v="0"/>
    <n v="18"/>
    <n v="29"/>
  </r>
  <r>
    <x v="0"/>
    <x v="3"/>
    <x v="8"/>
    <x v="2"/>
    <x v="2"/>
    <n v="0"/>
    <n v="0"/>
    <n v="0"/>
    <n v="0"/>
    <n v="0"/>
    <n v="0"/>
    <n v="0"/>
    <n v="0"/>
    <x v="28"/>
    <x v="28"/>
    <n v="0"/>
    <x v="2"/>
    <x v="1"/>
    <n v="0"/>
    <n v="0"/>
    <n v="4"/>
  </r>
  <r>
    <x v="2"/>
    <x v="74"/>
    <x v="3"/>
    <x v="797"/>
    <x v="397"/>
    <n v="27.2"/>
    <n v="5.7"/>
    <n v="2.2999999999999998"/>
    <n v="0"/>
    <n v="0"/>
    <n v="0"/>
    <n v="0"/>
    <n v="0"/>
    <x v="901"/>
    <x v="812"/>
    <n v="162045"/>
    <x v="117"/>
    <x v="133"/>
    <n v="44"/>
    <n v="18"/>
    <n v="29"/>
  </r>
  <r>
    <x v="1"/>
    <x v="19"/>
    <x v="4"/>
    <x v="103"/>
    <x v="2"/>
    <n v="2.2000000000000002"/>
    <n v="0"/>
    <n v="1.4"/>
    <n v="0"/>
    <n v="0"/>
    <n v="0"/>
    <n v="0"/>
    <n v="0"/>
    <x v="834"/>
    <x v="757"/>
    <n v="44526"/>
    <x v="1"/>
    <x v="1"/>
    <n v="1"/>
    <n v="12"/>
    <n v="17"/>
  </r>
  <r>
    <x v="0"/>
    <x v="19"/>
    <x v="6"/>
    <x v="198"/>
    <x v="66"/>
    <n v="4.2"/>
    <n v="0.5"/>
    <n v="1.9"/>
    <n v="0"/>
    <n v="0"/>
    <n v="0"/>
    <n v="0"/>
    <n v="0"/>
    <x v="840"/>
    <x v="207"/>
    <n v="47108"/>
    <x v="0"/>
    <x v="11"/>
    <n v="2"/>
    <n v="80"/>
    <n v="200"/>
  </r>
  <r>
    <x v="2"/>
    <x v="73"/>
    <x v="7"/>
    <x v="798"/>
    <x v="529"/>
    <n v="191.1"/>
    <n v="1.2"/>
    <n v="1.1000000000000001"/>
    <n v="0"/>
    <n v="0"/>
    <n v="0"/>
    <n v="0"/>
    <n v="0"/>
    <x v="902"/>
    <x v="813"/>
    <n v="167465"/>
    <x v="41"/>
    <x v="107"/>
    <n v="320"/>
    <n v="65"/>
    <n v="79"/>
  </r>
  <r>
    <x v="0"/>
    <x v="104"/>
    <x v="8"/>
    <x v="2"/>
    <x v="2"/>
    <n v="0"/>
    <n v="0"/>
    <n v="0"/>
    <n v="0"/>
    <n v="0"/>
    <n v="0"/>
    <n v="0"/>
    <n v="0"/>
    <x v="28"/>
    <x v="28"/>
    <n v="0"/>
    <x v="2"/>
    <x v="1"/>
    <n v="0"/>
    <n v="0"/>
    <n v="4"/>
  </r>
  <r>
    <x v="1"/>
    <x v="92"/>
    <x v="0"/>
    <x v="427"/>
    <x v="34"/>
    <n v="4.7"/>
    <n v="1.9"/>
    <n v="0.9"/>
    <n v="6.2"/>
    <n v="3.1"/>
    <n v="3.2"/>
    <n v="2"/>
    <n v="1.9"/>
    <x v="336"/>
    <x v="314"/>
    <n v="1040563"/>
    <x v="87"/>
    <x v="31"/>
    <n v="49"/>
    <n v="999"/>
    <n v="999"/>
  </r>
  <r>
    <x v="1"/>
    <x v="36"/>
    <x v="1"/>
    <x v="799"/>
    <x v="235"/>
    <n v="4.9000000000000004"/>
    <n v="5.2"/>
    <n v="4.2"/>
    <n v="0"/>
    <n v="0"/>
    <n v="0"/>
    <n v="0"/>
    <n v="0"/>
    <x v="903"/>
    <x v="814"/>
    <n v="246862"/>
    <x v="64"/>
    <x v="21"/>
    <n v="12"/>
    <n v="50"/>
    <n v="64"/>
  </r>
  <r>
    <x v="0"/>
    <x v="61"/>
    <x v="6"/>
    <x v="115"/>
    <x v="2"/>
    <n v="4.2"/>
    <n v="0"/>
    <n v="2"/>
    <n v="0"/>
    <n v="0"/>
    <n v="0"/>
    <n v="0"/>
    <n v="0"/>
    <x v="904"/>
    <x v="353"/>
    <n v="47134"/>
    <x v="0"/>
    <x v="1"/>
    <n v="2"/>
    <n v="80"/>
    <n v="200"/>
  </r>
  <r>
    <x v="2"/>
    <x v="126"/>
    <x v="2"/>
    <x v="205"/>
    <x v="227"/>
    <n v="23.5"/>
    <n v="0.4"/>
    <n v="0.3"/>
    <n v="0"/>
    <n v="0"/>
    <n v="0"/>
    <n v="0"/>
    <n v="0"/>
    <x v="746"/>
    <x v="382"/>
    <n v="21266"/>
    <x v="18"/>
    <x v="38"/>
    <n v="5"/>
    <n v="5"/>
    <n v="11"/>
  </r>
  <r>
    <x v="0"/>
    <x v="7"/>
    <x v="8"/>
    <x v="2"/>
    <x v="2"/>
    <n v="0"/>
    <n v="0"/>
    <n v="0"/>
    <n v="0"/>
    <n v="0"/>
    <n v="0"/>
    <n v="0"/>
    <n v="0"/>
    <x v="28"/>
    <x v="28"/>
    <n v="0"/>
    <x v="2"/>
    <x v="1"/>
    <n v="0"/>
    <n v="0"/>
    <n v="4"/>
  </r>
  <r>
    <x v="2"/>
    <x v="125"/>
    <x v="3"/>
    <x v="299"/>
    <x v="70"/>
    <n v="0"/>
    <n v="7.3"/>
    <n v="0"/>
    <n v="0"/>
    <n v="0"/>
    <n v="0"/>
    <n v="0"/>
    <n v="0"/>
    <x v="654"/>
    <x v="595"/>
    <n v="0"/>
    <x v="97"/>
    <x v="52"/>
    <n v="0"/>
    <n v="18"/>
    <n v="29"/>
  </r>
  <r>
    <x v="0"/>
    <x v="11"/>
    <x v="2"/>
    <x v="2"/>
    <x v="2"/>
    <n v="0"/>
    <n v="0"/>
    <n v="0"/>
    <n v="0"/>
    <n v="0"/>
    <n v="0"/>
    <n v="0"/>
    <n v="0"/>
    <x v="461"/>
    <x v="427"/>
    <n v="21239"/>
    <x v="2"/>
    <x v="1"/>
    <n v="0"/>
    <n v="5"/>
    <n v="11"/>
  </r>
  <r>
    <x v="0"/>
    <x v="97"/>
    <x v="8"/>
    <x v="2"/>
    <x v="2"/>
    <n v="0"/>
    <n v="0"/>
    <n v="0"/>
    <n v="0"/>
    <n v="0"/>
    <n v="0"/>
    <n v="0"/>
    <n v="0"/>
    <x v="28"/>
    <x v="28"/>
    <n v="0"/>
    <x v="2"/>
    <x v="1"/>
    <n v="0"/>
    <n v="0"/>
    <n v="4"/>
  </r>
  <r>
    <x v="1"/>
    <x v="92"/>
    <x v="2"/>
    <x v="2"/>
    <x v="221"/>
    <n v="0"/>
    <n v="0"/>
    <n v="0"/>
    <n v="0"/>
    <n v="0"/>
    <n v="0"/>
    <n v="0"/>
    <n v="0"/>
    <x v="905"/>
    <x v="815"/>
    <n v="21223"/>
    <x v="2"/>
    <x v="11"/>
    <n v="0"/>
    <n v="5"/>
    <n v="11"/>
  </r>
  <r>
    <x v="1"/>
    <x v="23"/>
    <x v="3"/>
    <x v="800"/>
    <x v="4"/>
    <n v="3.1"/>
    <n v="4.5999999999999996"/>
    <n v="5.6"/>
    <n v="0"/>
    <n v="0"/>
    <n v="0"/>
    <n v="0"/>
    <n v="0"/>
    <x v="568"/>
    <x v="521"/>
    <n v="161582"/>
    <x v="35"/>
    <x v="5"/>
    <n v="5"/>
    <n v="18"/>
    <n v="29"/>
  </r>
  <r>
    <x v="2"/>
    <x v="58"/>
    <x v="6"/>
    <x v="801"/>
    <x v="468"/>
    <n v="225.1"/>
    <n v="0.7"/>
    <n v="0.5"/>
    <n v="0"/>
    <n v="0"/>
    <n v="0"/>
    <n v="0"/>
    <n v="0"/>
    <x v="774"/>
    <x v="703"/>
    <n v="47093"/>
    <x v="48"/>
    <x v="3"/>
    <n v="106"/>
    <n v="80"/>
    <n v="200"/>
  </r>
  <r>
    <x v="2"/>
    <x v="37"/>
    <x v="4"/>
    <x v="160"/>
    <x v="166"/>
    <n v="4.5"/>
    <n v="2.7"/>
    <n v="3.5"/>
    <n v="0"/>
    <n v="0"/>
    <n v="0"/>
    <n v="0"/>
    <n v="0"/>
    <x v="504"/>
    <x v="241"/>
    <n v="44592"/>
    <x v="13"/>
    <x v="21"/>
    <n v="2"/>
    <n v="12"/>
    <n v="17"/>
  </r>
  <r>
    <x v="1"/>
    <x v="71"/>
    <x v="3"/>
    <x v="26"/>
    <x v="2"/>
    <n v="0"/>
    <n v="0"/>
    <n v="0"/>
    <n v="0"/>
    <n v="0"/>
    <n v="0"/>
    <n v="0"/>
    <n v="0"/>
    <x v="290"/>
    <x v="273"/>
    <n v="0"/>
    <x v="18"/>
    <x v="1"/>
    <n v="0"/>
    <n v="18"/>
    <n v="29"/>
  </r>
  <r>
    <x v="1"/>
    <x v="69"/>
    <x v="5"/>
    <x v="155"/>
    <x v="162"/>
    <n v="1.3"/>
    <n v="1.5"/>
    <n v="3.4"/>
    <n v="0"/>
    <n v="0"/>
    <n v="0"/>
    <n v="0"/>
    <n v="0"/>
    <x v="647"/>
    <x v="588"/>
    <n v="303628"/>
    <x v="18"/>
    <x v="13"/>
    <n v="4"/>
    <n v="30"/>
    <n v="49"/>
  </r>
  <r>
    <x v="0"/>
    <x v="34"/>
    <x v="8"/>
    <x v="2"/>
    <x v="2"/>
    <n v="0"/>
    <n v="0"/>
    <n v="0"/>
    <n v="0"/>
    <n v="0"/>
    <n v="0"/>
    <n v="0"/>
    <n v="0"/>
    <x v="28"/>
    <x v="28"/>
    <n v="0"/>
    <x v="2"/>
    <x v="1"/>
    <n v="0"/>
    <n v="0"/>
    <n v="4"/>
  </r>
  <r>
    <x v="2"/>
    <x v="99"/>
    <x v="7"/>
    <x v="51"/>
    <x v="164"/>
    <n v="69.400000000000006"/>
    <n v="1.4"/>
    <n v="1.8"/>
    <n v="0"/>
    <n v="0"/>
    <n v="0"/>
    <n v="0"/>
    <n v="0"/>
    <x v="546"/>
    <x v="501"/>
    <n v="151402"/>
    <x v="300"/>
    <x v="100"/>
    <n v="105"/>
    <n v="65"/>
    <n v="79"/>
  </r>
  <r>
    <x v="2"/>
    <x v="119"/>
    <x v="1"/>
    <x v="802"/>
    <x v="530"/>
    <n v="48.8"/>
    <n v="3.9"/>
    <n v="3.5"/>
    <n v="0"/>
    <n v="0"/>
    <n v="0"/>
    <n v="0"/>
    <n v="0"/>
    <x v="906"/>
    <x v="95"/>
    <n v="247813"/>
    <x v="23"/>
    <x v="18"/>
    <n v="121"/>
    <n v="50"/>
    <n v="64"/>
  </r>
  <r>
    <x v="0"/>
    <x v="108"/>
    <x v="6"/>
    <x v="620"/>
    <x v="66"/>
    <n v="0"/>
    <n v="0.5"/>
    <n v="0"/>
    <n v="0"/>
    <n v="0"/>
    <n v="0"/>
    <n v="0"/>
    <n v="0"/>
    <x v="907"/>
    <x v="325"/>
    <n v="47122"/>
    <x v="0"/>
    <x v="11"/>
    <n v="0"/>
    <n v="80"/>
    <n v="200"/>
  </r>
  <r>
    <x v="1"/>
    <x v="91"/>
    <x v="7"/>
    <x v="803"/>
    <x v="92"/>
    <n v="20.399999999999999"/>
    <n v="1.1000000000000001"/>
    <n v="1.4"/>
    <n v="0"/>
    <n v="0"/>
    <n v="0"/>
    <n v="0"/>
    <n v="0"/>
    <x v="496"/>
    <x v="458"/>
    <n v="171513"/>
    <x v="27"/>
    <x v="7"/>
    <n v="35"/>
    <n v="65"/>
    <n v="79"/>
  </r>
  <r>
    <x v="1"/>
    <x v="67"/>
    <x v="5"/>
    <x v="197"/>
    <x v="58"/>
    <n v="3.7"/>
    <n v="1.5"/>
    <n v="0.7"/>
    <n v="0"/>
    <n v="0"/>
    <n v="0"/>
    <n v="0"/>
    <n v="0"/>
    <x v="810"/>
    <x v="737"/>
    <n v="347256"/>
    <x v="45"/>
    <x v="21"/>
    <n v="13"/>
    <n v="30"/>
    <n v="49"/>
  </r>
  <r>
    <x v="0"/>
    <x v="51"/>
    <x v="5"/>
    <x v="2"/>
    <x v="2"/>
    <n v="0"/>
    <n v="0"/>
    <n v="0"/>
    <n v="0"/>
    <n v="0"/>
    <n v="0"/>
    <n v="0"/>
    <n v="0"/>
    <x v="316"/>
    <x v="298"/>
    <n v="341686"/>
    <x v="2"/>
    <x v="1"/>
    <n v="0"/>
    <n v="30"/>
    <n v="49"/>
  </r>
  <r>
    <x v="0"/>
    <x v="124"/>
    <x v="8"/>
    <x v="2"/>
    <x v="2"/>
    <n v="0"/>
    <n v="0"/>
    <n v="0"/>
    <n v="0"/>
    <n v="0"/>
    <n v="0"/>
    <n v="0"/>
    <n v="0"/>
    <x v="28"/>
    <x v="28"/>
    <n v="0"/>
    <x v="2"/>
    <x v="1"/>
    <n v="0"/>
    <n v="0"/>
    <n v="4"/>
  </r>
  <r>
    <x v="1"/>
    <x v="119"/>
    <x v="1"/>
    <x v="195"/>
    <x v="21"/>
    <n v="4"/>
    <n v="8.1999999999999993"/>
    <n v="6.6"/>
    <n v="0"/>
    <n v="0"/>
    <n v="0"/>
    <n v="0"/>
    <n v="0"/>
    <x v="906"/>
    <x v="95"/>
    <n v="247813"/>
    <x v="33"/>
    <x v="16"/>
    <n v="10"/>
    <n v="50"/>
    <n v="64"/>
  </r>
  <r>
    <x v="1"/>
    <x v="105"/>
    <x v="5"/>
    <x v="128"/>
    <x v="235"/>
    <n v="4.4000000000000004"/>
    <n v="4.4000000000000004"/>
    <n v="4"/>
    <n v="0"/>
    <n v="0"/>
    <n v="0"/>
    <n v="0"/>
    <n v="0"/>
    <x v="248"/>
    <x v="237"/>
    <n v="343405"/>
    <x v="37"/>
    <x v="7"/>
    <n v="15"/>
    <n v="30"/>
    <n v="49"/>
  </r>
  <r>
    <x v="1"/>
    <x v="119"/>
    <x v="5"/>
    <x v="479"/>
    <x v="116"/>
    <n v="1.4"/>
    <n v="2.4"/>
    <n v="3.6"/>
    <n v="0"/>
    <n v="0"/>
    <n v="0"/>
    <n v="0"/>
    <n v="0"/>
    <x v="702"/>
    <x v="638"/>
    <n v="348677"/>
    <x v="13"/>
    <x v="48"/>
    <n v="5"/>
    <n v="30"/>
    <n v="49"/>
  </r>
  <r>
    <x v="0"/>
    <x v="16"/>
    <x v="8"/>
    <x v="2"/>
    <x v="2"/>
    <n v="0"/>
    <n v="0"/>
    <n v="0"/>
    <n v="0"/>
    <n v="0"/>
    <n v="0"/>
    <n v="0"/>
    <n v="0"/>
    <x v="28"/>
    <x v="28"/>
    <n v="0"/>
    <x v="2"/>
    <x v="1"/>
    <n v="0"/>
    <n v="0"/>
    <n v="4"/>
  </r>
  <r>
    <x v="0"/>
    <x v="85"/>
    <x v="8"/>
    <x v="2"/>
    <x v="2"/>
    <n v="0"/>
    <n v="0"/>
    <n v="0"/>
    <n v="0"/>
    <n v="0"/>
    <n v="0"/>
    <n v="0"/>
    <n v="0"/>
    <x v="28"/>
    <x v="28"/>
    <n v="0"/>
    <x v="2"/>
    <x v="1"/>
    <n v="0"/>
    <n v="0"/>
    <n v="4"/>
  </r>
  <r>
    <x v="2"/>
    <x v="61"/>
    <x v="0"/>
    <x v="283"/>
    <x v="448"/>
    <n v="47"/>
    <n v="2.5"/>
    <n v="1.3"/>
    <n v="69.900000000000006"/>
    <n v="26.3"/>
    <n v="35.799999999999997"/>
    <n v="2.7"/>
    <n v="2"/>
    <x v="111"/>
    <x v="110"/>
    <n v="1040840"/>
    <x v="348"/>
    <x v="258"/>
    <n v="489"/>
    <n v="999"/>
    <n v="999"/>
  </r>
  <r>
    <x v="0"/>
    <x v="127"/>
    <x v="8"/>
    <x v="2"/>
    <x v="2"/>
    <n v="0"/>
    <n v="0"/>
    <n v="0"/>
    <n v="0"/>
    <n v="0"/>
    <n v="0"/>
    <n v="0"/>
    <n v="0"/>
    <x v="28"/>
    <x v="28"/>
    <n v="0"/>
    <x v="2"/>
    <x v="1"/>
    <n v="0"/>
    <n v="0"/>
    <n v="4"/>
  </r>
  <r>
    <x v="0"/>
    <x v="13"/>
    <x v="8"/>
    <x v="2"/>
    <x v="2"/>
    <n v="0"/>
    <n v="0"/>
    <n v="0"/>
    <n v="0"/>
    <n v="0"/>
    <n v="0"/>
    <n v="0"/>
    <n v="0"/>
    <x v="28"/>
    <x v="28"/>
    <n v="0"/>
    <x v="2"/>
    <x v="1"/>
    <n v="0"/>
    <n v="0"/>
    <n v="4"/>
  </r>
  <r>
    <x v="0"/>
    <x v="43"/>
    <x v="8"/>
    <x v="2"/>
    <x v="2"/>
    <n v="0"/>
    <n v="0"/>
    <n v="0"/>
    <n v="0"/>
    <n v="0"/>
    <n v="0"/>
    <n v="0"/>
    <n v="0"/>
    <x v="28"/>
    <x v="28"/>
    <n v="0"/>
    <x v="2"/>
    <x v="1"/>
    <n v="0"/>
    <n v="0"/>
    <n v="4"/>
  </r>
  <r>
    <x v="0"/>
    <x v="25"/>
    <x v="8"/>
    <x v="2"/>
    <x v="2"/>
    <n v="0"/>
    <n v="0"/>
    <n v="0"/>
    <n v="0"/>
    <n v="0"/>
    <n v="0"/>
    <n v="0"/>
    <n v="0"/>
    <x v="28"/>
    <x v="28"/>
    <n v="0"/>
    <x v="2"/>
    <x v="1"/>
    <n v="0"/>
    <n v="0"/>
    <n v="4"/>
  </r>
  <r>
    <x v="2"/>
    <x v="112"/>
    <x v="6"/>
    <x v="804"/>
    <x v="531"/>
    <n v="0"/>
    <n v="2.5"/>
    <n v="0"/>
    <n v="0"/>
    <n v="0"/>
    <n v="0"/>
    <n v="0"/>
    <n v="0"/>
    <x v="806"/>
    <x v="733"/>
    <n v="0"/>
    <x v="34"/>
    <x v="17"/>
    <n v="0"/>
    <n v="80"/>
    <n v="200"/>
  </r>
  <r>
    <x v="0"/>
    <x v="60"/>
    <x v="8"/>
    <x v="2"/>
    <x v="2"/>
    <n v="0"/>
    <n v="0"/>
    <n v="0"/>
    <n v="0"/>
    <n v="0"/>
    <n v="0"/>
    <n v="0"/>
    <n v="0"/>
    <x v="28"/>
    <x v="28"/>
    <n v="0"/>
    <x v="2"/>
    <x v="1"/>
    <n v="0"/>
    <n v="0"/>
    <n v="4"/>
  </r>
  <r>
    <x v="1"/>
    <x v="16"/>
    <x v="8"/>
    <x v="805"/>
    <x v="2"/>
    <n v="0"/>
    <n v="0"/>
    <n v="0"/>
    <n v="0"/>
    <n v="0"/>
    <n v="0"/>
    <n v="0"/>
    <n v="0"/>
    <x v="28"/>
    <x v="28"/>
    <n v="0"/>
    <x v="26"/>
    <x v="1"/>
    <n v="0"/>
    <n v="0"/>
    <n v="4"/>
  </r>
  <r>
    <x v="1"/>
    <x v="126"/>
    <x v="8"/>
    <x v="132"/>
    <x v="2"/>
    <n v="0"/>
    <n v="0"/>
    <n v="0"/>
    <n v="0"/>
    <n v="0"/>
    <n v="0"/>
    <n v="0"/>
    <n v="0"/>
    <x v="28"/>
    <x v="28"/>
    <n v="0"/>
    <x v="13"/>
    <x v="1"/>
    <n v="0"/>
    <n v="0"/>
    <n v="4"/>
  </r>
  <r>
    <x v="0"/>
    <x v="99"/>
    <x v="8"/>
    <x v="2"/>
    <x v="2"/>
    <n v="0"/>
    <n v="0"/>
    <n v="0"/>
    <n v="0"/>
    <n v="0"/>
    <n v="0"/>
    <n v="0"/>
    <n v="0"/>
    <x v="28"/>
    <x v="28"/>
    <n v="0"/>
    <x v="2"/>
    <x v="1"/>
    <n v="0"/>
    <n v="0"/>
    <n v="4"/>
  </r>
  <r>
    <x v="1"/>
    <x v="20"/>
    <x v="5"/>
    <x v="89"/>
    <x v="49"/>
    <n v="0"/>
    <n v="14.3"/>
    <n v="0"/>
    <n v="0"/>
    <n v="0"/>
    <n v="0"/>
    <n v="0"/>
    <n v="0"/>
    <x v="786"/>
    <x v="713"/>
    <n v="0"/>
    <x v="42"/>
    <x v="21"/>
    <n v="0"/>
    <n v="30"/>
    <n v="49"/>
  </r>
  <r>
    <x v="0"/>
    <x v="34"/>
    <x v="4"/>
    <x v="2"/>
    <x v="2"/>
    <n v="0"/>
    <n v="0"/>
    <n v="0"/>
    <n v="0"/>
    <n v="0"/>
    <n v="0"/>
    <n v="0"/>
    <n v="0"/>
    <x v="296"/>
    <x v="279"/>
    <n v="554"/>
    <x v="2"/>
    <x v="1"/>
    <n v="0"/>
    <n v="12"/>
    <n v="17"/>
  </r>
  <r>
    <x v="0"/>
    <x v="69"/>
    <x v="8"/>
    <x v="2"/>
    <x v="2"/>
    <n v="0"/>
    <n v="0"/>
    <n v="0"/>
    <n v="0"/>
    <n v="0"/>
    <n v="0"/>
    <n v="0"/>
    <n v="0"/>
    <x v="28"/>
    <x v="28"/>
    <n v="0"/>
    <x v="2"/>
    <x v="1"/>
    <n v="0"/>
    <n v="0"/>
    <n v="4"/>
  </r>
  <r>
    <x v="0"/>
    <x v="44"/>
    <x v="5"/>
    <x v="393"/>
    <x v="2"/>
    <n v="0"/>
    <n v="0"/>
    <n v="0"/>
    <n v="0"/>
    <n v="0"/>
    <n v="0"/>
    <n v="0"/>
    <n v="0"/>
    <x v="908"/>
    <x v="816"/>
    <n v="310294"/>
    <x v="0"/>
    <x v="1"/>
    <n v="0"/>
    <n v="30"/>
    <n v="49"/>
  </r>
  <r>
    <x v="1"/>
    <x v="57"/>
    <x v="3"/>
    <x v="806"/>
    <x v="13"/>
    <n v="0"/>
    <n v="8"/>
    <n v="0"/>
    <n v="0"/>
    <n v="0"/>
    <n v="0"/>
    <n v="0"/>
    <n v="0"/>
    <x v="192"/>
    <x v="186"/>
    <n v="7958"/>
    <x v="33"/>
    <x v="11"/>
    <n v="0"/>
    <n v="18"/>
    <n v="29"/>
  </r>
  <r>
    <x v="2"/>
    <x v="50"/>
    <x v="1"/>
    <x v="807"/>
    <x v="532"/>
    <n v="213.5"/>
    <n v="3.3"/>
    <n v="2"/>
    <n v="0"/>
    <n v="0"/>
    <n v="0"/>
    <n v="0"/>
    <n v="0"/>
    <x v="646"/>
    <x v="587"/>
    <n v="238855"/>
    <x v="104"/>
    <x v="259"/>
    <n v="510"/>
    <n v="50"/>
    <n v="64"/>
  </r>
  <r>
    <x v="1"/>
    <x v="68"/>
    <x v="1"/>
    <x v="64"/>
    <x v="61"/>
    <n v="4.8"/>
    <n v="4.0999999999999996"/>
    <n v="1.9"/>
    <n v="0"/>
    <n v="0"/>
    <n v="0"/>
    <n v="0"/>
    <n v="0"/>
    <x v="113"/>
    <x v="112"/>
    <n v="229793"/>
    <x v="20"/>
    <x v="39"/>
    <n v="11"/>
    <n v="50"/>
    <n v="64"/>
  </r>
  <r>
    <x v="0"/>
    <x v="78"/>
    <x v="6"/>
    <x v="808"/>
    <x v="2"/>
    <n v="0"/>
    <n v="0"/>
    <n v="0"/>
    <n v="0"/>
    <n v="0"/>
    <n v="0"/>
    <n v="0"/>
    <n v="0"/>
    <x v="742"/>
    <x v="674"/>
    <n v="0"/>
    <x v="24"/>
    <x v="1"/>
    <n v="0"/>
    <n v="80"/>
    <n v="200"/>
  </r>
  <r>
    <x v="1"/>
    <x v="21"/>
    <x v="1"/>
    <x v="809"/>
    <x v="176"/>
    <n v="0"/>
    <n v="9.4"/>
    <n v="0"/>
    <n v="0"/>
    <n v="0"/>
    <n v="0"/>
    <n v="0"/>
    <n v="0"/>
    <x v="909"/>
    <x v="817"/>
    <n v="0"/>
    <x v="137"/>
    <x v="36"/>
    <n v="0"/>
    <n v="50"/>
    <n v="64"/>
  </r>
  <r>
    <x v="0"/>
    <x v="44"/>
    <x v="8"/>
    <x v="2"/>
    <x v="2"/>
    <n v="0"/>
    <n v="0"/>
    <n v="0"/>
    <n v="0"/>
    <n v="0"/>
    <n v="0"/>
    <n v="0"/>
    <n v="0"/>
    <x v="28"/>
    <x v="28"/>
    <n v="0"/>
    <x v="2"/>
    <x v="1"/>
    <n v="0"/>
    <n v="0"/>
    <n v="4"/>
  </r>
  <r>
    <x v="2"/>
    <x v="83"/>
    <x v="3"/>
    <x v="810"/>
    <x v="533"/>
    <n v="397.3"/>
    <n v="2.4"/>
    <n v="0.9"/>
    <n v="0"/>
    <n v="0"/>
    <n v="0"/>
    <n v="0"/>
    <n v="0"/>
    <x v="910"/>
    <x v="818"/>
    <n v="150759"/>
    <x v="349"/>
    <x v="260"/>
    <n v="599"/>
    <n v="18"/>
    <n v="29"/>
  </r>
  <r>
    <x v="2"/>
    <x v="41"/>
    <x v="5"/>
    <x v="811"/>
    <x v="534"/>
    <n v="202.5"/>
    <n v="2.2000000000000002"/>
    <n v="1.4"/>
    <n v="0"/>
    <n v="0"/>
    <n v="0"/>
    <n v="0"/>
    <n v="0"/>
    <x v="911"/>
    <x v="819"/>
    <n v="344132"/>
    <x v="258"/>
    <x v="72"/>
    <n v="697"/>
    <n v="30"/>
    <n v="49"/>
  </r>
  <r>
    <x v="1"/>
    <x v="20"/>
    <x v="7"/>
    <x v="528"/>
    <x v="100"/>
    <n v="0"/>
    <n v="3.1"/>
    <n v="0"/>
    <n v="0"/>
    <n v="0"/>
    <n v="0"/>
    <n v="0"/>
    <n v="0"/>
    <x v="22"/>
    <x v="22"/>
    <n v="0"/>
    <x v="51"/>
    <x v="5"/>
    <n v="0"/>
    <n v="65"/>
    <n v="79"/>
  </r>
  <r>
    <x v="1"/>
    <x v="91"/>
    <x v="0"/>
    <x v="341"/>
    <x v="37"/>
    <n v="7.9"/>
    <n v="1.7"/>
    <n v="1.2"/>
    <n v="11.6"/>
    <n v="8.1"/>
    <n v="6"/>
    <n v="1.4"/>
    <n v="1.9"/>
    <x v="912"/>
    <x v="820"/>
    <n v="1039237"/>
    <x v="15"/>
    <x v="175"/>
    <n v="82"/>
    <n v="999"/>
    <n v="999"/>
  </r>
  <r>
    <x v="2"/>
    <x v="104"/>
    <x v="5"/>
    <x v="812"/>
    <x v="535"/>
    <n v="55.8"/>
    <n v="2.8"/>
    <n v="5.9"/>
    <n v="0"/>
    <n v="0"/>
    <n v="0"/>
    <n v="0"/>
    <n v="0"/>
    <x v="541"/>
    <x v="496"/>
    <n v="82444"/>
    <x v="350"/>
    <x v="261"/>
    <n v="46"/>
    <n v="30"/>
    <n v="49"/>
  </r>
  <r>
    <x v="0"/>
    <x v="81"/>
    <x v="7"/>
    <x v="155"/>
    <x v="23"/>
    <n v="0"/>
    <n v="8.8000000000000007"/>
    <n v="0"/>
    <n v="0"/>
    <n v="0"/>
    <n v="0"/>
    <n v="0"/>
    <n v="0"/>
    <x v="324"/>
    <x v="305"/>
    <n v="0"/>
    <x v="45"/>
    <x v="0"/>
    <n v="0"/>
    <n v="65"/>
    <n v="79"/>
  </r>
  <r>
    <x v="0"/>
    <x v="0"/>
    <x v="7"/>
    <x v="234"/>
    <x v="2"/>
    <n v="2.2999999999999998"/>
    <n v="0"/>
    <n v="1"/>
    <n v="0"/>
    <n v="0"/>
    <n v="0"/>
    <n v="0"/>
    <n v="0"/>
    <x v="890"/>
    <x v="67"/>
    <n v="171376"/>
    <x v="1"/>
    <x v="1"/>
    <n v="4"/>
    <n v="65"/>
    <n v="79"/>
  </r>
  <r>
    <x v="0"/>
    <x v="101"/>
    <x v="8"/>
    <x v="2"/>
    <x v="2"/>
    <n v="0"/>
    <n v="0"/>
    <n v="0"/>
    <n v="0"/>
    <n v="0"/>
    <n v="0"/>
    <n v="0"/>
    <n v="0"/>
    <x v="28"/>
    <x v="28"/>
    <n v="0"/>
    <x v="2"/>
    <x v="1"/>
    <n v="0"/>
    <n v="0"/>
    <n v="4"/>
  </r>
  <r>
    <x v="2"/>
    <x v="37"/>
    <x v="7"/>
    <x v="444"/>
    <x v="388"/>
    <n v="31.4"/>
    <n v="1.5"/>
    <n v="0.9"/>
    <n v="0"/>
    <n v="0"/>
    <n v="0"/>
    <n v="0"/>
    <n v="0"/>
    <x v="709"/>
    <x v="645"/>
    <n v="171749"/>
    <x v="6"/>
    <x v="5"/>
    <n v="54"/>
    <n v="65"/>
    <n v="79"/>
  </r>
  <r>
    <x v="0"/>
    <x v="0"/>
    <x v="6"/>
    <x v="2"/>
    <x v="62"/>
    <n v="8.5"/>
    <n v="0"/>
    <n v="0"/>
    <n v="0"/>
    <n v="0"/>
    <n v="0"/>
    <n v="0"/>
    <n v="0"/>
    <x v="377"/>
    <x v="353"/>
    <n v="47042"/>
    <x v="2"/>
    <x v="0"/>
    <n v="4"/>
    <n v="80"/>
    <n v="200"/>
  </r>
  <r>
    <x v="2"/>
    <x v="42"/>
    <x v="0"/>
    <x v="813"/>
    <x v="536"/>
    <n v="102.3"/>
    <n v="1.4"/>
    <n v="0.8"/>
    <n v="86.5"/>
    <n v="51.8"/>
    <n v="90.8"/>
    <n v="1.7"/>
    <n v="1"/>
    <x v="241"/>
    <x v="231"/>
    <n v="932489"/>
    <x v="351"/>
    <x v="262"/>
    <n v="954"/>
    <n v="999"/>
    <n v="999"/>
  </r>
  <r>
    <x v="1"/>
    <x v="11"/>
    <x v="2"/>
    <x v="2"/>
    <x v="2"/>
    <n v="0"/>
    <n v="0"/>
    <n v="0"/>
    <n v="0"/>
    <n v="0"/>
    <n v="0"/>
    <n v="0"/>
    <n v="0"/>
    <x v="461"/>
    <x v="427"/>
    <n v="21239"/>
    <x v="2"/>
    <x v="1"/>
    <n v="0"/>
    <n v="5"/>
    <n v="11"/>
  </r>
  <r>
    <x v="1"/>
    <x v="16"/>
    <x v="1"/>
    <x v="814"/>
    <x v="537"/>
    <n v="16.3"/>
    <n v="4.5"/>
    <n v="19.3"/>
    <n v="0"/>
    <n v="0"/>
    <n v="0"/>
    <n v="0"/>
    <n v="0"/>
    <x v="310"/>
    <x v="292"/>
    <n v="147279"/>
    <x v="352"/>
    <x v="22"/>
    <n v="24"/>
    <n v="50"/>
    <n v="64"/>
  </r>
  <r>
    <x v="1"/>
    <x v="103"/>
    <x v="4"/>
    <x v="298"/>
    <x v="2"/>
    <n v="0"/>
    <n v="0"/>
    <n v="0"/>
    <n v="0"/>
    <n v="0"/>
    <n v="0"/>
    <n v="0"/>
    <n v="0"/>
    <x v="844"/>
    <x v="821"/>
    <n v="0"/>
    <x v="0"/>
    <x v="1"/>
    <n v="0"/>
    <n v="12"/>
    <n v="17"/>
  </r>
  <r>
    <x v="1"/>
    <x v="130"/>
    <x v="7"/>
    <x v="53"/>
    <x v="273"/>
    <n v="0"/>
    <n v="7.1"/>
    <n v="0"/>
    <n v="0"/>
    <n v="0"/>
    <n v="0"/>
    <n v="0"/>
    <n v="0"/>
    <x v="913"/>
    <x v="822"/>
    <n v="0"/>
    <x v="44"/>
    <x v="3"/>
    <n v="0"/>
    <n v="65"/>
    <n v="79"/>
  </r>
  <r>
    <x v="0"/>
    <x v="102"/>
    <x v="8"/>
    <x v="2"/>
    <x v="2"/>
    <n v="0"/>
    <n v="0"/>
    <n v="0"/>
    <n v="0"/>
    <n v="0"/>
    <n v="0"/>
    <n v="0"/>
    <n v="0"/>
    <x v="28"/>
    <x v="28"/>
    <n v="0"/>
    <x v="2"/>
    <x v="1"/>
    <n v="0"/>
    <n v="0"/>
    <n v="4"/>
  </r>
  <r>
    <x v="1"/>
    <x v="79"/>
    <x v="6"/>
    <x v="369"/>
    <x v="2"/>
    <n v="10.6"/>
    <n v="0"/>
    <n v="1.9"/>
    <n v="0"/>
    <n v="0"/>
    <n v="0"/>
    <n v="0"/>
    <n v="0"/>
    <x v="98"/>
    <x v="97"/>
    <n v="47128"/>
    <x v="13"/>
    <x v="1"/>
    <n v="5"/>
    <n v="80"/>
    <n v="200"/>
  </r>
  <r>
    <x v="0"/>
    <x v="118"/>
    <x v="8"/>
    <x v="2"/>
    <x v="2"/>
    <n v="0"/>
    <n v="0"/>
    <n v="0"/>
    <n v="0"/>
    <n v="0"/>
    <n v="0"/>
    <n v="0"/>
    <n v="0"/>
    <x v="28"/>
    <x v="28"/>
    <n v="0"/>
    <x v="2"/>
    <x v="1"/>
    <n v="0"/>
    <n v="0"/>
    <n v="4"/>
  </r>
  <r>
    <x v="2"/>
    <x v="116"/>
    <x v="5"/>
    <x v="463"/>
    <x v="160"/>
    <n v="42"/>
    <n v="2.2999999999999998"/>
    <n v="1.6"/>
    <n v="0"/>
    <n v="0"/>
    <n v="0"/>
    <n v="0"/>
    <n v="0"/>
    <x v="914"/>
    <x v="774"/>
    <n v="347321"/>
    <x v="72"/>
    <x v="58"/>
    <n v="146"/>
    <n v="30"/>
    <n v="49"/>
  </r>
  <r>
    <x v="0"/>
    <x v="7"/>
    <x v="1"/>
    <x v="201"/>
    <x v="2"/>
    <n v="0"/>
    <n v="0"/>
    <n v="0"/>
    <n v="0"/>
    <n v="0"/>
    <n v="0"/>
    <n v="0"/>
    <n v="0"/>
    <x v="68"/>
    <x v="68"/>
    <n v="79047"/>
    <x v="64"/>
    <x v="1"/>
    <n v="0"/>
    <n v="50"/>
    <n v="64"/>
  </r>
  <r>
    <x v="2"/>
    <x v="44"/>
    <x v="1"/>
    <x v="518"/>
    <x v="538"/>
    <n v="35.9"/>
    <n v="5.5"/>
    <n v="3.8"/>
    <n v="0"/>
    <n v="0"/>
    <n v="0"/>
    <n v="0"/>
    <n v="0"/>
    <x v="43"/>
    <x v="43"/>
    <n v="217214"/>
    <x v="300"/>
    <x v="14"/>
    <n v="78"/>
    <n v="50"/>
    <n v="64"/>
  </r>
  <r>
    <x v="1"/>
    <x v="60"/>
    <x v="2"/>
    <x v="2"/>
    <x v="2"/>
    <n v="0"/>
    <n v="0"/>
    <n v="0"/>
    <n v="0"/>
    <n v="0"/>
    <n v="0"/>
    <n v="0"/>
    <n v="0"/>
    <x v="915"/>
    <x v="823"/>
    <n v="0"/>
    <x v="2"/>
    <x v="1"/>
    <n v="0"/>
    <n v="5"/>
    <n v="11"/>
  </r>
  <r>
    <x v="0"/>
    <x v="56"/>
    <x v="8"/>
    <x v="2"/>
    <x v="2"/>
    <n v="0"/>
    <n v="0"/>
    <n v="0"/>
    <n v="0"/>
    <n v="0"/>
    <n v="0"/>
    <n v="0"/>
    <n v="0"/>
    <x v="28"/>
    <x v="28"/>
    <n v="0"/>
    <x v="2"/>
    <x v="1"/>
    <n v="0"/>
    <n v="0"/>
    <n v="4"/>
  </r>
  <r>
    <x v="2"/>
    <x v="95"/>
    <x v="0"/>
    <x v="815"/>
    <x v="539"/>
    <n v="263.5"/>
    <n v="1.6"/>
    <n v="1"/>
    <n v="308.3"/>
    <n v="152.19999999999999"/>
    <n v="238.5"/>
    <n v="2"/>
    <n v="1.3"/>
    <x v="357"/>
    <x v="333"/>
    <n v="1001233"/>
    <x v="353"/>
    <x v="263"/>
    <n v="2638"/>
    <n v="999"/>
    <n v="999"/>
  </r>
  <r>
    <x v="2"/>
    <x v="118"/>
    <x v="4"/>
    <x v="816"/>
    <x v="540"/>
    <n v="30.4"/>
    <n v="2.8"/>
    <n v="2.2999999999999998"/>
    <n v="0"/>
    <n v="0"/>
    <n v="0"/>
    <n v="0"/>
    <n v="0"/>
    <x v="916"/>
    <x v="824"/>
    <n v="29614"/>
    <x v="60"/>
    <x v="133"/>
    <n v="9"/>
    <n v="12"/>
    <n v="17"/>
  </r>
  <r>
    <x v="2"/>
    <x v="18"/>
    <x v="4"/>
    <x v="817"/>
    <x v="541"/>
    <n v="347.9"/>
    <n v="1.9"/>
    <n v="1.2"/>
    <n v="0"/>
    <n v="0"/>
    <n v="0"/>
    <n v="0"/>
    <n v="0"/>
    <x v="789"/>
    <x v="716"/>
    <n v="35358"/>
    <x v="354"/>
    <x v="264"/>
    <n v="123"/>
    <n v="12"/>
    <n v="17"/>
  </r>
  <r>
    <x v="0"/>
    <x v="53"/>
    <x v="8"/>
    <x v="2"/>
    <x v="2"/>
    <n v="0"/>
    <n v="0"/>
    <n v="0"/>
    <n v="0"/>
    <n v="0"/>
    <n v="0"/>
    <n v="0"/>
    <n v="0"/>
    <x v="28"/>
    <x v="28"/>
    <n v="0"/>
    <x v="2"/>
    <x v="1"/>
    <n v="0"/>
    <n v="0"/>
    <n v="4"/>
  </r>
  <r>
    <x v="0"/>
    <x v="96"/>
    <x v="1"/>
    <x v="2"/>
    <x v="145"/>
    <n v="0"/>
    <n v="0"/>
    <n v="0"/>
    <n v="0"/>
    <n v="0"/>
    <n v="0"/>
    <n v="0"/>
    <n v="0"/>
    <x v="917"/>
    <x v="825"/>
    <n v="246881"/>
    <x v="2"/>
    <x v="11"/>
    <n v="0"/>
    <n v="50"/>
    <n v="64"/>
  </r>
  <r>
    <x v="2"/>
    <x v="58"/>
    <x v="0"/>
    <x v="818"/>
    <x v="542"/>
    <n v="116.2"/>
    <n v="1.8"/>
    <n v="1.3"/>
    <n v="175"/>
    <n v="84.3"/>
    <n v="105.1"/>
    <n v="2.1"/>
    <n v="1.7"/>
    <x v="918"/>
    <x v="826"/>
    <n v="1039651"/>
    <x v="355"/>
    <x v="148"/>
    <n v="1208"/>
    <n v="999"/>
    <n v="999"/>
  </r>
  <r>
    <x v="0"/>
    <x v="42"/>
    <x v="8"/>
    <x v="2"/>
    <x v="2"/>
    <n v="0"/>
    <n v="0"/>
    <n v="0"/>
    <n v="0"/>
    <n v="0"/>
    <n v="0"/>
    <n v="0"/>
    <n v="0"/>
    <x v="28"/>
    <x v="28"/>
    <n v="0"/>
    <x v="2"/>
    <x v="1"/>
    <n v="0"/>
    <n v="0"/>
    <n v="4"/>
  </r>
  <r>
    <x v="0"/>
    <x v="91"/>
    <x v="0"/>
    <x v="2"/>
    <x v="38"/>
    <n v="0.4"/>
    <n v="0"/>
    <n v="0"/>
    <n v="0"/>
    <n v="1.6"/>
    <n v="0.2"/>
    <n v="0"/>
    <n v="0"/>
    <x v="912"/>
    <x v="820"/>
    <n v="1039237"/>
    <x v="2"/>
    <x v="48"/>
    <n v="4"/>
    <n v="999"/>
    <n v="999"/>
  </r>
  <r>
    <x v="1"/>
    <x v="67"/>
    <x v="6"/>
    <x v="819"/>
    <x v="543"/>
    <n v="59.4"/>
    <n v="0.5"/>
    <n v="1"/>
    <n v="0"/>
    <n v="0"/>
    <n v="0"/>
    <n v="0"/>
    <n v="0"/>
    <x v="919"/>
    <x v="506"/>
    <n v="47124"/>
    <x v="35"/>
    <x v="38"/>
    <n v="28"/>
    <n v="80"/>
    <n v="200"/>
  </r>
  <r>
    <x v="0"/>
    <x v="23"/>
    <x v="7"/>
    <x v="806"/>
    <x v="2"/>
    <n v="0.6"/>
    <n v="0"/>
    <n v="8"/>
    <n v="0"/>
    <n v="0"/>
    <n v="0"/>
    <n v="0"/>
    <n v="0"/>
    <x v="889"/>
    <x v="801"/>
    <n v="171626"/>
    <x v="0"/>
    <x v="1"/>
    <n v="1"/>
    <n v="65"/>
    <n v="79"/>
  </r>
  <r>
    <x v="0"/>
    <x v="43"/>
    <x v="4"/>
    <x v="2"/>
    <x v="2"/>
    <n v="0"/>
    <n v="0"/>
    <n v="0"/>
    <n v="0"/>
    <n v="0"/>
    <n v="0"/>
    <n v="0"/>
    <n v="0"/>
    <x v="252"/>
    <x v="241"/>
    <n v="44590"/>
    <x v="2"/>
    <x v="1"/>
    <n v="0"/>
    <n v="12"/>
    <n v="17"/>
  </r>
  <r>
    <x v="1"/>
    <x v="81"/>
    <x v="0"/>
    <x v="820"/>
    <x v="61"/>
    <n v="0"/>
    <n v="5.0999999999999996"/>
    <n v="0"/>
    <n v="15.4"/>
    <n v="1.7"/>
    <n v="0"/>
    <n v="9.1"/>
    <n v="0"/>
    <x v="920"/>
    <x v="827"/>
    <n v="0"/>
    <x v="356"/>
    <x v="37"/>
    <n v="0"/>
    <n v="999"/>
    <n v="999"/>
  </r>
  <r>
    <x v="0"/>
    <x v="4"/>
    <x v="8"/>
    <x v="2"/>
    <x v="2"/>
    <n v="0"/>
    <n v="0"/>
    <n v="0"/>
    <n v="0"/>
    <n v="0"/>
    <n v="0"/>
    <n v="0"/>
    <n v="0"/>
    <x v="28"/>
    <x v="28"/>
    <n v="0"/>
    <x v="2"/>
    <x v="1"/>
    <n v="0"/>
    <n v="0"/>
    <n v="4"/>
  </r>
  <r>
    <x v="0"/>
    <x v="70"/>
    <x v="8"/>
    <x v="2"/>
    <x v="2"/>
    <n v="0"/>
    <n v="0"/>
    <n v="0"/>
    <n v="0"/>
    <n v="0"/>
    <n v="0"/>
    <n v="0"/>
    <n v="0"/>
    <x v="28"/>
    <x v="28"/>
    <n v="0"/>
    <x v="2"/>
    <x v="1"/>
    <n v="0"/>
    <n v="0"/>
    <n v="4"/>
  </r>
  <r>
    <x v="2"/>
    <x v="88"/>
    <x v="4"/>
    <x v="821"/>
    <x v="544"/>
    <n v="0"/>
    <n v="13.6"/>
    <n v="0"/>
    <n v="0"/>
    <n v="0"/>
    <n v="0"/>
    <n v="0"/>
    <n v="0"/>
    <x v="869"/>
    <x v="787"/>
    <n v="0"/>
    <x v="352"/>
    <x v="3"/>
    <n v="0"/>
    <n v="12"/>
    <n v="17"/>
  </r>
  <r>
    <x v="0"/>
    <x v="95"/>
    <x v="4"/>
    <x v="2"/>
    <x v="2"/>
    <n v="0"/>
    <n v="0"/>
    <n v="0"/>
    <n v="0"/>
    <n v="0"/>
    <n v="0"/>
    <n v="0"/>
    <n v="0"/>
    <x v="137"/>
    <x v="136"/>
    <n v="38517"/>
    <x v="2"/>
    <x v="1"/>
    <n v="0"/>
    <n v="12"/>
    <n v="17"/>
  </r>
  <r>
    <x v="1"/>
    <x v="63"/>
    <x v="4"/>
    <x v="2"/>
    <x v="2"/>
    <n v="0"/>
    <n v="0"/>
    <n v="0"/>
    <n v="0"/>
    <n v="0"/>
    <n v="0"/>
    <n v="0"/>
    <n v="0"/>
    <x v="921"/>
    <x v="828"/>
    <n v="44495"/>
    <x v="2"/>
    <x v="1"/>
    <n v="0"/>
    <n v="12"/>
    <n v="17"/>
  </r>
  <r>
    <x v="2"/>
    <x v="133"/>
    <x v="5"/>
    <x v="822"/>
    <x v="545"/>
    <n v="0"/>
    <n v="16.5"/>
    <n v="0"/>
    <n v="0"/>
    <n v="0"/>
    <n v="0"/>
    <n v="0"/>
    <n v="0"/>
    <x v="922"/>
    <x v="829"/>
    <n v="0"/>
    <x v="357"/>
    <x v="265"/>
    <n v="0"/>
    <n v="30"/>
    <n v="49"/>
  </r>
  <r>
    <x v="0"/>
    <x v="68"/>
    <x v="8"/>
    <x v="2"/>
    <x v="2"/>
    <n v="0"/>
    <n v="0"/>
    <n v="0"/>
    <n v="0"/>
    <n v="0"/>
    <n v="0"/>
    <n v="0"/>
    <n v="0"/>
    <x v="28"/>
    <x v="28"/>
    <n v="0"/>
    <x v="2"/>
    <x v="1"/>
    <n v="0"/>
    <n v="0"/>
    <n v="4"/>
  </r>
  <r>
    <x v="2"/>
    <x v="16"/>
    <x v="3"/>
    <x v="823"/>
    <x v="546"/>
    <n v="1388.9"/>
    <n v="1.7"/>
    <n v="2.2999999999999998"/>
    <n v="0"/>
    <n v="0"/>
    <n v="0"/>
    <n v="0"/>
    <n v="0"/>
    <x v="923"/>
    <x v="830"/>
    <n v="72360"/>
    <x v="358"/>
    <x v="266"/>
    <n v="1005"/>
    <n v="18"/>
    <n v="29"/>
  </r>
  <r>
    <x v="2"/>
    <x v="43"/>
    <x v="2"/>
    <x v="205"/>
    <x v="276"/>
    <n v="0"/>
    <n v="1.4"/>
    <n v="0"/>
    <n v="0"/>
    <n v="0"/>
    <n v="0"/>
    <n v="0"/>
    <n v="0"/>
    <x v="42"/>
    <x v="42"/>
    <n v="21259"/>
    <x v="18"/>
    <x v="16"/>
    <n v="0"/>
    <n v="5"/>
    <n v="11"/>
  </r>
  <r>
    <x v="0"/>
    <x v="87"/>
    <x v="1"/>
    <x v="348"/>
    <x v="2"/>
    <n v="0"/>
    <n v="0"/>
    <n v="0"/>
    <n v="0"/>
    <n v="0"/>
    <n v="0"/>
    <n v="0"/>
    <n v="0"/>
    <x v="924"/>
    <x v="831"/>
    <n v="25135"/>
    <x v="20"/>
    <x v="1"/>
    <n v="0"/>
    <n v="50"/>
    <n v="64"/>
  </r>
  <r>
    <x v="2"/>
    <x v="101"/>
    <x v="7"/>
    <x v="369"/>
    <x v="547"/>
    <n v="28.8"/>
    <n v="1.1000000000000001"/>
    <n v="0.7"/>
    <n v="0"/>
    <n v="0"/>
    <n v="0"/>
    <n v="0"/>
    <n v="0"/>
    <x v="470"/>
    <x v="435"/>
    <n v="156028"/>
    <x v="24"/>
    <x v="17"/>
    <n v="45"/>
    <n v="65"/>
    <n v="79"/>
  </r>
  <r>
    <x v="2"/>
    <x v="52"/>
    <x v="3"/>
    <x v="324"/>
    <x v="548"/>
    <n v="148.4"/>
    <n v="2.6"/>
    <n v="1.7"/>
    <n v="0"/>
    <n v="0"/>
    <n v="0"/>
    <n v="0"/>
    <n v="0"/>
    <x v="243"/>
    <x v="232"/>
    <n v="160373"/>
    <x v="257"/>
    <x v="267"/>
    <n v="238"/>
    <n v="18"/>
    <n v="29"/>
  </r>
  <r>
    <x v="0"/>
    <x v="115"/>
    <x v="8"/>
    <x v="2"/>
    <x v="2"/>
    <n v="0"/>
    <n v="0"/>
    <n v="0"/>
    <n v="0"/>
    <n v="0"/>
    <n v="0"/>
    <n v="0"/>
    <n v="0"/>
    <x v="28"/>
    <x v="28"/>
    <n v="0"/>
    <x v="2"/>
    <x v="1"/>
    <n v="0"/>
    <n v="0"/>
    <n v="4"/>
  </r>
  <r>
    <x v="0"/>
    <x v="80"/>
    <x v="8"/>
    <x v="2"/>
    <x v="2"/>
    <n v="0"/>
    <n v="0"/>
    <n v="0"/>
    <n v="0"/>
    <n v="0"/>
    <n v="0"/>
    <n v="0"/>
    <n v="0"/>
    <x v="28"/>
    <x v="28"/>
    <n v="0"/>
    <x v="2"/>
    <x v="1"/>
    <n v="0"/>
    <n v="0"/>
    <n v="4"/>
  </r>
  <r>
    <x v="0"/>
    <x v="83"/>
    <x v="8"/>
    <x v="2"/>
    <x v="2"/>
    <n v="0"/>
    <n v="0"/>
    <n v="0"/>
    <n v="0"/>
    <n v="0"/>
    <n v="0"/>
    <n v="0"/>
    <n v="0"/>
    <x v="28"/>
    <x v="28"/>
    <n v="0"/>
    <x v="2"/>
    <x v="1"/>
    <n v="0"/>
    <n v="0"/>
    <n v="4"/>
  </r>
  <r>
    <x v="2"/>
    <x v="89"/>
    <x v="6"/>
    <x v="103"/>
    <x v="2"/>
    <n v="0"/>
    <n v="0"/>
    <n v="0"/>
    <n v="0"/>
    <n v="0"/>
    <n v="0"/>
    <n v="0"/>
    <n v="0"/>
    <x v="807"/>
    <x v="734"/>
    <n v="0"/>
    <x v="1"/>
    <x v="1"/>
    <n v="0"/>
    <n v="80"/>
    <n v="200"/>
  </r>
  <r>
    <x v="0"/>
    <x v="132"/>
    <x v="8"/>
    <x v="2"/>
    <x v="2"/>
    <n v="0"/>
    <n v="0"/>
    <n v="0"/>
    <n v="0"/>
    <n v="0"/>
    <n v="0"/>
    <n v="0"/>
    <n v="0"/>
    <x v="28"/>
    <x v="28"/>
    <n v="0"/>
    <x v="2"/>
    <x v="1"/>
    <n v="0"/>
    <n v="0"/>
    <n v="4"/>
  </r>
  <r>
    <x v="0"/>
    <x v="24"/>
    <x v="8"/>
    <x v="2"/>
    <x v="2"/>
    <n v="0"/>
    <n v="0"/>
    <n v="0"/>
    <n v="0"/>
    <n v="0"/>
    <n v="0"/>
    <n v="0"/>
    <n v="0"/>
    <x v="28"/>
    <x v="28"/>
    <n v="0"/>
    <x v="2"/>
    <x v="1"/>
    <n v="0"/>
    <n v="0"/>
    <n v="4"/>
  </r>
  <r>
    <x v="2"/>
    <x v="126"/>
    <x v="4"/>
    <x v="175"/>
    <x v="549"/>
    <n v="22.4"/>
    <n v="1.9"/>
    <n v="1"/>
    <n v="0"/>
    <n v="0"/>
    <n v="0"/>
    <n v="0"/>
    <n v="0"/>
    <x v="925"/>
    <x v="208"/>
    <n v="44597"/>
    <x v="64"/>
    <x v="17"/>
    <n v="10"/>
    <n v="12"/>
    <n v="17"/>
  </r>
  <r>
    <x v="0"/>
    <x v="134"/>
    <x v="8"/>
    <x v="2"/>
    <x v="2"/>
    <n v="0"/>
    <n v="0"/>
    <n v="0"/>
    <n v="0"/>
    <n v="0"/>
    <n v="0"/>
    <n v="0"/>
    <n v="0"/>
    <x v="28"/>
    <x v="28"/>
    <n v="0"/>
    <x v="2"/>
    <x v="1"/>
    <n v="0"/>
    <n v="0"/>
    <n v="4"/>
  </r>
  <r>
    <x v="2"/>
    <x v="57"/>
    <x v="6"/>
    <x v="824"/>
    <x v="550"/>
    <n v="11.5"/>
    <n v="0.9"/>
    <n v="3.8"/>
    <n v="0"/>
    <n v="0"/>
    <n v="0"/>
    <n v="0"/>
    <n v="0"/>
    <x v="723"/>
    <x v="656"/>
    <n v="8679"/>
    <x v="16"/>
    <x v="57"/>
    <n v="1"/>
    <n v="80"/>
    <n v="200"/>
  </r>
  <r>
    <x v="0"/>
    <x v="90"/>
    <x v="8"/>
    <x v="2"/>
    <x v="2"/>
    <n v="0"/>
    <n v="0"/>
    <n v="0"/>
    <n v="0"/>
    <n v="0"/>
    <n v="0"/>
    <n v="0"/>
    <n v="0"/>
    <x v="28"/>
    <x v="28"/>
    <n v="0"/>
    <x v="2"/>
    <x v="1"/>
    <n v="0"/>
    <n v="0"/>
    <n v="4"/>
  </r>
  <r>
    <x v="0"/>
    <x v="93"/>
    <x v="1"/>
    <x v="461"/>
    <x v="2"/>
    <n v="0"/>
    <n v="0"/>
    <n v="0"/>
    <n v="0"/>
    <n v="0"/>
    <n v="0"/>
    <n v="0"/>
    <n v="0"/>
    <x v="891"/>
    <x v="802"/>
    <n v="0"/>
    <x v="51"/>
    <x v="1"/>
    <n v="0"/>
    <n v="50"/>
    <n v="64"/>
  </r>
  <r>
    <x v="0"/>
    <x v="41"/>
    <x v="7"/>
    <x v="2"/>
    <x v="358"/>
    <n v="0"/>
    <n v="0"/>
    <n v="0"/>
    <n v="0"/>
    <n v="0"/>
    <n v="0"/>
    <n v="0"/>
    <n v="0"/>
    <x v="430"/>
    <x v="401"/>
    <n v="169993"/>
    <x v="2"/>
    <x v="11"/>
    <n v="0"/>
    <n v="65"/>
    <n v="79"/>
  </r>
  <r>
    <x v="0"/>
    <x v="18"/>
    <x v="8"/>
    <x v="2"/>
    <x v="2"/>
    <n v="0"/>
    <n v="0"/>
    <n v="0"/>
    <n v="0"/>
    <n v="0"/>
    <n v="0"/>
    <n v="0"/>
    <n v="0"/>
    <x v="28"/>
    <x v="28"/>
    <n v="0"/>
    <x v="2"/>
    <x v="1"/>
    <n v="0"/>
    <n v="0"/>
    <n v="4"/>
  </r>
  <r>
    <x v="1"/>
    <x v="106"/>
    <x v="8"/>
    <x v="97"/>
    <x v="2"/>
    <n v="0"/>
    <n v="0"/>
    <n v="0"/>
    <n v="0"/>
    <n v="0"/>
    <n v="0"/>
    <n v="0"/>
    <n v="0"/>
    <x v="28"/>
    <x v="28"/>
    <n v="0"/>
    <x v="45"/>
    <x v="1"/>
    <n v="0"/>
    <n v="0"/>
    <n v="4"/>
  </r>
  <r>
    <x v="0"/>
    <x v="100"/>
    <x v="8"/>
    <x v="2"/>
    <x v="2"/>
    <n v="0"/>
    <n v="0"/>
    <n v="0"/>
    <n v="0"/>
    <n v="0"/>
    <n v="0"/>
    <n v="0"/>
    <n v="0"/>
    <x v="28"/>
    <x v="28"/>
    <n v="0"/>
    <x v="2"/>
    <x v="1"/>
    <n v="0"/>
    <n v="0"/>
    <n v="4"/>
  </r>
  <r>
    <x v="2"/>
    <x v="78"/>
    <x v="6"/>
    <x v="825"/>
    <x v="551"/>
    <n v="0"/>
    <n v="3.4"/>
    <n v="0"/>
    <n v="0"/>
    <n v="0"/>
    <n v="0"/>
    <n v="0"/>
    <n v="0"/>
    <x v="742"/>
    <x v="674"/>
    <n v="0"/>
    <x v="211"/>
    <x v="13"/>
    <n v="0"/>
    <n v="80"/>
    <n v="200"/>
  </r>
  <r>
    <x v="2"/>
    <x v="97"/>
    <x v="6"/>
    <x v="826"/>
    <x v="552"/>
    <n v="57.1"/>
    <n v="0.9"/>
    <n v="2.6"/>
    <n v="0"/>
    <n v="0"/>
    <n v="0"/>
    <n v="0"/>
    <n v="0"/>
    <x v="464"/>
    <x v="430"/>
    <n v="28010"/>
    <x v="255"/>
    <x v="175"/>
    <n v="16"/>
    <n v="80"/>
    <n v="200"/>
  </r>
  <r>
    <x v="1"/>
    <x v="60"/>
    <x v="6"/>
    <x v="827"/>
    <x v="553"/>
    <n v="29.5"/>
    <n v="0.4"/>
    <n v="1.9"/>
    <n v="0"/>
    <n v="0"/>
    <n v="0"/>
    <n v="0"/>
    <n v="0"/>
    <x v="370"/>
    <x v="346"/>
    <n v="40692"/>
    <x v="36"/>
    <x v="25"/>
    <n v="12"/>
    <n v="80"/>
    <n v="200"/>
  </r>
  <r>
    <x v="0"/>
    <x v="50"/>
    <x v="8"/>
    <x v="2"/>
    <x v="2"/>
    <n v="0"/>
    <n v="0"/>
    <n v="0"/>
    <n v="0"/>
    <n v="0"/>
    <n v="0"/>
    <n v="0"/>
    <n v="0"/>
    <x v="28"/>
    <x v="28"/>
    <n v="0"/>
    <x v="2"/>
    <x v="1"/>
    <n v="0"/>
    <n v="0"/>
    <n v="4"/>
  </r>
  <r>
    <x v="1"/>
    <x v="121"/>
    <x v="6"/>
    <x v="828"/>
    <x v="387"/>
    <n v="0"/>
    <n v="8.9"/>
    <n v="0"/>
    <n v="0"/>
    <n v="0"/>
    <n v="0"/>
    <n v="0"/>
    <n v="0"/>
    <x v="748"/>
    <x v="678"/>
    <n v="0"/>
    <x v="17"/>
    <x v="39"/>
    <n v="0"/>
    <n v="80"/>
    <n v="200"/>
  </r>
  <r>
    <x v="0"/>
    <x v="29"/>
    <x v="8"/>
    <x v="2"/>
    <x v="2"/>
    <n v="0"/>
    <n v="0"/>
    <n v="0"/>
    <n v="0"/>
    <n v="0"/>
    <n v="0"/>
    <n v="0"/>
    <n v="0"/>
    <x v="28"/>
    <x v="28"/>
    <n v="0"/>
    <x v="2"/>
    <x v="1"/>
    <n v="0"/>
    <n v="0"/>
    <n v="4"/>
  </r>
  <r>
    <x v="1"/>
    <x v="124"/>
    <x v="0"/>
    <x v="772"/>
    <x v="554"/>
    <n v="11.8"/>
    <n v="2.6"/>
    <n v="6.1"/>
    <n v="101.7"/>
    <n v="30.3"/>
    <n v="6.8"/>
    <n v="3.4"/>
    <n v="15"/>
    <x v="926"/>
    <x v="832"/>
    <n v="517372"/>
    <x v="359"/>
    <x v="203"/>
    <n v="61"/>
    <n v="999"/>
    <n v="999"/>
  </r>
  <r>
    <x v="1"/>
    <x v="138"/>
    <x v="8"/>
    <x v="97"/>
    <x v="2"/>
    <n v="0"/>
    <n v="0"/>
    <n v="0"/>
    <n v="0"/>
    <n v="0"/>
    <n v="0"/>
    <n v="0"/>
    <n v="0"/>
    <x v="28"/>
    <x v="28"/>
    <n v="0"/>
    <x v="45"/>
    <x v="1"/>
    <n v="0"/>
    <n v="0"/>
    <n v="4"/>
  </r>
  <r>
    <x v="1"/>
    <x v="138"/>
    <x v="2"/>
    <x v="241"/>
    <x v="2"/>
    <n v="0"/>
    <n v="0"/>
    <n v="0"/>
    <n v="0"/>
    <n v="0"/>
    <n v="0"/>
    <n v="0"/>
    <n v="0"/>
    <x v="356"/>
    <x v="28"/>
    <n v="0"/>
    <x v="1"/>
    <x v="1"/>
    <n v="0"/>
    <n v="5"/>
    <n v="11"/>
  </r>
  <r>
    <x v="1"/>
    <x v="78"/>
    <x v="8"/>
    <x v="97"/>
    <x v="2"/>
    <n v="0"/>
    <n v="0"/>
    <n v="0"/>
    <n v="0"/>
    <n v="0"/>
    <n v="0"/>
    <n v="0"/>
    <n v="0"/>
    <x v="28"/>
    <x v="28"/>
    <n v="0"/>
    <x v="45"/>
    <x v="1"/>
    <n v="0"/>
    <n v="0"/>
    <n v="4"/>
  </r>
  <r>
    <x v="0"/>
    <x v="33"/>
    <x v="7"/>
    <x v="2"/>
    <x v="2"/>
    <n v="0"/>
    <n v="0"/>
    <n v="0"/>
    <n v="0"/>
    <n v="0"/>
    <n v="0"/>
    <n v="0"/>
    <n v="0"/>
    <x v="564"/>
    <x v="518"/>
    <n v="171745"/>
    <x v="2"/>
    <x v="1"/>
    <n v="0"/>
    <n v="65"/>
    <n v="79"/>
  </r>
  <r>
    <x v="1"/>
    <x v="78"/>
    <x v="2"/>
    <x v="93"/>
    <x v="2"/>
    <n v="0"/>
    <n v="0"/>
    <n v="0"/>
    <n v="0"/>
    <n v="0"/>
    <n v="0"/>
    <n v="0"/>
    <n v="0"/>
    <x v="356"/>
    <x v="28"/>
    <n v="0"/>
    <x v="45"/>
    <x v="1"/>
    <n v="0"/>
    <n v="5"/>
    <n v="11"/>
  </r>
  <r>
    <x v="1"/>
    <x v="122"/>
    <x v="8"/>
    <x v="108"/>
    <x v="2"/>
    <n v="0"/>
    <n v="0"/>
    <n v="0"/>
    <n v="0"/>
    <n v="0"/>
    <n v="0"/>
    <n v="0"/>
    <n v="0"/>
    <x v="28"/>
    <x v="28"/>
    <n v="0"/>
    <x v="0"/>
    <x v="1"/>
    <n v="0"/>
    <n v="0"/>
    <n v="4"/>
  </r>
  <r>
    <x v="1"/>
    <x v="122"/>
    <x v="2"/>
    <x v="286"/>
    <x v="2"/>
    <n v="0"/>
    <n v="0"/>
    <n v="0"/>
    <n v="0"/>
    <n v="0"/>
    <n v="0"/>
    <n v="0"/>
    <n v="0"/>
    <x v="356"/>
    <x v="28"/>
    <n v="0"/>
    <x v="0"/>
    <x v="1"/>
    <n v="0"/>
    <n v="5"/>
    <n v="11"/>
  </r>
  <r>
    <x v="1"/>
    <x v="121"/>
    <x v="8"/>
    <x v="20"/>
    <x v="2"/>
    <n v="0"/>
    <n v="0"/>
    <n v="0"/>
    <n v="0"/>
    <n v="0"/>
    <n v="0"/>
    <n v="0"/>
    <n v="0"/>
    <x v="28"/>
    <x v="28"/>
    <n v="0"/>
    <x v="20"/>
    <x v="1"/>
    <n v="0"/>
    <n v="0"/>
    <n v="4"/>
  </r>
  <r>
    <x v="2"/>
    <x v="131"/>
    <x v="6"/>
    <x v="829"/>
    <x v="555"/>
    <n v="15"/>
    <n v="2.5"/>
    <n v="4.9000000000000004"/>
    <n v="0"/>
    <n v="0"/>
    <n v="0"/>
    <n v="0"/>
    <n v="0"/>
    <x v="711"/>
    <x v="647"/>
    <n v="6673"/>
    <x v="37"/>
    <x v="52"/>
    <n v="1"/>
    <n v="80"/>
    <n v="200"/>
  </r>
  <r>
    <x v="1"/>
    <x v="121"/>
    <x v="2"/>
    <x v="93"/>
    <x v="2"/>
    <n v="0"/>
    <n v="0"/>
    <n v="0"/>
    <n v="0"/>
    <n v="0"/>
    <n v="0"/>
    <n v="0"/>
    <n v="0"/>
    <x v="356"/>
    <x v="28"/>
    <n v="0"/>
    <x v="45"/>
    <x v="1"/>
    <n v="0"/>
    <n v="5"/>
    <n v="11"/>
  </r>
  <r>
    <x v="0"/>
    <x v="72"/>
    <x v="8"/>
    <x v="2"/>
    <x v="2"/>
    <n v="0"/>
    <n v="0"/>
    <n v="0"/>
    <n v="0"/>
    <n v="0"/>
    <n v="0"/>
    <n v="0"/>
    <n v="0"/>
    <x v="28"/>
    <x v="28"/>
    <n v="0"/>
    <x v="2"/>
    <x v="1"/>
    <n v="0"/>
    <n v="0"/>
    <n v="4"/>
  </r>
  <r>
    <x v="1"/>
    <x v="45"/>
    <x v="8"/>
    <x v="132"/>
    <x v="2"/>
    <n v="0"/>
    <n v="0"/>
    <n v="0"/>
    <n v="0"/>
    <n v="0"/>
    <n v="0"/>
    <n v="0"/>
    <n v="0"/>
    <x v="28"/>
    <x v="28"/>
    <n v="0"/>
    <x v="13"/>
    <x v="1"/>
    <n v="0"/>
    <n v="0"/>
    <n v="4"/>
  </r>
  <r>
    <x v="1"/>
    <x v="45"/>
    <x v="2"/>
    <x v="286"/>
    <x v="2"/>
    <n v="0"/>
    <n v="0"/>
    <n v="0"/>
    <n v="0"/>
    <n v="0"/>
    <n v="0"/>
    <n v="0"/>
    <n v="0"/>
    <x v="356"/>
    <x v="28"/>
    <n v="0"/>
    <x v="0"/>
    <x v="1"/>
    <n v="0"/>
    <n v="5"/>
    <n v="11"/>
  </r>
  <r>
    <x v="1"/>
    <x v="133"/>
    <x v="8"/>
    <x v="132"/>
    <x v="2"/>
    <n v="0"/>
    <n v="0"/>
    <n v="0"/>
    <n v="0"/>
    <n v="0"/>
    <n v="0"/>
    <n v="0"/>
    <n v="0"/>
    <x v="28"/>
    <x v="28"/>
    <n v="0"/>
    <x v="13"/>
    <x v="1"/>
    <n v="0"/>
    <n v="0"/>
    <n v="4"/>
  </r>
  <r>
    <x v="0"/>
    <x v="102"/>
    <x v="1"/>
    <x v="2"/>
    <x v="141"/>
    <n v="0.4"/>
    <n v="0"/>
    <n v="0"/>
    <n v="0"/>
    <n v="0"/>
    <n v="0"/>
    <n v="0"/>
    <n v="0"/>
    <x v="206"/>
    <x v="198"/>
    <n v="222350"/>
    <x v="2"/>
    <x v="11"/>
    <n v="1"/>
    <n v="50"/>
    <n v="64"/>
  </r>
  <r>
    <x v="1"/>
    <x v="133"/>
    <x v="2"/>
    <x v="241"/>
    <x v="2"/>
    <n v="0"/>
    <n v="0"/>
    <n v="0"/>
    <n v="0"/>
    <n v="0"/>
    <n v="0"/>
    <n v="0"/>
    <n v="0"/>
    <x v="356"/>
    <x v="28"/>
    <n v="0"/>
    <x v="1"/>
    <x v="1"/>
    <n v="0"/>
    <n v="5"/>
    <n v="11"/>
  </r>
  <r>
    <x v="1"/>
    <x v="8"/>
    <x v="8"/>
    <x v="2"/>
    <x v="2"/>
    <n v="0"/>
    <n v="0"/>
    <n v="0"/>
    <n v="0"/>
    <n v="0"/>
    <n v="0"/>
    <n v="0"/>
    <n v="0"/>
    <x v="28"/>
    <x v="28"/>
    <n v="0"/>
    <x v="2"/>
    <x v="1"/>
    <n v="0"/>
    <n v="0"/>
    <n v="4"/>
  </r>
  <r>
    <x v="1"/>
    <x v="28"/>
    <x v="8"/>
    <x v="43"/>
    <x v="2"/>
    <n v="0"/>
    <n v="0"/>
    <n v="0"/>
    <n v="0"/>
    <n v="0"/>
    <n v="0"/>
    <n v="0"/>
    <n v="0"/>
    <x v="28"/>
    <x v="28"/>
    <n v="0"/>
    <x v="18"/>
    <x v="1"/>
    <n v="0"/>
    <n v="0"/>
    <n v="4"/>
  </r>
  <r>
    <x v="1"/>
    <x v="8"/>
    <x v="2"/>
    <x v="93"/>
    <x v="2"/>
    <n v="0"/>
    <n v="0"/>
    <n v="0"/>
    <n v="0"/>
    <n v="0"/>
    <n v="0"/>
    <n v="0"/>
    <n v="0"/>
    <x v="356"/>
    <x v="28"/>
    <n v="0"/>
    <x v="45"/>
    <x v="1"/>
    <n v="0"/>
    <n v="5"/>
    <n v="11"/>
  </r>
  <r>
    <x v="1"/>
    <x v="17"/>
    <x v="2"/>
    <x v="2"/>
    <x v="17"/>
    <n v="0"/>
    <n v="0"/>
    <n v="0"/>
    <n v="0"/>
    <n v="0"/>
    <n v="0"/>
    <n v="0"/>
    <n v="0"/>
    <x v="927"/>
    <x v="26"/>
    <n v="21253"/>
    <x v="2"/>
    <x v="0"/>
    <n v="0"/>
    <n v="5"/>
    <n v="11"/>
  </r>
  <r>
    <x v="1"/>
    <x v="31"/>
    <x v="5"/>
    <x v="42"/>
    <x v="288"/>
    <n v="2.9"/>
    <n v="1.9"/>
    <n v="3.5"/>
    <n v="0"/>
    <n v="0"/>
    <n v="0"/>
    <n v="0"/>
    <n v="0"/>
    <x v="640"/>
    <x v="581"/>
    <n v="340282"/>
    <x v="16"/>
    <x v="75"/>
    <n v="10"/>
    <n v="30"/>
    <n v="49"/>
  </r>
  <r>
    <x v="0"/>
    <x v="112"/>
    <x v="5"/>
    <x v="108"/>
    <x v="2"/>
    <n v="0"/>
    <n v="0"/>
    <n v="0"/>
    <n v="0"/>
    <n v="0"/>
    <n v="0"/>
    <n v="0"/>
    <n v="0"/>
    <x v="928"/>
    <x v="833"/>
    <n v="0"/>
    <x v="20"/>
    <x v="1"/>
    <n v="0"/>
    <n v="30"/>
    <n v="49"/>
  </r>
  <r>
    <x v="1"/>
    <x v="51"/>
    <x v="1"/>
    <x v="830"/>
    <x v="556"/>
    <n v="12.8"/>
    <n v="2.7"/>
    <n v="2.6"/>
    <n v="0"/>
    <n v="0"/>
    <n v="0"/>
    <n v="0"/>
    <n v="0"/>
    <x v="675"/>
    <x v="613"/>
    <n v="242018"/>
    <x v="35"/>
    <x v="36"/>
    <n v="31"/>
    <n v="50"/>
    <n v="64"/>
  </r>
  <r>
    <x v="1"/>
    <x v="112"/>
    <x v="8"/>
    <x v="108"/>
    <x v="2"/>
    <n v="0"/>
    <n v="0"/>
    <n v="0"/>
    <n v="0"/>
    <n v="0"/>
    <n v="0"/>
    <n v="0"/>
    <n v="0"/>
    <x v="28"/>
    <x v="28"/>
    <n v="0"/>
    <x v="0"/>
    <x v="1"/>
    <n v="0"/>
    <n v="0"/>
    <n v="4"/>
  </r>
  <r>
    <x v="1"/>
    <x v="6"/>
    <x v="3"/>
    <x v="205"/>
    <x v="2"/>
    <n v="0.6"/>
    <n v="0"/>
    <n v="11.2"/>
    <n v="0"/>
    <n v="0"/>
    <n v="0"/>
    <n v="0"/>
    <n v="0"/>
    <x v="265"/>
    <x v="254"/>
    <n v="161406"/>
    <x v="18"/>
    <x v="1"/>
    <n v="1"/>
    <n v="18"/>
    <n v="29"/>
  </r>
  <r>
    <x v="1"/>
    <x v="118"/>
    <x v="3"/>
    <x v="357"/>
    <x v="141"/>
    <n v="0.7"/>
    <n v="5"/>
    <n v="10"/>
    <n v="0"/>
    <n v="0"/>
    <n v="0"/>
    <n v="0"/>
    <n v="0"/>
    <x v="929"/>
    <x v="834"/>
    <n v="143769"/>
    <x v="64"/>
    <x v="39"/>
    <n v="1"/>
    <n v="18"/>
    <n v="29"/>
  </r>
  <r>
    <x v="1"/>
    <x v="112"/>
    <x v="2"/>
    <x v="28"/>
    <x v="2"/>
    <n v="0"/>
    <n v="0"/>
    <n v="0"/>
    <n v="0"/>
    <n v="0"/>
    <n v="0"/>
    <n v="0"/>
    <n v="0"/>
    <x v="356"/>
    <x v="28"/>
    <n v="0"/>
    <x v="20"/>
    <x v="1"/>
    <n v="0"/>
    <n v="5"/>
    <n v="11"/>
  </r>
  <r>
    <x v="0"/>
    <x v="64"/>
    <x v="1"/>
    <x v="103"/>
    <x v="2"/>
    <n v="0"/>
    <n v="0"/>
    <n v="0"/>
    <n v="0"/>
    <n v="0"/>
    <n v="0"/>
    <n v="0"/>
    <n v="0"/>
    <x v="72"/>
    <x v="72"/>
    <n v="246904"/>
    <x v="1"/>
    <x v="1"/>
    <n v="0"/>
    <n v="50"/>
    <n v="64"/>
  </r>
  <r>
    <x v="1"/>
    <x v="14"/>
    <x v="8"/>
    <x v="219"/>
    <x v="2"/>
    <n v="0"/>
    <n v="0"/>
    <n v="0"/>
    <n v="0"/>
    <n v="0"/>
    <n v="0"/>
    <n v="0"/>
    <n v="0"/>
    <x v="28"/>
    <x v="28"/>
    <n v="0"/>
    <x v="1"/>
    <x v="1"/>
    <n v="0"/>
    <n v="0"/>
    <n v="4"/>
  </r>
  <r>
    <x v="2"/>
    <x v="85"/>
    <x v="6"/>
    <x v="831"/>
    <x v="557"/>
    <n v="688.4"/>
    <n v="0.8"/>
    <n v="1.8"/>
    <n v="0"/>
    <n v="0"/>
    <n v="0"/>
    <n v="0"/>
    <n v="0"/>
    <x v="313"/>
    <x v="295"/>
    <n v="37045"/>
    <x v="360"/>
    <x v="268"/>
    <n v="255"/>
    <n v="80"/>
    <n v="200"/>
  </r>
  <r>
    <x v="1"/>
    <x v="14"/>
    <x v="2"/>
    <x v="2"/>
    <x v="2"/>
    <n v="0"/>
    <n v="0"/>
    <n v="0"/>
    <n v="0"/>
    <n v="0"/>
    <n v="0"/>
    <n v="0"/>
    <n v="0"/>
    <x v="356"/>
    <x v="28"/>
    <n v="0"/>
    <x v="2"/>
    <x v="1"/>
    <n v="0"/>
    <n v="5"/>
    <n v="11"/>
  </r>
  <r>
    <x v="2"/>
    <x v="93"/>
    <x v="7"/>
    <x v="832"/>
    <x v="558"/>
    <n v="0"/>
    <n v="2.1"/>
    <n v="0"/>
    <n v="0"/>
    <n v="0"/>
    <n v="0"/>
    <n v="0"/>
    <n v="0"/>
    <x v="211"/>
    <x v="203"/>
    <n v="0"/>
    <x v="21"/>
    <x v="99"/>
    <n v="0"/>
    <n v="65"/>
    <n v="79"/>
  </r>
  <r>
    <x v="1"/>
    <x v="125"/>
    <x v="8"/>
    <x v="20"/>
    <x v="2"/>
    <n v="0"/>
    <n v="0"/>
    <n v="0"/>
    <n v="0"/>
    <n v="0"/>
    <n v="0"/>
    <n v="0"/>
    <n v="0"/>
    <x v="28"/>
    <x v="28"/>
    <n v="0"/>
    <x v="20"/>
    <x v="1"/>
    <n v="0"/>
    <n v="0"/>
    <n v="4"/>
  </r>
  <r>
    <x v="2"/>
    <x v="12"/>
    <x v="5"/>
    <x v="833"/>
    <x v="559"/>
    <n v="0"/>
    <n v="2.5"/>
    <n v="0"/>
    <n v="0"/>
    <n v="0"/>
    <n v="0"/>
    <n v="0"/>
    <n v="0"/>
    <x v="930"/>
    <x v="835"/>
    <n v="0"/>
    <x v="361"/>
    <x v="255"/>
    <n v="0"/>
    <n v="30"/>
    <n v="49"/>
  </r>
  <r>
    <x v="1"/>
    <x v="125"/>
    <x v="2"/>
    <x v="28"/>
    <x v="2"/>
    <n v="0"/>
    <n v="0"/>
    <n v="0"/>
    <n v="0"/>
    <n v="0"/>
    <n v="0"/>
    <n v="0"/>
    <n v="0"/>
    <x v="356"/>
    <x v="28"/>
    <n v="0"/>
    <x v="20"/>
    <x v="1"/>
    <n v="0"/>
    <n v="5"/>
    <n v="11"/>
  </r>
  <r>
    <x v="1"/>
    <x v="53"/>
    <x v="7"/>
    <x v="395"/>
    <x v="390"/>
    <n v="8.1999999999999993"/>
    <n v="0.4"/>
    <n v="0.6"/>
    <n v="0"/>
    <n v="0"/>
    <n v="0"/>
    <n v="0"/>
    <n v="0"/>
    <x v="931"/>
    <x v="836"/>
    <n v="171730"/>
    <x v="0"/>
    <x v="21"/>
    <n v="14"/>
    <n v="65"/>
    <n v="79"/>
  </r>
  <r>
    <x v="2"/>
    <x v="43"/>
    <x v="0"/>
    <x v="808"/>
    <x v="109"/>
    <n v="16.600000000000001"/>
    <n v="2.7"/>
    <n v="1.5"/>
    <n v="29.9"/>
    <n v="9.6"/>
    <n v="12.5"/>
    <n v="3.1"/>
    <n v="2.4"/>
    <x v="794"/>
    <x v="721"/>
    <n v="1040764"/>
    <x v="296"/>
    <x v="91"/>
    <n v="173"/>
    <n v="999"/>
    <n v="999"/>
  </r>
  <r>
    <x v="0"/>
    <x v="34"/>
    <x v="6"/>
    <x v="151"/>
    <x v="560"/>
    <n v="3.2"/>
    <n v="1.6"/>
    <n v="12.2"/>
    <n v="0"/>
    <n v="0"/>
    <n v="0"/>
    <n v="0"/>
    <n v="0"/>
    <x v="193"/>
    <x v="187"/>
    <n v="31019"/>
    <x v="6"/>
    <x v="48"/>
    <n v="1"/>
    <n v="80"/>
    <n v="200"/>
  </r>
  <r>
    <x v="1"/>
    <x v="4"/>
    <x v="5"/>
    <x v="92"/>
    <x v="49"/>
    <n v="2.4"/>
    <n v="4.5"/>
    <n v="1.9"/>
    <n v="0"/>
    <n v="0"/>
    <n v="0"/>
    <n v="0"/>
    <n v="0"/>
    <x v="81"/>
    <x v="81"/>
    <n v="326607"/>
    <x v="18"/>
    <x v="39"/>
    <n v="8"/>
    <n v="30"/>
    <n v="49"/>
  </r>
  <r>
    <x v="1"/>
    <x v="107"/>
    <x v="8"/>
    <x v="108"/>
    <x v="2"/>
    <n v="0"/>
    <n v="0"/>
    <n v="0"/>
    <n v="0"/>
    <n v="0"/>
    <n v="0"/>
    <n v="0"/>
    <n v="0"/>
    <x v="28"/>
    <x v="28"/>
    <n v="0"/>
    <x v="0"/>
    <x v="1"/>
    <n v="0"/>
    <n v="0"/>
    <n v="4"/>
  </r>
  <r>
    <x v="0"/>
    <x v="114"/>
    <x v="4"/>
    <x v="2"/>
    <x v="2"/>
    <n v="0"/>
    <n v="0"/>
    <n v="0"/>
    <n v="0"/>
    <n v="0"/>
    <n v="0"/>
    <n v="0"/>
    <n v="0"/>
    <x v="570"/>
    <x v="523"/>
    <n v="44472"/>
    <x v="2"/>
    <x v="1"/>
    <n v="0"/>
    <n v="12"/>
    <n v="17"/>
  </r>
  <r>
    <x v="2"/>
    <x v="112"/>
    <x v="4"/>
    <x v="834"/>
    <x v="2"/>
    <n v="0"/>
    <n v="0"/>
    <n v="0"/>
    <n v="0"/>
    <n v="0"/>
    <n v="0"/>
    <n v="0"/>
    <n v="0"/>
    <x v="190"/>
    <x v="28"/>
    <n v="0"/>
    <x v="314"/>
    <x v="1"/>
    <n v="0"/>
    <n v="12"/>
    <n v="17"/>
  </r>
  <r>
    <x v="1"/>
    <x v="107"/>
    <x v="2"/>
    <x v="2"/>
    <x v="2"/>
    <n v="0"/>
    <n v="0"/>
    <n v="0"/>
    <n v="0"/>
    <n v="0"/>
    <n v="0"/>
    <n v="0"/>
    <n v="0"/>
    <x v="356"/>
    <x v="28"/>
    <n v="0"/>
    <x v="2"/>
    <x v="1"/>
    <n v="0"/>
    <n v="5"/>
    <n v="11"/>
  </r>
  <r>
    <x v="2"/>
    <x v="27"/>
    <x v="0"/>
    <x v="835"/>
    <x v="561"/>
    <n v="55.4"/>
    <n v="2.5"/>
    <n v="1.3"/>
    <n v="88.7"/>
    <n v="32"/>
    <n v="42.7"/>
    <n v="2.8"/>
    <n v="2.1"/>
    <x v="432"/>
    <x v="403"/>
    <n v="1047121"/>
    <x v="362"/>
    <x v="269"/>
    <n v="580"/>
    <n v="999"/>
    <n v="999"/>
  </r>
  <r>
    <x v="2"/>
    <x v="10"/>
    <x v="5"/>
    <x v="836"/>
    <x v="562"/>
    <n v="114.9"/>
    <n v="2.1"/>
    <n v="1.5"/>
    <n v="0"/>
    <n v="0"/>
    <n v="0"/>
    <n v="0"/>
    <n v="0"/>
    <x v="337"/>
    <x v="315"/>
    <n v="347197"/>
    <x v="363"/>
    <x v="270"/>
    <n v="399"/>
    <n v="30"/>
    <n v="49"/>
  </r>
  <r>
    <x v="2"/>
    <x v="30"/>
    <x v="0"/>
    <x v="837"/>
    <x v="464"/>
    <n v="111.2"/>
    <n v="1.8"/>
    <n v="1.4"/>
    <n v="173.2"/>
    <n v="87"/>
    <n v="100.9"/>
    <n v="2"/>
    <n v="1.7"/>
    <x v="651"/>
    <x v="592"/>
    <n v="1039564"/>
    <x v="364"/>
    <x v="271"/>
    <n v="1156"/>
    <n v="999"/>
    <n v="999"/>
  </r>
  <r>
    <x v="1"/>
    <x v="65"/>
    <x v="8"/>
    <x v="219"/>
    <x v="2"/>
    <n v="0"/>
    <n v="0"/>
    <n v="0"/>
    <n v="0"/>
    <n v="0"/>
    <n v="0"/>
    <n v="0"/>
    <n v="0"/>
    <x v="28"/>
    <x v="28"/>
    <n v="0"/>
    <x v="1"/>
    <x v="1"/>
    <n v="0"/>
    <n v="0"/>
    <n v="4"/>
  </r>
  <r>
    <x v="0"/>
    <x v="128"/>
    <x v="4"/>
    <x v="2"/>
    <x v="2"/>
    <n v="0"/>
    <n v="0"/>
    <n v="0"/>
    <n v="0"/>
    <n v="0"/>
    <n v="0"/>
    <n v="0"/>
    <n v="0"/>
    <x v="344"/>
    <x v="321"/>
    <n v="44574"/>
    <x v="2"/>
    <x v="1"/>
    <n v="0"/>
    <n v="12"/>
    <n v="17"/>
  </r>
  <r>
    <x v="1"/>
    <x v="65"/>
    <x v="2"/>
    <x v="2"/>
    <x v="2"/>
    <n v="0"/>
    <n v="0"/>
    <n v="0"/>
    <n v="0"/>
    <n v="0"/>
    <n v="0"/>
    <n v="0"/>
    <n v="0"/>
    <x v="356"/>
    <x v="28"/>
    <n v="0"/>
    <x v="2"/>
    <x v="1"/>
    <n v="0"/>
    <n v="5"/>
    <n v="11"/>
  </r>
  <r>
    <x v="1"/>
    <x v="4"/>
    <x v="2"/>
    <x v="2"/>
    <x v="2"/>
    <n v="0"/>
    <n v="0"/>
    <n v="0"/>
    <n v="0"/>
    <n v="0"/>
    <n v="0"/>
    <n v="0"/>
    <n v="0"/>
    <x v="393"/>
    <x v="368"/>
    <n v="0"/>
    <x v="2"/>
    <x v="1"/>
    <n v="0"/>
    <n v="5"/>
    <n v="11"/>
  </r>
  <r>
    <x v="0"/>
    <x v="82"/>
    <x v="5"/>
    <x v="2"/>
    <x v="2"/>
    <n v="0"/>
    <n v="0"/>
    <n v="0"/>
    <n v="0"/>
    <n v="0"/>
    <n v="0"/>
    <n v="0"/>
    <n v="0"/>
    <x v="932"/>
    <x v="583"/>
    <n v="347309"/>
    <x v="2"/>
    <x v="1"/>
    <n v="0"/>
    <n v="30"/>
    <n v="49"/>
  </r>
  <r>
    <x v="2"/>
    <x v="94"/>
    <x v="4"/>
    <x v="838"/>
    <x v="563"/>
    <n v="87.5"/>
    <n v="1.9"/>
    <n v="2.1"/>
    <n v="0"/>
    <n v="0"/>
    <n v="0"/>
    <n v="0"/>
    <n v="0"/>
    <x v="861"/>
    <x v="779"/>
    <n v="44551"/>
    <x v="90"/>
    <x v="234"/>
    <n v="39"/>
    <n v="12"/>
    <n v="17"/>
  </r>
  <r>
    <x v="1"/>
    <x v="71"/>
    <x v="8"/>
    <x v="219"/>
    <x v="2"/>
    <n v="0"/>
    <n v="0"/>
    <n v="0"/>
    <n v="0"/>
    <n v="0"/>
    <n v="0"/>
    <n v="0"/>
    <n v="0"/>
    <x v="28"/>
    <x v="28"/>
    <n v="0"/>
    <x v="1"/>
    <x v="1"/>
    <n v="0"/>
    <n v="0"/>
    <n v="4"/>
  </r>
  <r>
    <x v="1"/>
    <x v="120"/>
    <x v="4"/>
    <x v="103"/>
    <x v="17"/>
    <n v="2.2000000000000002"/>
    <n v="2.5"/>
    <n v="1.4"/>
    <n v="0"/>
    <n v="0"/>
    <n v="0"/>
    <n v="0"/>
    <n v="0"/>
    <x v="545"/>
    <x v="500"/>
    <n v="44568"/>
    <x v="1"/>
    <x v="0"/>
    <n v="1"/>
    <n v="12"/>
    <n v="17"/>
  </r>
  <r>
    <x v="2"/>
    <x v="64"/>
    <x v="5"/>
    <x v="424"/>
    <x v="564"/>
    <n v="29.9"/>
    <n v="3.2"/>
    <n v="2.2000000000000002"/>
    <n v="0"/>
    <n v="0"/>
    <n v="0"/>
    <n v="0"/>
    <n v="0"/>
    <x v="815"/>
    <x v="742"/>
    <n v="347292"/>
    <x v="40"/>
    <x v="42"/>
    <n v="104"/>
    <n v="30"/>
    <n v="49"/>
  </r>
  <r>
    <x v="1"/>
    <x v="71"/>
    <x v="2"/>
    <x v="241"/>
    <x v="2"/>
    <n v="0"/>
    <n v="0"/>
    <n v="0"/>
    <n v="0"/>
    <n v="0"/>
    <n v="0"/>
    <n v="0"/>
    <n v="0"/>
    <x v="356"/>
    <x v="28"/>
    <n v="0"/>
    <x v="1"/>
    <x v="1"/>
    <n v="0"/>
    <n v="5"/>
    <n v="11"/>
  </r>
  <r>
    <x v="2"/>
    <x v="19"/>
    <x v="0"/>
    <x v="839"/>
    <x v="565"/>
    <n v="187.3"/>
    <n v="1.7"/>
    <n v="1.2"/>
    <n v="265.89999999999998"/>
    <n v="145.5"/>
    <n v="176.3"/>
    <n v="1.8"/>
    <n v="1.5"/>
    <x v="871"/>
    <x v="789"/>
    <n v="1039974"/>
    <x v="365"/>
    <x v="272"/>
    <n v="1948"/>
    <n v="999"/>
    <n v="999"/>
  </r>
  <r>
    <x v="2"/>
    <x v="32"/>
    <x v="2"/>
    <x v="368"/>
    <x v="566"/>
    <n v="42.7"/>
    <n v="1.3"/>
    <n v="1.2"/>
    <n v="0"/>
    <n v="0"/>
    <n v="0"/>
    <n v="0"/>
    <n v="0"/>
    <x v="33"/>
    <x v="33"/>
    <n v="21098"/>
    <x v="128"/>
    <x v="37"/>
    <n v="9"/>
    <n v="5"/>
    <n v="11"/>
  </r>
  <r>
    <x v="1"/>
    <x v="89"/>
    <x v="8"/>
    <x v="2"/>
    <x v="2"/>
    <n v="0"/>
    <n v="0"/>
    <n v="0"/>
    <n v="0"/>
    <n v="0"/>
    <n v="0"/>
    <n v="0"/>
    <n v="0"/>
    <x v="28"/>
    <x v="28"/>
    <n v="0"/>
    <x v="2"/>
    <x v="1"/>
    <n v="0"/>
    <n v="0"/>
    <n v="4"/>
  </r>
  <r>
    <x v="1"/>
    <x v="89"/>
    <x v="2"/>
    <x v="241"/>
    <x v="2"/>
    <n v="0"/>
    <n v="0"/>
    <n v="0"/>
    <n v="0"/>
    <n v="0"/>
    <n v="0"/>
    <n v="0"/>
    <n v="0"/>
    <x v="356"/>
    <x v="28"/>
    <n v="0"/>
    <x v="1"/>
    <x v="1"/>
    <n v="0"/>
    <n v="5"/>
    <n v="11"/>
  </r>
  <r>
    <x v="2"/>
    <x v="119"/>
    <x v="2"/>
    <x v="109"/>
    <x v="97"/>
    <n v="31.8"/>
    <n v="1.1000000000000001"/>
    <n v="0.7"/>
    <n v="0"/>
    <n v="0"/>
    <n v="0"/>
    <n v="0"/>
    <n v="0"/>
    <x v="555"/>
    <x v="509"/>
    <n v="21989"/>
    <x v="34"/>
    <x v="36"/>
    <n v="7"/>
    <n v="5"/>
    <n v="11"/>
  </r>
  <r>
    <x v="1"/>
    <x v="30"/>
    <x v="4"/>
    <x v="2"/>
    <x v="17"/>
    <n v="2.2000000000000002"/>
    <n v="0"/>
    <n v="0"/>
    <n v="0"/>
    <n v="0"/>
    <n v="0"/>
    <n v="0"/>
    <n v="0"/>
    <x v="933"/>
    <x v="837"/>
    <n v="44506"/>
    <x v="2"/>
    <x v="0"/>
    <n v="1"/>
    <n v="12"/>
    <n v="17"/>
  </r>
  <r>
    <x v="2"/>
    <x v="27"/>
    <x v="7"/>
    <x v="840"/>
    <x v="298"/>
    <n v="96.2"/>
    <n v="1.1000000000000001"/>
    <n v="0.9"/>
    <n v="0"/>
    <n v="0"/>
    <n v="0"/>
    <n v="0"/>
    <n v="0"/>
    <x v="617"/>
    <x v="562"/>
    <n v="172519"/>
    <x v="182"/>
    <x v="14"/>
    <n v="166"/>
    <n v="65"/>
    <n v="79"/>
  </r>
  <r>
    <x v="1"/>
    <x v="135"/>
    <x v="8"/>
    <x v="20"/>
    <x v="2"/>
    <n v="0"/>
    <n v="0"/>
    <n v="0"/>
    <n v="0"/>
    <n v="0"/>
    <n v="0"/>
    <n v="0"/>
    <n v="0"/>
    <x v="28"/>
    <x v="28"/>
    <n v="0"/>
    <x v="20"/>
    <x v="1"/>
    <n v="0"/>
    <n v="0"/>
    <n v="4"/>
  </r>
  <r>
    <x v="2"/>
    <x v="134"/>
    <x v="0"/>
    <x v="841"/>
    <x v="567"/>
    <n v="353.4"/>
    <n v="1.4"/>
    <n v="0.9"/>
    <n v="341.8"/>
    <n v="209"/>
    <n v="383.3"/>
    <n v="1.6"/>
    <n v="0.9"/>
    <x v="476"/>
    <x v="440"/>
    <n v="965236"/>
    <x v="366"/>
    <x v="273"/>
    <n v="3411"/>
    <n v="999"/>
    <n v="999"/>
  </r>
  <r>
    <x v="1"/>
    <x v="63"/>
    <x v="0"/>
    <x v="530"/>
    <x v="255"/>
    <n v="7.7"/>
    <n v="2.9"/>
    <n v="2"/>
    <n v="20.8"/>
    <n v="7.8"/>
    <n v="5.3"/>
    <n v="2.7"/>
    <n v="3.9"/>
    <x v="501"/>
    <x v="462"/>
    <n v="1039435"/>
    <x v="30"/>
    <x v="87"/>
    <n v="80"/>
    <n v="999"/>
    <n v="999"/>
  </r>
  <r>
    <x v="0"/>
    <x v="79"/>
    <x v="0"/>
    <x v="18"/>
    <x v="2"/>
    <n v="0.1"/>
    <n v="0"/>
    <n v="4"/>
    <n v="0.3"/>
    <n v="0"/>
    <n v="0.1"/>
    <n v="0"/>
    <n v="3.9"/>
    <x v="934"/>
    <x v="838"/>
    <n v="1040655"/>
    <x v="0"/>
    <x v="1"/>
    <n v="1"/>
    <n v="999"/>
    <n v="999"/>
  </r>
  <r>
    <x v="1"/>
    <x v="135"/>
    <x v="2"/>
    <x v="2"/>
    <x v="2"/>
    <n v="0"/>
    <n v="0"/>
    <n v="0"/>
    <n v="0"/>
    <n v="0"/>
    <n v="0"/>
    <n v="0"/>
    <n v="0"/>
    <x v="356"/>
    <x v="28"/>
    <n v="0"/>
    <x v="2"/>
    <x v="1"/>
    <n v="0"/>
    <n v="5"/>
    <n v="11"/>
  </r>
  <r>
    <x v="1"/>
    <x v="118"/>
    <x v="0"/>
    <x v="395"/>
    <x v="221"/>
    <n v="2"/>
    <n v="2.1"/>
    <n v="2.6"/>
    <n v="6.8"/>
    <n v="2.9"/>
    <n v="1.3"/>
    <n v="2.2999999999999998"/>
    <n v="5.2"/>
    <x v="283"/>
    <x v="267"/>
    <n v="919703"/>
    <x v="118"/>
    <x v="97"/>
    <n v="18"/>
    <n v="999"/>
    <n v="999"/>
  </r>
  <r>
    <x v="1"/>
    <x v="128"/>
    <x v="2"/>
    <x v="2"/>
    <x v="2"/>
    <n v="4.7"/>
    <n v="0"/>
    <n v="0"/>
    <n v="0"/>
    <n v="0"/>
    <n v="0"/>
    <n v="0"/>
    <n v="0"/>
    <x v="935"/>
    <x v="839"/>
    <n v="21231"/>
    <x v="2"/>
    <x v="1"/>
    <n v="1"/>
    <n v="5"/>
    <n v="11"/>
  </r>
  <r>
    <x v="0"/>
    <x v="105"/>
    <x v="2"/>
    <x v="2"/>
    <x v="2"/>
    <n v="0"/>
    <n v="0"/>
    <n v="0"/>
    <n v="0"/>
    <n v="0"/>
    <n v="0"/>
    <n v="0"/>
    <n v="0"/>
    <x v="174"/>
    <x v="171"/>
    <n v="11845"/>
    <x v="2"/>
    <x v="1"/>
    <n v="0"/>
    <n v="5"/>
    <n v="11"/>
  </r>
  <r>
    <x v="1"/>
    <x v="103"/>
    <x v="8"/>
    <x v="108"/>
    <x v="2"/>
    <n v="0"/>
    <n v="0"/>
    <n v="0"/>
    <n v="0"/>
    <n v="0"/>
    <n v="0"/>
    <n v="0"/>
    <n v="0"/>
    <x v="28"/>
    <x v="28"/>
    <n v="0"/>
    <x v="0"/>
    <x v="1"/>
    <n v="0"/>
    <n v="0"/>
    <n v="4"/>
  </r>
  <r>
    <x v="1"/>
    <x v="39"/>
    <x v="7"/>
    <x v="842"/>
    <x v="281"/>
    <n v="22.2"/>
    <n v="0.7"/>
    <n v="1.2"/>
    <n v="0"/>
    <n v="0"/>
    <n v="0"/>
    <n v="0"/>
    <n v="0"/>
    <x v="936"/>
    <x v="840"/>
    <n v="171429"/>
    <x v="27"/>
    <x v="28"/>
    <n v="38"/>
    <n v="65"/>
    <n v="79"/>
  </r>
  <r>
    <x v="1"/>
    <x v="58"/>
    <x v="4"/>
    <x v="2"/>
    <x v="2"/>
    <n v="0"/>
    <n v="0"/>
    <n v="0"/>
    <n v="0"/>
    <n v="0"/>
    <n v="0"/>
    <n v="0"/>
    <n v="0"/>
    <x v="575"/>
    <x v="528"/>
    <n v="44509"/>
    <x v="2"/>
    <x v="1"/>
    <n v="0"/>
    <n v="12"/>
    <n v="17"/>
  </r>
  <r>
    <x v="1"/>
    <x v="103"/>
    <x v="2"/>
    <x v="2"/>
    <x v="2"/>
    <n v="0"/>
    <n v="0"/>
    <n v="0"/>
    <n v="0"/>
    <n v="0"/>
    <n v="0"/>
    <n v="0"/>
    <n v="0"/>
    <x v="356"/>
    <x v="28"/>
    <n v="0"/>
    <x v="2"/>
    <x v="1"/>
    <n v="0"/>
    <n v="5"/>
    <n v="11"/>
  </r>
  <r>
    <x v="1"/>
    <x v="48"/>
    <x v="8"/>
    <x v="108"/>
    <x v="2"/>
    <n v="0"/>
    <n v="0"/>
    <n v="0"/>
    <n v="0"/>
    <n v="0"/>
    <n v="0"/>
    <n v="0"/>
    <n v="0"/>
    <x v="28"/>
    <x v="28"/>
    <n v="0"/>
    <x v="0"/>
    <x v="1"/>
    <n v="0"/>
    <n v="0"/>
    <n v="4"/>
  </r>
  <r>
    <x v="1"/>
    <x v="12"/>
    <x v="8"/>
    <x v="2"/>
    <x v="2"/>
    <n v="0"/>
    <n v="0"/>
    <n v="0"/>
    <n v="0"/>
    <n v="0"/>
    <n v="0"/>
    <n v="0"/>
    <n v="0"/>
    <x v="28"/>
    <x v="28"/>
    <n v="0"/>
    <x v="2"/>
    <x v="1"/>
    <n v="0"/>
    <n v="0"/>
    <n v="4"/>
  </r>
  <r>
    <x v="0"/>
    <x v="26"/>
    <x v="1"/>
    <x v="1"/>
    <x v="2"/>
    <n v="0"/>
    <n v="0"/>
    <n v="0"/>
    <n v="0"/>
    <n v="0"/>
    <n v="0"/>
    <n v="0"/>
    <n v="0"/>
    <x v="698"/>
    <x v="634"/>
    <n v="246827"/>
    <x v="1"/>
    <x v="1"/>
    <n v="0"/>
    <n v="50"/>
    <n v="64"/>
  </r>
  <r>
    <x v="2"/>
    <x v="104"/>
    <x v="6"/>
    <x v="843"/>
    <x v="568"/>
    <n v="18.100000000000001"/>
    <n v="1.4"/>
    <n v="8.1999999999999993"/>
    <n v="0"/>
    <n v="0"/>
    <n v="0"/>
    <n v="0"/>
    <n v="0"/>
    <x v="747"/>
    <x v="677"/>
    <n v="22158"/>
    <x v="44"/>
    <x v="14"/>
    <n v="4"/>
    <n v="80"/>
    <n v="200"/>
  </r>
  <r>
    <x v="2"/>
    <x v="53"/>
    <x v="0"/>
    <x v="844"/>
    <x v="569"/>
    <n v="18.8"/>
    <n v="2.2000000000000002"/>
    <n v="1.3"/>
    <n v="25.7"/>
    <n v="10.4"/>
    <n v="15.6"/>
    <n v="2.5"/>
    <n v="1.6"/>
    <x v="782"/>
    <x v="312"/>
    <n v="1040665"/>
    <x v="141"/>
    <x v="103"/>
    <n v="196"/>
    <n v="999"/>
    <n v="999"/>
  </r>
  <r>
    <x v="1"/>
    <x v="12"/>
    <x v="2"/>
    <x v="241"/>
    <x v="2"/>
    <n v="0"/>
    <n v="0"/>
    <n v="0"/>
    <n v="0"/>
    <n v="0"/>
    <n v="0"/>
    <n v="0"/>
    <n v="0"/>
    <x v="356"/>
    <x v="28"/>
    <n v="0"/>
    <x v="1"/>
    <x v="1"/>
    <n v="0"/>
    <n v="5"/>
    <n v="11"/>
  </r>
  <r>
    <x v="0"/>
    <x v="109"/>
    <x v="1"/>
    <x v="2"/>
    <x v="2"/>
    <n v="0"/>
    <n v="0"/>
    <n v="0"/>
    <n v="0"/>
    <n v="0"/>
    <n v="0"/>
    <n v="0"/>
    <n v="0"/>
    <x v="937"/>
    <x v="841"/>
    <n v="246834"/>
    <x v="2"/>
    <x v="1"/>
    <n v="0"/>
    <n v="50"/>
    <n v="64"/>
  </r>
  <r>
    <x v="1"/>
    <x v="1"/>
    <x v="5"/>
    <x v="620"/>
    <x v="36"/>
    <n v="2"/>
    <n v="3.2"/>
    <n v="4"/>
    <n v="0"/>
    <n v="0"/>
    <n v="0"/>
    <n v="0"/>
    <n v="0"/>
    <x v="797"/>
    <x v="724"/>
    <n v="347241"/>
    <x v="51"/>
    <x v="26"/>
    <n v="7"/>
    <n v="30"/>
    <n v="49"/>
  </r>
  <r>
    <x v="2"/>
    <x v="19"/>
    <x v="6"/>
    <x v="845"/>
    <x v="570"/>
    <n v="337.5"/>
    <n v="0.4"/>
    <n v="0.6"/>
    <n v="0"/>
    <n v="0"/>
    <n v="0"/>
    <n v="0"/>
    <n v="0"/>
    <x v="840"/>
    <x v="207"/>
    <n v="47108"/>
    <x v="23"/>
    <x v="82"/>
    <n v="159"/>
    <n v="80"/>
    <n v="200"/>
  </r>
  <r>
    <x v="2"/>
    <x v="83"/>
    <x v="6"/>
    <x v="846"/>
    <x v="571"/>
    <n v="182.6"/>
    <n v="0.5"/>
    <n v="0.4"/>
    <n v="0"/>
    <n v="0"/>
    <n v="0"/>
    <n v="0"/>
    <n v="0"/>
    <x v="938"/>
    <x v="842"/>
    <n v="44353"/>
    <x v="37"/>
    <x v="57"/>
    <n v="81"/>
    <n v="80"/>
    <n v="200"/>
  </r>
  <r>
    <x v="1"/>
    <x v="20"/>
    <x v="8"/>
    <x v="108"/>
    <x v="2"/>
    <n v="0"/>
    <n v="0"/>
    <n v="0"/>
    <n v="0"/>
    <n v="0"/>
    <n v="0"/>
    <n v="0"/>
    <n v="0"/>
    <x v="28"/>
    <x v="28"/>
    <n v="0"/>
    <x v="0"/>
    <x v="1"/>
    <n v="0"/>
    <n v="0"/>
    <n v="4"/>
  </r>
  <r>
    <x v="0"/>
    <x v="74"/>
    <x v="5"/>
    <x v="2"/>
    <x v="2"/>
    <n v="0"/>
    <n v="0"/>
    <n v="0"/>
    <n v="0"/>
    <n v="0"/>
    <n v="0"/>
    <n v="0"/>
    <n v="0"/>
    <x v="123"/>
    <x v="122"/>
    <n v="347858"/>
    <x v="2"/>
    <x v="1"/>
    <n v="0"/>
    <n v="30"/>
    <n v="49"/>
  </r>
  <r>
    <x v="1"/>
    <x v="86"/>
    <x v="1"/>
    <x v="809"/>
    <x v="123"/>
    <n v="11.3"/>
    <n v="5.8"/>
    <n v="4.0999999999999996"/>
    <n v="0"/>
    <n v="0"/>
    <n v="0"/>
    <n v="0"/>
    <n v="0"/>
    <x v="939"/>
    <x v="843"/>
    <n v="246821"/>
    <x v="91"/>
    <x v="17"/>
    <n v="28"/>
    <n v="50"/>
    <n v="64"/>
  </r>
  <r>
    <x v="0"/>
    <x v="78"/>
    <x v="0"/>
    <x v="28"/>
    <x v="87"/>
    <n v="0"/>
    <n v="6.3"/>
    <n v="0"/>
    <n v="2.5"/>
    <n v="0.1"/>
    <n v="0"/>
    <n v="30.4"/>
    <n v="0"/>
    <x v="274"/>
    <x v="260"/>
    <n v="0"/>
    <x v="182"/>
    <x v="0"/>
    <n v="0"/>
    <n v="999"/>
    <n v="999"/>
  </r>
  <r>
    <x v="1"/>
    <x v="20"/>
    <x v="2"/>
    <x v="2"/>
    <x v="2"/>
    <n v="0"/>
    <n v="0"/>
    <n v="0"/>
    <n v="0"/>
    <n v="0"/>
    <n v="0"/>
    <n v="0"/>
    <n v="0"/>
    <x v="356"/>
    <x v="28"/>
    <n v="0"/>
    <x v="2"/>
    <x v="1"/>
    <n v="0"/>
    <n v="5"/>
    <n v="11"/>
  </r>
  <r>
    <x v="0"/>
    <x v="74"/>
    <x v="7"/>
    <x v="2"/>
    <x v="2"/>
    <n v="0.6"/>
    <n v="0"/>
    <n v="0"/>
    <n v="0"/>
    <n v="0"/>
    <n v="0"/>
    <n v="0"/>
    <n v="0"/>
    <x v="940"/>
    <x v="844"/>
    <n v="172021"/>
    <x v="2"/>
    <x v="1"/>
    <n v="1"/>
    <n v="65"/>
    <n v="79"/>
  </r>
  <r>
    <x v="1"/>
    <x v="49"/>
    <x v="6"/>
    <x v="369"/>
    <x v="66"/>
    <n v="29.7"/>
    <n v="1.2"/>
    <n v="0.7"/>
    <n v="0"/>
    <n v="0"/>
    <n v="0"/>
    <n v="0"/>
    <n v="0"/>
    <x v="521"/>
    <x v="353"/>
    <n v="47133"/>
    <x v="13"/>
    <x v="11"/>
    <n v="14"/>
    <n v="80"/>
    <n v="200"/>
  </r>
  <r>
    <x v="2"/>
    <x v="0"/>
    <x v="1"/>
    <x v="847"/>
    <x v="199"/>
    <n v="96.9"/>
    <n v="3.1"/>
    <n v="2.2000000000000002"/>
    <n v="0"/>
    <n v="0"/>
    <n v="0"/>
    <n v="0"/>
    <n v="0"/>
    <x v="31"/>
    <x v="31"/>
    <n v="246575"/>
    <x v="367"/>
    <x v="51"/>
    <n v="239"/>
    <n v="50"/>
    <n v="64"/>
  </r>
  <r>
    <x v="2"/>
    <x v="114"/>
    <x v="0"/>
    <x v="848"/>
    <x v="572"/>
    <n v="99.7"/>
    <n v="1.8"/>
    <n v="1.3"/>
    <n v="157.19999999999999"/>
    <n v="71.099999999999994"/>
    <n v="87.1"/>
    <n v="2.2000000000000002"/>
    <n v="1.8"/>
    <x v="199"/>
    <x v="193"/>
    <n v="1038858"/>
    <x v="368"/>
    <x v="274"/>
    <n v="1036"/>
    <n v="999"/>
    <n v="999"/>
  </r>
  <r>
    <x v="1"/>
    <x v="81"/>
    <x v="8"/>
    <x v="97"/>
    <x v="2"/>
    <n v="0"/>
    <n v="0"/>
    <n v="0"/>
    <n v="0"/>
    <n v="0"/>
    <n v="0"/>
    <n v="0"/>
    <n v="0"/>
    <x v="28"/>
    <x v="28"/>
    <n v="0"/>
    <x v="45"/>
    <x v="1"/>
    <n v="0"/>
    <n v="0"/>
    <n v="4"/>
  </r>
  <r>
    <x v="0"/>
    <x v="74"/>
    <x v="2"/>
    <x v="2"/>
    <x v="2"/>
    <n v="0"/>
    <n v="0"/>
    <n v="0"/>
    <n v="0"/>
    <n v="0"/>
    <n v="0"/>
    <n v="0"/>
    <n v="0"/>
    <x v="382"/>
    <x v="358"/>
    <n v="21371"/>
    <x v="2"/>
    <x v="1"/>
    <n v="0"/>
    <n v="5"/>
    <n v="11"/>
  </r>
  <r>
    <x v="1"/>
    <x v="5"/>
    <x v="3"/>
    <x v="37"/>
    <x v="49"/>
    <n v="0"/>
    <n v="5.5"/>
    <n v="0"/>
    <n v="0"/>
    <n v="0"/>
    <n v="0"/>
    <n v="0"/>
    <n v="0"/>
    <x v="584"/>
    <x v="535"/>
    <n v="0"/>
    <x v="24"/>
    <x v="39"/>
    <n v="0"/>
    <n v="18"/>
    <n v="29"/>
  </r>
  <r>
    <x v="2"/>
    <x v="77"/>
    <x v="1"/>
    <x v="849"/>
    <x v="573"/>
    <n v="62.8"/>
    <n v="2.7"/>
    <n v="2.1"/>
    <n v="0"/>
    <n v="0"/>
    <n v="0"/>
    <n v="0"/>
    <n v="0"/>
    <x v="480"/>
    <x v="444"/>
    <n v="246890"/>
    <x v="117"/>
    <x v="15"/>
    <n v="155"/>
    <n v="50"/>
    <n v="64"/>
  </r>
  <r>
    <x v="1"/>
    <x v="81"/>
    <x v="2"/>
    <x v="241"/>
    <x v="2"/>
    <n v="0"/>
    <n v="0"/>
    <n v="0"/>
    <n v="0"/>
    <n v="0"/>
    <n v="0"/>
    <n v="0"/>
    <n v="0"/>
    <x v="356"/>
    <x v="28"/>
    <n v="0"/>
    <x v="1"/>
    <x v="1"/>
    <n v="0"/>
    <n v="5"/>
    <n v="11"/>
  </r>
  <r>
    <x v="1"/>
    <x v="93"/>
    <x v="8"/>
    <x v="108"/>
    <x v="2"/>
    <n v="0"/>
    <n v="0"/>
    <n v="0"/>
    <n v="0"/>
    <n v="0"/>
    <n v="0"/>
    <n v="0"/>
    <n v="0"/>
    <x v="28"/>
    <x v="28"/>
    <n v="0"/>
    <x v="0"/>
    <x v="1"/>
    <n v="0"/>
    <n v="0"/>
    <n v="4"/>
  </r>
  <r>
    <x v="1"/>
    <x v="93"/>
    <x v="2"/>
    <x v="241"/>
    <x v="2"/>
    <n v="0"/>
    <n v="0"/>
    <n v="0"/>
    <n v="0"/>
    <n v="0"/>
    <n v="0"/>
    <n v="0"/>
    <n v="0"/>
    <x v="356"/>
    <x v="28"/>
    <n v="0"/>
    <x v="1"/>
    <x v="1"/>
    <n v="0"/>
    <n v="5"/>
    <n v="11"/>
  </r>
  <r>
    <x v="1"/>
    <x v="139"/>
    <x v="7"/>
    <x v="395"/>
    <x v="2"/>
    <n v="6.4"/>
    <n v="0"/>
    <n v="0.8"/>
    <n v="0"/>
    <n v="0"/>
    <n v="0"/>
    <n v="0"/>
    <n v="0"/>
    <x v="941"/>
    <x v="845"/>
    <n v="171739"/>
    <x v="0"/>
    <x v="1"/>
    <n v="11"/>
    <n v="65"/>
    <n v="79"/>
  </r>
  <r>
    <x v="0"/>
    <x v="80"/>
    <x v="4"/>
    <x v="2"/>
    <x v="2"/>
    <n v="0"/>
    <n v="0"/>
    <n v="0"/>
    <n v="0"/>
    <n v="0"/>
    <n v="0"/>
    <n v="0"/>
    <n v="0"/>
    <x v="547"/>
    <x v="502"/>
    <n v="33365"/>
    <x v="2"/>
    <x v="1"/>
    <n v="0"/>
    <n v="12"/>
    <n v="17"/>
  </r>
  <r>
    <x v="1"/>
    <x v="66"/>
    <x v="3"/>
    <x v="348"/>
    <x v="49"/>
    <n v="0"/>
    <n v="5.6"/>
    <n v="0"/>
    <n v="0"/>
    <n v="0"/>
    <n v="0"/>
    <n v="0"/>
    <n v="0"/>
    <x v="942"/>
    <x v="846"/>
    <n v="14313"/>
    <x v="51"/>
    <x v="39"/>
    <n v="0"/>
    <n v="18"/>
    <n v="29"/>
  </r>
  <r>
    <x v="1"/>
    <x v="9"/>
    <x v="8"/>
    <x v="219"/>
    <x v="2"/>
    <n v="0"/>
    <n v="0"/>
    <n v="0"/>
    <n v="0"/>
    <n v="0"/>
    <n v="0"/>
    <n v="0"/>
    <n v="0"/>
    <x v="28"/>
    <x v="28"/>
    <n v="0"/>
    <x v="1"/>
    <x v="1"/>
    <n v="0"/>
    <n v="0"/>
    <n v="4"/>
  </r>
  <r>
    <x v="0"/>
    <x v="112"/>
    <x v="3"/>
    <x v="18"/>
    <x v="2"/>
    <n v="0"/>
    <n v="0"/>
    <n v="0"/>
    <n v="0"/>
    <n v="0"/>
    <n v="0"/>
    <n v="0"/>
    <n v="0"/>
    <x v="538"/>
    <x v="493"/>
    <n v="0"/>
    <x v="1"/>
    <x v="1"/>
    <n v="0"/>
    <n v="18"/>
    <n v="29"/>
  </r>
  <r>
    <x v="0"/>
    <x v="104"/>
    <x v="5"/>
    <x v="99"/>
    <x v="19"/>
    <n v="0"/>
    <n v="5.2"/>
    <n v="0"/>
    <n v="0"/>
    <n v="0"/>
    <n v="0"/>
    <n v="0"/>
    <n v="0"/>
    <x v="541"/>
    <x v="496"/>
    <n v="82444"/>
    <x v="20"/>
    <x v="11"/>
    <n v="0"/>
    <n v="30"/>
    <n v="49"/>
  </r>
  <r>
    <x v="1"/>
    <x v="9"/>
    <x v="2"/>
    <x v="241"/>
    <x v="2"/>
    <n v="0"/>
    <n v="0"/>
    <n v="0"/>
    <n v="0"/>
    <n v="0"/>
    <n v="0"/>
    <n v="0"/>
    <n v="0"/>
    <x v="356"/>
    <x v="28"/>
    <n v="0"/>
    <x v="1"/>
    <x v="1"/>
    <n v="0"/>
    <n v="5"/>
    <n v="11"/>
  </r>
  <r>
    <x v="2"/>
    <x v="51"/>
    <x v="6"/>
    <x v="490"/>
    <x v="574"/>
    <n v="246.5"/>
    <n v="0.4"/>
    <n v="0.6"/>
    <n v="0"/>
    <n v="0"/>
    <n v="0"/>
    <n v="0"/>
    <n v="0"/>
    <x v="158"/>
    <x v="155"/>
    <n v="46252"/>
    <x v="211"/>
    <x v="78"/>
    <n v="114"/>
    <n v="80"/>
    <n v="200"/>
  </r>
  <r>
    <x v="0"/>
    <x v="109"/>
    <x v="8"/>
    <x v="2"/>
    <x v="2"/>
    <n v="0"/>
    <n v="0"/>
    <n v="0"/>
    <n v="0"/>
    <n v="0"/>
    <n v="0"/>
    <n v="0"/>
    <n v="0"/>
    <x v="28"/>
    <x v="28"/>
    <n v="0"/>
    <x v="2"/>
    <x v="1"/>
    <n v="0"/>
    <n v="0"/>
    <n v="4"/>
  </r>
  <r>
    <x v="2"/>
    <x v="130"/>
    <x v="3"/>
    <x v="850"/>
    <x v="575"/>
    <n v="0"/>
    <n v="3.4"/>
    <n v="0"/>
    <n v="0"/>
    <n v="0"/>
    <n v="0"/>
    <n v="0"/>
    <n v="0"/>
    <x v="943"/>
    <x v="847"/>
    <n v="0"/>
    <x v="369"/>
    <x v="109"/>
    <n v="0"/>
    <n v="18"/>
    <n v="29"/>
  </r>
  <r>
    <x v="1"/>
    <x v="130"/>
    <x v="8"/>
    <x v="108"/>
    <x v="2"/>
    <n v="0"/>
    <n v="0"/>
    <n v="0"/>
    <n v="0"/>
    <n v="0"/>
    <n v="0"/>
    <n v="0"/>
    <n v="0"/>
    <x v="28"/>
    <x v="28"/>
    <n v="0"/>
    <x v="0"/>
    <x v="1"/>
    <n v="0"/>
    <n v="0"/>
    <n v="4"/>
  </r>
  <r>
    <x v="0"/>
    <x v="50"/>
    <x v="6"/>
    <x v="2"/>
    <x v="2"/>
    <n v="4.4000000000000004"/>
    <n v="0"/>
    <n v="0"/>
    <n v="0"/>
    <n v="0"/>
    <n v="0"/>
    <n v="0"/>
    <n v="0"/>
    <x v="944"/>
    <x v="848"/>
    <n v="45641"/>
    <x v="2"/>
    <x v="1"/>
    <n v="2"/>
    <n v="80"/>
    <n v="200"/>
  </r>
  <r>
    <x v="1"/>
    <x v="34"/>
    <x v="0"/>
    <x v="623"/>
    <x v="545"/>
    <n v="6.3"/>
    <n v="3.6"/>
    <n v="8.1999999999999993"/>
    <n v="72.599999999999994"/>
    <n v="14.3"/>
    <n v="3.4"/>
    <n v="5.0999999999999996"/>
    <n v="21.2"/>
    <x v="849"/>
    <x v="769"/>
    <n v="447192"/>
    <x v="295"/>
    <x v="62"/>
    <n v="28"/>
    <n v="999"/>
    <n v="999"/>
  </r>
  <r>
    <x v="1"/>
    <x v="65"/>
    <x v="1"/>
    <x v="14"/>
    <x v="2"/>
    <n v="0"/>
    <n v="0"/>
    <n v="0"/>
    <n v="0"/>
    <n v="0"/>
    <n v="0"/>
    <n v="0"/>
    <n v="0"/>
    <x v="835"/>
    <x v="758"/>
    <n v="0"/>
    <x v="27"/>
    <x v="1"/>
    <n v="0"/>
    <n v="50"/>
    <n v="64"/>
  </r>
  <r>
    <x v="1"/>
    <x v="75"/>
    <x v="3"/>
    <x v="851"/>
    <x v="4"/>
    <n v="3.2"/>
    <n v="3.1"/>
    <n v="3.7"/>
    <n v="0"/>
    <n v="0"/>
    <n v="0"/>
    <n v="0"/>
    <n v="0"/>
    <x v="312"/>
    <x v="294"/>
    <n v="158188"/>
    <x v="6"/>
    <x v="5"/>
    <n v="5"/>
    <n v="18"/>
    <n v="29"/>
  </r>
  <r>
    <x v="1"/>
    <x v="136"/>
    <x v="8"/>
    <x v="427"/>
    <x v="2"/>
    <n v="0"/>
    <n v="0"/>
    <n v="0"/>
    <n v="0"/>
    <n v="0"/>
    <n v="0"/>
    <n v="0"/>
    <n v="0"/>
    <x v="28"/>
    <x v="28"/>
    <n v="0"/>
    <x v="64"/>
    <x v="1"/>
    <n v="0"/>
    <n v="0"/>
    <n v="4"/>
  </r>
  <r>
    <x v="1"/>
    <x v="136"/>
    <x v="2"/>
    <x v="241"/>
    <x v="2"/>
    <n v="0"/>
    <n v="0"/>
    <n v="0"/>
    <n v="0"/>
    <n v="0"/>
    <n v="0"/>
    <n v="0"/>
    <n v="0"/>
    <x v="356"/>
    <x v="28"/>
    <n v="0"/>
    <x v="1"/>
    <x v="1"/>
    <n v="0"/>
    <n v="5"/>
    <n v="11"/>
  </r>
  <r>
    <x v="2"/>
    <x v="38"/>
    <x v="6"/>
    <x v="448"/>
    <x v="114"/>
    <n v="123.1"/>
    <n v="1"/>
    <n v="0.6"/>
    <n v="0"/>
    <n v="0"/>
    <n v="0"/>
    <n v="0"/>
    <n v="0"/>
    <x v="448"/>
    <x v="353"/>
    <n v="47133"/>
    <x v="134"/>
    <x v="5"/>
    <n v="58"/>
    <n v="80"/>
    <n v="200"/>
  </r>
  <r>
    <x v="1"/>
    <x v="59"/>
    <x v="8"/>
    <x v="97"/>
    <x v="2"/>
    <n v="0"/>
    <n v="0"/>
    <n v="0"/>
    <n v="0"/>
    <n v="0"/>
    <n v="0"/>
    <n v="0"/>
    <n v="0"/>
    <x v="28"/>
    <x v="28"/>
    <n v="0"/>
    <x v="45"/>
    <x v="1"/>
    <n v="0"/>
    <n v="0"/>
    <n v="4"/>
  </r>
  <r>
    <x v="1"/>
    <x v="59"/>
    <x v="2"/>
    <x v="2"/>
    <x v="2"/>
    <n v="0"/>
    <n v="0"/>
    <n v="0"/>
    <n v="0"/>
    <n v="0"/>
    <n v="0"/>
    <n v="0"/>
    <n v="0"/>
    <x v="356"/>
    <x v="28"/>
    <n v="0"/>
    <x v="2"/>
    <x v="1"/>
    <n v="0"/>
    <n v="5"/>
    <n v="11"/>
  </r>
  <r>
    <x v="1"/>
    <x v="5"/>
    <x v="8"/>
    <x v="108"/>
    <x v="2"/>
    <n v="0"/>
    <n v="0"/>
    <n v="0"/>
    <n v="0"/>
    <n v="0"/>
    <n v="0"/>
    <n v="0"/>
    <n v="0"/>
    <x v="28"/>
    <x v="28"/>
    <n v="0"/>
    <x v="0"/>
    <x v="1"/>
    <n v="0"/>
    <n v="0"/>
    <n v="4"/>
  </r>
  <r>
    <x v="2"/>
    <x v="138"/>
    <x v="4"/>
    <x v="852"/>
    <x v="2"/>
    <n v="0"/>
    <n v="0"/>
    <n v="0"/>
    <n v="0"/>
    <n v="0"/>
    <n v="0"/>
    <n v="0"/>
    <n v="0"/>
    <x v="609"/>
    <x v="28"/>
    <n v="0"/>
    <x v="214"/>
    <x v="1"/>
    <n v="0"/>
    <n v="12"/>
    <n v="17"/>
  </r>
  <r>
    <x v="1"/>
    <x v="5"/>
    <x v="2"/>
    <x v="93"/>
    <x v="2"/>
    <n v="0"/>
    <n v="0"/>
    <n v="0"/>
    <n v="0"/>
    <n v="0"/>
    <n v="0"/>
    <n v="0"/>
    <n v="0"/>
    <x v="356"/>
    <x v="28"/>
    <n v="0"/>
    <x v="45"/>
    <x v="1"/>
    <n v="0"/>
    <n v="5"/>
    <n v="11"/>
  </r>
  <r>
    <x v="2"/>
    <x v="61"/>
    <x v="2"/>
    <x v="371"/>
    <x v="214"/>
    <n v="0"/>
    <n v="1"/>
    <n v="0"/>
    <n v="0"/>
    <n v="0"/>
    <n v="0"/>
    <n v="0"/>
    <n v="0"/>
    <x v="945"/>
    <x v="382"/>
    <n v="21266"/>
    <x v="6"/>
    <x v="17"/>
    <n v="0"/>
    <n v="5"/>
    <n v="11"/>
  </r>
  <r>
    <x v="1"/>
    <x v="106"/>
    <x v="2"/>
    <x v="241"/>
    <x v="2"/>
    <n v="0"/>
    <n v="0"/>
    <n v="0"/>
    <n v="0"/>
    <n v="0"/>
    <n v="0"/>
    <n v="0"/>
    <n v="0"/>
    <x v="356"/>
    <x v="28"/>
    <n v="0"/>
    <x v="1"/>
    <x v="1"/>
    <n v="0"/>
    <n v="5"/>
    <n v="11"/>
  </r>
  <r>
    <x v="1"/>
    <x v="112"/>
    <x v="6"/>
    <x v="346"/>
    <x v="100"/>
    <n v="0"/>
    <n v="8.1"/>
    <n v="0"/>
    <n v="0"/>
    <n v="0"/>
    <n v="0"/>
    <n v="0"/>
    <n v="0"/>
    <x v="806"/>
    <x v="733"/>
    <n v="0"/>
    <x v="27"/>
    <x v="11"/>
    <n v="0"/>
    <n v="80"/>
    <n v="200"/>
  </r>
  <r>
    <x v="1"/>
    <x v="88"/>
    <x v="8"/>
    <x v="219"/>
    <x v="2"/>
    <n v="0"/>
    <n v="0"/>
    <n v="0"/>
    <n v="0"/>
    <n v="0"/>
    <n v="0"/>
    <n v="0"/>
    <n v="0"/>
    <x v="28"/>
    <x v="28"/>
    <n v="0"/>
    <x v="1"/>
    <x v="1"/>
    <n v="0"/>
    <n v="0"/>
    <n v="4"/>
  </r>
  <r>
    <x v="1"/>
    <x v="88"/>
    <x v="2"/>
    <x v="2"/>
    <x v="2"/>
    <n v="0"/>
    <n v="0"/>
    <n v="0"/>
    <n v="0"/>
    <n v="0"/>
    <n v="0"/>
    <n v="0"/>
    <n v="0"/>
    <x v="356"/>
    <x v="28"/>
    <n v="0"/>
    <x v="2"/>
    <x v="1"/>
    <n v="0"/>
    <n v="5"/>
    <n v="11"/>
  </r>
  <r>
    <x v="1"/>
    <x v="40"/>
    <x v="8"/>
    <x v="20"/>
    <x v="2"/>
    <n v="0"/>
    <n v="0"/>
    <n v="0"/>
    <n v="0"/>
    <n v="0"/>
    <n v="0"/>
    <n v="0"/>
    <n v="0"/>
    <x v="28"/>
    <x v="28"/>
    <n v="0"/>
    <x v="20"/>
    <x v="1"/>
    <n v="0"/>
    <n v="0"/>
    <n v="4"/>
  </r>
  <r>
    <x v="1"/>
    <x v="40"/>
    <x v="2"/>
    <x v="241"/>
    <x v="2"/>
    <n v="0"/>
    <n v="0"/>
    <n v="0"/>
    <n v="0"/>
    <n v="0"/>
    <n v="0"/>
    <n v="0"/>
    <n v="0"/>
    <x v="356"/>
    <x v="28"/>
    <n v="0"/>
    <x v="1"/>
    <x v="1"/>
    <n v="0"/>
    <n v="5"/>
    <n v="11"/>
  </r>
  <r>
    <x v="1"/>
    <x v="21"/>
    <x v="8"/>
    <x v="2"/>
    <x v="2"/>
    <n v="0"/>
    <n v="0"/>
    <n v="0"/>
    <n v="0"/>
    <n v="0"/>
    <n v="0"/>
    <n v="0"/>
    <n v="0"/>
    <x v="28"/>
    <x v="28"/>
    <n v="0"/>
    <x v="2"/>
    <x v="1"/>
    <n v="0"/>
    <n v="0"/>
    <n v="4"/>
  </r>
  <r>
    <x v="1"/>
    <x v="21"/>
    <x v="2"/>
    <x v="2"/>
    <x v="2"/>
    <n v="0"/>
    <n v="0"/>
    <n v="0"/>
    <n v="0"/>
    <n v="0"/>
    <n v="0"/>
    <n v="0"/>
    <n v="0"/>
    <x v="356"/>
    <x v="28"/>
    <n v="0"/>
    <x v="2"/>
    <x v="1"/>
    <n v="0"/>
    <n v="5"/>
    <n v="11"/>
  </r>
  <r>
    <x v="1"/>
    <x v="131"/>
    <x v="8"/>
    <x v="2"/>
    <x v="2"/>
    <n v="0"/>
    <n v="0"/>
    <n v="0"/>
    <n v="0"/>
    <n v="0"/>
    <n v="0"/>
    <n v="0"/>
    <n v="0"/>
    <x v="28"/>
    <x v="28"/>
    <n v="0"/>
    <x v="2"/>
    <x v="1"/>
    <n v="0"/>
    <n v="0"/>
    <n v="4"/>
  </r>
  <r>
    <x v="1"/>
    <x v="131"/>
    <x v="2"/>
    <x v="2"/>
    <x v="2"/>
    <n v="0"/>
    <n v="0"/>
    <n v="0"/>
    <n v="0"/>
    <n v="0"/>
    <n v="0"/>
    <n v="0"/>
    <n v="0"/>
    <x v="356"/>
    <x v="28"/>
    <n v="0"/>
    <x v="2"/>
    <x v="1"/>
    <n v="0"/>
    <n v="5"/>
    <n v="11"/>
  </r>
  <r>
    <x v="1"/>
    <x v="57"/>
    <x v="8"/>
    <x v="2"/>
    <x v="2"/>
    <n v="0"/>
    <n v="0"/>
    <n v="0"/>
    <n v="0"/>
    <n v="0"/>
    <n v="0"/>
    <n v="0"/>
    <n v="0"/>
    <x v="28"/>
    <x v="28"/>
    <n v="0"/>
    <x v="2"/>
    <x v="1"/>
    <n v="0"/>
    <n v="0"/>
    <n v="4"/>
  </r>
  <r>
    <x v="1"/>
    <x v="57"/>
    <x v="2"/>
    <x v="241"/>
    <x v="2"/>
    <n v="0"/>
    <n v="0"/>
    <n v="0"/>
    <n v="0"/>
    <n v="0"/>
    <n v="0"/>
    <n v="0"/>
    <n v="0"/>
    <x v="356"/>
    <x v="28"/>
    <n v="0"/>
    <x v="1"/>
    <x v="1"/>
    <n v="0"/>
    <n v="5"/>
    <n v="11"/>
  </r>
  <r>
    <x v="2"/>
    <x v="31"/>
    <x v="1"/>
    <x v="853"/>
    <x v="576"/>
    <n v="264.5"/>
    <n v="3"/>
    <n v="1.6"/>
    <n v="0"/>
    <n v="0"/>
    <n v="0"/>
    <n v="0"/>
    <n v="0"/>
    <x v="808"/>
    <x v="735"/>
    <n v="240866"/>
    <x v="370"/>
    <x v="275"/>
    <n v="637"/>
    <n v="50"/>
    <n v="64"/>
  </r>
  <r>
    <x v="1"/>
    <x v="87"/>
    <x v="8"/>
    <x v="2"/>
    <x v="2"/>
    <n v="0"/>
    <n v="0"/>
    <n v="0"/>
    <n v="0"/>
    <n v="0"/>
    <n v="0"/>
    <n v="0"/>
    <n v="0"/>
    <x v="28"/>
    <x v="28"/>
    <n v="0"/>
    <x v="2"/>
    <x v="1"/>
    <n v="0"/>
    <n v="0"/>
    <n v="4"/>
  </r>
  <r>
    <x v="2"/>
    <x v="113"/>
    <x v="8"/>
    <x v="680"/>
    <x v="36"/>
    <n v="0"/>
    <n v="10.1"/>
    <n v="0"/>
    <n v="0"/>
    <n v="0"/>
    <n v="0"/>
    <n v="0"/>
    <n v="0"/>
    <x v="28"/>
    <x v="28"/>
    <n v="0"/>
    <x v="211"/>
    <x v="16"/>
    <n v="0"/>
    <n v="0"/>
    <n v="4"/>
  </r>
  <r>
    <x v="1"/>
    <x v="139"/>
    <x v="1"/>
    <x v="132"/>
    <x v="2"/>
    <n v="0.8"/>
    <n v="0"/>
    <n v="3.9"/>
    <n v="0"/>
    <n v="0"/>
    <n v="0"/>
    <n v="0"/>
    <n v="0"/>
    <x v="857"/>
    <x v="776"/>
    <n v="246925"/>
    <x v="1"/>
    <x v="1"/>
    <n v="2"/>
    <n v="50"/>
    <n v="64"/>
  </r>
  <r>
    <x v="1"/>
    <x v="7"/>
    <x v="6"/>
    <x v="854"/>
    <x v="321"/>
    <n v="15.4"/>
    <n v="2.1"/>
    <n v="9.1"/>
    <n v="0"/>
    <n v="0"/>
    <n v="0"/>
    <n v="0"/>
    <n v="0"/>
    <x v="353"/>
    <x v="330"/>
    <n v="25961"/>
    <x v="93"/>
    <x v="31"/>
    <n v="4"/>
    <n v="80"/>
    <n v="200"/>
  </r>
  <r>
    <x v="2"/>
    <x v="0"/>
    <x v="5"/>
    <x v="130"/>
    <x v="577"/>
    <n v="90.2"/>
    <n v="2.5"/>
    <n v="1.4"/>
    <n v="0"/>
    <n v="0"/>
    <n v="0"/>
    <n v="0"/>
    <n v="0"/>
    <x v="946"/>
    <x v="849"/>
    <n v="346933"/>
    <x v="371"/>
    <x v="229"/>
    <n v="313"/>
    <n v="30"/>
    <n v="49"/>
  </r>
  <r>
    <x v="1"/>
    <x v="3"/>
    <x v="8"/>
    <x v="219"/>
    <x v="2"/>
    <n v="0"/>
    <n v="0"/>
    <n v="0"/>
    <n v="0"/>
    <n v="0"/>
    <n v="0"/>
    <n v="0"/>
    <n v="0"/>
    <x v="28"/>
    <x v="28"/>
    <n v="0"/>
    <x v="1"/>
    <x v="1"/>
    <n v="0"/>
    <n v="0"/>
    <n v="4"/>
  </r>
  <r>
    <x v="1"/>
    <x v="104"/>
    <x v="8"/>
    <x v="219"/>
    <x v="2"/>
    <n v="0"/>
    <n v="0"/>
    <n v="0"/>
    <n v="0"/>
    <n v="0"/>
    <n v="0"/>
    <n v="0"/>
    <n v="0"/>
    <x v="28"/>
    <x v="28"/>
    <n v="0"/>
    <x v="1"/>
    <x v="1"/>
    <n v="0"/>
    <n v="0"/>
    <n v="4"/>
  </r>
  <r>
    <x v="1"/>
    <x v="42"/>
    <x v="4"/>
    <x v="2"/>
    <x v="49"/>
    <n v="0"/>
    <n v="0"/>
    <n v="0"/>
    <n v="0"/>
    <n v="0"/>
    <n v="0"/>
    <n v="0"/>
    <n v="0"/>
    <x v="726"/>
    <x v="659"/>
    <n v="31203"/>
    <x v="2"/>
    <x v="0"/>
    <n v="0"/>
    <n v="12"/>
    <n v="17"/>
  </r>
  <r>
    <x v="0"/>
    <x v="138"/>
    <x v="1"/>
    <x v="210"/>
    <x v="2"/>
    <n v="0"/>
    <n v="0"/>
    <n v="0"/>
    <n v="0"/>
    <n v="0"/>
    <n v="0"/>
    <n v="0"/>
    <n v="0"/>
    <x v="481"/>
    <x v="445"/>
    <n v="0"/>
    <x v="51"/>
    <x v="1"/>
    <n v="0"/>
    <n v="50"/>
    <n v="64"/>
  </r>
  <r>
    <x v="1"/>
    <x v="7"/>
    <x v="8"/>
    <x v="20"/>
    <x v="2"/>
    <n v="0"/>
    <n v="0"/>
    <n v="0"/>
    <n v="0"/>
    <n v="0"/>
    <n v="0"/>
    <n v="0"/>
    <n v="0"/>
    <x v="28"/>
    <x v="28"/>
    <n v="0"/>
    <x v="20"/>
    <x v="1"/>
    <n v="0"/>
    <n v="0"/>
    <n v="4"/>
  </r>
  <r>
    <x v="2"/>
    <x v="87"/>
    <x v="5"/>
    <x v="855"/>
    <x v="578"/>
    <n v="25.1"/>
    <n v="2.5"/>
    <n v="9.6"/>
    <n v="0"/>
    <n v="0"/>
    <n v="0"/>
    <n v="0"/>
    <n v="0"/>
    <x v="116"/>
    <x v="115"/>
    <n v="31898"/>
    <x v="372"/>
    <x v="276"/>
    <n v="8"/>
    <n v="30"/>
    <n v="49"/>
  </r>
  <r>
    <x v="2"/>
    <x v="5"/>
    <x v="2"/>
    <x v="487"/>
    <x v="2"/>
    <n v="0"/>
    <n v="0"/>
    <n v="0"/>
    <n v="0"/>
    <n v="0"/>
    <n v="0"/>
    <n v="0"/>
    <n v="0"/>
    <x v="356"/>
    <x v="28"/>
    <n v="0"/>
    <x v="224"/>
    <x v="1"/>
    <n v="0"/>
    <n v="5"/>
    <n v="11"/>
  </r>
  <r>
    <x v="1"/>
    <x v="75"/>
    <x v="6"/>
    <x v="574"/>
    <x v="579"/>
    <n v="77.599999999999994"/>
    <n v="0.9"/>
    <n v="0.9"/>
    <n v="0"/>
    <n v="0"/>
    <n v="0"/>
    <n v="0"/>
    <n v="0"/>
    <x v="947"/>
    <x v="850"/>
    <n v="46378"/>
    <x v="34"/>
    <x v="17"/>
    <n v="36"/>
    <n v="80"/>
    <n v="200"/>
  </r>
  <r>
    <x v="2"/>
    <x v="119"/>
    <x v="6"/>
    <x v="856"/>
    <x v="580"/>
    <n v="135.30000000000001"/>
    <n v="0.6"/>
    <n v="0.6"/>
    <n v="0"/>
    <n v="0"/>
    <n v="0"/>
    <n v="0"/>
    <n v="0"/>
    <x v="812"/>
    <x v="739"/>
    <n v="47294"/>
    <x v="46"/>
    <x v="3"/>
    <n v="64"/>
    <n v="80"/>
    <n v="200"/>
  </r>
  <r>
    <x v="0"/>
    <x v="98"/>
    <x v="1"/>
    <x v="103"/>
    <x v="2"/>
    <n v="0"/>
    <n v="0"/>
    <n v="0"/>
    <n v="0"/>
    <n v="0"/>
    <n v="0"/>
    <n v="0"/>
    <n v="0"/>
    <x v="676"/>
    <x v="614"/>
    <n v="246916"/>
    <x v="1"/>
    <x v="1"/>
    <n v="0"/>
    <n v="50"/>
    <n v="64"/>
  </r>
  <r>
    <x v="1"/>
    <x v="8"/>
    <x v="6"/>
    <x v="857"/>
    <x v="487"/>
    <n v="0"/>
    <n v="12.1"/>
    <n v="0"/>
    <n v="0"/>
    <n v="0"/>
    <n v="0"/>
    <n v="0"/>
    <n v="0"/>
    <x v="601"/>
    <x v="550"/>
    <n v="0"/>
    <x v="34"/>
    <x v="11"/>
    <n v="0"/>
    <n v="80"/>
    <n v="200"/>
  </r>
  <r>
    <x v="0"/>
    <x v="96"/>
    <x v="3"/>
    <x v="2"/>
    <x v="2"/>
    <n v="0"/>
    <n v="0"/>
    <n v="0"/>
    <n v="0"/>
    <n v="0"/>
    <n v="0"/>
    <n v="0"/>
    <n v="0"/>
    <x v="530"/>
    <x v="485"/>
    <n v="161667"/>
    <x v="2"/>
    <x v="1"/>
    <n v="0"/>
    <n v="18"/>
    <n v="29"/>
  </r>
  <r>
    <x v="2"/>
    <x v="115"/>
    <x v="4"/>
    <x v="858"/>
    <x v="581"/>
    <n v="165.1"/>
    <n v="1.9"/>
    <n v="1.1000000000000001"/>
    <n v="0"/>
    <n v="0"/>
    <n v="0"/>
    <n v="0"/>
    <n v="0"/>
    <x v="899"/>
    <x v="810"/>
    <n v="32716"/>
    <x v="325"/>
    <x v="171"/>
    <n v="54"/>
    <n v="12"/>
    <n v="17"/>
  </r>
  <r>
    <x v="2"/>
    <x v="96"/>
    <x v="6"/>
    <x v="399"/>
    <x v="270"/>
    <n v="129.4"/>
    <n v="0.6"/>
    <n v="0.6"/>
    <n v="0"/>
    <n v="0"/>
    <n v="0"/>
    <n v="0"/>
    <n v="0"/>
    <x v="551"/>
    <x v="506"/>
    <n v="47126"/>
    <x v="34"/>
    <x v="75"/>
    <n v="61"/>
    <n v="80"/>
    <n v="200"/>
  </r>
  <r>
    <x v="0"/>
    <x v="45"/>
    <x v="3"/>
    <x v="2"/>
    <x v="2"/>
    <n v="0"/>
    <n v="0"/>
    <n v="0"/>
    <n v="0"/>
    <n v="0"/>
    <n v="0"/>
    <n v="0"/>
    <n v="0"/>
    <x v="142"/>
    <x v="140"/>
    <n v="0"/>
    <x v="2"/>
    <x v="1"/>
    <n v="0"/>
    <n v="18"/>
    <n v="29"/>
  </r>
  <r>
    <x v="1"/>
    <x v="106"/>
    <x v="7"/>
    <x v="675"/>
    <x v="109"/>
    <n v="0"/>
    <n v="4.2"/>
    <n v="0"/>
    <n v="0"/>
    <n v="0"/>
    <n v="0"/>
    <n v="0"/>
    <n v="0"/>
    <x v="638"/>
    <x v="579"/>
    <n v="0"/>
    <x v="32"/>
    <x v="3"/>
    <n v="0"/>
    <n v="65"/>
    <n v="79"/>
  </r>
  <r>
    <x v="2"/>
    <x v="84"/>
    <x v="2"/>
    <x v="570"/>
    <x v="28"/>
    <n v="9.4"/>
    <n v="1"/>
    <n v="1.1000000000000001"/>
    <n v="0"/>
    <n v="0"/>
    <n v="0"/>
    <n v="0"/>
    <n v="0"/>
    <x v="443"/>
    <x v="382"/>
    <n v="21266"/>
    <x v="51"/>
    <x v="5"/>
    <n v="2"/>
    <n v="5"/>
    <n v="11"/>
  </r>
  <r>
    <x v="1"/>
    <x v="25"/>
    <x v="7"/>
    <x v="859"/>
    <x v="582"/>
    <n v="21.3"/>
    <n v="1.4"/>
    <n v="4.5999999999999996"/>
    <n v="0"/>
    <n v="0"/>
    <n v="0"/>
    <n v="0"/>
    <n v="0"/>
    <x v="948"/>
    <x v="851"/>
    <n v="145762"/>
    <x v="185"/>
    <x v="61"/>
    <n v="31"/>
    <n v="65"/>
    <n v="79"/>
  </r>
  <r>
    <x v="0"/>
    <x v="83"/>
    <x v="4"/>
    <x v="2"/>
    <x v="2"/>
    <n v="0"/>
    <n v="0"/>
    <n v="0"/>
    <n v="0"/>
    <n v="0"/>
    <n v="0"/>
    <n v="0"/>
    <n v="0"/>
    <x v="793"/>
    <x v="720"/>
    <n v="33698"/>
    <x v="2"/>
    <x v="1"/>
    <n v="0"/>
    <n v="12"/>
    <n v="17"/>
  </r>
  <r>
    <x v="1"/>
    <x v="107"/>
    <x v="7"/>
    <x v="72"/>
    <x v="431"/>
    <n v="0"/>
    <n v="6.4"/>
    <n v="0"/>
    <n v="0"/>
    <n v="0"/>
    <n v="0"/>
    <n v="0"/>
    <n v="0"/>
    <x v="620"/>
    <x v="564"/>
    <n v="0"/>
    <x v="16"/>
    <x v="21"/>
    <n v="0"/>
    <n v="65"/>
    <n v="79"/>
  </r>
  <r>
    <x v="0"/>
    <x v="4"/>
    <x v="1"/>
    <x v="2"/>
    <x v="38"/>
    <n v="0.4"/>
    <n v="0"/>
    <n v="0"/>
    <n v="0"/>
    <n v="0"/>
    <n v="0"/>
    <n v="0"/>
    <n v="0"/>
    <x v="772"/>
    <x v="701"/>
    <n v="228401"/>
    <x v="2"/>
    <x v="0"/>
    <n v="1"/>
    <n v="50"/>
    <n v="64"/>
  </r>
  <r>
    <x v="1"/>
    <x v="34"/>
    <x v="8"/>
    <x v="371"/>
    <x v="2"/>
    <n v="0"/>
    <n v="0"/>
    <n v="0"/>
    <n v="0"/>
    <n v="0"/>
    <n v="0"/>
    <n v="0"/>
    <n v="0"/>
    <x v="28"/>
    <x v="28"/>
    <n v="0"/>
    <x v="29"/>
    <x v="1"/>
    <n v="0"/>
    <n v="0"/>
    <n v="4"/>
  </r>
  <r>
    <x v="0"/>
    <x v="104"/>
    <x v="3"/>
    <x v="219"/>
    <x v="2"/>
    <n v="0"/>
    <n v="0"/>
    <n v="0"/>
    <n v="0"/>
    <n v="0"/>
    <n v="0"/>
    <n v="0"/>
    <n v="0"/>
    <x v="422"/>
    <x v="393"/>
    <n v="24726"/>
    <x v="1"/>
    <x v="1"/>
    <n v="0"/>
    <n v="18"/>
    <n v="29"/>
  </r>
  <r>
    <x v="0"/>
    <x v="81"/>
    <x v="6"/>
    <x v="220"/>
    <x v="4"/>
    <n v="0"/>
    <n v="1.6"/>
    <n v="0"/>
    <n v="0"/>
    <n v="0"/>
    <n v="0"/>
    <n v="0"/>
    <n v="0"/>
    <x v="733"/>
    <x v="665"/>
    <n v="0"/>
    <x v="0"/>
    <x v="11"/>
    <n v="0"/>
    <n v="80"/>
    <n v="200"/>
  </r>
  <r>
    <x v="0"/>
    <x v="6"/>
    <x v="4"/>
    <x v="2"/>
    <x v="2"/>
    <n v="0"/>
    <n v="0"/>
    <n v="0"/>
    <n v="0"/>
    <n v="0"/>
    <n v="0"/>
    <n v="0"/>
    <n v="0"/>
    <x v="219"/>
    <x v="210"/>
    <n v="44338"/>
    <x v="2"/>
    <x v="1"/>
    <n v="0"/>
    <n v="12"/>
    <n v="17"/>
  </r>
  <r>
    <x v="0"/>
    <x v="123"/>
    <x v="4"/>
    <x v="2"/>
    <x v="2"/>
    <n v="0"/>
    <n v="0"/>
    <n v="0"/>
    <n v="0"/>
    <n v="0"/>
    <n v="0"/>
    <n v="0"/>
    <n v="0"/>
    <x v="792"/>
    <x v="719"/>
    <n v="44563"/>
    <x v="2"/>
    <x v="1"/>
    <n v="0"/>
    <n v="12"/>
    <n v="17"/>
  </r>
  <r>
    <x v="1"/>
    <x v="15"/>
    <x v="4"/>
    <x v="60"/>
    <x v="2"/>
    <n v="0"/>
    <n v="0"/>
    <n v="0"/>
    <n v="0"/>
    <n v="0"/>
    <n v="0"/>
    <n v="0"/>
    <n v="0"/>
    <x v="949"/>
    <x v="852"/>
    <n v="41807"/>
    <x v="1"/>
    <x v="1"/>
    <n v="0"/>
    <n v="12"/>
    <n v="17"/>
  </r>
  <r>
    <x v="1"/>
    <x v="124"/>
    <x v="8"/>
    <x v="72"/>
    <x v="2"/>
    <n v="0"/>
    <n v="0"/>
    <n v="0"/>
    <n v="0"/>
    <n v="0"/>
    <n v="0"/>
    <n v="0"/>
    <n v="0"/>
    <x v="28"/>
    <x v="28"/>
    <n v="0"/>
    <x v="48"/>
    <x v="1"/>
    <n v="0"/>
    <n v="0"/>
    <n v="4"/>
  </r>
  <r>
    <x v="2"/>
    <x v="11"/>
    <x v="4"/>
    <x v="860"/>
    <x v="193"/>
    <n v="24.7"/>
    <n v="4.0999999999999996"/>
    <n v="3.2"/>
    <n v="0"/>
    <n v="0"/>
    <n v="0"/>
    <n v="0"/>
    <n v="0"/>
    <x v="438"/>
    <x v="409"/>
    <n v="44575"/>
    <x v="17"/>
    <x v="28"/>
    <n v="11"/>
    <n v="12"/>
    <n v="17"/>
  </r>
  <r>
    <x v="2"/>
    <x v="75"/>
    <x v="7"/>
    <x v="861"/>
    <x v="583"/>
    <n v="238.3"/>
    <n v="1.3"/>
    <n v="1"/>
    <n v="0"/>
    <n v="0"/>
    <n v="0"/>
    <n v="0"/>
    <n v="0"/>
    <x v="950"/>
    <x v="853"/>
    <n v="169088"/>
    <x v="115"/>
    <x v="240"/>
    <n v="403"/>
    <n v="65"/>
    <n v="79"/>
  </r>
  <r>
    <x v="2"/>
    <x v="83"/>
    <x v="0"/>
    <x v="862"/>
    <x v="584"/>
    <n v="339.7"/>
    <n v="1.3"/>
    <n v="0.8"/>
    <n v="293.10000000000002"/>
    <n v="185.2"/>
    <n v="299.7"/>
    <n v="1.6"/>
    <n v="1"/>
    <x v="410"/>
    <x v="384"/>
    <n v="956808"/>
    <x v="373"/>
    <x v="277"/>
    <n v="3250"/>
    <n v="999"/>
    <n v="999"/>
  </r>
  <r>
    <x v="1"/>
    <x v="31"/>
    <x v="6"/>
    <x v="863"/>
    <x v="260"/>
    <n v="63"/>
    <n v="0.4"/>
    <n v="0.8"/>
    <n v="0"/>
    <n v="0"/>
    <n v="0"/>
    <n v="0"/>
    <n v="0"/>
    <x v="143"/>
    <x v="141"/>
    <n v="46042"/>
    <x v="35"/>
    <x v="28"/>
    <n v="29"/>
    <n v="80"/>
    <n v="200"/>
  </r>
  <r>
    <x v="0"/>
    <x v="71"/>
    <x v="0"/>
    <x v="18"/>
    <x v="82"/>
    <n v="0"/>
    <n v="2"/>
    <n v="0"/>
    <n v="0.6"/>
    <n v="0.1"/>
    <n v="0"/>
    <n v="6.5"/>
    <n v="0"/>
    <x v="771"/>
    <x v="700"/>
    <n v="0"/>
    <x v="13"/>
    <x v="11"/>
    <n v="0"/>
    <n v="999"/>
    <n v="999"/>
  </r>
  <r>
    <x v="2"/>
    <x v="46"/>
    <x v="8"/>
    <x v="344"/>
    <x v="36"/>
    <n v="0"/>
    <n v="29.5"/>
    <n v="0"/>
    <n v="0"/>
    <n v="0"/>
    <n v="0"/>
    <n v="0"/>
    <n v="0"/>
    <x v="28"/>
    <x v="28"/>
    <n v="0"/>
    <x v="171"/>
    <x v="16"/>
    <n v="0"/>
    <n v="0"/>
    <n v="4"/>
  </r>
  <r>
    <x v="2"/>
    <x v="120"/>
    <x v="7"/>
    <x v="775"/>
    <x v="585"/>
    <n v="74.5"/>
    <n v="1.1000000000000001"/>
    <n v="1"/>
    <n v="0"/>
    <n v="0"/>
    <n v="0"/>
    <n v="0"/>
    <n v="0"/>
    <x v="951"/>
    <x v="854"/>
    <n v="171712"/>
    <x v="66"/>
    <x v="37"/>
    <n v="128"/>
    <n v="65"/>
    <n v="79"/>
  </r>
  <r>
    <x v="2"/>
    <x v="98"/>
    <x v="3"/>
    <x v="601"/>
    <x v="169"/>
    <n v="3.1"/>
    <n v="2.9"/>
    <n v="4.3"/>
    <n v="0"/>
    <n v="0"/>
    <n v="0"/>
    <n v="0"/>
    <n v="0"/>
    <x v="715"/>
    <x v="113"/>
    <n v="161697"/>
    <x v="24"/>
    <x v="17"/>
    <n v="5"/>
    <n v="18"/>
    <n v="29"/>
  </r>
  <r>
    <x v="1"/>
    <x v="112"/>
    <x v="1"/>
    <x v="864"/>
    <x v="19"/>
    <n v="0"/>
    <n v="139.19999999999999"/>
    <n v="0"/>
    <n v="0"/>
    <n v="0"/>
    <n v="0"/>
    <n v="0"/>
    <n v="0"/>
    <x v="952"/>
    <x v="855"/>
    <n v="0"/>
    <x v="231"/>
    <x v="0"/>
    <n v="0"/>
    <n v="50"/>
    <n v="64"/>
  </r>
  <r>
    <x v="1"/>
    <x v="86"/>
    <x v="6"/>
    <x v="865"/>
    <x v="452"/>
    <n v="91.3"/>
    <n v="0.6"/>
    <n v="1.1000000000000001"/>
    <n v="0"/>
    <n v="0"/>
    <n v="0"/>
    <n v="0"/>
    <n v="0"/>
    <x v="330"/>
    <x v="309"/>
    <n v="47117"/>
    <x v="56"/>
    <x v="28"/>
    <n v="43"/>
    <n v="80"/>
    <n v="200"/>
  </r>
  <r>
    <x v="0"/>
    <x v="113"/>
    <x v="1"/>
    <x v="2"/>
    <x v="2"/>
    <n v="0.4"/>
    <n v="0"/>
    <n v="0"/>
    <n v="0"/>
    <n v="0"/>
    <n v="0"/>
    <n v="0"/>
    <n v="0"/>
    <x v="670"/>
    <x v="608"/>
    <n v="247019"/>
    <x v="2"/>
    <x v="1"/>
    <n v="1"/>
    <n v="50"/>
    <n v="64"/>
  </r>
  <r>
    <x v="0"/>
    <x v="117"/>
    <x v="7"/>
    <x v="2"/>
    <x v="2"/>
    <n v="0.6"/>
    <n v="0"/>
    <n v="0"/>
    <n v="0"/>
    <n v="0"/>
    <n v="0"/>
    <n v="0"/>
    <n v="0"/>
    <x v="728"/>
    <x v="661"/>
    <n v="171353"/>
    <x v="2"/>
    <x v="1"/>
    <n v="1"/>
    <n v="65"/>
    <n v="79"/>
  </r>
  <r>
    <x v="0"/>
    <x v="11"/>
    <x v="4"/>
    <x v="2"/>
    <x v="2"/>
    <n v="0"/>
    <n v="0"/>
    <n v="0"/>
    <n v="0"/>
    <n v="0"/>
    <n v="0"/>
    <n v="0"/>
    <n v="0"/>
    <x v="438"/>
    <x v="409"/>
    <n v="44575"/>
    <x v="2"/>
    <x v="1"/>
    <n v="0"/>
    <n v="12"/>
    <n v="17"/>
  </r>
  <r>
    <x v="2"/>
    <x v="86"/>
    <x v="6"/>
    <x v="866"/>
    <x v="586"/>
    <n v="208"/>
    <n v="0.6"/>
    <n v="0.7"/>
    <n v="0"/>
    <n v="0"/>
    <n v="0"/>
    <n v="0"/>
    <n v="0"/>
    <x v="330"/>
    <x v="309"/>
    <n v="47117"/>
    <x v="118"/>
    <x v="27"/>
    <n v="98"/>
    <n v="80"/>
    <n v="200"/>
  </r>
  <r>
    <x v="0"/>
    <x v="105"/>
    <x v="3"/>
    <x v="2"/>
    <x v="2"/>
    <n v="0"/>
    <n v="0"/>
    <n v="0"/>
    <n v="0"/>
    <n v="0"/>
    <n v="0"/>
    <n v="0"/>
    <n v="0"/>
    <x v="597"/>
    <x v="546"/>
    <n v="158786"/>
    <x v="2"/>
    <x v="1"/>
    <n v="0"/>
    <n v="18"/>
    <n v="29"/>
  </r>
  <r>
    <x v="2"/>
    <x v="79"/>
    <x v="3"/>
    <x v="558"/>
    <x v="342"/>
    <n v="10.5"/>
    <n v="5.2"/>
    <n v="4.4000000000000004"/>
    <n v="0"/>
    <n v="0"/>
    <n v="0"/>
    <n v="0"/>
    <n v="0"/>
    <x v="639"/>
    <x v="580"/>
    <n v="161691"/>
    <x v="137"/>
    <x v="130"/>
    <n v="17"/>
    <n v="18"/>
    <n v="29"/>
  </r>
  <r>
    <x v="2"/>
    <x v="25"/>
    <x v="7"/>
    <x v="867"/>
    <x v="587"/>
    <n v="150.9"/>
    <n v="1.3"/>
    <n v="2.1"/>
    <n v="0"/>
    <n v="0"/>
    <n v="0"/>
    <n v="0"/>
    <n v="0"/>
    <x v="948"/>
    <x v="851"/>
    <n v="145762"/>
    <x v="291"/>
    <x v="278"/>
    <n v="220"/>
    <n v="65"/>
    <n v="79"/>
  </r>
  <r>
    <x v="0"/>
    <x v="130"/>
    <x v="3"/>
    <x v="2"/>
    <x v="2"/>
    <n v="0"/>
    <n v="0"/>
    <n v="0"/>
    <n v="0"/>
    <n v="0"/>
    <n v="0"/>
    <n v="0"/>
    <n v="0"/>
    <x v="943"/>
    <x v="847"/>
    <n v="0"/>
    <x v="2"/>
    <x v="1"/>
    <n v="0"/>
    <n v="18"/>
    <n v="29"/>
  </r>
  <r>
    <x v="2"/>
    <x v="74"/>
    <x v="4"/>
    <x v="400"/>
    <x v="147"/>
    <n v="31.4"/>
    <n v="0.9"/>
    <n v="0.6"/>
    <n v="0"/>
    <n v="0"/>
    <n v="0"/>
    <n v="0"/>
    <n v="0"/>
    <x v="244"/>
    <x v="233"/>
    <n v="44615"/>
    <x v="18"/>
    <x v="3"/>
    <n v="14"/>
    <n v="12"/>
    <n v="17"/>
  </r>
  <r>
    <x v="2"/>
    <x v="121"/>
    <x v="0"/>
    <x v="868"/>
    <x v="300"/>
    <n v="0"/>
    <n v="9"/>
    <n v="0"/>
    <n v="212.9"/>
    <n v="18.5"/>
    <n v="0"/>
    <n v="11.5"/>
    <n v="0"/>
    <x v="953"/>
    <x v="856"/>
    <n v="0"/>
    <x v="374"/>
    <x v="239"/>
    <n v="0"/>
    <n v="999"/>
    <n v="999"/>
  </r>
  <r>
    <x v="0"/>
    <x v="121"/>
    <x v="5"/>
    <x v="286"/>
    <x v="2"/>
    <n v="0"/>
    <n v="0"/>
    <n v="0"/>
    <n v="0"/>
    <n v="0"/>
    <n v="0"/>
    <n v="0"/>
    <n v="0"/>
    <x v="954"/>
    <x v="857"/>
    <n v="0"/>
    <x v="20"/>
    <x v="1"/>
    <n v="0"/>
    <n v="30"/>
    <n v="49"/>
  </r>
  <r>
    <x v="1"/>
    <x v="131"/>
    <x v="7"/>
    <x v="869"/>
    <x v="142"/>
    <n v="0"/>
    <n v="3.6"/>
    <n v="0"/>
    <n v="0"/>
    <n v="0"/>
    <n v="0"/>
    <n v="0"/>
    <n v="0"/>
    <x v="955"/>
    <x v="858"/>
    <n v="25507"/>
    <x v="91"/>
    <x v="38"/>
    <n v="0"/>
    <n v="65"/>
    <n v="79"/>
  </r>
  <r>
    <x v="1"/>
    <x v="135"/>
    <x v="6"/>
    <x v="870"/>
    <x v="33"/>
    <n v="0"/>
    <n v="3.9"/>
    <n v="0"/>
    <n v="0"/>
    <n v="0"/>
    <n v="0"/>
    <n v="0"/>
    <n v="0"/>
    <x v="720"/>
    <x v="653"/>
    <n v="0"/>
    <x v="13"/>
    <x v="11"/>
    <n v="0"/>
    <n v="80"/>
    <n v="200"/>
  </r>
  <r>
    <x v="1"/>
    <x v="127"/>
    <x v="8"/>
    <x v="216"/>
    <x v="2"/>
    <n v="0"/>
    <n v="0"/>
    <n v="0"/>
    <n v="0"/>
    <n v="0"/>
    <n v="0"/>
    <n v="0"/>
    <n v="0"/>
    <x v="28"/>
    <x v="28"/>
    <n v="0"/>
    <x v="118"/>
    <x v="1"/>
    <n v="0"/>
    <n v="0"/>
    <n v="4"/>
  </r>
  <r>
    <x v="1"/>
    <x v="98"/>
    <x v="5"/>
    <x v="60"/>
    <x v="19"/>
    <n v="0.9"/>
    <n v="7"/>
    <n v="3.1"/>
    <n v="0"/>
    <n v="0"/>
    <n v="0"/>
    <n v="0"/>
    <n v="0"/>
    <x v="898"/>
    <x v="809"/>
    <n v="347307"/>
    <x v="45"/>
    <x v="0"/>
    <n v="3"/>
    <n v="30"/>
    <n v="49"/>
  </r>
  <r>
    <x v="0"/>
    <x v="125"/>
    <x v="5"/>
    <x v="44"/>
    <x v="2"/>
    <n v="0"/>
    <n v="0"/>
    <n v="0"/>
    <n v="0"/>
    <n v="0"/>
    <n v="0"/>
    <n v="0"/>
    <n v="0"/>
    <x v="811"/>
    <x v="738"/>
    <n v="0"/>
    <x v="20"/>
    <x v="1"/>
    <n v="0"/>
    <n v="30"/>
    <n v="49"/>
  </r>
  <r>
    <x v="1"/>
    <x v="76"/>
    <x v="0"/>
    <x v="28"/>
    <x v="48"/>
    <n v="2.1"/>
    <n v="2.1"/>
    <n v="0.9"/>
    <n v="2.2999999999999998"/>
    <n v="1.3"/>
    <n v="1.9"/>
    <n v="1.8"/>
    <n v="1.2"/>
    <x v="334"/>
    <x v="312"/>
    <n v="1040674"/>
    <x v="24"/>
    <x v="5"/>
    <n v="22"/>
    <n v="999"/>
    <n v="999"/>
  </r>
  <r>
    <x v="1"/>
    <x v="100"/>
    <x v="3"/>
    <x v="133"/>
    <x v="34"/>
    <n v="1.9"/>
    <n v="2.2999999999999998"/>
    <n v="2.8"/>
    <n v="0"/>
    <n v="0"/>
    <n v="0"/>
    <n v="0"/>
    <n v="0"/>
    <x v="167"/>
    <x v="164"/>
    <n v="154206"/>
    <x v="13"/>
    <x v="21"/>
    <n v="3"/>
    <n v="18"/>
    <n v="29"/>
  </r>
  <r>
    <x v="1"/>
    <x v="101"/>
    <x v="5"/>
    <x v="103"/>
    <x v="162"/>
    <n v="0.6"/>
    <n v="1"/>
    <n v="5"/>
    <n v="0"/>
    <n v="0"/>
    <n v="0"/>
    <n v="0"/>
    <n v="0"/>
    <x v="407"/>
    <x v="381"/>
    <n v="314346"/>
    <x v="20"/>
    <x v="13"/>
    <n v="2"/>
    <n v="30"/>
    <n v="49"/>
  </r>
  <r>
    <x v="1"/>
    <x v="13"/>
    <x v="8"/>
    <x v="94"/>
    <x v="2"/>
    <n v="0"/>
    <n v="0"/>
    <n v="0"/>
    <n v="0"/>
    <n v="0"/>
    <n v="0"/>
    <n v="0"/>
    <n v="0"/>
    <x v="28"/>
    <x v="28"/>
    <n v="0"/>
    <x v="37"/>
    <x v="1"/>
    <n v="0"/>
    <n v="0"/>
    <n v="4"/>
  </r>
  <r>
    <x v="1"/>
    <x v="62"/>
    <x v="1"/>
    <x v="371"/>
    <x v="145"/>
    <n v="1.6"/>
    <n v="7.7"/>
    <n v="7.7"/>
    <n v="0"/>
    <n v="0"/>
    <n v="0"/>
    <n v="0"/>
    <n v="0"/>
    <x v="65"/>
    <x v="65"/>
    <n v="246934"/>
    <x v="20"/>
    <x v="11"/>
    <n v="4"/>
    <n v="50"/>
    <n v="64"/>
  </r>
  <r>
    <x v="2"/>
    <x v="78"/>
    <x v="1"/>
    <x v="871"/>
    <x v="588"/>
    <n v="0"/>
    <n v="10.5"/>
    <n v="0"/>
    <n v="0"/>
    <n v="0"/>
    <n v="0"/>
    <n v="0"/>
    <n v="0"/>
    <x v="428"/>
    <x v="399"/>
    <n v="0"/>
    <x v="59"/>
    <x v="31"/>
    <n v="0"/>
    <n v="50"/>
    <n v="64"/>
  </r>
  <r>
    <x v="0"/>
    <x v="17"/>
    <x v="1"/>
    <x v="2"/>
    <x v="2"/>
    <n v="0.4"/>
    <n v="0"/>
    <n v="0"/>
    <n v="0"/>
    <n v="0"/>
    <n v="0"/>
    <n v="0"/>
    <n v="0"/>
    <x v="275"/>
    <x v="72"/>
    <n v="246928"/>
    <x v="2"/>
    <x v="1"/>
    <n v="1"/>
    <n v="50"/>
    <n v="64"/>
  </r>
  <r>
    <x v="1"/>
    <x v="104"/>
    <x v="2"/>
    <x v="219"/>
    <x v="2"/>
    <n v="0"/>
    <n v="0"/>
    <n v="0"/>
    <n v="0"/>
    <n v="0"/>
    <n v="0"/>
    <n v="0"/>
    <n v="0"/>
    <x v="791"/>
    <x v="718"/>
    <n v="0"/>
    <x v="1"/>
    <x v="1"/>
    <n v="0"/>
    <n v="5"/>
    <n v="11"/>
  </r>
  <r>
    <x v="0"/>
    <x v="67"/>
    <x v="1"/>
    <x v="103"/>
    <x v="2"/>
    <n v="0"/>
    <n v="0"/>
    <n v="0"/>
    <n v="0"/>
    <n v="0"/>
    <n v="0"/>
    <n v="0"/>
    <n v="0"/>
    <x v="956"/>
    <x v="859"/>
    <n v="246869"/>
    <x v="1"/>
    <x v="1"/>
    <n v="0"/>
    <n v="50"/>
    <n v="64"/>
  </r>
  <r>
    <x v="1"/>
    <x v="25"/>
    <x v="8"/>
    <x v="472"/>
    <x v="2"/>
    <n v="0"/>
    <n v="0"/>
    <n v="0"/>
    <n v="0"/>
    <n v="0"/>
    <n v="0"/>
    <n v="0"/>
    <n v="0"/>
    <x v="28"/>
    <x v="28"/>
    <n v="0"/>
    <x v="6"/>
    <x v="1"/>
    <n v="0"/>
    <n v="0"/>
    <n v="4"/>
  </r>
  <r>
    <x v="2"/>
    <x v="122"/>
    <x v="6"/>
    <x v="872"/>
    <x v="54"/>
    <n v="0"/>
    <n v="3.1"/>
    <n v="0"/>
    <n v="0"/>
    <n v="0"/>
    <n v="0"/>
    <n v="0"/>
    <n v="0"/>
    <x v="714"/>
    <x v="649"/>
    <n v="0"/>
    <x v="128"/>
    <x v="38"/>
    <n v="0"/>
    <n v="80"/>
    <n v="200"/>
  </r>
  <r>
    <x v="2"/>
    <x v="45"/>
    <x v="6"/>
    <x v="523"/>
    <x v="589"/>
    <n v="0"/>
    <n v="7"/>
    <n v="0"/>
    <n v="0"/>
    <n v="0"/>
    <n v="0"/>
    <n v="0"/>
    <n v="0"/>
    <x v="740"/>
    <x v="672"/>
    <n v="0"/>
    <x v="44"/>
    <x v="26"/>
    <n v="0"/>
    <n v="80"/>
    <n v="200"/>
  </r>
  <r>
    <x v="1"/>
    <x v="60"/>
    <x v="8"/>
    <x v="427"/>
    <x v="2"/>
    <n v="0"/>
    <n v="0"/>
    <n v="0"/>
    <n v="0"/>
    <n v="0"/>
    <n v="0"/>
    <n v="0"/>
    <n v="0"/>
    <x v="28"/>
    <x v="28"/>
    <n v="0"/>
    <x v="64"/>
    <x v="1"/>
    <n v="0"/>
    <n v="0"/>
    <n v="4"/>
  </r>
  <r>
    <x v="1"/>
    <x v="99"/>
    <x v="8"/>
    <x v="43"/>
    <x v="2"/>
    <n v="0"/>
    <n v="0"/>
    <n v="0"/>
    <n v="0"/>
    <n v="0"/>
    <n v="0"/>
    <n v="0"/>
    <n v="0"/>
    <x v="28"/>
    <x v="28"/>
    <n v="0"/>
    <x v="18"/>
    <x v="1"/>
    <n v="0"/>
    <n v="0"/>
    <n v="4"/>
  </r>
  <r>
    <x v="0"/>
    <x v="66"/>
    <x v="4"/>
    <x v="2"/>
    <x v="2"/>
    <n v="0"/>
    <n v="0"/>
    <n v="0"/>
    <n v="0"/>
    <n v="0"/>
    <n v="0"/>
    <n v="0"/>
    <n v="0"/>
    <x v="690"/>
    <x v="627"/>
    <n v="0"/>
    <x v="2"/>
    <x v="1"/>
    <n v="0"/>
    <n v="12"/>
    <n v="17"/>
  </r>
  <r>
    <x v="2"/>
    <x v="107"/>
    <x v="0"/>
    <x v="551"/>
    <x v="15"/>
    <n v="0"/>
    <n v="4.9000000000000004"/>
    <n v="0"/>
    <n v="29.7"/>
    <n v="4"/>
    <n v="0"/>
    <n v="7.4"/>
    <n v="0"/>
    <x v="387"/>
    <x v="363"/>
    <n v="0"/>
    <x v="375"/>
    <x v="54"/>
    <n v="0"/>
    <n v="999"/>
    <n v="999"/>
  </r>
  <r>
    <x v="1"/>
    <x v="69"/>
    <x v="8"/>
    <x v="97"/>
    <x v="2"/>
    <n v="0"/>
    <n v="0"/>
    <n v="0"/>
    <n v="0"/>
    <n v="0"/>
    <n v="0"/>
    <n v="0"/>
    <n v="0"/>
    <x v="28"/>
    <x v="28"/>
    <n v="0"/>
    <x v="45"/>
    <x v="1"/>
    <n v="0"/>
    <n v="0"/>
    <n v="4"/>
  </r>
  <r>
    <x v="0"/>
    <x v="11"/>
    <x v="8"/>
    <x v="2"/>
    <x v="2"/>
    <n v="0"/>
    <n v="0"/>
    <n v="0"/>
    <n v="0"/>
    <n v="0"/>
    <n v="0"/>
    <n v="0"/>
    <n v="0"/>
    <x v="28"/>
    <x v="28"/>
    <n v="0"/>
    <x v="2"/>
    <x v="1"/>
    <n v="0"/>
    <n v="0"/>
    <n v="4"/>
  </r>
  <r>
    <x v="1"/>
    <x v="117"/>
    <x v="6"/>
    <x v="809"/>
    <x v="590"/>
    <n v="44.6"/>
    <n v="1"/>
    <n v="1"/>
    <n v="0"/>
    <n v="0"/>
    <n v="0"/>
    <n v="0"/>
    <n v="0"/>
    <x v="957"/>
    <x v="325"/>
    <n v="47037"/>
    <x v="27"/>
    <x v="21"/>
    <n v="21"/>
    <n v="80"/>
    <n v="200"/>
  </r>
  <r>
    <x v="1"/>
    <x v="93"/>
    <x v="6"/>
    <x v="121"/>
    <x v="591"/>
    <n v="0"/>
    <n v="2"/>
    <n v="0"/>
    <n v="0"/>
    <n v="0"/>
    <n v="0"/>
    <n v="0"/>
    <n v="0"/>
    <x v="209"/>
    <x v="201"/>
    <n v="0"/>
    <x v="6"/>
    <x v="13"/>
    <n v="0"/>
    <n v="80"/>
    <n v="200"/>
  </r>
  <r>
    <x v="1"/>
    <x v="44"/>
    <x v="8"/>
    <x v="97"/>
    <x v="2"/>
    <n v="0"/>
    <n v="0"/>
    <n v="0"/>
    <n v="0"/>
    <n v="0"/>
    <n v="0"/>
    <n v="0"/>
    <n v="0"/>
    <x v="28"/>
    <x v="28"/>
    <n v="0"/>
    <x v="45"/>
    <x v="1"/>
    <n v="0"/>
    <n v="0"/>
    <n v="4"/>
  </r>
  <r>
    <x v="1"/>
    <x v="101"/>
    <x v="8"/>
    <x v="97"/>
    <x v="2"/>
    <n v="0"/>
    <n v="0"/>
    <n v="0"/>
    <n v="0"/>
    <n v="0"/>
    <n v="0"/>
    <n v="0"/>
    <n v="0"/>
    <x v="28"/>
    <x v="28"/>
    <n v="0"/>
    <x v="45"/>
    <x v="1"/>
    <n v="0"/>
    <n v="0"/>
    <n v="4"/>
  </r>
  <r>
    <x v="1"/>
    <x v="88"/>
    <x v="6"/>
    <x v="758"/>
    <x v="592"/>
    <n v="0"/>
    <n v="2.9"/>
    <n v="0"/>
    <n v="0"/>
    <n v="0"/>
    <n v="0"/>
    <n v="0"/>
    <n v="0"/>
    <x v="737"/>
    <x v="669"/>
    <n v="0"/>
    <x v="27"/>
    <x v="26"/>
    <n v="0"/>
    <n v="80"/>
    <n v="200"/>
  </r>
  <r>
    <x v="1"/>
    <x v="102"/>
    <x v="8"/>
    <x v="97"/>
    <x v="2"/>
    <n v="0"/>
    <n v="0"/>
    <n v="0"/>
    <n v="0"/>
    <n v="0"/>
    <n v="0"/>
    <n v="0"/>
    <n v="0"/>
    <x v="28"/>
    <x v="28"/>
    <n v="0"/>
    <x v="45"/>
    <x v="1"/>
    <n v="0"/>
    <n v="0"/>
    <n v="4"/>
  </r>
  <r>
    <x v="1"/>
    <x v="42"/>
    <x v="2"/>
    <x v="2"/>
    <x v="73"/>
    <n v="0"/>
    <n v="0"/>
    <n v="0"/>
    <n v="0"/>
    <n v="0"/>
    <n v="0"/>
    <n v="0"/>
    <n v="0"/>
    <x v="958"/>
    <x v="860"/>
    <n v="0"/>
    <x v="2"/>
    <x v="0"/>
    <n v="0"/>
    <n v="5"/>
    <n v="11"/>
  </r>
  <r>
    <x v="1"/>
    <x v="118"/>
    <x v="8"/>
    <x v="108"/>
    <x v="2"/>
    <n v="0"/>
    <n v="0"/>
    <n v="0"/>
    <n v="0"/>
    <n v="0"/>
    <n v="0"/>
    <n v="0"/>
    <n v="0"/>
    <x v="28"/>
    <x v="28"/>
    <n v="0"/>
    <x v="0"/>
    <x v="1"/>
    <n v="0"/>
    <n v="0"/>
    <n v="4"/>
  </r>
  <r>
    <x v="0"/>
    <x v="125"/>
    <x v="7"/>
    <x v="873"/>
    <x v="73"/>
    <n v="0"/>
    <n v="15.5"/>
    <n v="0"/>
    <n v="0"/>
    <n v="0"/>
    <n v="0"/>
    <n v="0"/>
    <n v="0"/>
    <x v="270"/>
    <x v="258"/>
    <n v="0"/>
    <x v="16"/>
    <x v="11"/>
    <n v="0"/>
    <n v="65"/>
    <n v="79"/>
  </r>
  <r>
    <x v="1"/>
    <x v="71"/>
    <x v="6"/>
    <x v="178"/>
    <x v="2"/>
    <n v="0"/>
    <n v="0"/>
    <n v="0"/>
    <n v="0"/>
    <n v="0"/>
    <n v="0"/>
    <n v="0"/>
    <n v="0"/>
    <x v="126"/>
    <x v="125"/>
    <n v="0"/>
    <x v="45"/>
    <x v="1"/>
    <n v="0"/>
    <n v="80"/>
    <n v="200"/>
  </r>
  <r>
    <x v="2"/>
    <x v="81"/>
    <x v="6"/>
    <x v="743"/>
    <x v="360"/>
    <n v="0"/>
    <n v="1.5"/>
    <n v="0"/>
    <n v="0"/>
    <n v="0"/>
    <n v="0"/>
    <n v="0"/>
    <n v="0"/>
    <x v="733"/>
    <x v="665"/>
    <n v="0"/>
    <x v="35"/>
    <x v="75"/>
    <n v="0"/>
    <n v="80"/>
    <n v="200"/>
  </r>
  <r>
    <x v="1"/>
    <x v="42"/>
    <x v="8"/>
    <x v="97"/>
    <x v="2"/>
    <n v="0"/>
    <n v="0"/>
    <n v="0"/>
    <n v="0"/>
    <n v="0"/>
    <n v="0"/>
    <n v="0"/>
    <n v="0"/>
    <x v="28"/>
    <x v="28"/>
    <n v="0"/>
    <x v="45"/>
    <x v="1"/>
    <n v="0"/>
    <n v="0"/>
    <n v="4"/>
  </r>
  <r>
    <x v="1"/>
    <x v="4"/>
    <x v="8"/>
    <x v="108"/>
    <x v="2"/>
    <n v="0"/>
    <n v="0"/>
    <n v="0"/>
    <n v="0"/>
    <n v="0"/>
    <n v="0"/>
    <n v="0"/>
    <n v="0"/>
    <x v="28"/>
    <x v="28"/>
    <n v="0"/>
    <x v="0"/>
    <x v="1"/>
    <n v="0"/>
    <n v="0"/>
    <n v="4"/>
  </r>
  <r>
    <x v="0"/>
    <x v="25"/>
    <x v="5"/>
    <x v="93"/>
    <x v="87"/>
    <n v="0"/>
    <n v="4.7"/>
    <n v="0"/>
    <n v="0"/>
    <n v="0"/>
    <n v="0"/>
    <n v="0"/>
    <n v="0"/>
    <x v="27"/>
    <x v="27"/>
    <n v="273200"/>
    <x v="0"/>
    <x v="0"/>
    <n v="0"/>
    <n v="30"/>
    <n v="49"/>
  </r>
  <r>
    <x v="1"/>
    <x v="68"/>
    <x v="8"/>
    <x v="97"/>
    <x v="2"/>
    <n v="0"/>
    <n v="0"/>
    <n v="0"/>
    <n v="0"/>
    <n v="0"/>
    <n v="0"/>
    <n v="0"/>
    <n v="0"/>
    <x v="28"/>
    <x v="28"/>
    <n v="0"/>
    <x v="45"/>
    <x v="1"/>
    <n v="0"/>
    <n v="0"/>
    <n v="4"/>
  </r>
  <r>
    <x v="1"/>
    <x v="16"/>
    <x v="4"/>
    <x v="874"/>
    <x v="218"/>
    <n v="0"/>
    <n v="5.7"/>
    <n v="0"/>
    <n v="0"/>
    <n v="0"/>
    <n v="0"/>
    <n v="0"/>
    <n v="0"/>
    <x v="18"/>
    <x v="18"/>
    <n v="1872"/>
    <x v="35"/>
    <x v="21"/>
    <n v="0"/>
    <n v="12"/>
    <n v="17"/>
  </r>
  <r>
    <x v="0"/>
    <x v="29"/>
    <x v="0"/>
    <x v="113"/>
    <x v="87"/>
    <n v="0.3"/>
    <n v="0.7"/>
    <n v="0.7"/>
    <n v="0.1"/>
    <n v="0.6"/>
    <n v="0.2"/>
    <n v="0.2"/>
    <n v="0.6"/>
    <x v="30"/>
    <x v="30"/>
    <n v="988583"/>
    <x v="1"/>
    <x v="39"/>
    <n v="3"/>
    <n v="999"/>
    <n v="999"/>
  </r>
  <r>
    <x v="1"/>
    <x v="104"/>
    <x v="0"/>
    <x v="702"/>
    <x v="255"/>
    <n v="2.6"/>
    <n v="4.5"/>
    <n v="9"/>
    <n v="35.4"/>
    <n v="5.0999999999999996"/>
    <n v="1.3"/>
    <n v="7"/>
    <n v="27.1"/>
    <x v="959"/>
    <x v="861"/>
    <n v="274264"/>
    <x v="376"/>
    <x v="188"/>
    <n v="7"/>
    <n v="999"/>
    <n v="999"/>
  </r>
  <r>
    <x v="1"/>
    <x v="115"/>
    <x v="8"/>
    <x v="108"/>
    <x v="2"/>
    <n v="0"/>
    <n v="0"/>
    <n v="0"/>
    <n v="0"/>
    <n v="0"/>
    <n v="0"/>
    <n v="0"/>
    <n v="0"/>
    <x v="28"/>
    <x v="28"/>
    <n v="0"/>
    <x v="0"/>
    <x v="1"/>
    <n v="0"/>
    <n v="0"/>
    <n v="4"/>
  </r>
  <r>
    <x v="2"/>
    <x v="129"/>
    <x v="2"/>
    <x v="317"/>
    <x v="379"/>
    <n v="14.1"/>
    <n v="2.1"/>
    <n v="0.5"/>
    <n v="0"/>
    <n v="0"/>
    <n v="0"/>
    <n v="0"/>
    <n v="0"/>
    <x v="960"/>
    <x v="142"/>
    <n v="21245"/>
    <x v="64"/>
    <x v="39"/>
    <n v="3"/>
    <n v="5"/>
    <n v="11"/>
  </r>
  <r>
    <x v="2"/>
    <x v="15"/>
    <x v="2"/>
    <x v="399"/>
    <x v="593"/>
    <n v="85.6"/>
    <n v="1"/>
    <n v="0.9"/>
    <n v="0"/>
    <n v="0"/>
    <n v="0"/>
    <n v="0"/>
    <n v="0"/>
    <x v="376"/>
    <x v="352"/>
    <n v="14013"/>
    <x v="54"/>
    <x v="76"/>
    <n v="12"/>
    <n v="5"/>
    <n v="11"/>
  </r>
  <r>
    <x v="0"/>
    <x v="44"/>
    <x v="3"/>
    <x v="2"/>
    <x v="2"/>
    <n v="0"/>
    <n v="0"/>
    <n v="0"/>
    <n v="0"/>
    <n v="0"/>
    <n v="0"/>
    <n v="0"/>
    <n v="0"/>
    <x v="844"/>
    <x v="765"/>
    <n v="137242"/>
    <x v="2"/>
    <x v="1"/>
    <n v="0"/>
    <n v="18"/>
    <n v="29"/>
  </r>
  <r>
    <x v="2"/>
    <x v="27"/>
    <x v="5"/>
    <x v="875"/>
    <x v="455"/>
    <n v="39.299999999999997"/>
    <n v="3.6"/>
    <n v="2.2999999999999998"/>
    <n v="0"/>
    <n v="0"/>
    <n v="0"/>
    <n v="0"/>
    <n v="0"/>
    <x v="784"/>
    <x v="711"/>
    <n v="348926"/>
    <x v="139"/>
    <x v="279"/>
    <n v="137"/>
    <n v="30"/>
    <n v="49"/>
  </r>
  <r>
    <x v="2"/>
    <x v="117"/>
    <x v="0"/>
    <x v="876"/>
    <x v="497"/>
    <n v="99"/>
    <n v="2"/>
    <n v="1.2"/>
    <n v="146"/>
    <n v="60.1"/>
    <n v="91.1"/>
    <n v="2.4"/>
    <n v="1.6"/>
    <x v="218"/>
    <x v="209"/>
    <n v="1036367"/>
    <x v="377"/>
    <x v="276"/>
    <n v="1026"/>
    <n v="999"/>
    <n v="999"/>
  </r>
  <r>
    <x v="0"/>
    <x v="27"/>
    <x v="3"/>
    <x v="2"/>
    <x v="2"/>
    <n v="0"/>
    <n v="0"/>
    <n v="0"/>
    <n v="0"/>
    <n v="0"/>
    <n v="0"/>
    <n v="0"/>
    <n v="0"/>
    <x v="961"/>
    <x v="862"/>
    <n v="162672"/>
    <x v="2"/>
    <x v="1"/>
    <n v="0"/>
    <n v="18"/>
    <n v="29"/>
  </r>
  <r>
    <x v="0"/>
    <x v="126"/>
    <x v="1"/>
    <x v="2"/>
    <x v="2"/>
    <n v="0"/>
    <n v="0"/>
    <n v="0"/>
    <n v="0"/>
    <n v="0"/>
    <n v="0"/>
    <n v="0"/>
    <n v="0"/>
    <x v="962"/>
    <x v="863"/>
    <n v="246942"/>
    <x v="2"/>
    <x v="1"/>
    <n v="0"/>
    <n v="50"/>
    <n v="64"/>
  </r>
  <r>
    <x v="1"/>
    <x v="80"/>
    <x v="8"/>
    <x v="97"/>
    <x v="2"/>
    <n v="0"/>
    <n v="0"/>
    <n v="0"/>
    <n v="0"/>
    <n v="0"/>
    <n v="0"/>
    <n v="0"/>
    <n v="0"/>
    <x v="28"/>
    <x v="28"/>
    <n v="0"/>
    <x v="45"/>
    <x v="1"/>
    <n v="0"/>
    <n v="0"/>
    <n v="4"/>
  </r>
  <r>
    <x v="0"/>
    <x v="129"/>
    <x v="4"/>
    <x v="2"/>
    <x v="2"/>
    <n v="0"/>
    <n v="0"/>
    <n v="0"/>
    <n v="0"/>
    <n v="0"/>
    <n v="0"/>
    <n v="0"/>
    <n v="0"/>
    <x v="284"/>
    <x v="241"/>
    <n v="44586"/>
    <x v="2"/>
    <x v="1"/>
    <n v="0"/>
    <n v="12"/>
    <n v="17"/>
  </r>
  <r>
    <x v="1"/>
    <x v="44"/>
    <x v="3"/>
    <x v="499"/>
    <x v="141"/>
    <n v="0.7"/>
    <n v="4.9000000000000004"/>
    <n v="9.9"/>
    <n v="0"/>
    <n v="0"/>
    <n v="0"/>
    <n v="0"/>
    <n v="0"/>
    <x v="844"/>
    <x v="765"/>
    <n v="137242"/>
    <x v="64"/>
    <x v="39"/>
    <n v="1"/>
    <n v="18"/>
    <n v="29"/>
  </r>
  <r>
    <x v="1"/>
    <x v="1"/>
    <x v="3"/>
    <x v="64"/>
    <x v="141"/>
    <n v="1.2"/>
    <n v="6.4"/>
    <n v="7.5"/>
    <n v="0"/>
    <n v="0"/>
    <n v="0"/>
    <n v="0"/>
    <n v="0"/>
    <x v="963"/>
    <x v="864"/>
    <n v="161643"/>
    <x v="64"/>
    <x v="39"/>
    <n v="2"/>
    <n v="18"/>
    <n v="29"/>
  </r>
  <r>
    <x v="2"/>
    <x v="92"/>
    <x v="8"/>
    <x v="683"/>
    <x v="36"/>
    <n v="0"/>
    <n v="16.2"/>
    <n v="0"/>
    <n v="0"/>
    <n v="0"/>
    <n v="0"/>
    <n v="0"/>
    <n v="0"/>
    <x v="28"/>
    <x v="28"/>
    <n v="0"/>
    <x v="304"/>
    <x v="16"/>
    <n v="0"/>
    <n v="0"/>
    <n v="4"/>
  </r>
  <r>
    <x v="1"/>
    <x v="83"/>
    <x v="8"/>
    <x v="132"/>
    <x v="2"/>
    <n v="0"/>
    <n v="0"/>
    <n v="0"/>
    <n v="0"/>
    <n v="0"/>
    <n v="0"/>
    <n v="0"/>
    <n v="0"/>
    <x v="28"/>
    <x v="28"/>
    <n v="0"/>
    <x v="13"/>
    <x v="1"/>
    <n v="0"/>
    <n v="0"/>
    <n v="4"/>
  </r>
  <r>
    <x v="1"/>
    <x v="37"/>
    <x v="2"/>
    <x v="2"/>
    <x v="2"/>
    <n v="0"/>
    <n v="0"/>
    <n v="0"/>
    <n v="0"/>
    <n v="0"/>
    <n v="0"/>
    <n v="0"/>
    <n v="0"/>
    <x v="505"/>
    <x v="382"/>
    <n v="21260"/>
    <x v="2"/>
    <x v="1"/>
    <n v="0"/>
    <n v="5"/>
    <n v="11"/>
  </r>
  <r>
    <x v="2"/>
    <x v="55"/>
    <x v="2"/>
    <x v="252"/>
    <x v="391"/>
    <n v="18.8"/>
    <n v="2.2000000000000002"/>
    <n v="1.7"/>
    <n v="0"/>
    <n v="0"/>
    <n v="0"/>
    <n v="0"/>
    <n v="0"/>
    <x v="718"/>
    <x v="262"/>
    <n v="21264"/>
    <x v="48"/>
    <x v="23"/>
    <n v="4"/>
    <n v="5"/>
    <n v="11"/>
  </r>
  <r>
    <x v="2"/>
    <x v="75"/>
    <x v="4"/>
    <x v="877"/>
    <x v="594"/>
    <n v="105.9"/>
    <n v="2.7"/>
    <n v="2"/>
    <n v="0"/>
    <n v="0"/>
    <n v="0"/>
    <n v="0"/>
    <n v="0"/>
    <x v="451"/>
    <x v="419"/>
    <n v="39673"/>
    <x v="170"/>
    <x v="188"/>
    <n v="42"/>
    <n v="12"/>
    <n v="17"/>
  </r>
  <r>
    <x v="0"/>
    <x v="47"/>
    <x v="2"/>
    <x v="2"/>
    <x v="2"/>
    <n v="0"/>
    <n v="0"/>
    <n v="0"/>
    <n v="0"/>
    <n v="0"/>
    <n v="0"/>
    <n v="0"/>
    <n v="0"/>
    <x v="657"/>
    <x v="598"/>
    <n v="21142"/>
    <x v="2"/>
    <x v="1"/>
    <n v="0"/>
    <n v="5"/>
    <n v="11"/>
  </r>
  <r>
    <x v="0"/>
    <x v="108"/>
    <x v="3"/>
    <x v="2"/>
    <x v="2"/>
    <n v="0"/>
    <n v="0"/>
    <n v="0"/>
    <n v="0"/>
    <n v="0"/>
    <n v="0"/>
    <n v="0"/>
    <n v="0"/>
    <x v="195"/>
    <x v="189"/>
    <n v="161644"/>
    <x v="2"/>
    <x v="1"/>
    <n v="0"/>
    <n v="18"/>
    <n v="29"/>
  </r>
  <r>
    <x v="1"/>
    <x v="124"/>
    <x v="1"/>
    <x v="646"/>
    <x v="595"/>
    <n v="12.4"/>
    <n v="5.5"/>
    <n v="18.8"/>
    <n v="0"/>
    <n v="0"/>
    <n v="0"/>
    <n v="0"/>
    <n v="0"/>
    <x v="419"/>
    <x v="391"/>
    <n v="129378"/>
    <x v="314"/>
    <x v="195"/>
    <n v="16"/>
    <n v="50"/>
    <n v="64"/>
  </r>
  <r>
    <x v="1"/>
    <x v="11"/>
    <x v="3"/>
    <x v="197"/>
    <x v="23"/>
    <n v="0"/>
    <n v="5.4"/>
    <n v="0"/>
    <n v="0"/>
    <n v="0"/>
    <n v="0"/>
    <n v="0"/>
    <n v="0"/>
    <x v="882"/>
    <x v="520"/>
    <n v="161688"/>
    <x v="0"/>
    <x v="0"/>
    <n v="0"/>
    <n v="18"/>
    <n v="29"/>
  </r>
  <r>
    <x v="1"/>
    <x v="36"/>
    <x v="4"/>
    <x v="103"/>
    <x v="34"/>
    <n v="0"/>
    <n v="1.3"/>
    <n v="0"/>
    <n v="0"/>
    <n v="0"/>
    <n v="0"/>
    <n v="0"/>
    <n v="0"/>
    <x v="607"/>
    <x v="554"/>
    <n v="44558"/>
    <x v="1"/>
    <x v="11"/>
    <n v="0"/>
    <n v="12"/>
    <n v="17"/>
  </r>
  <r>
    <x v="0"/>
    <x v="27"/>
    <x v="5"/>
    <x v="2"/>
    <x v="2"/>
    <n v="0"/>
    <n v="0"/>
    <n v="0"/>
    <n v="0"/>
    <n v="0"/>
    <n v="0"/>
    <n v="0"/>
    <n v="0"/>
    <x v="784"/>
    <x v="711"/>
    <n v="348926"/>
    <x v="2"/>
    <x v="1"/>
    <n v="0"/>
    <n v="30"/>
    <n v="49"/>
  </r>
  <r>
    <x v="0"/>
    <x v="44"/>
    <x v="4"/>
    <x v="2"/>
    <x v="2"/>
    <n v="0"/>
    <n v="0"/>
    <n v="0"/>
    <n v="0"/>
    <n v="0"/>
    <n v="0"/>
    <n v="0"/>
    <n v="0"/>
    <x v="721"/>
    <x v="654"/>
    <n v="26095"/>
    <x v="2"/>
    <x v="1"/>
    <n v="0"/>
    <n v="12"/>
    <n v="17"/>
  </r>
  <r>
    <x v="2"/>
    <x v="82"/>
    <x v="5"/>
    <x v="192"/>
    <x v="53"/>
    <n v="7.8"/>
    <n v="3.3"/>
    <n v="2.2999999999999998"/>
    <n v="0"/>
    <n v="0"/>
    <n v="0"/>
    <n v="0"/>
    <n v="0"/>
    <x v="932"/>
    <x v="583"/>
    <n v="347309"/>
    <x v="34"/>
    <x v="75"/>
    <n v="27"/>
    <n v="30"/>
    <n v="49"/>
  </r>
  <r>
    <x v="0"/>
    <x v="127"/>
    <x v="0"/>
    <x v="645"/>
    <x v="255"/>
    <n v="3.4"/>
    <n v="2.8"/>
    <n v="4.4000000000000004"/>
    <n v="20.5"/>
    <n v="8"/>
    <n v="1.8"/>
    <n v="2.6"/>
    <n v="11.4"/>
    <x v="964"/>
    <x v="865"/>
    <n v="685691"/>
    <x v="326"/>
    <x v="46"/>
    <n v="23"/>
    <n v="999"/>
    <n v="999"/>
  </r>
  <r>
    <x v="1"/>
    <x v="8"/>
    <x v="4"/>
    <x v="44"/>
    <x v="2"/>
    <n v="0"/>
    <n v="0"/>
    <n v="0"/>
    <n v="0"/>
    <n v="0"/>
    <n v="0"/>
    <n v="0"/>
    <n v="0"/>
    <x v="181"/>
    <x v="28"/>
    <n v="0"/>
    <x v="0"/>
    <x v="1"/>
    <n v="0"/>
    <n v="12"/>
    <n v="17"/>
  </r>
  <r>
    <x v="0"/>
    <x v="58"/>
    <x v="5"/>
    <x v="2"/>
    <x v="2"/>
    <n v="0"/>
    <n v="0"/>
    <n v="0"/>
    <n v="0"/>
    <n v="0"/>
    <n v="0"/>
    <n v="0"/>
    <n v="0"/>
    <x v="60"/>
    <x v="60"/>
    <n v="347089"/>
    <x v="2"/>
    <x v="1"/>
    <n v="0"/>
    <n v="30"/>
    <n v="49"/>
  </r>
  <r>
    <x v="0"/>
    <x v="3"/>
    <x v="1"/>
    <x v="370"/>
    <x v="38"/>
    <n v="0"/>
    <n v="14.9"/>
    <n v="0"/>
    <n v="0"/>
    <n v="0"/>
    <n v="0"/>
    <n v="0"/>
    <n v="0"/>
    <x v="691"/>
    <x v="628"/>
    <n v="49704"/>
    <x v="64"/>
    <x v="11"/>
    <n v="0"/>
    <n v="50"/>
    <n v="64"/>
  </r>
  <r>
    <x v="1"/>
    <x v="65"/>
    <x v="0"/>
    <x v="197"/>
    <x v="87"/>
    <n v="0"/>
    <n v="9"/>
    <n v="0"/>
    <n v="3.7"/>
    <n v="0.2"/>
    <n v="0"/>
    <n v="15.9"/>
    <n v="0"/>
    <x v="133"/>
    <x v="132"/>
    <n v="0"/>
    <x v="118"/>
    <x v="16"/>
    <n v="0"/>
    <n v="999"/>
    <n v="999"/>
  </r>
  <r>
    <x v="1"/>
    <x v="134"/>
    <x v="8"/>
    <x v="427"/>
    <x v="2"/>
    <n v="0"/>
    <n v="0"/>
    <n v="0"/>
    <n v="0"/>
    <n v="0"/>
    <n v="0"/>
    <n v="0"/>
    <n v="0"/>
    <x v="28"/>
    <x v="28"/>
    <n v="0"/>
    <x v="64"/>
    <x v="1"/>
    <n v="0"/>
    <n v="0"/>
    <n v="4"/>
  </r>
  <r>
    <x v="1"/>
    <x v="63"/>
    <x v="1"/>
    <x v="48"/>
    <x v="56"/>
    <n v="6.5"/>
    <n v="8.1999999999999993"/>
    <n v="7.1"/>
    <n v="0"/>
    <n v="0"/>
    <n v="0"/>
    <n v="0"/>
    <n v="0"/>
    <x v="278"/>
    <x v="263"/>
    <n v="246677"/>
    <x v="134"/>
    <x v="26"/>
    <n v="16"/>
    <n v="50"/>
    <n v="64"/>
  </r>
  <r>
    <x v="0"/>
    <x v="22"/>
    <x v="7"/>
    <x v="2"/>
    <x v="2"/>
    <n v="1.2"/>
    <n v="0"/>
    <n v="0"/>
    <n v="0"/>
    <n v="0"/>
    <n v="0"/>
    <n v="0"/>
    <n v="0"/>
    <x v="965"/>
    <x v="202"/>
    <n v="171635"/>
    <x v="2"/>
    <x v="1"/>
    <n v="2"/>
    <n v="65"/>
    <n v="79"/>
  </r>
  <r>
    <x v="1"/>
    <x v="52"/>
    <x v="1"/>
    <x v="878"/>
    <x v="90"/>
    <n v="8.6"/>
    <n v="4.5999999999999996"/>
    <n v="5.5"/>
    <n v="0"/>
    <n v="0"/>
    <n v="0"/>
    <n v="0"/>
    <n v="0"/>
    <x v="757"/>
    <x v="687"/>
    <n v="245378"/>
    <x v="34"/>
    <x v="38"/>
    <n v="21"/>
    <n v="50"/>
    <n v="64"/>
  </r>
  <r>
    <x v="2"/>
    <x v="120"/>
    <x v="6"/>
    <x v="879"/>
    <x v="22"/>
    <n v="110.3"/>
    <n v="0.7"/>
    <n v="0.6"/>
    <n v="0"/>
    <n v="0"/>
    <n v="0"/>
    <n v="0"/>
    <n v="0"/>
    <x v="508"/>
    <x v="360"/>
    <n v="47126"/>
    <x v="91"/>
    <x v="17"/>
    <n v="52"/>
    <n v="80"/>
    <n v="200"/>
  </r>
  <r>
    <x v="0"/>
    <x v="91"/>
    <x v="2"/>
    <x v="2"/>
    <x v="2"/>
    <n v="0"/>
    <n v="0"/>
    <n v="0"/>
    <n v="0"/>
    <n v="0"/>
    <n v="0"/>
    <n v="0"/>
    <n v="0"/>
    <x v="872"/>
    <x v="790"/>
    <n v="20921"/>
    <x v="2"/>
    <x v="1"/>
    <n v="0"/>
    <n v="5"/>
    <n v="11"/>
  </r>
  <r>
    <x v="0"/>
    <x v="73"/>
    <x v="1"/>
    <x v="408"/>
    <x v="2"/>
    <n v="0"/>
    <n v="0"/>
    <n v="0"/>
    <n v="0"/>
    <n v="0"/>
    <n v="0"/>
    <n v="0"/>
    <n v="0"/>
    <x v="86"/>
    <x v="86"/>
    <n v="240221"/>
    <x v="1"/>
    <x v="1"/>
    <n v="0"/>
    <n v="50"/>
    <n v="64"/>
  </r>
  <r>
    <x v="0"/>
    <x v="69"/>
    <x v="1"/>
    <x v="2"/>
    <x v="38"/>
    <n v="0"/>
    <n v="0"/>
    <n v="0"/>
    <n v="0"/>
    <n v="0"/>
    <n v="0"/>
    <n v="0"/>
    <n v="0"/>
    <x v="785"/>
    <x v="712"/>
    <n v="212791"/>
    <x v="2"/>
    <x v="0"/>
    <n v="0"/>
    <n v="50"/>
    <n v="64"/>
  </r>
  <r>
    <x v="1"/>
    <x v="0"/>
    <x v="2"/>
    <x v="2"/>
    <x v="2"/>
    <n v="0"/>
    <n v="0"/>
    <n v="0"/>
    <n v="0"/>
    <n v="0"/>
    <n v="0"/>
    <n v="0"/>
    <n v="0"/>
    <x v="115"/>
    <x v="114"/>
    <n v="19254"/>
    <x v="2"/>
    <x v="1"/>
    <n v="0"/>
    <n v="5"/>
    <n v="11"/>
  </r>
  <r>
    <x v="1"/>
    <x v="90"/>
    <x v="8"/>
    <x v="132"/>
    <x v="2"/>
    <n v="0"/>
    <n v="0"/>
    <n v="0"/>
    <n v="0"/>
    <n v="0"/>
    <n v="0"/>
    <n v="0"/>
    <n v="0"/>
    <x v="28"/>
    <x v="28"/>
    <n v="0"/>
    <x v="13"/>
    <x v="1"/>
    <n v="0"/>
    <n v="0"/>
    <n v="4"/>
  </r>
  <r>
    <x v="1"/>
    <x v="115"/>
    <x v="4"/>
    <x v="2"/>
    <x v="2"/>
    <n v="0"/>
    <n v="0"/>
    <n v="0"/>
    <n v="0"/>
    <n v="0"/>
    <n v="0"/>
    <n v="0"/>
    <n v="0"/>
    <x v="899"/>
    <x v="810"/>
    <n v="32716"/>
    <x v="2"/>
    <x v="1"/>
    <n v="0"/>
    <n v="12"/>
    <n v="17"/>
  </r>
  <r>
    <x v="2"/>
    <x v="80"/>
    <x v="0"/>
    <x v="880"/>
    <x v="596"/>
    <n v="238.8"/>
    <n v="1.4"/>
    <n v="0.9"/>
    <n v="220.8"/>
    <n v="136"/>
    <n v="205.8"/>
    <n v="1.6"/>
    <n v="1.1000000000000001"/>
    <x v="591"/>
    <x v="541"/>
    <n v="952817"/>
    <x v="378"/>
    <x v="280"/>
    <n v="2275"/>
    <n v="999"/>
    <n v="999"/>
  </r>
  <r>
    <x v="2"/>
    <x v="81"/>
    <x v="1"/>
    <x v="513"/>
    <x v="597"/>
    <n v="0"/>
    <n v="3"/>
    <n v="0"/>
    <n v="0"/>
    <n v="0"/>
    <n v="0"/>
    <n v="0"/>
    <n v="0"/>
    <x v="222"/>
    <x v="213"/>
    <n v="0"/>
    <x v="345"/>
    <x v="281"/>
    <n v="0"/>
    <n v="50"/>
    <n v="64"/>
  </r>
  <r>
    <x v="1"/>
    <x v="119"/>
    <x v="4"/>
    <x v="417"/>
    <x v="2"/>
    <n v="0"/>
    <n v="0"/>
    <n v="0"/>
    <n v="0"/>
    <n v="0"/>
    <n v="0"/>
    <n v="0"/>
    <n v="0"/>
    <x v="240"/>
    <x v="230"/>
    <n v="44696"/>
    <x v="1"/>
    <x v="1"/>
    <n v="0"/>
    <n v="12"/>
    <n v="17"/>
  </r>
  <r>
    <x v="1"/>
    <x v="103"/>
    <x v="7"/>
    <x v="768"/>
    <x v="145"/>
    <n v="0"/>
    <n v="11.4"/>
    <n v="0"/>
    <n v="0"/>
    <n v="0"/>
    <n v="0"/>
    <n v="0"/>
    <n v="0"/>
    <x v="462"/>
    <x v="428"/>
    <n v="0"/>
    <x v="16"/>
    <x v="39"/>
    <n v="0"/>
    <n v="65"/>
    <n v="79"/>
  </r>
  <r>
    <x v="1"/>
    <x v="39"/>
    <x v="0"/>
    <x v="215"/>
    <x v="357"/>
    <n v="7.1"/>
    <n v="1.5"/>
    <n v="1.3"/>
    <n v="10.5"/>
    <n v="9.6999999999999993"/>
    <n v="5"/>
    <n v="1.1000000000000001"/>
    <n v="2.1"/>
    <x v="653"/>
    <x v="594"/>
    <n v="1038311"/>
    <x v="198"/>
    <x v="46"/>
    <n v="74"/>
    <n v="999"/>
    <n v="999"/>
  </r>
  <r>
    <x v="0"/>
    <x v="4"/>
    <x v="4"/>
    <x v="2"/>
    <x v="2"/>
    <n v="0"/>
    <n v="0"/>
    <n v="0"/>
    <n v="0"/>
    <n v="0"/>
    <n v="0"/>
    <n v="0"/>
    <n v="0"/>
    <x v="966"/>
    <x v="866"/>
    <n v="31808"/>
    <x v="2"/>
    <x v="1"/>
    <n v="0"/>
    <n v="12"/>
    <n v="17"/>
  </r>
  <r>
    <x v="0"/>
    <x v="85"/>
    <x v="4"/>
    <x v="2"/>
    <x v="48"/>
    <n v="0"/>
    <n v="0"/>
    <n v="0"/>
    <n v="0"/>
    <n v="0"/>
    <n v="0"/>
    <n v="0"/>
    <n v="0"/>
    <x v="765"/>
    <x v="694"/>
    <n v="3456"/>
    <x v="2"/>
    <x v="0"/>
    <n v="0"/>
    <n v="12"/>
    <n v="17"/>
  </r>
  <r>
    <x v="2"/>
    <x v="67"/>
    <x v="0"/>
    <x v="881"/>
    <x v="598"/>
    <n v="96.2"/>
    <n v="1.7"/>
    <n v="1.2"/>
    <n v="144.4"/>
    <n v="72.099999999999994"/>
    <n v="102.2"/>
    <n v="2"/>
    <n v="1.4"/>
    <x v="727"/>
    <x v="660"/>
    <n v="1040416"/>
    <x v="379"/>
    <x v="282"/>
    <n v="1001"/>
    <n v="999"/>
    <n v="999"/>
  </r>
  <r>
    <x v="1"/>
    <x v="0"/>
    <x v="0"/>
    <x v="499"/>
    <x v="379"/>
    <n v="7.6"/>
    <n v="1.9"/>
    <n v="0.9"/>
    <n v="7.5"/>
    <n v="5.5"/>
    <n v="5.5"/>
    <n v="1.4"/>
    <n v="1.4"/>
    <x v="0"/>
    <x v="0"/>
    <n v="1037067"/>
    <x v="211"/>
    <x v="167"/>
    <n v="79"/>
    <n v="999"/>
    <n v="999"/>
  </r>
  <r>
    <x v="1"/>
    <x v="139"/>
    <x v="8"/>
    <x v="219"/>
    <x v="2"/>
    <n v="0"/>
    <n v="0"/>
    <n v="0"/>
    <n v="0"/>
    <n v="0"/>
    <n v="0"/>
    <n v="0"/>
    <n v="0"/>
    <x v="28"/>
    <x v="28"/>
    <n v="0"/>
    <x v="1"/>
    <x v="1"/>
    <n v="0"/>
    <n v="0"/>
    <n v="4"/>
  </r>
  <r>
    <x v="2"/>
    <x v="42"/>
    <x v="3"/>
    <x v="524"/>
    <x v="599"/>
    <n v="159.19999999999999"/>
    <n v="2.5"/>
    <n v="0.7"/>
    <n v="0"/>
    <n v="0"/>
    <n v="0"/>
    <n v="0"/>
    <n v="0"/>
    <x v="967"/>
    <x v="867"/>
    <n v="146325"/>
    <x v="380"/>
    <x v="45"/>
    <n v="233"/>
    <n v="18"/>
    <n v="29"/>
  </r>
  <r>
    <x v="2"/>
    <x v="14"/>
    <x v="1"/>
    <x v="437"/>
    <x v="600"/>
    <n v="0"/>
    <n v="13.5"/>
    <n v="0"/>
    <n v="0"/>
    <n v="0"/>
    <n v="0"/>
    <n v="0"/>
    <n v="0"/>
    <x v="823"/>
    <x v="750"/>
    <n v="0"/>
    <x v="381"/>
    <x v="31"/>
    <n v="0"/>
    <n v="50"/>
    <n v="64"/>
  </r>
  <r>
    <x v="0"/>
    <x v="23"/>
    <x v="4"/>
    <x v="2"/>
    <x v="2"/>
    <n v="0"/>
    <n v="0"/>
    <n v="0"/>
    <n v="0"/>
    <n v="0"/>
    <n v="0"/>
    <n v="0"/>
    <n v="0"/>
    <x v="25"/>
    <x v="25"/>
    <n v="44513"/>
    <x v="2"/>
    <x v="1"/>
    <n v="0"/>
    <n v="12"/>
    <n v="17"/>
  </r>
  <r>
    <x v="1"/>
    <x v="9"/>
    <x v="7"/>
    <x v="882"/>
    <x v="62"/>
    <n v="0"/>
    <n v="4.4000000000000004"/>
    <n v="0"/>
    <n v="0"/>
    <n v="0"/>
    <n v="0"/>
    <n v="0"/>
    <n v="0"/>
    <x v="666"/>
    <x v="604"/>
    <n v="0"/>
    <x v="17"/>
    <x v="28"/>
    <n v="0"/>
    <n v="65"/>
    <n v="79"/>
  </r>
  <r>
    <x v="1"/>
    <x v="100"/>
    <x v="8"/>
    <x v="427"/>
    <x v="2"/>
    <n v="0"/>
    <n v="0"/>
    <n v="0"/>
    <n v="0"/>
    <n v="0"/>
    <n v="0"/>
    <n v="0"/>
    <n v="0"/>
    <x v="28"/>
    <x v="28"/>
    <n v="0"/>
    <x v="64"/>
    <x v="1"/>
    <n v="0"/>
    <n v="0"/>
    <n v="4"/>
  </r>
  <r>
    <x v="1"/>
    <x v="91"/>
    <x v="4"/>
    <x v="2"/>
    <x v="2"/>
    <n v="2.2000000000000002"/>
    <n v="0"/>
    <n v="0"/>
    <n v="0"/>
    <n v="0"/>
    <n v="0"/>
    <n v="0"/>
    <n v="0"/>
    <x v="968"/>
    <x v="868"/>
    <n v="44479"/>
    <x v="2"/>
    <x v="1"/>
    <n v="1"/>
    <n v="12"/>
    <n v="17"/>
  </r>
  <r>
    <x v="1"/>
    <x v="85"/>
    <x v="7"/>
    <x v="883"/>
    <x v="601"/>
    <n v="47.9"/>
    <n v="1.6"/>
    <n v="7.9"/>
    <n v="0"/>
    <n v="0"/>
    <n v="0"/>
    <n v="0"/>
    <n v="0"/>
    <x v="658"/>
    <x v="599"/>
    <n v="133598"/>
    <x v="123"/>
    <x v="251"/>
    <n v="64"/>
    <n v="65"/>
    <n v="79"/>
  </r>
  <r>
    <x v="1"/>
    <x v="105"/>
    <x v="0"/>
    <x v="530"/>
    <x v="241"/>
    <n v="10.199999999999999"/>
    <n v="2.2000000000000002"/>
    <n v="1.5"/>
    <n v="18.899999999999999"/>
    <n v="9"/>
    <n v="7"/>
    <n v="2.1"/>
    <n v="2.7"/>
    <x v="297"/>
    <x v="280"/>
    <n v="1014163"/>
    <x v="195"/>
    <x v="213"/>
    <n v="103"/>
    <n v="999"/>
    <n v="999"/>
  </r>
  <r>
    <x v="1"/>
    <x v="56"/>
    <x v="1"/>
    <x v="698"/>
    <x v="110"/>
    <n v="0.9"/>
    <n v="1.5"/>
    <n v="7.3"/>
    <n v="0"/>
    <n v="0"/>
    <n v="0"/>
    <n v="0"/>
    <n v="0"/>
    <x v="694"/>
    <x v="630"/>
    <n v="225645"/>
    <x v="45"/>
    <x v="48"/>
    <n v="2"/>
    <n v="50"/>
    <n v="64"/>
  </r>
  <r>
    <x v="1"/>
    <x v="108"/>
    <x v="0"/>
    <x v="517"/>
    <x v="100"/>
    <n v="7.1"/>
    <n v="2"/>
    <n v="1.2"/>
    <n v="11.2"/>
    <n v="6"/>
    <n v="5.2"/>
    <n v="1.9"/>
    <n v="2.2000000000000002"/>
    <x v="969"/>
    <x v="869"/>
    <n v="1040368"/>
    <x v="128"/>
    <x v="14"/>
    <n v="74"/>
    <n v="999"/>
    <n v="999"/>
  </r>
  <r>
    <x v="2"/>
    <x v="74"/>
    <x v="8"/>
    <x v="582"/>
    <x v="51"/>
    <n v="0"/>
    <n v="9.5"/>
    <n v="0"/>
    <n v="0"/>
    <n v="0"/>
    <n v="0"/>
    <n v="0"/>
    <n v="0"/>
    <x v="28"/>
    <x v="28"/>
    <n v="0"/>
    <x v="259"/>
    <x v="21"/>
    <n v="0"/>
    <n v="0"/>
    <n v="4"/>
  </r>
  <r>
    <x v="2"/>
    <x v="72"/>
    <x v="5"/>
    <x v="884"/>
    <x v="124"/>
    <n v="24.5"/>
    <n v="3.3"/>
    <n v="2.2000000000000002"/>
    <n v="0"/>
    <n v="0"/>
    <n v="0"/>
    <n v="0"/>
    <n v="0"/>
    <x v="970"/>
    <x v="197"/>
    <n v="347295"/>
    <x v="76"/>
    <x v="78"/>
    <n v="85"/>
    <n v="30"/>
    <n v="49"/>
  </r>
  <r>
    <x v="2"/>
    <x v="82"/>
    <x v="0"/>
    <x v="271"/>
    <x v="475"/>
    <n v="9.8000000000000007"/>
    <n v="2.1"/>
    <n v="1.3"/>
    <n v="15.3"/>
    <n v="6"/>
    <n v="7.2"/>
    <n v="2.6"/>
    <n v="2.1"/>
    <x v="347"/>
    <x v="324"/>
    <n v="1040745"/>
    <x v="304"/>
    <x v="100"/>
    <n v="102"/>
    <n v="999"/>
    <n v="999"/>
  </r>
  <r>
    <x v="0"/>
    <x v="117"/>
    <x v="4"/>
    <x v="2"/>
    <x v="2"/>
    <n v="0"/>
    <n v="0"/>
    <n v="0"/>
    <n v="0"/>
    <n v="0"/>
    <n v="0"/>
    <n v="0"/>
    <n v="0"/>
    <x v="971"/>
    <x v="870"/>
    <n v="44379"/>
    <x v="2"/>
    <x v="1"/>
    <n v="0"/>
    <n v="12"/>
    <n v="17"/>
  </r>
  <r>
    <x v="2"/>
    <x v="98"/>
    <x v="7"/>
    <x v="21"/>
    <x v="79"/>
    <n v="21"/>
    <n v="0.8"/>
    <n v="0.6"/>
    <n v="0"/>
    <n v="0"/>
    <n v="0"/>
    <n v="0"/>
    <n v="0"/>
    <x v="452"/>
    <x v="341"/>
    <n v="171732"/>
    <x v="13"/>
    <x v="26"/>
    <n v="36"/>
    <n v="65"/>
    <n v="79"/>
  </r>
  <r>
    <x v="1"/>
    <x v="34"/>
    <x v="7"/>
    <x v="603"/>
    <x v="290"/>
    <n v="11.7"/>
    <n v="3.3"/>
    <n v="15"/>
    <n v="0"/>
    <n v="0"/>
    <n v="0"/>
    <n v="0"/>
    <n v="0"/>
    <x v="262"/>
    <x v="251"/>
    <n v="110903"/>
    <x v="195"/>
    <x v="94"/>
    <n v="13"/>
    <n v="65"/>
    <n v="79"/>
  </r>
  <r>
    <x v="1"/>
    <x v="38"/>
    <x v="8"/>
    <x v="108"/>
    <x v="2"/>
    <n v="0"/>
    <n v="0"/>
    <n v="0"/>
    <n v="0"/>
    <n v="0"/>
    <n v="0"/>
    <n v="0"/>
    <n v="0"/>
    <x v="28"/>
    <x v="28"/>
    <n v="0"/>
    <x v="0"/>
    <x v="1"/>
    <n v="0"/>
    <n v="0"/>
    <n v="4"/>
  </r>
  <r>
    <x v="1"/>
    <x v="1"/>
    <x v="4"/>
    <x v="103"/>
    <x v="34"/>
    <n v="2.2000000000000002"/>
    <n v="1.3"/>
    <n v="1.4"/>
    <n v="0"/>
    <n v="0"/>
    <n v="0"/>
    <n v="0"/>
    <n v="0"/>
    <x v="972"/>
    <x v="871"/>
    <n v="44553"/>
    <x v="1"/>
    <x v="11"/>
    <n v="1"/>
    <n v="12"/>
    <n v="17"/>
  </r>
  <r>
    <x v="0"/>
    <x v="66"/>
    <x v="1"/>
    <x v="114"/>
    <x v="13"/>
    <n v="0"/>
    <n v="14.5"/>
    <n v="0"/>
    <n v="0"/>
    <n v="0"/>
    <n v="0"/>
    <n v="0"/>
    <n v="0"/>
    <x v="973"/>
    <x v="872"/>
    <n v="36865"/>
    <x v="18"/>
    <x v="11"/>
    <n v="0"/>
    <n v="50"/>
    <n v="64"/>
  </r>
  <r>
    <x v="0"/>
    <x v="49"/>
    <x v="6"/>
    <x v="2"/>
    <x v="62"/>
    <n v="2.1"/>
    <n v="0"/>
    <n v="0"/>
    <n v="0"/>
    <n v="0"/>
    <n v="0"/>
    <n v="0"/>
    <n v="0"/>
    <x v="521"/>
    <x v="353"/>
    <n v="47133"/>
    <x v="2"/>
    <x v="0"/>
    <n v="1"/>
    <n v="80"/>
    <n v="200"/>
  </r>
  <r>
    <x v="0"/>
    <x v="45"/>
    <x v="4"/>
    <x v="219"/>
    <x v="2"/>
    <n v="0"/>
    <n v="0"/>
    <n v="0"/>
    <n v="0"/>
    <n v="0"/>
    <n v="0"/>
    <n v="0"/>
    <n v="0"/>
    <x v="974"/>
    <x v="28"/>
    <n v="0"/>
    <x v="1"/>
    <x v="1"/>
    <n v="0"/>
    <n v="12"/>
    <n v="17"/>
  </r>
  <r>
    <x v="0"/>
    <x v="124"/>
    <x v="3"/>
    <x v="2"/>
    <x v="2"/>
    <n v="0"/>
    <n v="0"/>
    <n v="0"/>
    <n v="0"/>
    <n v="0"/>
    <n v="0"/>
    <n v="0"/>
    <n v="0"/>
    <x v="975"/>
    <x v="873"/>
    <n v="58804"/>
    <x v="2"/>
    <x v="1"/>
    <n v="0"/>
    <n v="18"/>
    <n v="29"/>
  </r>
  <r>
    <x v="2"/>
    <x v="2"/>
    <x v="8"/>
    <x v="885"/>
    <x v="58"/>
    <n v="0"/>
    <n v="48.5"/>
    <n v="0"/>
    <n v="0"/>
    <n v="0"/>
    <n v="0"/>
    <n v="0"/>
    <n v="0"/>
    <x v="28"/>
    <x v="28"/>
    <n v="0"/>
    <x v="77"/>
    <x v="39"/>
    <n v="0"/>
    <n v="0"/>
    <n v="4"/>
  </r>
  <r>
    <x v="1"/>
    <x v="69"/>
    <x v="0"/>
    <x v="40"/>
    <x v="288"/>
    <n v="3.3"/>
    <n v="1.2"/>
    <n v="1.8"/>
    <n v="8.3000000000000007"/>
    <n v="6.8"/>
    <n v="2.2000000000000002"/>
    <n v="1.2"/>
    <n v="3.8"/>
    <x v="77"/>
    <x v="77"/>
    <n v="868745"/>
    <x v="211"/>
    <x v="175"/>
    <n v="29"/>
    <n v="999"/>
    <n v="999"/>
  </r>
  <r>
    <x v="0"/>
    <x v="55"/>
    <x v="0"/>
    <x v="18"/>
    <x v="2"/>
    <n v="0.1"/>
    <n v="0"/>
    <n v="4"/>
    <n v="0.4"/>
    <n v="0"/>
    <n v="0.1"/>
    <n v="0"/>
    <n v="5.4"/>
    <x v="479"/>
    <x v="443"/>
    <n v="1040810"/>
    <x v="0"/>
    <x v="1"/>
    <n v="1"/>
    <n v="999"/>
    <n v="999"/>
  </r>
  <r>
    <x v="0"/>
    <x v="62"/>
    <x v="5"/>
    <x v="2"/>
    <x v="2"/>
    <n v="0"/>
    <n v="0"/>
    <n v="0"/>
    <n v="0"/>
    <n v="0"/>
    <n v="0"/>
    <n v="0"/>
    <n v="0"/>
    <x v="78"/>
    <x v="78"/>
    <n v="347313"/>
    <x v="2"/>
    <x v="1"/>
    <n v="0"/>
    <n v="30"/>
    <n v="49"/>
  </r>
  <r>
    <x v="0"/>
    <x v="135"/>
    <x v="3"/>
    <x v="2"/>
    <x v="2"/>
    <n v="0"/>
    <n v="0"/>
    <n v="0"/>
    <n v="0"/>
    <n v="0"/>
    <n v="0"/>
    <n v="0"/>
    <n v="0"/>
    <x v="832"/>
    <x v="756"/>
    <n v="0"/>
    <x v="2"/>
    <x v="1"/>
    <n v="0"/>
    <n v="18"/>
    <n v="29"/>
  </r>
  <r>
    <x v="2"/>
    <x v="45"/>
    <x v="7"/>
    <x v="886"/>
    <x v="227"/>
    <n v="0"/>
    <n v="9.5"/>
    <n v="0"/>
    <n v="0"/>
    <n v="0"/>
    <n v="0"/>
    <n v="0"/>
    <n v="0"/>
    <x v="510"/>
    <x v="468"/>
    <n v="0"/>
    <x v="382"/>
    <x v="133"/>
    <n v="0"/>
    <n v="65"/>
    <n v="79"/>
  </r>
  <r>
    <x v="1"/>
    <x v="72"/>
    <x v="4"/>
    <x v="2"/>
    <x v="17"/>
    <n v="0"/>
    <n v="0"/>
    <n v="0"/>
    <n v="0"/>
    <n v="0"/>
    <n v="0"/>
    <n v="0"/>
    <n v="0"/>
    <x v="239"/>
    <x v="229"/>
    <n v="44576"/>
    <x v="2"/>
    <x v="0"/>
    <n v="0"/>
    <n v="12"/>
    <n v="17"/>
  </r>
  <r>
    <x v="1"/>
    <x v="110"/>
    <x v="5"/>
    <x v="31"/>
    <x v="73"/>
    <n v="1.7"/>
    <n v="6.7"/>
    <n v="4.4000000000000004"/>
    <n v="0"/>
    <n v="0"/>
    <n v="0"/>
    <n v="0"/>
    <n v="0"/>
    <x v="976"/>
    <x v="874"/>
    <n v="346953"/>
    <x v="51"/>
    <x v="39"/>
    <n v="6"/>
    <n v="30"/>
    <n v="49"/>
  </r>
  <r>
    <x v="0"/>
    <x v="127"/>
    <x v="4"/>
    <x v="2"/>
    <x v="2"/>
    <n v="0"/>
    <n v="0"/>
    <n v="0"/>
    <n v="0"/>
    <n v="0"/>
    <n v="0"/>
    <n v="0"/>
    <n v="0"/>
    <x v="708"/>
    <x v="644"/>
    <n v="5029"/>
    <x v="2"/>
    <x v="1"/>
    <n v="0"/>
    <n v="12"/>
    <n v="17"/>
  </r>
  <r>
    <x v="2"/>
    <x v="77"/>
    <x v="5"/>
    <x v="887"/>
    <x v="602"/>
    <n v="53.3"/>
    <n v="2.1"/>
    <n v="1.8"/>
    <n v="0"/>
    <n v="0"/>
    <n v="0"/>
    <n v="0"/>
    <n v="0"/>
    <x v="614"/>
    <x v="559"/>
    <n v="347275"/>
    <x v="189"/>
    <x v="283"/>
    <n v="185"/>
    <n v="30"/>
    <n v="49"/>
  </r>
  <r>
    <x v="2"/>
    <x v="25"/>
    <x v="4"/>
    <x v="888"/>
    <x v="603"/>
    <n v="161.6"/>
    <n v="1.7"/>
    <n v="2.8"/>
    <n v="0"/>
    <n v="0"/>
    <n v="0"/>
    <n v="0"/>
    <n v="0"/>
    <x v="687"/>
    <x v="624"/>
    <n v="13613"/>
    <x v="383"/>
    <x v="183"/>
    <n v="22"/>
    <n v="12"/>
    <n v="17"/>
  </r>
  <r>
    <x v="1"/>
    <x v="31"/>
    <x v="3"/>
    <x v="63"/>
    <x v="169"/>
    <n v="1.9"/>
    <n v="1.4"/>
    <n v="3.4"/>
    <n v="0"/>
    <n v="0"/>
    <n v="0"/>
    <n v="0"/>
    <n v="0"/>
    <x v="563"/>
    <x v="517"/>
    <n v="156355"/>
    <x v="18"/>
    <x v="17"/>
    <n v="3"/>
    <n v="18"/>
    <n v="29"/>
  </r>
  <r>
    <x v="2"/>
    <x v="28"/>
    <x v="8"/>
    <x v="889"/>
    <x v="289"/>
    <n v="0"/>
    <n v="6.1"/>
    <n v="0"/>
    <n v="0"/>
    <n v="0"/>
    <n v="0"/>
    <n v="0"/>
    <n v="0"/>
    <x v="28"/>
    <x v="28"/>
    <n v="0"/>
    <x v="281"/>
    <x v="36"/>
    <n v="0"/>
    <n v="0"/>
    <n v="4"/>
  </r>
  <r>
    <x v="1"/>
    <x v="82"/>
    <x v="6"/>
    <x v="82"/>
    <x v="62"/>
    <n v="6.4"/>
    <n v="0.5"/>
    <n v="0.6"/>
    <n v="0"/>
    <n v="0"/>
    <n v="0"/>
    <n v="0"/>
    <n v="0"/>
    <x v="102"/>
    <x v="101"/>
    <n v="47130"/>
    <x v="1"/>
    <x v="0"/>
    <n v="3"/>
    <n v="80"/>
    <n v="200"/>
  </r>
  <r>
    <x v="0"/>
    <x v="54"/>
    <x v="0"/>
    <x v="113"/>
    <x v="87"/>
    <n v="0.2"/>
    <n v="0.7"/>
    <n v="1"/>
    <n v="0.1"/>
    <n v="0.7"/>
    <n v="0.1"/>
    <n v="0.2"/>
    <n v="0.9"/>
    <x v="644"/>
    <x v="585"/>
    <n v="1043533"/>
    <x v="1"/>
    <x v="39"/>
    <n v="2"/>
    <n v="999"/>
    <n v="999"/>
  </r>
  <r>
    <x v="0"/>
    <x v="51"/>
    <x v="1"/>
    <x v="408"/>
    <x v="2"/>
    <n v="0"/>
    <n v="0"/>
    <n v="0"/>
    <n v="0"/>
    <n v="0"/>
    <n v="0"/>
    <n v="0"/>
    <n v="0"/>
    <x v="675"/>
    <x v="613"/>
    <n v="242018"/>
    <x v="1"/>
    <x v="1"/>
    <n v="0"/>
    <n v="50"/>
    <n v="64"/>
  </r>
  <r>
    <x v="0"/>
    <x v="72"/>
    <x v="1"/>
    <x v="2"/>
    <x v="2"/>
    <n v="0"/>
    <n v="0"/>
    <n v="0"/>
    <n v="0"/>
    <n v="0"/>
    <n v="0"/>
    <n v="0"/>
    <n v="0"/>
    <x v="664"/>
    <x v="53"/>
    <n v="246910"/>
    <x v="2"/>
    <x v="1"/>
    <n v="0"/>
    <n v="50"/>
    <n v="64"/>
  </r>
  <r>
    <x v="0"/>
    <x v="112"/>
    <x v="1"/>
    <x v="40"/>
    <x v="2"/>
    <n v="0"/>
    <n v="0"/>
    <n v="0"/>
    <n v="0"/>
    <n v="0"/>
    <n v="0"/>
    <n v="0"/>
    <n v="0"/>
    <x v="952"/>
    <x v="855"/>
    <n v="0"/>
    <x v="33"/>
    <x v="1"/>
    <n v="0"/>
    <n v="50"/>
    <n v="64"/>
  </r>
  <r>
    <x v="2"/>
    <x v="99"/>
    <x v="2"/>
    <x v="890"/>
    <x v="604"/>
    <n v="0"/>
    <n v="0.7"/>
    <n v="0"/>
    <n v="0"/>
    <n v="0"/>
    <n v="0"/>
    <n v="0"/>
    <n v="0"/>
    <x v="493"/>
    <x v="456"/>
    <n v="0"/>
    <x v="129"/>
    <x v="278"/>
    <n v="0"/>
    <n v="5"/>
    <n v="11"/>
  </r>
  <r>
    <x v="0"/>
    <x v="22"/>
    <x v="3"/>
    <x v="2"/>
    <x v="2"/>
    <n v="0"/>
    <n v="0"/>
    <n v="0"/>
    <n v="0"/>
    <n v="0"/>
    <n v="0"/>
    <n v="0"/>
    <n v="0"/>
    <x v="977"/>
    <x v="875"/>
    <n v="161589"/>
    <x v="2"/>
    <x v="1"/>
    <n v="0"/>
    <n v="18"/>
    <n v="29"/>
  </r>
  <r>
    <x v="0"/>
    <x v="26"/>
    <x v="2"/>
    <x v="2"/>
    <x v="2"/>
    <n v="0"/>
    <n v="0"/>
    <n v="0"/>
    <n v="0"/>
    <n v="0"/>
    <n v="0"/>
    <n v="0"/>
    <n v="0"/>
    <x v="366"/>
    <x v="342"/>
    <n v="21167"/>
    <x v="2"/>
    <x v="1"/>
    <n v="0"/>
    <n v="5"/>
    <n v="11"/>
  </r>
  <r>
    <x v="2"/>
    <x v="124"/>
    <x v="3"/>
    <x v="891"/>
    <x v="605"/>
    <n v="1520.3"/>
    <n v="1.6"/>
    <n v="1.8"/>
    <n v="0"/>
    <n v="0"/>
    <n v="0"/>
    <n v="0"/>
    <n v="0"/>
    <x v="975"/>
    <x v="873"/>
    <n v="58804"/>
    <x v="384"/>
    <x v="284"/>
    <n v="894"/>
    <n v="18"/>
    <n v="29"/>
  </r>
  <r>
    <x v="0"/>
    <x v="16"/>
    <x v="5"/>
    <x v="892"/>
    <x v="87"/>
    <n v="0"/>
    <n v="12"/>
    <n v="0"/>
    <n v="0"/>
    <n v="0"/>
    <n v="0"/>
    <n v="0"/>
    <n v="0"/>
    <x v="978"/>
    <x v="876"/>
    <n v="202387"/>
    <x v="18"/>
    <x v="0"/>
    <n v="0"/>
    <n v="30"/>
    <n v="49"/>
  </r>
  <r>
    <x v="0"/>
    <x v="42"/>
    <x v="7"/>
    <x v="2"/>
    <x v="131"/>
    <n v="0"/>
    <n v="0"/>
    <n v="0"/>
    <n v="0"/>
    <n v="0"/>
    <n v="0"/>
    <n v="0"/>
    <n v="0"/>
    <x v="41"/>
    <x v="41"/>
    <n v="159143"/>
    <x v="2"/>
    <x v="0"/>
    <n v="0"/>
    <n v="65"/>
    <n v="79"/>
  </r>
  <r>
    <x v="0"/>
    <x v="107"/>
    <x v="7"/>
    <x v="311"/>
    <x v="2"/>
    <n v="0"/>
    <n v="0"/>
    <n v="0"/>
    <n v="0"/>
    <n v="0"/>
    <n v="0"/>
    <n v="0"/>
    <n v="0"/>
    <x v="620"/>
    <x v="564"/>
    <n v="0"/>
    <x v="24"/>
    <x v="1"/>
    <n v="0"/>
    <n v="65"/>
    <n v="79"/>
  </r>
  <r>
    <x v="0"/>
    <x v="18"/>
    <x v="6"/>
    <x v="766"/>
    <x v="120"/>
    <n v="4.4000000000000004"/>
    <n v="0.9"/>
    <n v="1.7"/>
    <n v="0"/>
    <n v="0"/>
    <n v="0"/>
    <n v="0"/>
    <n v="0"/>
    <x v="790"/>
    <x v="717"/>
    <n v="45272"/>
    <x v="0"/>
    <x v="0"/>
    <n v="2"/>
    <n v="80"/>
    <n v="200"/>
  </r>
  <r>
    <x v="2"/>
    <x v="135"/>
    <x v="4"/>
    <x v="869"/>
    <x v="131"/>
    <n v="0"/>
    <n v="14"/>
    <n v="0"/>
    <n v="0"/>
    <n v="0"/>
    <n v="0"/>
    <n v="0"/>
    <n v="0"/>
    <x v="979"/>
    <x v="877"/>
    <n v="0"/>
    <x v="48"/>
    <x v="0"/>
    <n v="0"/>
    <n v="12"/>
    <n v="17"/>
  </r>
  <r>
    <x v="0"/>
    <x v="56"/>
    <x v="6"/>
    <x v="2"/>
    <x v="35"/>
    <n v="0"/>
    <n v="0"/>
    <n v="0"/>
    <n v="0"/>
    <n v="0"/>
    <n v="0"/>
    <n v="0"/>
    <n v="0"/>
    <x v="58"/>
    <x v="58"/>
    <n v="43109"/>
    <x v="2"/>
    <x v="11"/>
    <n v="0"/>
    <n v="80"/>
    <n v="200"/>
  </r>
  <r>
    <x v="1"/>
    <x v="134"/>
    <x v="2"/>
    <x v="2"/>
    <x v="116"/>
    <n v="0"/>
    <n v="0"/>
    <n v="0"/>
    <n v="0"/>
    <n v="0"/>
    <n v="0"/>
    <n v="0"/>
    <n v="0"/>
    <x v="405"/>
    <x v="379"/>
    <n v="411"/>
    <x v="2"/>
    <x v="11"/>
    <n v="0"/>
    <n v="5"/>
    <n v="11"/>
  </r>
  <r>
    <x v="0"/>
    <x v="65"/>
    <x v="1"/>
    <x v="357"/>
    <x v="2"/>
    <n v="0"/>
    <n v="0"/>
    <n v="0"/>
    <n v="0"/>
    <n v="0"/>
    <n v="0"/>
    <n v="0"/>
    <n v="0"/>
    <x v="835"/>
    <x v="758"/>
    <n v="0"/>
    <x v="33"/>
    <x v="1"/>
    <n v="0"/>
    <n v="50"/>
    <n v="64"/>
  </r>
  <r>
    <x v="2"/>
    <x v="29"/>
    <x v="7"/>
    <x v="893"/>
    <x v="606"/>
    <n v="177.8"/>
    <n v="1.4"/>
    <n v="1.3"/>
    <n v="0"/>
    <n v="0"/>
    <n v="0"/>
    <n v="0"/>
    <n v="0"/>
    <x v="980"/>
    <x v="878"/>
    <n v="167052"/>
    <x v="189"/>
    <x v="114"/>
    <n v="297"/>
    <n v="65"/>
    <n v="79"/>
  </r>
  <r>
    <x v="1"/>
    <x v="16"/>
    <x v="5"/>
    <x v="894"/>
    <x v="504"/>
    <n v="8.4"/>
    <n v="3.7"/>
    <n v="12.2"/>
    <n v="0"/>
    <n v="0"/>
    <n v="0"/>
    <n v="0"/>
    <n v="0"/>
    <x v="978"/>
    <x v="876"/>
    <n v="202387"/>
    <x v="227"/>
    <x v="285"/>
    <n v="17"/>
    <n v="30"/>
    <n v="49"/>
  </r>
  <r>
    <x v="0"/>
    <x v="84"/>
    <x v="3"/>
    <x v="2"/>
    <x v="2"/>
    <n v="0"/>
    <n v="0"/>
    <n v="0"/>
    <n v="0"/>
    <n v="0"/>
    <n v="0"/>
    <n v="0"/>
    <n v="0"/>
    <x v="839"/>
    <x v="520"/>
    <n v="161728"/>
    <x v="2"/>
    <x v="1"/>
    <n v="0"/>
    <n v="18"/>
    <n v="29"/>
  </r>
  <r>
    <x v="0"/>
    <x v="43"/>
    <x v="3"/>
    <x v="2"/>
    <x v="2"/>
    <n v="0"/>
    <n v="0"/>
    <n v="0"/>
    <n v="0"/>
    <n v="0"/>
    <n v="0"/>
    <n v="0"/>
    <n v="0"/>
    <x v="87"/>
    <x v="87"/>
    <n v="161709"/>
    <x v="2"/>
    <x v="1"/>
    <n v="0"/>
    <n v="18"/>
    <n v="29"/>
  </r>
  <r>
    <x v="1"/>
    <x v="18"/>
    <x v="3"/>
    <x v="442"/>
    <x v="83"/>
    <n v="2"/>
    <n v="3.1"/>
    <n v="5.8"/>
    <n v="0"/>
    <n v="0"/>
    <n v="0"/>
    <n v="0"/>
    <n v="0"/>
    <x v="173"/>
    <x v="170"/>
    <n v="153584"/>
    <x v="6"/>
    <x v="5"/>
    <n v="3"/>
    <n v="18"/>
    <n v="29"/>
  </r>
  <r>
    <x v="2"/>
    <x v="115"/>
    <x v="5"/>
    <x v="895"/>
    <x v="607"/>
    <n v="301.10000000000002"/>
    <n v="1.6"/>
    <n v="0.5"/>
    <n v="0"/>
    <n v="0"/>
    <n v="0"/>
    <n v="0"/>
    <n v="0"/>
    <x v="201"/>
    <x v="194"/>
    <n v="329404"/>
    <x v="385"/>
    <x v="286"/>
    <n v="992"/>
    <n v="30"/>
    <n v="49"/>
  </r>
  <r>
    <x v="1"/>
    <x v="66"/>
    <x v="1"/>
    <x v="896"/>
    <x v="100"/>
    <n v="0"/>
    <n v="10.6"/>
    <n v="0"/>
    <n v="0"/>
    <n v="0"/>
    <n v="0"/>
    <n v="0"/>
    <n v="0"/>
    <x v="973"/>
    <x v="872"/>
    <n v="36865"/>
    <x v="66"/>
    <x v="38"/>
    <n v="0"/>
    <n v="50"/>
    <n v="64"/>
  </r>
  <r>
    <x v="1"/>
    <x v="5"/>
    <x v="0"/>
    <x v="604"/>
    <x v="21"/>
    <n v="0"/>
    <n v="4.9000000000000004"/>
    <n v="0"/>
    <n v="23.7"/>
    <n v="2.4"/>
    <n v="0"/>
    <n v="9.8000000000000007"/>
    <n v="0"/>
    <x v="894"/>
    <x v="805"/>
    <n v="0"/>
    <x v="193"/>
    <x v="4"/>
    <n v="0"/>
    <n v="999"/>
    <n v="999"/>
  </r>
  <r>
    <x v="1"/>
    <x v="32"/>
    <x v="2"/>
    <x v="2"/>
    <x v="2"/>
    <n v="0"/>
    <n v="0"/>
    <n v="0"/>
    <n v="0"/>
    <n v="0"/>
    <n v="0"/>
    <n v="0"/>
    <n v="0"/>
    <x v="33"/>
    <x v="33"/>
    <n v="21098"/>
    <x v="2"/>
    <x v="1"/>
    <n v="0"/>
    <n v="5"/>
    <n v="11"/>
  </r>
  <r>
    <x v="0"/>
    <x v="97"/>
    <x v="3"/>
    <x v="147"/>
    <x v="2"/>
    <n v="0"/>
    <n v="0"/>
    <n v="0"/>
    <n v="0"/>
    <n v="0"/>
    <n v="0"/>
    <n v="0"/>
    <n v="0"/>
    <x v="981"/>
    <x v="879"/>
    <n v="37772"/>
    <x v="1"/>
    <x v="1"/>
    <n v="0"/>
    <n v="18"/>
    <n v="29"/>
  </r>
  <r>
    <x v="2"/>
    <x v="8"/>
    <x v="4"/>
    <x v="897"/>
    <x v="2"/>
    <n v="0"/>
    <n v="0"/>
    <n v="0"/>
    <n v="0"/>
    <n v="0"/>
    <n v="0"/>
    <n v="0"/>
    <n v="0"/>
    <x v="181"/>
    <x v="28"/>
    <n v="0"/>
    <x v="288"/>
    <x v="1"/>
    <n v="0"/>
    <n v="12"/>
    <n v="17"/>
  </r>
  <r>
    <x v="0"/>
    <x v="74"/>
    <x v="1"/>
    <x v="2"/>
    <x v="2"/>
    <n v="0"/>
    <n v="0"/>
    <n v="0"/>
    <n v="0"/>
    <n v="0"/>
    <n v="0"/>
    <n v="0"/>
    <n v="0"/>
    <x v="689"/>
    <x v="626"/>
    <n v="247254"/>
    <x v="2"/>
    <x v="1"/>
    <n v="0"/>
    <n v="50"/>
    <n v="64"/>
  </r>
  <r>
    <x v="2"/>
    <x v="111"/>
    <x v="6"/>
    <x v="898"/>
    <x v="608"/>
    <n v="230.2"/>
    <n v="0.7"/>
    <n v="0.6"/>
    <n v="0"/>
    <n v="0"/>
    <n v="0"/>
    <n v="0"/>
    <n v="0"/>
    <x v="868"/>
    <x v="786"/>
    <n v="46907"/>
    <x v="155"/>
    <x v="133"/>
    <n v="108"/>
    <n v="80"/>
    <n v="200"/>
  </r>
  <r>
    <x v="0"/>
    <x v="135"/>
    <x v="0"/>
    <x v="147"/>
    <x v="2"/>
    <n v="0"/>
    <n v="0"/>
    <n v="0"/>
    <n v="1"/>
    <n v="0"/>
    <n v="0"/>
    <n v="0"/>
    <n v="0"/>
    <x v="406"/>
    <x v="380"/>
    <n v="0"/>
    <x v="33"/>
    <x v="1"/>
    <n v="0"/>
    <n v="999"/>
    <n v="999"/>
  </r>
  <r>
    <x v="1"/>
    <x v="12"/>
    <x v="1"/>
    <x v="192"/>
    <x v="49"/>
    <n v="0"/>
    <n v="17.600000000000001"/>
    <n v="0"/>
    <n v="0"/>
    <n v="0"/>
    <n v="0"/>
    <n v="0"/>
    <n v="0"/>
    <x v="729"/>
    <x v="662"/>
    <n v="0"/>
    <x v="8"/>
    <x v="39"/>
    <n v="0"/>
    <n v="50"/>
    <n v="64"/>
  </r>
  <r>
    <x v="1"/>
    <x v="38"/>
    <x v="7"/>
    <x v="899"/>
    <x v="237"/>
    <n v="18.600000000000001"/>
    <n v="2"/>
    <n v="1.5"/>
    <n v="0"/>
    <n v="0"/>
    <n v="0"/>
    <n v="0"/>
    <n v="0"/>
    <x v="502"/>
    <x v="463"/>
    <n v="171755"/>
    <x v="6"/>
    <x v="48"/>
    <n v="32"/>
    <n v="65"/>
    <n v="79"/>
  </r>
  <r>
    <x v="0"/>
    <x v="98"/>
    <x v="7"/>
    <x v="2"/>
    <x v="2"/>
    <n v="1.2"/>
    <n v="0"/>
    <n v="0"/>
    <n v="0"/>
    <n v="0"/>
    <n v="0"/>
    <n v="0"/>
    <n v="0"/>
    <x v="452"/>
    <x v="341"/>
    <n v="171732"/>
    <x v="2"/>
    <x v="1"/>
    <n v="2"/>
    <n v="65"/>
    <n v="79"/>
  </r>
  <r>
    <x v="2"/>
    <x v="66"/>
    <x v="3"/>
    <x v="900"/>
    <x v="30"/>
    <n v="27.9"/>
    <n v="2.4"/>
    <n v="8.8000000000000007"/>
    <n v="0"/>
    <n v="0"/>
    <n v="0"/>
    <n v="0"/>
    <n v="0"/>
    <x v="942"/>
    <x v="846"/>
    <n v="14313"/>
    <x v="105"/>
    <x v="287"/>
    <n v="4"/>
    <n v="18"/>
    <n v="29"/>
  </r>
  <r>
    <x v="1"/>
    <x v="60"/>
    <x v="1"/>
    <x v="235"/>
    <x v="609"/>
    <n v="9.4"/>
    <n v="4.9000000000000004"/>
    <n v="3.9"/>
    <n v="0"/>
    <n v="0"/>
    <n v="0"/>
    <n v="0"/>
    <n v="0"/>
    <x v="62"/>
    <x v="62"/>
    <n v="201587"/>
    <x v="8"/>
    <x v="23"/>
    <n v="19"/>
    <n v="50"/>
    <n v="64"/>
  </r>
  <r>
    <x v="1"/>
    <x v="123"/>
    <x v="2"/>
    <x v="2"/>
    <x v="2"/>
    <n v="0"/>
    <n v="0"/>
    <n v="0"/>
    <n v="0"/>
    <n v="0"/>
    <n v="0"/>
    <n v="0"/>
    <n v="0"/>
    <x v="982"/>
    <x v="880"/>
    <n v="21212"/>
    <x v="2"/>
    <x v="1"/>
    <n v="0"/>
    <n v="5"/>
    <n v="11"/>
  </r>
  <r>
    <x v="0"/>
    <x v="58"/>
    <x v="3"/>
    <x v="2"/>
    <x v="2"/>
    <n v="0"/>
    <n v="0"/>
    <n v="0"/>
    <n v="0"/>
    <n v="0"/>
    <n v="0"/>
    <n v="0"/>
    <n v="0"/>
    <x v="983"/>
    <x v="881"/>
    <n v="161555"/>
    <x v="2"/>
    <x v="1"/>
    <n v="0"/>
    <n v="18"/>
    <n v="29"/>
  </r>
  <r>
    <x v="1"/>
    <x v="59"/>
    <x v="0"/>
    <x v="755"/>
    <x v="4"/>
    <n v="0"/>
    <n v="4.3"/>
    <n v="0"/>
    <n v="23"/>
    <n v="3"/>
    <n v="0"/>
    <n v="7.8"/>
    <n v="0"/>
    <x v="589"/>
    <x v="539"/>
    <n v="0"/>
    <x v="11"/>
    <x v="288"/>
    <n v="0"/>
    <n v="999"/>
    <n v="999"/>
  </r>
  <r>
    <x v="2"/>
    <x v="17"/>
    <x v="4"/>
    <x v="220"/>
    <x v="17"/>
    <n v="2.2000000000000002"/>
    <n v="5.2"/>
    <n v="2.8"/>
    <n v="0"/>
    <n v="0"/>
    <n v="0"/>
    <n v="0"/>
    <n v="0"/>
    <x v="984"/>
    <x v="882"/>
    <n v="44588"/>
    <x v="0"/>
    <x v="0"/>
    <n v="1"/>
    <n v="12"/>
    <n v="17"/>
  </r>
  <r>
    <x v="1"/>
    <x v="34"/>
    <x v="5"/>
    <x v="901"/>
    <x v="610"/>
    <n v="3.4"/>
    <n v="6.4"/>
    <n v="15.8"/>
    <n v="0"/>
    <n v="0"/>
    <n v="0"/>
    <n v="0"/>
    <n v="0"/>
    <x v="34"/>
    <x v="34"/>
    <n v="147317"/>
    <x v="7"/>
    <x v="14"/>
    <n v="5"/>
    <n v="30"/>
    <n v="49"/>
  </r>
  <r>
    <x v="1"/>
    <x v="8"/>
    <x v="1"/>
    <x v="701"/>
    <x v="431"/>
    <n v="0"/>
    <n v="16.5"/>
    <n v="0"/>
    <n v="0"/>
    <n v="0"/>
    <n v="0"/>
    <n v="0"/>
    <n v="0"/>
    <x v="866"/>
    <x v="784"/>
    <n v="0"/>
    <x v="90"/>
    <x v="48"/>
    <n v="0"/>
    <n v="50"/>
    <n v="64"/>
  </r>
  <r>
    <x v="1"/>
    <x v="114"/>
    <x v="2"/>
    <x v="99"/>
    <x v="2"/>
    <n v="0"/>
    <n v="0"/>
    <n v="0"/>
    <n v="0"/>
    <n v="0"/>
    <n v="0"/>
    <n v="0"/>
    <n v="0"/>
    <x v="588"/>
    <x v="538"/>
    <n v="20656"/>
    <x v="0"/>
    <x v="1"/>
    <n v="0"/>
    <n v="5"/>
    <n v="11"/>
  </r>
  <r>
    <x v="0"/>
    <x v="65"/>
    <x v="7"/>
    <x v="197"/>
    <x v="73"/>
    <n v="0"/>
    <n v="2.5"/>
    <n v="0"/>
    <n v="0"/>
    <n v="0"/>
    <n v="0"/>
    <n v="0"/>
    <n v="0"/>
    <x v="499"/>
    <x v="461"/>
    <n v="0"/>
    <x v="0"/>
    <x v="11"/>
    <n v="0"/>
    <n v="65"/>
    <n v="79"/>
  </r>
  <r>
    <x v="2"/>
    <x v="60"/>
    <x v="2"/>
    <x v="902"/>
    <x v="611"/>
    <n v="0"/>
    <n v="0.6"/>
    <n v="0"/>
    <n v="0"/>
    <n v="0"/>
    <n v="0"/>
    <n v="0"/>
    <n v="0"/>
    <x v="915"/>
    <x v="823"/>
    <n v="0"/>
    <x v="385"/>
    <x v="67"/>
    <n v="0"/>
    <n v="5"/>
    <n v="11"/>
  </r>
  <r>
    <x v="2"/>
    <x v="24"/>
    <x v="0"/>
    <x v="675"/>
    <x v="612"/>
    <n v="32.1"/>
    <n v="2.4"/>
    <n v="1.2"/>
    <n v="44.9"/>
    <n v="17.600000000000001"/>
    <n v="27.4"/>
    <n v="2.5"/>
    <n v="1.6"/>
    <x v="783"/>
    <x v="710"/>
    <n v="1040782"/>
    <x v="57"/>
    <x v="289"/>
    <n v="334"/>
    <n v="999"/>
    <n v="999"/>
  </r>
  <r>
    <x v="0"/>
    <x v="111"/>
    <x v="7"/>
    <x v="155"/>
    <x v="2"/>
    <n v="0"/>
    <n v="0"/>
    <n v="0"/>
    <n v="0"/>
    <n v="0"/>
    <n v="0"/>
    <n v="0"/>
    <n v="0"/>
    <x v="343"/>
    <x v="320"/>
    <n v="170866"/>
    <x v="0"/>
    <x v="1"/>
    <n v="0"/>
    <n v="65"/>
    <n v="79"/>
  </r>
  <r>
    <x v="0"/>
    <x v="110"/>
    <x v="5"/>
    <x v="2"/>
    <x v="19"/>
    <n v="0.3"/>
    <n v="0"/>
    <n v="0"/>
    <n v="0"/>
    <n v="0"/>
    <n v="0"/>
    <n v="0"/>
    <n v="0"/>
    <x v="976"/>
    <x v="874"/>
    <n v="346953"/>
    <x v="2"/>
    <x v="0"/>
    <n v="1"/>
    <n v="30"/>
    <n v="49"/>
  </r>
  <r>
    <x v="0"/>
    <x v="107"/>
    <x v="0"/>
    <x v="99"/>
    <x v="82"/>
    <n v="0"/>
    <n v="10.5"/>
    <n v="0"/>
    <n v="3.3"/>
    <n v="0.1"/>
    <n v="0"/>
    <n v="24.5"/>
    <n v="0"/>
    <x v="387"/>
    <x v="363"/>
    <n v="0"/>
    <x v="60"/>
    <x v="11"/>
    <n v="0"/>
    <n v="999"/>
    <n v="999"/>
  </r>
  <r>
    <x v="2"/>
    <x v="62"/>
    <x v="0"/>
    <x v="903"/>
    <x v="294"/>
    <n v="25.2"/>
    <n v="2.2000000000000002"/>
    <n v="1.1000000000000001"/>
    <n v="33.299999999999997"/>
    <n v="14.7"/>
    <n v="20.100000000000001"/>
    <n v="2.2999999999999998"/>
    <n v="1.7"/>
    <x v="985"/>
    <x v="37"/>
    <n v="1040778"/>
    <x v="354"/>
    <x v="95"/>
    <n v="262"/>
    <n v="999"/>
    <n v="999"/>
  </r>
  <r>
    <x v="1"/>
    <x v="69"/>
    <x v="4"/>
    <x v="2"/>
    <x v="2"/>
    <n v="0"/>
    <n v="0"/>
    <n v="0"/>
    <n v="0"/>
    <n v="0"/>
    <n v="0"/>
    <n v="0"/>
    <n v="0"/>
    <x v="367"/>
    <x v="343"/>
    <n v="23968"/>
    <x v="2"/>
    <x v="1"/>
    <n v="0"/>
    <n v="12"/>
    <n v="17"/>
  </r>
  <r>
    <x v="2"/>
    <x v="75"/>
    <x v="6"/>
    <x v="904"/>
    <x v="613"/>
    <n v="252.3"/>
    <n v="0.7"/>
    <n v="0.6"/>
    <n v="0"/>
    <n v="0"/>
    <n v="0"/>
    <n v="0"/>
    <n v="0"/>
    <x v="947"/>
    <x v="850"/>
    <n v="46378"/>
    <x v="93"/>
    <x v="88"/>
    <n v="117"/>
    <n v="80"/>
    <n v="200"/>
  </r>
  <r>
    <x v="2"/>
    <x v="119"/>
    <x v="7"/>
    <x v="905"/>
    <x v="480"/>
    <n v="67.3"/>
    <n v="1.3"/>
    <n v="1.1000000000000001"/>
    <n v="0"/>
    <n v="0"/>
    <n v="0"/>
    <n v="0"/>
    <n v="0"/>
    <x v="623"/>
    <x v="567"/>
    <n v="172402"/>
    <x v="31"/>
    <x v="88"/>
    <n v="116"/>
    <n v="65"/>
    <n v="79"/>
  </r>
  <r>
    <x v="2"/>
    <x v="96"/>
    <x v="7"/>
    <x v="906"/>
    <x v="614"/>
    <n v="95.5"/>
    <n v="1"/>
    <n v="1"/>
    <n v="0"/>
    <n v="0"/>
    <n v="0"/>
    <n v="0"/>
    <n v="0"/>
    <x v="986"/>
    <x v="449"/>
    <n v="171704"/>
    <x v="155"/>
    <x v="265"/>
    <n v="164"/>
    <n v="65"/>
    <n v="79"/>
  </r>
  <r>
    <x v="1"/>
    <x v="119"/>
    <x v="2"/>
    <x v="234"/>
    <x v="17"/>
    <n v="0"/>
    <n v="1.9"/>
    <n v="0"/>
    <n v="0"/>
    <n v="0"/>
    <n v="0"/>
    <n v="0"/>
    <n v="0"/>
    <x v="555"/>
    <x v="509"/>
    <n v="21989"/>
    <x v="0"/>
    <x v="0"/>
    <n v="0"/>
    <n v="5"/>
    <n v="11"/>
  </r>
  <r>
    <x v="1"/>
    <x v="28"/>
    <x v="2"/>
    <x v="2"/>
    <x v="2"/>
    <n v="0"/>
    <n v="0"/>
    <n v="0"/>
    <n v="0"/>
    <n v="0"/>
    <n v="0"/>
    <n v="0"/>
    <n v="0"/>
    <x v="615"/>
    <x v="560"/>
    <n v="21203"/>
    <x v="2"/>
    <x v="1"/>
    <n v="0"/>
    <n v="5"/>
    <n v="11"/>
  </r>
  <r>
    <x v="2"/>
    <x v="35"/>
    <x v="5"/>
    <x v="907"/>
    <x v="615"/>
    <n v="21.8"/>
    <n v="2.7"/>
    <n v="2.7"/>
    <n v="0"/>
    <n v="0"/>
    <n v="0"/>
    <n v="0"/>
    <n v="0"/>
    <x v="345"/>
    <x v="322"/>
    <n v="348427"/>
    <x v="76"/>
    <x v="206"/>
    <n v="76"/>
    <n v="30"/>
    <n v="49"/>
  </r>
  <r>
    <x v="0"/>
    <x v="28"/>
    <x v="7"/>
    <x v="2"/>
    <x v="2"/>
    <n v="2.9"/>
    <n v="0"/>
    <n v="0"/>
    <n v="0"/>
    <n v="0"/>
    <n v="0"/>
    <n v="0"/>
    <n v="0"/>
    <x v="67"/>
    <x v="67"/>
    <n v="171702"/>
    <x v="2"/>
    <x v="1"/>
    <n v="5"/>
    <n v="65"/>
    <n v="79"/>
  </r>
  <r>
    <x v="2"/>
    <x v="30"/>
    <x v="4"/>
    <x v="908"/>
    <x v="616"/>
    <n v="80.900000000000006"/>
    <n v="2.4"/>
    <n v="2"/>
    <n v="0"/>
    <n v="0"/>
    <n v="0"/>
    <n v="0"/>
    <n v="0"/>
    <x v="933"/>
    <x v="837"/>
    <n v="44506"/>
    <x v="106"/>
    <x v="181"/>
    <n v="36"/>
    <n v="12"/>
    <n v="17"/>
  </r>
  <r>
    <x v="1"/>
    <x v="90"/>
    <x v="6"/>
    <x v="909"/>
    <x v="537"/>
    <n v="44.4"/>
    <n v="0.7"/>
    <n v="1.1000000000000001"/>
    <n v="0"/>
    <n v="0"/>
    <n v="0"/>
    <n v="0"/>
    <n v="0"/>
    <x v="987"/>
    <x v="883"/>
    <n v="45035"/>
    <x v="16"/>
    <x v="13"/>
    <n v="20"/>
    <n v="80"/>
    <n v="200"/>
  </r>
  <r>
    <x v="1"/>
    <x v="137"/>
    <x v="4"/>
    <x v="2"/>
    <x v="17"/>
    <n v="0"/>
    <n v="0"/>
    <n v="0"/>
    <n v="0"/>
    <n v="0"/>
    <n v="0"/>
    <n v="0"/>
    <n v="0"/>
    <x v="988"/>
    <x v="884"/>
    <n v="44749"/>
    <x v="2"/>
    <x v="0"/>
    <n v="0"/>
    <n v="12"/>
    <n v="17"/>
  </r>
  <r>
    <x v="2"/>
    <x v="66"/>
    <x v="1"/>
    <x v="910"/>
    <x v="22"/>
    <n v="24.4"/>
    <n v="3.1"/>
    <n v="11.2"/>
    <n v="0"/>
    <n v="0"/>
    <n v="0"/>
    <n v="0"/>
    <n v="0"/>
    <x v="973"/>
    <x v="872"/>
    <n v="36865"/>
    <x v="386"/>
    <x v="290"/>
    <n v="9"/>
    <n v="50"/>
    <n v="64"/>
  </r>
  <r>
    <x v="2"/>
    <x v="117"/>
    <x v="7"/>
    <x v="911"/>
    <x v="542"/>
    <n v="103.9"/>
    <n v="1.5"/>
    <n v="1.2"/>
    <n v="0"/>
    <n v="0"/>
    <n v="0"/>
    <n v="0"/>
    <n v="0"/>
    <x v="728"/>
    <x v="661"/>
    <n v="171353"/>
    <x v="26"/>
    <x v="14"/>
    <n v="178"/>
    <n v="65"/>
    <n v="79"/>
  </r>
  <r>
    <x v="1"/>
    <x v="24"/>
    <x v="3"/>
    <x v="93"/>
    <x v="48"/>
    <n v="1.2"/>
    <n v="1.6"/>
    <n v="1.2"/>
    <n v="0"/>
    <n v="0"/>
    <n v="0"/>
    <n v="0"/>
    <n v="0"/>
    <x v="883"/>
    <x v="795"/>
    <n v="161715"/>
    <x v="1"/>
    <x v="11"/>
    <n v="2"/>
    <n v="18"/>
    <n v="29"/>
  </r>
  <r>
    <x v="1"/>
    <x v="28"/>
    <x v="7"/>
    <x v="912"/>
    <x v="617"/>
    <n v="11.1"/>
    <n v="1"/>
    <n v="2.9"/>
    <n v="0"/>
    <n v="0"/>
    <n v="0"/>
    <n v="0"/>
    <n v="0"/>
    <x v="67"/>
    <x v="67"/>
    <n v="171702"/>
    <x v="16"/>
    <x v="52"/>
    <n v="19"/>
    <n v="65"/>
    <n v="79"/>
  </r>
  <r>
    <x v="0"/>
    <x v="105"/>
    <x v="5"/>
    <x v="2"/>
    <x v="2"/>
    <n v="0"/>
    <n v="0"/>
    <n v="0"/>
    <n v="0"/>
    <n v="0"/>
    <n v="0"/>
    <n v="0"/>
    <n v="0"/>
    <x v="248"/>
    <x v="237"/>
    <n v="343405"/>
    <x v="2"/>
    <x v="1"/>
    <n v="0"/>
    <n v="30"/>
    <n v="49"/>
  </r>
  <r>
    <x v="0"/>
    <x v="13"/>
    <x v="7"/>
    <x v="913"/>
    <x v="618"/>
    <n v="2.1"/>
    <n v="2.2999999999999998"/>
    <n v="31.1"/>
    <n v="0"/>
    <n v="0"/>
    <n v="0"/>
    <n v="0"/>
    <n v="0"/>
    <x v="13"/>
    <x v="13"/>
    <n v="141953"/>
    <x v="75"/>
    <x v="130"/>
    <n v="3"/>
    <n v="65"/>
    <n v="79"/>
  </r>
  <r>
    <x v="0"/>
    <x v="117"/>
    <x v="6"/>
    <x v="210"/>
    <x v="66"/>
    <n v="6.4"/>
    <n v="0.2"/>
    <n v="0.6"/>
    <n v="0"/>
    <n v="0"/>
    <n v="0"/>
    <n v="0"/>
    <n v="0"/>
    <x v="957"/>
    <x v="325"/>
    <n v="47037"/>
    <x v="1"/>
    <x v="11"/>
    <n v="3"/>
    <n v="80"/>
    <n v="200"/>
  </r>
  <r>
    <x v="1"/>
    <x v="71"/>
    <x v="0"/>
    <x v="26"/>
    <x v="23"/>
    <n v="0"/>
    <n v="5.2"/>
    <n v="0"/>
    <n v="3.3"/>
    <n v="0.4"/>
    <n v="0"/>
    <n v="8.8000000000000007"/>
    <n v="0"/>
    <x v="771"/>
    <x v="700"/>
    <n v="0"/>
    <x v="182"/>
    <x v="26"/>
    <n v="0"/>
    <n v="999"/>
    <n v="999"/>
  </r>
  <r>
    <x v="1"/>
    <x v="44"/>
    <x v="5"/>
    <x v="391"/>
    <x v="8"/>
    <n v="2.2999999999999998"/>
    <n v="5.6"/>
    <n v="3.2"/>
    <n v="0"/>
    <n v="0"/>
    <n v="0"/>
    <n v="0"/>
    <n v="0"/>
    <x v="908"/>
    <x v="816"/>
    <n v="310294"/>
    <x v="24"/>
    <x v="16"/>
    <n v="7"/>
    <n v="30"/>
    <n v="49"/>
  </r>
  <r>
    <x v="2"/>
    <x v="112"/>
    <x v="1"/>
    <x v="914"/>
    <x v="40"/>
    <n v="0"/>
    <n v="13.7"/>
    <n v="0"/>
    <n v="0"/>
    <n v="0"/>
    <n v="0"/>
    <n v="0"/>
    <n v="0"/>
    <x v="952"/>
    <x v="855"/>
    <n v="0"/>
    <x v="138"/>
    <x v="77"/>
    <n v="0"/>
    <n v="50"/>
    <n v="64"/>
  </r>
  <r>
    <x v="1"/>
    <x v="116"/>
    <x v="0"/>
    <x v="102"/>
    <x v="221"/>
    <n v="4.7"/>
    <n v="1.7"/>
    <n v="0.9"/>
    <n v="5.4"/>
    <n v="3.7"/>
    <n v="3.4"/>
    <n v="1.5"/>
    <n v="1.6"/>
    <x v="989"/>
    <x v="885"/>
    <n v="1040815"/>
    <x v="46"/>
    <x v="59"/>
    <n v="49"/>
    <n v="999"/>
    <n v="999"/>
  </r>
  <r>
    <x v="1"/>
    <x v="136"/>
    <x v="7"/>
    <x v="915"/>
    <x v="78"/>
    <n v="0"/>
    <n v="5.5"/>
    <n v="0"/>
    <n v="0"/>
    <n v="0"/>
    <n v="0"/>
    <n v="0"/>
    <n v="0"/>
    <x v="990"/>
    <x v="886"/>
    <n v="0"/>
    <x v="17"/>
    <x v="52"/>
    <n v="0"/>
    <n v="65"/>
    <n v="79"/>
  </r>
  <r>
    <x v="0"/>
    <x v="111"/>
    <x v="6"/>
    <x v="210"/>
    <x v="2"/>
    <n v="4.3"/>
    <n v="0"/>
    <n v="0.9"/>
    <n v="0"/>
    <n v="0"/>
    <n v="0"/>
    <n v="0"/>
    <n v="0"/>
    <x v="868"/>
    <x v="786"/>
    <n v="46907"/>
    <x v="1"/>
    <x v="1"/>
    <n v="2"/>
    <n v="80"/>
    <n v="200"/>
  </r>
  <r>
    <x v="1"/>
    <x v="35"/>
    <x v="6"/>
    <x v="511"/>
    <x v="619"/>
    <n v="25.4"/>
    <n v="0.3"/>
    <n v="0.7"/>
    <n v="0"/>
    <n v="0"/>
    <n v="0"/>
    <n v="0"/>
    <n v="0"/>
    <x v="648"/>
    <x v="589"/>
    <n v="47261"/>
    <x v="20"/>
    <x v="48"/>
    <n v="12"/>
    <n v="80"/>
    <n v="200"/>
  </r>
  <r>
    <x v="1"/>
    <x v="43"/>
    <x v="1"/>
    <x v="215"/>
    <x v="2"/>
    <n v="0.8"/>
    <n v="0"/>
    <n v="11.5"/>
    <n v="0"/>
    <n v="0"/>
    <n v="0"/>
    <n v="0"/>
    <n v="0"/>
    <x v="454"/>
    <x v="64"/>
    <n v="246933"/>
    <x v="45"/>
    <x v="1"/>
    <n v="2"/>
    <n v="50"/>
    <n v="64"/>
  </r>
  <r>
    <x v="2"/>
    <x v="129"/>
    <x v="3"/>
    <x v="620"/>
    <x v="83"/>
    <n v="6.8"/>
    <n v="2.2000000000000002"/>
    <n v="1.2"/>
    <n v="0"/>
    <n v="0"/>
    <n v="0"/>
    <n v="0"/>
    <n v="0"/>
    <x v="396"/>
    <x v="87"/>
    <n v="161700"/>
    <x v="18"/>
    <x v="5"/>
    <n v="11"/>
    <n v="18"/>
    <n v="29"/>
  </r>
  <r>
    <x v="2"/>
    <x v="5"/>
    <x v="3"/>
    <x v="916"/>
    <x v="244"/>
    <n v="0"/>
    <n v="3.3"/>
    <n v="0"/>
    <n v="0"/>
    <n v="0"/>
    <n v="0"/>
    <n v="0"/>
    <n v="0"/>
    <x v="584"/>
    <x v="535"/>
    <n v="0"/>
    <x v="387"/>
    <x v="291"/>
    <n v="0"/>
    <n v="18"/>
    <n v="29"/>
  </r>
  <r>
    <x v="0"/>
    <x v="88"/>
    <x v="1"/>
    <x v="395"/>
    <x v="87"/>
    <n v="0"/>
    <n v="17"/>
    <n v="0"/>
    <n v="0"/>
    <n v="0"/>
    <n v="0"/>
    <n v="0"/>
    <n v="0"/>
    <x v="489"/>
    <x v="453"/>
    <n v="0"/>
    <x v="20"/>
    <x v="0"/>
    <n v="0"/>
    <n v="50"/>
    <n v="64"/>
  </r>
  <r>
    <x v="1"/>
    <x v="124"/>
    <x v="6"/>
    <x v="917"/>
    <x v="620"/>
    <n v="32.9"/>
    <n v="0.9"/>
    <n v="6"/>
    <n v="0"/>
    <n v="0"/>
    <n v="0"/>
    <n v="0"/>
    <n v="0"/>
    <x v="264"/>
    <x v="253"/>
    <n v="33427"/>
    <x v="106"/>
    <x v="175"/>
    <n v="11"/>
    <n v="80"/>
    <n v="200"/>
  </r>
  <r>
    <x v="2"/>
    <x v="24"/>
    <x v="4"/>
    <x v="225"/>
    <x v="241"/>
    <n v="15.7"/>
    <n v="2.7"/>
    <n v="1.2"/>
    <n v="0"/>
    <n v="0"/>
    <n v="0"/>
    <n v="0"/>
    <n v="0"/>
    <x v="991"/>
    <x v="241"/>
    <n v="44592"/>
    <x v="18"/>
    <x v="48"/>
    <n v="7"/>
    <n v="12"/>
    <n v="17"/>
  </r>
  <r>
    <x v="2"/>
    <x v="111"/>
    <x v="5"/>
    <x v="918"/>
    <x v="311"/>
    <n v="159.80000000000001"/>
    <n v="2.1"/>
    <n v="1.5"/>
    <n v="0"/>
    <n v="0"/>
    <n v="0"/>
    <n v="0"/>
    <n v="0"/>
    <x v="578"/>
    <x v="531"/>
    <n v="345994"/>
    <x v="388"/>
    <x v="292"/>
    <n v="553"/>
    <n v="30"/>
    <n v="49"/>
  </r>
  <r>
    <x v="2"/>
    <x v="124"/>
    <x v="0"/>
    <x v="919"/>
    <x v="621"/>
    <n v="815.3"/>
    <n v="1.2"/>
    <n v="2"/>
    <n v="1926.4"/>
    <n v="1161.2"/>
    <n v="782"/>
    <n v="1.7"/>
    <n v="2.5"/>
    <x v="926"/>
    <x v="832"/>
    <n v="517372"/>
    <x v="389"/>
    <x v="293"/>
    <n v="4218"/>
    <n v="999"/>
    <n v="999"/>
  </r>
  <r>
    <x v="1"/>
    <x v="64"/>
    <x v="4"/>
    <x v="2"/>
    <x v="2"/>
    <n v="0"/>
    <n v="0"/>
    <n v="0"/>
    <n v="0"/>
    <n v="0"/>
    <n v="0"/>
    <n v="0"/>
    <n v="0"/>
    <x v="992"/>
    <x v="785"/>
    <n v="44574"/>
    <x v="2"/>
    <x v="1"/>
    <n v="0"/>
    <n v="12"/>
    <n v="17"/>
  </r>
  <r>
    <x v="0"/>
    <x v="109"/>
    <x v="3"/>
    <x v="2"/>
    <x v="2"/>
    <n v="0"/>
    <n v="0"/>
    <n v="0"/>
    <n v="0"/>
    <n v="0"/>
    <n v="0"/>
    <n v="0"/>
    <n v="0"/>
    <x v="214"/>
    <x v="206"/>
    <n v="161635"/>
    <x v="2"/>
    <x v="1"/>
    <n v="0"/>
    <n v="18"/>
    <n v="29"/>
  </r>
  <r>
    <x v="0"/>
    <x v="121"/>
    <x v="0"/>
    <x v="20"/>
    <x v="87"/>
    <n v="0"/>
    <n v="8.3000000000000007"/>
    <n v="0"/>
    <n v="3.5"/>
    <n v="0.2"/>
    <n v="0"/>
    <n v="18.100000000000001"/>
    <n v="0"/>
    <x v="953"/>
    <x v="856"/>
    <n v="0"/>
    <x v="42"/>
    <x v="11"/>
    <n v="0"/>
    <n v="999"/>
    <n v="999"/>
  </r>
  <r>
    <x v="0"/>
    <x v="112"/>
    <x v="7"/>
    <x v="356"/>
    <x v="2"/>
    <n v="0"/>
    <n v="0"/>
    <n v="0"/>
    <n v="0"/>
    <n v="0"/>
    <n v="0"/>
    <n v="0"/>
    <n v="0"/>
    <x v="993"/>
    <x v="887"/>
    <n v="0"/>
    <x v="134"/>
    <x v="1"/>
    <n v="0"/>
    <n v="65"/>
    <n v="79"/>
  </r>
  <r>
    <x v="1"/>
    <x v="117"/>
    <x v="4"/>
    <x v="1"/>
    <x v="2"/>
    <n v="0"/>
    <n v="0"/>
    <n v="0"/>
    <n v="0"/>
    <n v="0"/>
    <n v="0"/>
    <n v="0"/>
    <n v="0"/>
    <x v="971"/>
    <x v="870"/>
    <n v="44379"/>
    <x v="1"/>
    <x v="1"/>
    <n v="0"/>
    <n v="12"/>
    <n v="17"/>
  </r>
  <r>
    <x v="1"/>
    <x v="133"/>
    <x v="7"/>
    <x v="253"/>
    <x v="56"/>
    <n v="0"/>
    <n v="11.2"/>
    <n v="0"/>
    <n v="0"/>
    <n v="0"/>
    <n v="0"/>
    <n v="0"/>
    <n v="0"/>
    <x v="544"/>
    <x v="499"/>
    <n v="0"/>
    <x v="223"/>
    <x v="13"/>
    <n v="0"/>
    <n v="65"/>
    <n v="79"/>
  </r>
  <r>
    <x v="0"/>
    <x v="52"/>
    <x v="6"/>
    <x v="91"/>
    <x v="72"/>
    <n v="2.1"/>
    <n v="0.7"/>
    <n v="5.4"/>
    <n v="0"/>
    <n v="0"/>
    <n v="0"/>
    <n v="0"/>
    <n v="0"/>
    <x v="994"/>
    <x v="888"/>
    <n v="46830"/>
    <x v="45"/>
    <x v="11"/>
    <n v="1"/>
    <n v="80"/>
    <n v="200"/>
  </r>
  <r>
    <x v="0"/>
    <x v="68"/>
    <x v="7"/>
    <x v="2"/>
    <x v="2"/>
    <n v="0.6"/>
    <n v="0"/>
    <n v="0"/>
    <n v="0"/>
    <n v="0"/>
    <n v="0"/>
    <n v="0"/>
    <n v="0"/>
    <x v="802"/>
    <x v="729"/>
    <n v="160443"/>
    <x v="2"/>
    <x v="1"/>
    <n v="1"/>
    <n v="65"/>
    <n v="79"/>
  </r>
  <r>
    <x v="1"/>
    <x v="90"/>
    <x v="5"/>
    <x v="514"/>
    <x v="125"/>
    <n v="3.6"/>
    <n v="5.2"/>
    <n v="4.0999999999999996"/>
    <n v="0"/>
    <n v="0"/>
    <n v="0"/>
    <n v="0"/>
    <n v="0"/>
    <x v="622"/>
    <x v="566"/>
    <n v="335115"/>
    <x v="34"/>
    <x v="5"/>
    <n v="12"/>
    <n v="30"/>
    <n v="49"/>
  </r>
  <r>
    <x v="1"/>
    <x v="56"/>
    <x v="3"/>
    <x v="298"/>
    <x v="23"/>
    <n v="0.7"/>
    <n v="4"/>
    <n v="2.9"/>
    <n v="0"/>
    <n v="0"/>
    <n v="0"/>
    <n v="0"/>
    <n v="0"/>
    <x v="817"/>
    <x v="743"/>
    <n v="145029"/>
    <x v="0"/>
    <x v="0"/>
    <n v="1"/>
    <n v="18"/>
    <n v="29"/>
  </r>
  <r>
    <x v="2"/>
    <x v="27"/>
    <x v="8"/>
    <x v="920"/>
    <x v="58"/>
    <n v="0"/>
    <n v="28.3"/>
    <n v="0"/>
    <n v="0"/>
    <n v="0"/>
    <n v="0"/>
    <n v="0"/>
    <n v="0"/>
    <x v="28"/>
    <x v="28"/>
    <n v="0"/>
    <x v="101"/>
    <x v="39"/>
    <n v="0"/>
    <n v="0"/>
    <n v="4"/>
  </r>
  <r>
    <x v="0"/>
    <x v="0"/>
    <x v="5"/>
    <x v="2"/>
    <x v="2"/>
    <n v="0.3"/>
    <n v="0"/>
    <n v="0"/>
    <n v="0"/>
    <n v="0"/>
    <n v="0"/>
    <n v="0"/>
    <n v="0"/>
    <x v="946"/>
    <x v="849"/>
    <n v="346933"/>
    <x v="2"/>
    <x v="1"/>
    <n v="1"/>
    <n v="30"/>
    <n v="49"/>
  </r>
  <r>
    <x v="1"/>
    <x v="70"/>
    <x v="6"/>
    <x v="620"/>
    <x v="96"/>
    <n v="38.200000000000003"/>
    <n v="0.3"/>
    <n v="0.2"/>
    <n v="0"/>
    <n v="0"/>
    <n v="0"/>
    <n v="0"/>
    <n v="0"/>
    <x v="704"/>
    <x v="640"/>
    <n v="47126"/>
    <x v="0"/>
    <x v="39"/>
    <n v="18"/>
    <n v="80"/>
    <n v="200"/>
  </r>
  <r>
    <x v="0"/>
    <x v="16"/>
    <x v="0"/>
    <x v="178"/>
    <x v="257"/>
    <n v="1.4"/>
    <n v="3.4"/>
    <n v="6.4"/>
    <n v="12.7"/>
    <n v="3.4"/>
    <n v="0.7"/>
    <n v="3.7"/>
    <n v="18.399999999999999"/>
    <x v="995"/>
    <x v="889"/>
    <n v="587380"/>
    <x v="72"/>
    <x v="149"/>
    <n v="8"/>
    <n v="999"/>
    <n v="999"/>
  </r>
  <r>
    <x v="1"/>
    <x v="85"/>
    <x v="5"/>
    <x v="921"/>
    <x v="138"/>
    <n v="10.8"/>
    <n v="3.2"/>
    <n v="8.4"/>
    <n v="0"/>
    <n v="0"/>
    <n v="0"/>
    <n v="0"/>
    <n v="0"/>
    <x v="118"/>
    <x v="117"/>
    <n v="223160"/>
    <x v="262"/>
    <x v="197"/>
    <n v="24"/>
    <n v="30"/>
    <n v="49"/>
  </r>
  <r>
    <x v="0"/>
    <x v="10"/>
    <x v="7"/>
    <x v="31"/>
    <x v="2"/>
    <n v="0.6"/>
    <n v="0"/>
    <n v="12.3"/>
    <n v="0"/>
    <n v="0"/>
    <n v="0"/>
    <n v="0"/>
    <n v="0"/>
    <x v="341"/>
    <x v="318"/>
    <n v="171676"/>
    <x v="45"/>
    <x v="1"/>
    <n v="1"/>
    <n v="65"/>
    <n v="79"/>
  </r>
  <r>
    <x v="0"/>
    <x v="24"/>
    <x v="6"/>
    <x v="2"/>
    <x v="2"/>
    <n v="0"/>
    <n v="0"/>
    <n v="0"/>
    <n v="0"/>
    <n v="0"/>
    <n v="0"/>
    <n v="0"/>
    <n v="0"/>
    <x v="880"/>
    <x v="360"/>
    <n v="47131"/>
    <x v="2"/>
    <x v="1"/>
    <n v="0"/>
    <n v="80"/>
    <n v="200"/>
  </r>
  <r>
    <x v="1"/>
    <x v="126"/>
    <x v="4"/>
    <x v="2"/>
    <x v="2"/>
    <n v="0"/>
    <n v="0"/>
    <n v="0"/>
    <n v="0"/>
    <n v="0"/>
    <n v="0"/>
    <n v="0"/>
    <n v="0"/>
    <x v="925"/>
    <x v="208"/>
    <n v="44597"/>
    <x v="2"/>
    <x v="1"/>
    <n v="0"/>
    <n v="12"/>
    <n v="17"/>
  </r>
  <r>
    <x v="1"/>
    <x v="134"/>
    <x v="5"/>
    <x v="317"/>
    <x v="218"/>
    <n v="2.4"/>
    <n v="1.7"/>
    <n v="3.2"/>
    <n v="0"/>
    <n v="0"/>
    <n v="0"/>
    <n v="0"/>
    <n v="0"/>
    <x v="686"/>
    <x v="623"/>
    <n v="334000"/>
    <x v="24"/>
    <x v="38"/>
    <n v="8"/>
    <n v="30"/>
    <n v="49"/>
  </r>
  <r>
    <x v="1"/>
    <x v="10"/>
    <x v="7"/>
    <x v="672"/>
    <x v="281"/>
    <n v="33.799999999999997"/>
    <n v="1.1000000000000001"/>
    <n v="1.3"/>
    <n v="0"/>
    <n v="0"/>
    <n v="0"/>
    <n v="0"/>
    <n v="0"/>
    <x v="341"/>
    <x v="318"/>
    <n v="171676"/>
    <x v="8"/>
    <x v="28"/>
    <n v="58"/>
    <n v="65"/>
    <n v="79"/>
  </r>
  <r>
    <x v="1"/>
    <x v="93"/>
    <x v="4"/>
    <x v="168"/>
    <x v="2"/>
    <n v="0"/>
    <n v="0"/>
    <n v="0"/>
    <n v="0"/>
    <n v="0"/>
    <n v="0"/>
    <n v="0"/>
    <n v="0"/>
    <x v="320"/>
    <x v="302"/>
    <n v="0"/>
    <x v="20"/>
    <x v="1"/>
    <n v="0"/>
    <n v="12"/>
    <n v="17"/>
  </r>
  <r>
    <x v="0"/>
    <x v="68"/>
    <x v="3"/>
    <x v="2"/>
    <x v="2"/>
    <n v="0"/>
    <n v="0"/>
    <n v="0"/>
    <n v="0"/>
    <n v="0"/>
    <n v="0"/>
    <n v="0"/>
    <n v="0"/>
    <x v="172"/>
    <x v="169"/>
    <n v="148408"/>
    <x v="2"/>
    <x v="1"/>
    <n v="0"/>
    <n v="18"/>
    <n v="29"/>
  </r>
  <r>
    <x v="2"/>
    <x v="21"/>
    <x v="5"/>
    <x v="922"/>
    <x v="267"/>
    <n v="0"/>
    <n v="2.8"/>
    <n v="0"/>
    <n v="0"/>
    <n v="0"/>
    <n v="0"/>
    <n v="0"/>
    <n v="0"/>
    <x v="996"/>
    <x v="890"/>
    <n v="0"/>
    <x v="203"/>
    <x v="294"/>
    <n v="0"/>
    <n v="30"/>
    <n v="49"/>
  </r>
  <r>
    <x v="0"/>
    <x v="117"/>
    <x v="2"/>
    <x v="2"/>
    <x v="2"/>
    <n v="0"/>
    <n v="0"/>
    <n v="0"/>
    <n v="0"/>
    <n v="0"/>
    <n v="0"/>
    <n v="0"/>
    <n v="0"/>
    <x v="888"/>
    <x v="800"/>
    <n v="18722"/>
    <x v="2"/>
    <x v="1"/>
    <n v="0"/>
    <n v="5"/>
    <n v="11"/>
  </r>
  <r>
    <x v="2"/>
    <x v="30"/>
    <x v="1"/>
    <x v="923"/>
    <x v="622"/>
    <n v="135.4"/>
    <n v="2.8"/>
    <n v="1.8"/>
    <n v="0"/>
    <n v="0"/>
    <n v="0"/>
    <n v="0"/>
    <n v="0"/>
    <x v="251"/>
    <x v="240"/>
    <n v="246697"/>
    <x v="30"/>
    <x v="295"/>
    <n v="334"/>
    <n v="50"/>
    <n v="64"/>
  </r>
  <r>
    <x v="0"/>
    <x v="132"/>
    <x v="4"/>
    <x v="2"/>
    <x v="2"/>
    <n v="0"/>
    <n v="0"/>
    <n v="0"/>
    <n v="0"/>
    <n v="0"/>
    <n v="0"/>
    <n v="0"/>
    <n v="0"/>
    <x v="997"/>
    <x v="891"/>
    <n v="34086"/>
    <x v="2"/>
    <x v="1"/>
    <n v="0"/>
    <n v="12"/>
    <n v="17"/>
  </r>
  <r>
    <x v="0"/>
    <x v="24"/>
    <x v="5"/>
    <x v="2"/>
    <x v="2"/>
    <n v="0"/>
    <n v="0"/>
    <n v="0"/>
    <n v="0"/>
    <n v="0"/>
    <n v="0"/>
    <n v="0"/>
    <n v="0"/>
    <x v="205"/>
    <x v="197"/>
    <n v="347314"/>
    <x v="2"/>
    <x v="1"/>
    <n v="0"/>
    <n v="30"/>
    <n v="49"/>
  </r>
  <r>
    <x v="0"/>
    <x v="129"/>
    <x v="8"/>
    <x v="2"/>
    <x v="2"/>
    <n v="0"/>
    <n v="0"/>
    <n v="0"/>
    <n v="0"/>
    <n v="0"/>
    <n v="0"/>
    <n v="0"/>
    <n v="0"/>
    <x v="28"/>
    <x v="28"/>
    <n v="0"/>
    <x v="2"/>
    <x v="1"/>
    <n v="0"/>
    <n v="0"/>
    <n v="4"/>
  </r>
  <r>
    <x v="2"/>
    <x v="33"/>
    <x v="3"/>
    <x v="475"/>
    <x v="56"/>
    <n v="8.6999999999999993"/>
    <n v="4.0999999999999996"/>
    <n v="2.6"/>
    <n v="0"/>
    <n v="0"/>
    <n v="0"/>
    <n v="0"/>
    <n v="0"/>
    <x v="998"/>
    <x v="892"/>
    <n v="161706"/>
    <x v="134"/>
    <x v="23"/>
    <n v="14"/>
    <n v="18"/>
    <n v="29"/>
  </r>
  <r>
    <x v="1"/>
    <x v="33"/>
    <x v="7"/>
    <x v="42"/>
    <x v="34"/>
    <n v="1.2"/>
    <n v="4.4000000000000004"/>
    <n v="8.5"/>
    <n v="0"/>
    <n v="0"/>
    <n v="0"/>
    <n v="0"/>
    <n v="0"/>
    <x v="564"/>
    <x v="518"/>
    <n v="171745"/>
    <x v="20"/>
    <x v="0"/>
    <n v="2"/>
    <n v="65"/>
    <n v="79"/>
  </r>
  <r>
    <x v="1"/>
    <x v="108"/>
    <x v="6"/>
    <x v="719"/>
    <x v="590"/>
    <n v="36.1"/>
    <n v="0.6"/>
    <n v="0.8"/>
    <n v="0"/>
    <n v="0"/>
    <n v="0"/>
    <n v="0"/>
    <n v="0"/>
    <x v="907"/>
    <x v="325"/>
    <n v="47122"/>
    <x v="64"/>
    <x v="21"/>
    <n v="17"/>
    <n v="80"/>
    <n v="200"/>
  </r>
  <r>
    <x v="0"/>
    <x v="72"/>
    <x v="5"/>
    <x v="2"/>
    <x v="2"/>
    <n v="0"/>
    <n v="0"/>
    <n v="0"/>
    <n v="0"/>
    <n v="0"/>
    <n v="0"/>
    <n v="0"/>
    <n v="0"/>
    <x v="970"/>
    <x v="197"/>
    <n v="347295"/>
    <x v="2"/>
    <x v="1"/>
    <n v="0"/>
    <n v="30"/>
    <n v="49"/>
  </r>
  <r>
    <x v="2"/>
    <x v="38"/>
    <x v="0"/>
    <x v="924"/>
    <x v="504"/>
    <n v="50.8"/>
    <n v="2.2999999999999998"/>
    <n v="1.2"/>
    <n v="70.099999999999994"/>
    <n v="27.9"/>
    <n v="40.200000000000003"/>
    <n v="2.5"/>
    <n v="1.7"/>
    <x v="208"/>
    <x v="200"/>
    <n v="1040817"/>
    <x v="390"/>
    <x v="296"/>
    <n v="529"/>
    <n v="999"/>
    <n v="999"/>
  </r>
  <r>
    <x v="0"/>
    <x v="30"/>
    <x v="5"/>
    <x v="2"/>
    <x v="2"/>
    <n v="0"/>
    <n v="0"/>
    <n v="0"/>
    <n v="0"/>
    <n v="0"/>
    <n v="0"/>
    <n v="0"/>
    <n v="0"/>
    <x v="187"/>
    <x v="182"/>
    <n v="347072"/>
    <x v="2"/>
    <x v="1"/>
    <n v="0"/>
    <n v="30"/>
    <n v="49"/>
  </r>
  <r>
    <x v="2"/>
    <x v="110"/>
    <x v="4"/>
    <x v="925"/>
    <x v="203"/>
    <n v="51.8"/>
    <n v="2.2999999999999998"/>
    <n v="3.1"/>
    <n v="0"/>
    <n v="0"/>
    <n v="0"/>
    <n v="0"/>
    <n v="0"/>
    <x v="999"/>
    <x v="893"/>
    <n v="44443"/>
    <x v="15"/>
    <x v="206"/>
    <n v="23"/>
    <n v="12"/>
    <n v="17"/>
  </r>
  <r>
    <x v="2"/>
    <x v="137"/>
    <x v="8"/>
    <x v="926"/>
    <x v="17"/>
    <n v="0"/>
    <n v="55.8"/>
    <n v="0"/>
    <n v="0"/>
    <n v="0"/>
    <n v="0"/>
    <n v="0"/>
    <n v="0"/>
    <x v="28"/>
    <x v="28"/>
    <n v="0"/>
    <x v="97"/>
    <x v="11"/>
    <n v="0"/>
    <n v="0"/>
    <n v="4"/>
  </r>
  <r>
    <x v="1"/>
    <x v="55"/>
    <x v="7"/>
    <x v="369"/>
    <x v="273"/>
    <n v="11.6"/>
    <n v="2.2000000000000002"/>
    <n v="1.8"/>
    <n v="0"/>
    <n v="0"/>
    <n v="0"/>
    <n v="0"/>
    <n v="0"/>
    <x v="57"/>
    <x v="57"/>
    <n v="171755"/>
    <x v="33"/>
    <x v="16"/>
    <n v="20"/>
    <n v="65"/>
    <n v="79"/>
  </r>
  <r>
    <x v="1"/>
    <x v="135"/>
    <x v="5"/>
    <x v="427"/>
    <x v="19"/>
    <n v="0"/>
    <n v="10.8"/>
    <n v="0"/>
    <n v="0"/>
    <n v="0"/>
    <n v="0"/>
    <n v="0"/>
    <n v="0"/>
    <x v="725"/>
    <x v="658"/>
    <n v="0"/>
    <x v="27"/>
    <x v="11"/>
    <n v="0"/>
    <n v="30"/>
    <n v="49"/>
  </r>
  <r>
    <x v="2"/>
    <x v="128"/>
    <x v="2"/>
    <x v="303"/>
    <x v="623"/>
    <n v="94.2"/>
    <n v="1"/>
    <n v="0.4"/>
    <n v="0"/>
    <n v="0"/>
    <n v="0"/>
    <n v="0"/>
    <n v="0"/>
    <x v="935"/>
    <x v="839"/>
    <n v="21231"/>
    <x v="42"/>
    <x v="30"/>
    <n v="20"/>
    <n v="5"/>
    <n v="11"/>
  </r>
  <r>
    <x v="1"/>
    <x v="23"/>
    <x v="0"/>
    <x v="39"/>
    <x v="624"/>
    <n v="10.6"/>
    <n v="2.1"/>
    <n v="1.8"/>
    <n v="25.6"/>
    <n v="13.4"/>
    <n v="7.3"/>
    <n v="1.9"/>
    <n v="3.5"/>
    <x v="752"/>
    <x v="682"/>
    <n v="1039826"/>
    <x v="326"/>
    <x v="58"/>
    <n v="110"/>
    <n v="999"/>
    <n v="999"/>
  </r>
  <r>
    <x v="2"/>
    <x v="46"/>
    <x v="3"/>
    <x v="927"/>
    <x v="625"/>
    <n v="29.5"/>
    <n v="3.1"/>
    <n v="3.7"/>
    <n v="0"/>
    <n v="0"/>
    <n v="0"/>
    <n v="0"/>
    <n v="0"/>
    <x v="1000"/>
    <x v="894"/>
    <n v="162973"/>
    <x v="54"/>
    <x v="104"/>
    <n v="48"/>
    <n v="18"/>
    <n v="29"/>
  </r>
  <r>
    <x v="2"/>
    <x v="60"/>
    <x v="3"/>
    <x v="928"/>
    <x v="626"/>
    <n v="152.5"/>
    <n v="2.8"/>
    <n v="1.7"/>
    <n v="0"/>
    <n v="0"/>
    <n v="0"/>
    <n v="0"/>
    <n v="0"/>
    <x v="128"/>
    <x v="127"/>
    <n v="122651"/>
    <x v="391"/>
    <x v="147"/>
    <n v="187"/>
    <n v="18"/>
    <n v="29"/>
  </r>
  <r>
    <x v="2"/>
    <x v="110"/>
    <x v="3"/>
    <x v="600"/>
    <x v="627"/>
    <n v="71.2"/>
    <n v="2.8"/>
    <n v="1.7"/>
    <n v="0"/>
    <n v="0"/>
    <n v="0"/>
    <n v="0"/>
    <n v="0"/>
    <x v="870"/>
    <x v="788"/>
    <n v="161468"/>
    <x v="189"/>
    <x v="171"/>
    <n v="115"/>
    <n v="18"/>
    <n v="29"/>
  </r>
  <r>
    <x v="1"/>
    <x v="43"/>
    <x v="0"/>
    <x v="28"/>
    <x v="23"/>
    <n v="1.3"/>
    <n v="3.8"/>
    <n v="1.5"/>
    <n v="3"/>
    <n v="0.7"/>
    <n v="0.9"/>
    <n v="4.3"/>
    <n v="3.5"/>
    <x v="794"/>
    <x v="721"/>
    <n v="1040764"/>
    <x v="24"/>
    <x v="16"/>
    <n v="14"/>
    <n v="999"/>
    <n v="999"/>
  </r>
  <r>
    <x v="0"/>
    <x v="60"/>
    <x v="6"/>
    <x v="337"/>
    <x v="628"/>
    <n v="2.5"/>
    <n v="0.7"/>
    <n v="23.4"/>
    <n v="0"/>
    <n v="0"/>
    <n v="0"/>
    <n v="0"/>
    <n v="0"/>
    <x v="370"/>
    <x v="346"/>
    <n v="40692"/>
    <x v="91"/>
    <x v="38"/>
    <n v="1"/>
    <n v="80"/>
    <n v="200"/>
  </r>
  <r>
    <x v="0"/>
    <x v="67"/>
    <x v="7"/>
    <x v="20"/>
    <x v="218"/>
    <n v="0.6"/>
    <n v="0.5"/>
    <n v="4.2"/>
    <n v="0"/>
    <n v="0"/>
    <n v="0"/>
    <n v="0"/>
    <n v="0"/>
    <x v="788"/>
    <x v="715"/>
    <n v="171700"/>
    <x v="1"/>
    <x v="11"/>
    <n v="1"/>
    <n v="65"/>
    <n v="79"/>
  </r>
  <r>
    <x v="2"/>
    <x v="85"/>
    <x v="0"/>
    <x v="929"/>
    <x v="629"/>
    <n v="1136.0999999999999"/>
    <n v="1.4"/>
    <n v="1.9"/>
    <n v="2492.5"/>
    <n v="1510.1"/>
    <n v="996.1"/>
    <n v="1.7"/>
    <n v="2.5"/>
    <x v="287"/>
    <x v="270"/>
    <n v="641998"/>
    <x v="392"/>
    <x v="297"/>
    <n v="7294"/>
    <n v="999"/>
    <n v="999"/>
  </r>
  <r>
    <x v="1"/>
    <x v="131"/>
    <x v="5"/>
    <x v="442"/>
    <x v="38"/>
    <n v="0"/>
    <n v="16.600000000000001"/>
    <n v="0"/>
    <n v="0"/>
    <n v="0"/>
    <n v="0"/>
    <n v="0"/>
    <n v="0"/>
    <x v="886"/>
    <x v="798"/>
    <n v="17244"/>
    <x v="56"/>
    <x v="16"/>
    <n v="0"/>
    <n v="30"/>
    <n v="49"/>
  </r>
  <r>
    <x v="0"/>
    <x v="9"/>
    <x v="7"/>
    <x v="567"/>
    <x v="49"/>
    <n v="0"/>
    <n v="6"/>
    <n v="0"/>
    <n v="0"/>
    <n v="0"/>
    <n v="0"/>
    <n v="0"/>
    <n v="0"/>
    <x v="666"/>
    <x v="604"/>
    <n v="0"/>
    <x v="20"/>
    <x v="11"/>
    <n v="0"/>
    <n v="65"/>
    <n v="79"/>
  </r>
  <r>
    <x v="2"/>
    <x v="65"/>
    <x v="5"/>
    <x v="930"/>
    <x v="288"/>
    <n v="0"/>
    <n v="5.5"/>
    <n v="0"/>
    <n v="0"/>
    <n v="0"/>
    <n v="0"/>
    <n v="0"/>
    <n v="0"/>
    <x v="259"/>
    <x v="248"/>
    <n v="0"/>
    <x v="176"/>
    <x v="133"/>
    <n v="0"/>
    <n v="30"/>
    <n v="49"/>
  </r>
  <r>
    <x v="2"/>
    <x v="9"/>
    <x v="4"/>
    <x v="931"/>
    <x v="630"/>
    <n v="0"/>
    <n v="7.8"/>
    <n v="0"/>
    <n v="0"/>
    <n v="0"/>
    <n v="0"/>
    <n v="0"/>
    <n v="0"/>
    <x v="163"/>
    <x v="160"/>
    <n v="0"/>
    <x v="292"/>
    <x v="28"/>
    <n v="0"/>
    <n v="12"/>
    <n v="17"/>
  </r>
  <r>
    <x v="2"/>
    <x v="41"/>
    <x v="6"/>
    <x v="866"/>
    <x v="631"/>
    <n v="293.7"/>
    <n v="0.5"/>
    <n v="0.5"/>
    <n v="0"/>
    <n v="0"/>
    <n v="0"/>
    <n v="0"/>
    <n v="0"/>
    <x v="1001"/>
    <x v="895"/>
    <n v="46650"/>
    <x v="194"/>
    <x v="77"/>
    <n v="137"/>
    <n v="80"/>
    <n v="200"/>
  </r>
  <r>
    <x v="0"/>
    <x v="136"/>
    <x v="4"/>
    <x v="2"/>
    <x v="2"/>
    <n v="0"/>
    <n v="0"/>
    <n v="0"/>
    <n v="0"/>
    <n v="0"/>
    <n v="0"/>
    <n v="0"/>
    <n v="0"/>
    <x v="1002"/>
    <x v="896"/>
    <n v="0"/>
    <x v="2"/>
    <x v="1"/>
    <n v="0"/>
    <n v="12"/>
    <n v="17"/>
  </r>
  <r>
    <x v="2"/>
    <x v="32"/>
    <x v="8"/>
    <x v="932"/>
    <x v="51"/>
    <n v="0"/>
    <n v="23.2"/>
    <n v="0"/>
    <n v="0"/>
    <n v="0"/>
    <n v="0"/>
    <n v="0"/>
    <n v="0"/>
    <x v="28"/>
    <x v="28"/>
    <n v="0"/>
    <x v="3"/>
    <x v="21"/>
    <n v="0"/>
    <n v="0"/>
    <n v="4"/>
  </r>
  <r>
    <x v="0"/>
    <x v="108"/>
    <x v="4"/>
    <x v="2"/>
    <x v="2"/>
    <n v="0"/>
    <n v="0"/>
    <n v="0"/>
    <n v="0"/>
    <n v="0"/>
    <n v="0"/>
    <n v="0"/>
    <n v="0"/>
    <x v="180"/>
    <x v="177"/>
    <n v="44556"/>
    <x v="2"/>
    <x v="1"/>
    <n v="0"/>
    <n v="12"/>
    <n v="17"/>
  </r>
  <r>
    <x v="1"/>
    <x v="112"/>
    <x v="7"/>
    <x v="933"/>
    <x v="169"/>
    <n v="0"/>
    <n v="10.4"/>
    <n v="0"/>
    <n v="0"/>
    <n v="0"/>
    <n v="0"/>
    <n v="0"/>
    <n v="0"/>
    <x v="993"/>
    <x v="887"/>
    <n v="0"/>
    <x v="155"/>
    <x v="5"/>
    <n v="0"/>
    <n v="65"/>
    <n v="79"/>
  </r>
  <r>
    <x v="1"/>
    <x v="58"/>
    <x v="0"/>
    <x v="405"/>
    <x v="166"/>
    <n v="9.4"/>
    <n v="2.2000000000000002"/>
    <n v="1.4"/>
    <n v="16.5"/>
    <n v="9.1"/>
    <n v="6.4"/>
    <n v="1.8"/>
    <n v="2.6"/>
    <x v="918"/>
    <x v="826"/>
    <n v="1039651"/>
    <x v="231"/>
    <x v="298"/>
    <n v="98"/>
    <n v="999"/>
    <n v="999"/>
  </r>
  <r>
    <x v="2"/>
    <x v="92"/>
    <x v="7"/>
    <x v="934"/>
    <x v="632"/>
    <n v="78.599999999999994"/>
    <n v="1.3"/>
    <n v="0.9"/>
    <n v="0"/>
    <n v="0"/>
    <n v="0"/>
    <n v="0"/>
    <n v="0"/>
    <x v="130"/>
    <x v="129"/>
    <n v="171716"/>
    <x v="31"/>
    <x v="25"/>
    <n v="135"/>
    <n v="65"/>
    <n v="79"/>
  </r>
  <r>
    <x v="0"/>
    <x v="87"/>
    <x v="5"/>
    <x v="298"/>
    <x v="2"/>
    <n v="0"/>
    <n v="0"/>
    <n v="0"/>
    <n v="0"/>
    <n v="0"/>
    <n v="0"/>
    <n v="0"/>
    <n v="0"/>
    <x v="116"/>
    <x v="115"/>
    <n v="31898"/>
    <x v="20"/>
    <x v="1"/>
    <n v="0"/>
    <n v="30"/>
    <n v="49"/>
  </r>
  <r>
    <x v="1"/>
    <x v="37"/>
    <x v="6"/>
    <x v="82"/>
    <x v="114"/>
    <n v="25.5"/>
    <n v="0.1"/>
    <n v="0.2"/>
    <n v="0"/>
    <n v="0"/>
    <n v="0"/>
    <n v="0"/>
    <n v="0"/>
    <x v="200"/>
    <x v="101"/>
    <n v="47130"/>
    <x v="1"/>
    <x v="5"/>
    <n v="12"/>
    <n v="80"/>
    <n v="200"/>
  </r>
  <r>
    <x v="1"/>
    <x v="137"/>
    <x v="8"/>
    <x v="41"/>
    <x v="2"/>
    <n v="0"/>
    <n v="0"/>
    <n v="0"/>
    <n v="0"/>
    <n v="0"/>
    <n v="0"/>
    <n v="0"/>
    <n v="0"/>
    <x v="28"/>
    <x v="28"/>
    <n v="0"/>
    <x v="33"/>
    <x v="1"/>
    <n v="0"/>
    <n v="0"/>
    <n v="4"/>
  </r>
  <r>
    <x v="0"/>
    <x v="47"/>
    <x v="6"/>
    <x v="2"/>
    <x v="62"/>
    <n v="17"/>
    <n v="0"/>
    <n v="0"/>
    <n v="0"/>
    <n v="0"/>
    <n v="0"/>
    <n v="0"/>
    <n v="0"/>
    <x v="816"/>
    <x v="309"/>
    <n v="47114"/>
    <x v="2"/>
    <x v="0"/>
    <n v="8"/>
    <n v="80"/>
    <n v="200"/>
  </r>
  <r>
    <x v="1"/>
    <x v="49"/>
    <x v="4"/>
    <x v="2"/>
    <x v="17"/>
    <n v="2.2000000000000002"/>
    <n v="0"/>
    <n v="0"/>
    <n v="0"/>
    <n v="0"/>
    <n v="0"/>
    <n v="0"/>
    <n v="0"/>
    <x v="1003"/>
    <x v="159"/>
    <n v="44594"/>
    <x v="2"/>
    <x v="0"/>
    <n v="1"/>
    <n v="12"/>
    <n v="17"/>
  </r>
  <r>
    <x v="0"/>
    <x v="129"/>
    <x v="6"/>
    <x v="2"/>
    <x v="2"/>
    <n v="2.1"/>
    <n v="0"/>
    <n v="0"/>
    <n v="0"/>
    <n v="0"/>
    <n v="0"/>
    <n v="0"/>
    <n v="0"/>
    <x v="332"/>
    <x v="101"/>
    <n v="47130"/>
    <x v="2"/>
    <x v="1"/>
    <n v="1"/>
    <n v="80"/>
    <n v="200"/>
  </r>
  <r>
    <x v="1"/>
    <x v="12"/>
    <x v="5"/>
    <x v="935"/>
    <x v="13"/>
    <n v="0"/>
    <n v="14.7"/>
    <n v="0"/>
    <n v="0"/>
    <n v="0"/>
    <n v="0"/>
    <n v="0"/>
    <n v="0"/>
    <x v="930"/>
    <x v="835"/>
    <n v="0"/>
    <x v="56"/>
    <x v="39"/>
    <n v="0"/>
    <n v="30"/>
    <n v="49"/>
  </r>
  <r>
    <x v="0"/>
    <x v="38"/>
    <x v="0"/>
    <x v="113"/>
    <x v="2"/>
    <n v="0"/>
    <n v="0"/>
    <n v="0"/>
    <n v="0.2"/>
    <n v="0"/>
    <n v="0"/>
    <n v="0"/>
    <n v="0"/>
    <x v="208"/>
    <x v="200"/>
    <n v="1040817"/>
    <x v="1"/>
    <x v="1"/>
    <n v="0"/>
    <n v="999"/>
    <n v="999"/>
  </r>
  <r>
    <x v="0"/>
    <x v="93"/>
    <x v="0"/>
    <x v="28"/>
    <x v="2"/>
    <n v="0"/>
    <n v="0"/>
    <n v="0"/>
    <n v="3"/>
    <n v="0"/>
    <n v="0"/>
    <n v="0"/>
    <n v="0"/>
    <x v="1004"/>
    <x v="897"/>
    <n v="0"/>
    <x v="46"/>
    <x v="1"/>
    <n v="0"/>
    <n v="999"/>
    <n v="999"/>
  </r>
  <r>
    <x v="2"/>
    <x v="39"/>
    <x v="3"/>
    <x v="936"/>
    <x v="633"/>
    <n v="76.8"/>
    <n v="3.6"/>
    <n v="1.5"/>
    <n v="0"/>
    <n v="0"/>
    <n v="0"/>
    <n v="0"/>
    <n v="0"/>
    <x v="1005"/>
    <x v="898"/>
    <n v="161484"/>
    <x v="122"/>
    <x v="24"/>
    <n v="124"/>
    <n v="18"/>
    <n v="29"/>
  </r>
  <r>
    <x v="1"/>
    <x v="52"/>
    <x v="7"/>
    <x v="634"/>
    <x v="422"/>
    <n v="19.899999999999999"/>
    <n v="1.1000000000000001"/>
    <n v="2"/>
    <n v="0"/>
    <n v="0"/>
    <n v="0"/>
    <n v="0"/>
    <n v="0"/>
    <x v="1006"/>
    <x v="899"/>
    <n v="170603"/>
    <x v="8"/>
    <x v="36"/>
    <n v="34"/>
    <n v="65"/>
    <n v="79"/>
  </r>
  <r>
    <x v="0"/>
    <x v="76"/>
    <x v="6"/>
    <x v="2"/>
    <x v="2"/>
    <n v="2.1"/>
    <n v="0"/>
    <n v="0"/>
    <n v="0"/>
    <n v="0"/>
    <n v="0"/>
    <n v="0"/>
    <n v="0"/>
    <x v="1007"/>
    <x v="97"/>
    <n v="47129"/>
    <x v="2"/>
    <x v="1"/>
    <n v="1"/>
    <n v="80"/>
    <n v="200"/>
  </r>
  <r>
    <x v="1"/>
    <x v="71"/>
    <x v="5"/>
    <x v="287"/>
    <x v="13"/>
    <n v="0"/>
    <n v="5.8"/>
    <n v="0"/>
    <n v="0"/>
    <n v="0"/>
    <n v="0"/>
    <n v="0"/>
    <n v="0"/>
    <x v="153"/>
    <x v="150"/>
    <n v="0"/>
    <x v="24"/>
    <x v="39"/>
    <n v="0"/>
    <n v="30"/>
    <n v="49"/>
  </r>
  <r>
    <x v="1"/>
    <x v="83"/>
    <x v="7"/>
    <x v="256"/>
    <x v="634"/>
    <n v="10.4"/>
    <n v="1.3"/>
    <n v="2"/>
    <n v="0"/>
    <n v="0"/>
    <n v="0"/>
    <n v="0"/>
    <n v="0"/>
    <x v="121"/>
    <x v="120"/>
    <n v="162746"/>
    <x v="24"/>
    <x v="5"/>
    <n v="17"/>
    <n v="65"/>
    <n v="79"/>
  </r>
  <r>
    <x v="0"/>
    <x v="31"/>
    <x v="4"/>
    <x v="2"/>
    <x v="2"/>
    <n v="0"/>
    <n v="0"/>
    <n v="0"/>
    <n v="0"/>
    <n v="0"/>
    <n v="0"/>
    <n v="0"/>
    <n v="0"/>
    <x v="1008"/>
    <x v="900"/>
    <n v="37907"/>
    <x v="2"/>
    <x v="1"/>
    <n v="0"/>
    <n v="12"/>
    <n v="17"/>
  </r>
  <r>
    <x v="2"/>
    <x v="77"/>
    <x v="4"/>
    <x v="937"/>
    <x v="418"/>
    <n v="47.1"/>
    <n v="1.9"/>
    <n v="1.7"/>
    <n v="0"/>
    <n v="0"/>
    <n v="0"/>
    <n v="0"/>
    <n v="0"/>
    <x v="247"/>
    <x v="236"/>
    <n v="44563"/>
    <x v="60"/>
    <x v="299"/>
    <n v="21"/>
    <n v="12"/>
    <n v="17"/>
  </r>
  <r>
    <x v="2"/>
    <x v="79"/>
    <x v="0"/>
    <x v="258"/>
    <x v="331"/>
    <n v="21.8"/>
    <n v="2.7"/>
    <n v="1.6"/>
    <n v="40.9"/>
    <n v="12.9"/>
    <n v="17.5"/>
    <n v="3.2"/>
    <n v="2.2999999999999998"/>
    <x v="934"/>
    <x v="838"/>
    <n v="1040655"/>
    <x v="393"/>
    <x v="136"/>
    <n v="227"/>
    <n v="999"/>
    <n v="999"/>
  </r>
  <r>
    <x v="1"/>
    <x v="21"/>
    <x v="0"/>
    <x v="162"/>
    <x v="127"/>
    <n v="0"/>
    <n v="4"/>
    <n v="0"/>
    <n v="17.7"/>
    <n v="2.2999999999999998"/>
    <n v="0"/>
    <n v="7.7"/>
    <n v="0"/>
    <x v="381"/>
    <x v="357"/>
    <n v="0"/>
    <x v="394"/>
    <x v="87"/>
    <n v="0"/>
    <n v="999"/>
    <n v="999"/>
  </r>
  <r>
    <x v="0"/>
    <x v="11"/>
    <x v="5"/>
    <x v="2"/>
    <x v="2"/>
    <n v="0"/>
    <n v="0"/>
    <n v="0"/>
    <n v="0"/>
    <n v="0"/>
    <n v="0"/>
    <n v="0"/>
    <n v="0"/>
    <x v="613"/>
    <x v="551"/>
    <n v="347295"/>
    <x v="2"/>
    <x v="1"/>
    <n v="0"/>
    <n v="30"/>
    <n v="49"/>
  </r>
  <r>
    <x v="2"/>
    <x v="123"/>
    <x v="0"/>
    <x v="938"/>
    <x v="635"/>
    <n v="65.7"/>
    <n v="1.8"/>
    <n v="1.3"/>
    <n v="102.1"/>
    <n v="48.9"/>
    <n v="66"/>
    <n v="2.1"/>
    <n v="1.5"/>
    <x v="608"/>
    <x v="555"/>
    <n v="1040492"/>
    <x v="395"/>
    <x v="300"/>
    <n v="684"/>
    <n v="999"/>
    <n v="999"/>
  </r>
  <r>
    <x v="0"/>
    <x v="101"/>
    <x v="0"/>
    <x v="108"/>
    <x v="48"/>
    <n v="0.4"/>
    <n v="1.3"/>
    <n v="3"/>
    <n v="1.3"/>
    <n v="1.7"/>
    <n v="0.3"/>
    <n v="0.8"/>
    <n v="4.4000000000000004"/>
    <x v="629"/>
    <x v="572"/>
    <n v="900419"/>
    <x v="33"/>
    <x v="5"/>
    <n v="4"/>
    <n v="999"/>
    <n v="999"/>
  </r>
  <r>
    <x v="1"/>
    <x v="113"/>
    <x v="2"/>
    <x v="54"/>
    <x v="2"/>
    <n v="0"/>
    <n v="0"/>
    <n v="0"/>
    <n v="0"/>
    <n v="0"/>
    <n v="0"/>
    <n v="0"/>
    <n v="0"/>
    <x v="731"/>
    <x v="663"/>
    <n v="21271"/>
    <x v="1"/>
    <x v="1"/>
    <n v="0"/>
    <n v="5"/>
    <n v="11"/>
  </r>
  <r>
    <x v="0"/>
    <x v="39"/>
    <x v="3"/>
    <x v="2"/>
    <x v="2"/>
    <n v="0"/>
    <n v="0"/>
    <n v="0"/>
    <n v="0"/>
    <n v="0"/>
    <n v="0"/>
    <n v="0"/>
    <n v="0"/>
    <x v="1005"/>
    <x v="898"/>
    <n v="161484"/>
    <x v="2"/>
    <x v="1"/>
    <n v="0"/>
    <n v="18"/>
    <n v="29"/>
  </r>
  <r>
    <x v="2"/>
    <x v="16"/>
    <x v="0"/>
    <x v="939"/>
    <x v="636"/>
    <n v="1063.9000000000001"/>
    <n v="1.3"/>
    <n v="2.2999999999999998"/>
    <n v="2749"/>
    <n v="1671.1"/>
    <n v="915.8"/>
    <n v="1.6"/>
    <n v="3"/>
    <x v="995"/>
    <x v="889"/>
    <n v="587380"/>
    <x v="396"/>
    <x v="301"/>
    <n v="6249"/>
    <n v="999"/>
    <n v="999"/>
  </r>
  <r>
    <x v="1"/>
    <x v="97"/>
    <x v="3"/>
    <x v="940"/>
    <x v="87"/>
    <n v="0"/>
    <n v="72.3"/>
    <n v="0"/>
    <n v="0"/>
    <n v="0"/>
    <n v="0"/>
    <n v="0"/>
    <n v="0"/>
    <x v="981"/>
    <x v="879"/>
    <n v="37772"/>
    <x v="182"/>
    <x v="0"/>
    <n v="0"/>
    <n v="18"/>
    <n v="29"/>
  </r>
  <r>
    <x v="0"/>
    <x v="77"/>
    <x v="7"/>
    <x v="20"/>
    <x v="2"/>
    <n v="1.2"/>
    <n v="0"/>
    <n v="2.1"/>
    <n v="0"/>
    <n v="0"/>
    <n v="0"/>
    <n v="0"/>
    <n v="0"/>
    <x v="1009"/>
    <x v="518"/>
    <n v="171711"/>
    <x v="1"/>
    <x v="1"/>
    <n v="2"/>
    <n v="65"/>
    <n v="79"/>
  </r>
  <r>
    <x v="0"/>
    <x v="2"/>
    <x v="3"/>
    <x v="2"/>
    <x v="2"/>
    <n v="0"/>
    <n v="0"/>
    <n v="0"/>
    <n v="0"/>
    <n v="0"/>
    <n v="0"/>
    <n v="0"/>
    <n v="0"/>
    <x v="831"/>
    <x v="755"/>
    <n v="161187"/>
    <x v="2"/>
    <x v="1"/>
    <n v="0"/>
    <n v="18"/>
    <n v="29"/>
  </r>
  <r>
    <x v="0"/>
    <x v="70"/>
    <x v="3"/>
    <x v="2"/>
    <x v="2"/>
    <n v="0"/>
    <n v="0"/>
    <n v="0"/>
    <n v="0"/>
    <n v="0"/>
    <n v="0"/>
    <n v="0"/>
    <n v="0"/>
    <x v="535"/>
    <x v="490"/>
    <n v="161682"/>
    <x v="2"/>
    <x v="1"/>
    <n v="0"/>
    <n v="18"/>
    <n v="29"/>
  </r>
  <r>
    <x v="2"/>
    <x v="73"/>
    <x v="3"/>
    <x v="941"/>
    <x v="637"/>
    <n v="291.89999999999998"/>
    <n v="3.2"/>
    <n v="1.3"/>
    <n v="0"/>
    <n v="0"/>
    <n v="0"/>
    <n v="0"/>
    <n v="0"/>
    <x v="164"/>
    <x v="161"/>
    <n v="155854"/>
    <x v="258"/>
    <x v="302"/>
    <n v="455"/>
    <n v="18"/>
    <n v="29"/>
  </r>
  <r>
    <x v="1"/>
    <x v="98"/>
    <x v="8"/>
    <x v="2"/>
    <x v="2"/>
    <n v="0"/>
    <n v="0"/>
    <n v="0"/>
    <n v="0"/>
    <n v="0"/>
    <n v="0"/>
    <n v="0"/>
    <n v="0"/>
    <x v="28"/>
    <x v="28"/>
    <n v="0"/>
    <x v="2"/>
    <x v="1"/>
    <n v="0"/>
    <n v="0"/>
    <n v="4"/>
  </r>
  <r>
    <x v="2"/>
    <x v="123"/>
    <x v="1"/>
    <x v="942"/>
    <x v="638"/>
    <n v="77.400000000000006"/>
    <n v="2.2000000000000002"/>
    <n v="1.6"/>
    <n v="0"/>
    <n v="0"/>
    <n v="0"/>
    <n v="0"/>
    <n v="0"/>
    <x v="665"/>
    <x v="603"/>
    <n v="246883"/>
    <x v="211"/>
    <x v="179"/>
    <n v="191"/>
    <n v="50"/>
    <n v="64"/>
  </r>
  <r>
    <x v="0"/>
    <x v="78"/>
    <x v="7"/>
    <x v="357"/>
    <x v="48"/>
    <n v="0"/>
    <n v="7.8"/>
    <n v="0"/>
    <n v="0"/>
    <n v="0"/>
    <n v="0"/>
    <n v="0"/>
    <n v="0"/>
    <x v="1010"/>
    <x v="901"/>
    <n v="0"/>
    <x v="64"/>
    <x v="0"/>
    <n v="0"/>
    <n v="65"/>
    <n v="79"/>
  </r>
  <r>
    <x v="1"/>
    <x v="134"/>
    <x v="7"/>
    <x v="943"/>
    <x v="301"/>
    <n v="16.5"/>
    <n v="1"/>
    <n v="2.2000000000000002"/>
    <n v="0"/>
    <n v="0"/>
    <n v="0"/>
    <n v="0"/>
    <n v="0"/>
    <x v="1011"/>
    <x v="902"/>
    <n v="164100"/>
    <x v="134"/>
    <x v="28"/>
    <n v="27"/>
    <n v="65"/>
    <n v="79"/>
  </r>
  <r>
    <x v="0"/>
    <x v="91"/>
    <x v="7"/>
    <x v="2"/>
    <x v="218"/>
    <n v="1.2"/>
    <n v="0"/>
    <n v="0"/>
    <n v="0"/>
    <n v="0"/>
    <n v="0"/>
    <n v="0"/>
    <n v="0"/>
    <x v="496"/>
    <x v="458"/>
    <n v="171513"/>
    <x v="2"/>
    <x v="11"/>
    <n v="2"/>
    <n v="65"/>
    <n v="79"/>
  </r>
  <r>
    <x v="1"/>
    <x v="133"/>
    <x v="1"/>
    <x v="737"/>
    <x v="121"/>
    <n v="0"/>
    <n v="16.5"/>
    <n v="0"/>
    <n v="0"/>
    <n v="0"/>
    <n v="0"/>
    <n v="0"/>
    <n v="0"/>
    <x v="809"/>
    <x v="736"/>
    <n v="0"/>
    <x v="122"/>
    <x v="5"/>
    <n v="0"/>
    <n v="50"/>
    <n v="64"/>
  </r>
  <r>
    <x v="1"/>
    <x v="84"/>
    <x v="0"/>
    <x v="479"/>
    <x v="519"/>
    <n v="3.8"/>
    <n v="2.9"/>
    <n v="1.3"/>
    <n v="6.6"/>
    <n v="2.2999999999999998"/>
    <n v="2.9"/>
    <n v="2.9"/>
    <n v="2.2999999999999998"/>
    <x v="319"/>
    <x v="301"/>
    <n v="1040855"/>
    <x v="17"/>
    <x v="75"/>
    <n v="40"/>
    <n v="999"/>
    <n v="999"/>
  </r>
  <r>
    <x v="2"/>
    <x v="72"/>
    <x v="1"/>
    <x v="944"/>
    <x v="639"/>
    <n v="30.8"/>
    <n v="6.2"/>
    <n v="4"/>
    <n v="0"/>
    <n v="0"/>
    <n v="0"/>
    <n v="0"/>
    <n v="0"/>
    <x v="664"/>
    <x v="53"/>
    <n v="246910"/>
    <x v="211"/>
    <x v="25"/>
    <n v="76"/>
    <n v="50"/>
    <n v="64"/>
  </r>
  <r>
    <x v="1"/>
    <x v="115"/>
    <x v="3"/>
    <x v="220"/>
    <x v="21"/>
    <n v="1.3"/>
    <n v="1.9"/>
    <n v="4.8"/>
    <n v="0"/>
    <n v="0"/>
    <n v="0"/>
    <n v="0"/>
    <n v="0"/>
    <x v="305"/>
    <x v="288"/>
    <n v="149251"/>
    <x v="18"/>
    <x v="26"/>
    <n v="2"/>
    <n v="18"/>
    <n v="29"/>
  </r>
  <r>
    <x v="2"/>
    <x v="66"/>
    <x v="5"/>
    <x v="945"/>
    <x v="640"/>
    <n v="36.5"/>
    <n v="2.7"/>
    <n v="8.1999999999999993"/>
    <n v="0"/>
    <n v="0"/>
    <n v="0"/>
    <n v="0"/>
    <n v="0"/>
    <x v="803"/>
    <x v="730"/>
    <n v="46608"/>
    <x v="397"/>
    <x v="303"/>
    <n v="17"/>
    <n v="30"/>
    <n v="49"/>
  </r>
  <r>
    <x v="1"/>
    <x v="116"/>
    <x v="2"/>
    <x v="54"/>
    <x v="221"/>
    <n v="0"/>
    <n v="0.5"/>
    <n v="0"/>
    <n v="0"/>
    <n v="0"/>
    <n v="0"/>
    <n v="0"/>
    <n v="0"/>
    <x v="408"/>
    <x v="382"/>
    <n v="21265"/>
    <x v="1"/>
    <x v="11"/>
    <n v="0"/>
    <n v="5"/>
    <n v="11"/>
  </r>
  <r>
    <x v="1"/>
    <x v="112"/>
    <x v="5"/>
    <x v="946"/>
    <x v="141"/>
    <n v="0"/>
    <n v="15.4"/>
    <n v="0"/>
    <n v="0"/>
    <n v="0"/>
    <n v="0"/>
    <n v="0"/>
    <n v="0"/>
    <x v="928"/>
    <x v="833"/>
    <n v="0"/>
    <x v="4"/>
    <x v="21"/>
    <n v="0"/>
    <n v="30"/>
    <n v="49"/>
  </r>
  <r>
    <x v="1"/>
    <x v="33"/>
    <x v="6"/>
    <x v="82"/>
    <x v="2"/>
    <n v="2.1"/>
    <n v="0"/>
    <n v="2"/>
    <n v="0"/>
    <n v="0"/>
    <n v="0"/>
    <n v="0"/>
    <n v="0"/>
    <x v="758"/>
    <x v="101"/>
    <n v="47130"/>
    <x v="1"/>
    <x v="1"/>
    <n v="1"/>
    <n v="80"/>
    <n v="200"/>
  </r>
  <r>
    <x v="2"/>
    <x v="43"/>
    <x v="5"/>
    <x v="947"/>
    <x v="43"/>
    <n v="15"/>
    <n v="2.2000000000000002"/>
    <n v="1.9"/>
    <n v="0"/>
    <n v="0"/>
    <n v="0"/>
    <n v="0"/>
    <n v="0"/>
    <x v="579"/>
    <x v="197"/>
    <n v="347312"/>
    <x v="71"/>
    <x v="14"/>
    <n v="52"/>
    <n v="30"/>
    <n v="49"/>
  </r>
  <r>
    <x v="1"/>
    <x v="115"/>
    <x v="2"/>
    <x v="2"/>
    <x v="73"/>
    <n v="0"/>
    <n v="0"/>
    <n v="0"/>
    <n v="0"/>
    <n v="0"/>
    <n v="0"/>
    <n v="0"/>
    <n v="0"/>
    <x v="482"/>
    <x v="446"/>
    <n v="0"/>
    <x v="2"/>
    <x v="0"/>
    <n v="0"/>
    <n v="5"/>
    <n v="11"/>
  </r>
  <r>
    <x v="0"/>
    <x v="75"/>
    <x v="6"/>
    <x v="210"/>
    <x v="610"/>
    <n v="6.5"/>
    <n v="0.5"/>
    <n v="0.6"/>
    <n v="0"/>
    <n v="0"/>
    <n v="0"/>
    <n v="0"/>
    <n v="0"/>
    <x v="947"/>
    <x v="850"/>
    <n v="46378"/>
    <x v="1"/>
    <x v="0"/>
    <n v="3"/>
    <n v="80"/>
    <n v="200"/>
  </r>
  <r>
    <x v="1"/>
    <x v="135"/>
    <x v="1"/>
    <x v="168"/>
    <x v="87"/>
    <n v="0"/>
    <n v="15.7"/>
    <n v="0"/>
    <n v="0"/>
    <n v="0"/>
    <n v="0"/>
    <n v="0"/>
    <n v="0"/>
    <x v="468"/>
    <x v="434"/>
    <n v="0"/>
    <x v="13"/>
    <x v="0"/>
    <n v="0"/>
    <n v="50"/>
    <n v="64"/>
  </r>
  <r>
    <x v="2"/>
    <x v="97"/>
    <x v="0"/>
    <x v="948"/>
    <x v="641"/>
    <n v="59.3"/>
    <n v="2.4"/>
    <n v="8.5"/>
    <n v="576.9"/>
    <n v="173.5"/>
    <n v="54.8"/>
    <n v="3.3"/>
    <n v="10.5"/>
    <x v="147"/>
    <x v="145"/>
    <n v="380994"/>
    <x v="398"/>
    <x v="304"/>
    <n v="226"/>
    <n v="999"/>
    <n v="999"/>
  </r>
  <r>
    <x v="2"/>
    <x v="96"/>
    <x v="1"/>
    <x v="949"/>
    <x v="642"/>
    <n v="87.9"/>
    <n v="3"/>
    <n v="2.4"/>
    <n v="0"/>
    <n v="0"/>
    <n v="0"/>
    <n v="0"/>
    <n v="0"/>
    <x v="917"/>
    <x v="825"/>
    <n v="246881"/>
    <x v="40"/>
    <x v="178"/>
    <n v="217"/>
    <n v="50"/>
    <n v="64"/>
  </r>
  <r>
    <x v="1"/>
    <x v="9"/>
    <x v="5"/>
    <x v="175"/>
    <x v="77"/>
    <n v="0"/>
    <n v="11"/>
    <n v="0"/>
    <n v="0"/>
    <n v="0"/>
    <n v="0"/>
    <n v="0"/>
    <n v="0"/>
    <x v="1012"/>
    <x v="903"/>
    <n v="0"/>
    <x v="106"/>
    <x v="17"/>
    <n v="0"/>
    <n v="30"/>
    <n v="49"/>
  </r>
  <r>
    <x v="2"/>
    <x v="28"/>
    <x v="0"/>
    <x v="950"/>
    <x v="643"/>
    <n v="93.2"/>
    <n v="1.7"/>
    <n v="1.3"/>
    <n v="133.69999999999999"/>
    <n v="70"/>
    <n v="93.6"/>
    <n v="1.9"/>
    <n v="1.4"/>
    <x v="751"/>
    <x v="681"/>
    <n v="1040439"/>
    <x v="399"/>
    <x v="305"/>
    <n v="970"/>
    <n v="999"/>
    <n v="999"/>
  </r>
  <r>
    <x v="2"/>
    <x v="13"/>
    <x v="0"/>
    <x v="951"/>
    <x v="644"/>
    <n v="372.4"/>
    <n v="1.5"/>
    <n v="1.8"/>
    <n v="718"/>
    <n v="444.5"/>
    <n v="316.5"/>
    <n v="1.6"/>
    <n v="2.2999999999999998"/>
    <x v="770"/>
    <x v="699"/>
    <n v="733279"/>
    <x v="400"/>
    <x v="306"/>
    <n v="2731"/>
    <n v="999"/>
    <n v="999"/>
  </r>
  <r>
    <x v="2"/>
    <x v="106"/>
    <x v="4"/>
    <x v="646"/>
    <x v="317"/>
    <n v="0"/>
    <n v="7.8"/>
    <n v="0"/>
    <n v="0"/>
    <n v="0"/>
    <n v="0"/>
    <n v="0"/>
    <n v="0"/>
    <x v="1013"/>
    <x v="904"/>
    <n v="0"/>
    <x v="193"/>
    <x v="43"/>
    <n v="0"/>
    <n v="12"/>
    <n v="17"/>
  </r>
  <r>
    <x v="1"/>
    <x v="126"/>
    <x v="5"/>
    <x v="60"/>
    <x v="58"/>
    <n v="0.6"/>
    <n v="1.6"/>
    <n v="4.7"/>
    <n v="0"/>
    <n v="0"/>
    <n v="0"/>
    <n v="0"/>
    <n v="0"/>
    <x v="271"/>
    <x v="63"/>
    <n v="347325"/>
    <x v="45"/>
    <x v="21"/>
    <n v="2"/>
    <n v="30"/>
    <n v="49"/>
  </r>
  <r>
    <x v="2"/>
    <x v="39"/>
    <x v="7"/>
    <x v="952"/>
    <x v="645"/>
    <n v="113.7"/>
    <n v="1.1000000000000001"/>
    <n v="1.1000000000000001"/>
    <n v="0"/>
    <n v="0"/>
    <n v="0"/>
    <n v="0"/>
    <n v="0"/>
    <x v="936"/>
    <x v="840"/>
    <n v="171429"/>
    <x v="106"/>
    <x v="298"/>
    <n v="195"/>
    <n v="65"/>
    <n v="79"/>
  </r>
  <r>
    <x v="1"/>
    <x v="127"/>
    <x v="3"/>
    <x v="953"/>
    <x v="646"/>
    <n v="7.5"/>
    <n v="3.5"/>
    <n v="6.5"/>
    <n v="0"/>
    <n v="0"/>
    <n v="0"/>
    <n v="0"/>
    <n v="0"/>
    <x v="637"/>
    <x v="578"/>
    <n v="93335"/>
    <x v="76"/>
    <x v="168"/>
    <n v="7"/>
    <n v="18"/>
    <n v="29"/>
  </r>
  <r>
    <x v="1"/>
    <x v="27"/>
    <x v="6"/>
    <x v="419"/>
    <x v="627"/>
    <n v="29.6"/>
    <n v="0.9"/>
    <n v="1.3"/>
    <n v="0"/>
    <n v="0"/>
    <n v="0"/>
    <n v="0"/>
    <n v="0"/>
    <x v="189"/>
    <x v="184"/>
    <n v="47321"/>
    <x v="51"/>
    <x v="21"/>
    <n v="14"/>
    <n v="80"/>
    <n v="200"/>
  </r>
  <r>
    <x v="1"/>
    <x v="50"/>
    <x v="4"/>
    <x v="197"/>
    <x v="110"/>
    <n v="0"/>
    <n v="0.6"/>
    <n v="0"/>
    <n v="0"/>
    <n v="0"/>
    <n v="0"/>
    <n v="0"/>
    <n v="0"/>
    <x v="662"/>
    <x v="602"/>
    <n v="36325"/>
    <x v="1"/>
    <x v="16"/>
    <n v="0"/>
    <n v="12"/>
    <n v="17"/>
  </r>
  <r>
    <x v="1"/>
    <x v="26"/>
    <x v="2"/>
    <x v="54"/>
    <x v="17"/>
    <n v="0"/>
    <n v="0.9"/>
    <n v="0"/>
    <n v="0"/>
    <n v="0"/>
    <n v="0"/>
    <n v="0"/>
    <n v="0"/>
    <x v="366"/>
    <x v="342"/>
    <n v="21167"/>
    <x v="1"/>
    <x v="0"/>
    <n v="0"/>
    <n v="5"/>
    <n v="11"/>
  </r>
  <r>
    <x v="2"/>
    <x v="37"/>
    <x v="3"/>
    <x v="954"/>
    <x v="411"/>
    <n v="16.7"/>
    <n v="3.3"/>
    <n v="2.1"/>
    <n v="0"/>
    <n v="0"/>
    <n v="0"/>
    <n v="0"/>
    <n v="0"/>
    <x v="603"/>
    <x v="113"/>
    <n v="161712"/>
    <x v="17"/>
    <x v="57"/>
    <n v="27"/>
    <n v="18"/>
    <n v="29"/>
  </r>
  <r>
    <x v="0"/>
    <x v="128"/>
    <x v="2"/>
    <x v="2"/>
    <x v="2"/>
    <n v="0"/>
    <n v="0"/>
    <n v="0"/>
    <n v="0"/>
    <n v="0"/>
    <n v="0"/>
    <n v="0"/>
    <n v="0"/>
    <x v="935"/>
    <x v="839"/>
    <n v="21231"/>
    <x v="2"/>
    <x v="1"/>
    <n v="0"/>
    <n v="5"/>
    <n v="11"/>
  </r>
  <r>
    <x v="1"/>
    <x v="13"/>
    <x v="0"/>
    <x v="955"/>
    <x v="540"/>
    <n v="16.5"/>
    <n v="2.2000000000000002"/>
    <n v="3.3"/>
    <n v="73.7"/>
    <n v="30.8"/>
    <n v="11.1"/>
    <n v="2.4"/>
    <n v="6.6"/>
    <x v="770"/>
    <x v="699"/>
    <n v="733279"/>
    <x v="401"/>
    <x v="307"/>
    <n v="121"/>
    <n v="999"/>
    <n v="999"/>
  </r>
  <r>
    <x v="2"/>
    <x v="132"/>
    <x v="4"/>
    <x v="956"/>
    <x v="647"/>
    <n v="498.7"/>
    <n v="1.9"/>
    <n v="1.3"/>
    <n v="0"/>
    <n v="0"/>
    <n v="0"/>
    <n v="0"/>
    <n v="0"/>
    <x v="997"/>
    <x v="891"/>
    <n v="34086"/>
    <x v="297"/>
    <x v="308"/>
    <n v="170"/>
    <n v="12"/>
    <n v="17"/>
  </r>
  <r>
    <x v="2"/>
    <x v="86"/>
    <x v="3"/>
    <x v="957"/>
    <x v="648"/>
    <n v="82.9"/>
    <n v="2.6"/>
    <n v="2"/>
    <n v="0"/>
    <n v="0"/>
    <n v="0"/>
    <n v="0"/>
    <n v="0"/>
    <x v="1014"/>
    <x v="905"/>
    <n v="161629"/>
    <x v="382"/>
    <x v="239"/>
    <n v="134"/>
    <n v="18"/>
    <n v="29"/>
  </r>
  <r>
    <x v="2"/>
    <x v="70"/>
    <x v="5"/>
    <x v="958"/>
    <x v="339"/>
    <n v="40.9"/>
    <n v="2.1"/>
    <n v="1.7"/>
    <n v="0"/>
    <n v="0"/>
    <n v="0"/>
    <n v="0"/>
    <n v="0"/>
    <x v="246"/>
    <x v="235"/>
    <n v="347286"/>
    <x v="135"/>
    <x v="171"/>
    <n v="142"/>
    <n v="30"/>
    <n v="49"/>
  </r>
  <r>
    <x v="0"/>
    <x v="7"/>
    <x v="7"/>
    <x v="959"/>
    <x v="431"/>
    <n v="0"/>
    <n v="8.8000000000000007"/>
    <n v="0"/>
    <n v="0"/>
    <n v="0"/>
    <n v="0"/>
    <n v="0"/>
    <n v="0"/>
    <x v="1015"/>
    <x v="906"/>
    <n v="93634"/>
    <x v="16"/>
    <x v="39"/>
    <n v="0"/>
    <n v="65"/>
    <n v="79"/>
  </r>
  <r>
    <x v="2"/>
    <x v="136"/>
    <x v="1"/>
    <x v="960"/>
    <x v="649"/>
    <n v="0"/>
    <n v="3.8"/>
    <n v="0"/>
    <n v="0"/>
    <n v="0"/>
    <n v="0"/>
    <n v="0"/>
    <n v="0"/>
    <x v="510"/>
    <x v="744"/>
    <n v="0"/>
    <x v="402"/>
    <x v="132"/>
    <n v="0"/>
    <n v="50"/>
    <n v="64"/>
  </r>
  <r>
    <x v="2"/>
    <x v="6"/>
    <x v="1"/>
    <x v="961"/>
    <x v="650"/>
    <n v="122.9"/>
    <n v="2"/>
    <n v="1.5"/>
    <n v="0"/>
    <n v="0"/>
    <n v="0"/>
    <n v="0"/>
    <n v="0"/>
    <x v="1016"/>
    <x v="907"/>
    <n v="246490"/>
    <x v="170"/>
    <x v="209"/>
    <n v="303"/>
    <n v="50"/>
    <n v="64"/>
  </r>
  <r>
    <x v="2"/>
    <x v="76"/>
    <x v="5"/>
    <x v="146"/>
    <x v="78"/>
    <n v="12.4"/>
    <n v="2.6"/>
    <n v="1.5"/>
    <n v="0"/>
    <n v="0"/>
    <n v="0"/>
    <n v="0"/>
    <n v="0"/>
    <x v="1017"/>
    <x v="799"/>
    <n v="347302"/>
    <x v="29"/>
    <x v="31"/>
    <n v="43"/>
    <n v="30"/>
    <n v="49"/>
  </r>
  <r>
    <x v="2"/>
    <x v="95"/>
    <x v="4"/>
    <x v="962"/>
    <x v="113"/>
    <n v="171.4"/>
    <n v="1.4"/>
    <n v="0.9"/>
    <n v="0"/>
    <n v="0"/>
    <n v="0"/>
    <n v="0"/>
    <n v="0"/>
    <x v="137"/>
    <x v="136"/>
    <n v="38517"/>
    <x v="223"/>
    <x v="155"/>
    <n v="66"/>
    <n v="12"/>
    <n v="17"/>
  </r>
  <r>
    <x v="2"/>
    <x v="79"/>
    <x v="5"/>
    <x v="469"/>
    <x v="404"/>
    <n v="13.8"/>
    <n v="3.6"/>
    <n v="3.1"/>
    <n v="0"/>
    <n v="0"/>
    <n v="0"/>
    <n v="0"/>
    <n v="0"/>
    <x v="663"/>
    <x v="197"/>
    <n v="347297"/>
    <x v="128"/>
    <x v="124"/>
    <n v="48"/>
    <n v="30"/>
    <n v="49"/>
  </r>
  <r>
    <x v="1"/>
    <x v="31"/>
    <x v="4"/>
    <x v="197"/>
    <x v="73"/>
    <n v="0"/>
    <n v="2.5"/>
    <n v="0"/>
    <n v="0"/>
    <n v="0"/>
    <n v="0"/>
    <n v="0"/>
    <n v="0"/>
    <x v="1008"/>
    <x v="900"/>
    <n v="37907"/>
    <x v="1"/>
    <x v="0"/>
    <n v="0"/>
    <n v="12"/>
    <n v="17"/>
  </r>
  <r>
    <x v="0"/>
    <x v="52"/>
    <x v="0"/>
    <x v="286"/>
    <x v="23"/>
    <n v="0.2"/>
    <n v="2"/>
    <n v="5"/>
    <n v="1"/>
    <n v="0.8"/>
    <n v="0.1"/>
    <n v="1.3"/>
    <n v="7.9"/>
    <x v="1018"/>
    <x v="908"/>
    <n v="1026640"/>
    <x v="18"/>
    <x v="16"/>
    <n v="2"/>
    <n v="999"/>
    <n v="999"/>
  </r>
  <r>
    <x v="2"/>
    <x v="86"/>
    <x v="1"/>
    <x v="963"/>
    <x v="651"/>
    <n v="136.1"/>
    <n v="3"/>
    <n v="2"/>
    <n v="0"/>
    <n v="0"/>
    <n v="0"/>
    <n v="0"/>
    <n v="0"/>
    <x v="939"/>
    <x v="843"/>
    <n v="246821"/>
    <x v="7"/>
    <x v="65"/>
    <n v="336"/>
    <n v="50"/>
    <n v="64"/>
  </r>
  <r>
    <x v="0"/>
    <x v="131"/>
    <x v="7"/>
    <x v="311"/>
    <x v="519"/>
    <n v="0"/>
    <n v="7.8"/>
    <n v="0"/>
    <n v="0"/>
    <n v="0"/>
    <n v="0"/>
    <n v="0"/>
    <n v="0"/>
    <x v="955"/>
    <x v="858"/>
    <n v="25507"/>
    <x v="33"/>
    <x v="39"/>
    <n v="0"/>
    <n v="65"/>
    <n v="79"/>
  </r>
  <r>
    <x v="2"/>
    <x v="50"/>
    <x v="6"/>
    <x v="964"/>
    <x v="652"/>
    <n v="186.2"/>
    <n v="0.3"/>
    <n v="0.5"/>
    <n v="0"/>
    <n v="0"/>
    <n v="0"/>
    <n v="0"/>
    <n v="0"/>
    <x v="944"/>
    <x v="848"/>
    <n v="45641"/>
    <x v="56"/>
    <x v="124"/>
    <n v="85"/>
    <n v="80"/>
    <n v="200"/>
  </r>
  <r>
    <x v="1"/>
    <x v="95"/>
    <x v="0"/>
    <x v="94"/>
    <x v="357"/>
    <n v="11"/>
    <n v="2.1"/>
    <n v="1.2"/>
    <n v="16.8"/>
    <n v="8.6999999999999993"/>
    <n v="7.7"/>
    <n v="1.9"/>
    <n v="2.2000000000000002"/>
    <x v="357"/>
    <x v="333"/>
    <n v="1001233"/>
    <x v="151"/>
    <x v="82"/>
    <n v="110"/>
    <n v="999"/>
    <n v="999"/>
  </r>
  <r>
    <x v="1"/>
    <x v="111"/>
    <x v="7"/>
    <x v="965"/>
    <x v="653"/>
    <n v="21.7"/>
    <n v="1.4"/>
    <n v="2"/>
    <n v="0"/>
    <n v="0"/>
    <n v="0"/>
    <n v="0"/>
    <n v="0"/>
    <x v="343"/>
    <x v="320"/>
    <n v="170866"/>
    <x v="29"/>
    <x v="52"/>
    <n v="37"/>
    <n v="65"/>
    <n v="79"/>
  </r>
  <r>
    <x v="1"/>
    <x v="96"/>
    <x v="7"/>
    <x v="912"/>
    <x v="388"/>
    <n v="15.7"/>
    <n v="1.8"/>
    <n v="2.1"/>
    <n v="0"/>
    <n v="0"/>
    <n v="0"/>
    <n v="0"/>
    <n v="0"/>
    <x v="986"/>
    <x v="449"/>
    <n v="171704"/>
    <x v="16"/>
    <x v="5"/>
    <n v="27"/>
    <n v="65"/>
    <n v="79"/>
  </r>
  <r>
    <x v="1"/>
    <x v="55"/>
    <x v="4"/>
    <x v="2"/>
    <x v="2"/>
    <n v="0"/>
    <n v="0"/>
    <n v="0"/>
    <n v="0"/>
    <n v="0"/>
    <n v="0"/>
    <n v="0"/>
    <n v="0"/>
    <x v="162"/>
    <x v="159"/>
    <n v="44594"/>
    <x v="2"/>
    <x v="1"/>
    <n v="0"/>
    <n v="12"/>
    <n v="17"/>
  </r>
  <r>
    <x v="0"/>
    <x v="82"/>
    <x v="0"/>
    <x v="2"/>
    <x v="2"/>
    <n v="0.2"/>
    <n v="0"/>
    <n v="0"/>
    <n v="0"/>
    <n v="0"/>
    <n v="0.1"/>
    <n v="0"/>
    <n v="0"/>
    <x v="347"/>
    <x v="324"/>
    <n v="1040745"/>
    <x v="2"/>
    <x v="1"/>
    <n v="2"/>
    <n v="999"/>
    <n v="999"/>
  </r>
  <r>
    <x v="2"/>
    <x v="124"/>
    <x v="4"/>
    <x v="966"/>
    <x v="654"/>
    <n v="625.79999999999995"/>
    <n v="1.8"/>
    <n v="2.7"/>
    <n v="0"/>
    <n v="0"/>
    <n v="0"/>
    <n v="0"/>
    <n v="0"/>
    <x v="671"/>
    <x v="609"/>
    <n v="799"/>
    <x v="403"/>
    <x v="309"/>
    <n v="5"/>
    <n v="12"/>
    <n v="17"/>
  </r>
  <r>
    <x v="1"/>
    <x v="72"/>
    <x v="2"/>
    <x v="2"/>
    <x v="2"/>
    <n v="0"/>
    <n v="0"/>
    <n v="0"/>
    <n v="0"/>
    <n v="0"/>
    <n v="0"/>
    <n v="0"/>
    <n v="0"/>
    <x v="85"/>
    <x v="85"/>
    <n v="21241"/>
    <x v="2"/>
    <x v="1"/>
    <n v="0"/>
    <n v="5"/>
    <n v="11"/>
  </r>
  <r>
    <x v="0"/>
    <x v="115"/>
    <x v="1"/>
    <x v="2"/>
    <x v="2"/>
    <n v="0"/>
    <n v="0"/>
    <n v="0"/>
    <n v="0"/>
    <n v="0"/>
    <n v="0"/>
    <n v="0"/>
    <n v="0"/>
    <x v="483"/>
    <x v="447"/>
    <n v="231012"/>
    <x v="2"/>
    <x v="1"/>
    <n v="0"/>
    <n v="50"/>
    <n v="64"/>
  </r>
  <r>
    <x v="2"/>
    <x v="30"/>
    <x v="3"/>
    <x v="34"/>
    <x v="655"/>
    <n v="77.400000000000006"/>
    <n v="2.9"/>
    <n v="2.6"/>
    <n v="0"/>
    <n v="0"/>
    <n v="0"/>
    <n v="0"/>
    <n v="0"/>
    <x v="403"/>
    <x v="377"/>
    <n v="161549"/>
    <x v="404"/>
    <x v="106"/>
    <n v="125"/>
    <n v="18"/>
    <n v="29"/>
  </r>
  <r>
    <x v="2"/>
    <x v="67"/>
    <x v="3"/>
    <x v="51"/>
    <x v="367"/>
    <n v="75.5"/>
    <n v="3.1"/>
    <n v="1.7"/>
    <n v="0"/>
    <n v="0"/>
    <n v="0"/>
    <n v="0"/>
    <n v="0"/>
    <x v="75"/>
    <x v="75"/>
    <n v="161651"/>
    <x v="41"/>
    <x v="178"/>
    <n v="122"/>
    <n v="18"/>
    <n v="29"/>
  </r>
  <r>
    <x v="1"/>
    <x v="55"/>
    <x v="6"/>
    <x v="45"/>
    <x v="66"/>
    <n v="27.6"/>
    <n v="0.9"/>
    <n v="0.6"/>
    <n v="0"/>
    <n v="0"/>
    <n v="0"/>
    <n v="0"/>
    <n v="0"/>
    <x v="585"/>
    <x v="353"/>
    <n v="47133"/>
    <x v="20"/>
    <x v="11"/>
    <n v="13"/>
    <n v="80"/>
    <n v="200"/>
  </r>
  <r>
    <x v="1"/>
    <x v="9"/>
    <x v="0"/>
    <x v="530"/>
    <x v="656"/>
    <n v="0"/>
    <n v="4.5"/>
    <n v="0"/>
    <n v="21.7"/>
    <n v="2.6"/>
    <n v="0"/>
    <n v="8.3000000000000007"/>
    <n v="0"/>
    <x v="1019"/>
    <x v="909"/>
    <n v="0"/>
    <x v="294"/>
    <x v="298"/>
    <n v="0"/>
    <n v="999"/>
    <n v="999"/>
  </r>
  <r>
    <x v="2"/>
    <x v="39"/>
    <x v="6"/>
    <x v="967"/>
    <x v="657"/>
    <n v="178.5"/>
    <n v="0.4"/>
    <n v="0.6"/>
    <n v="0"/>
    <n v="0"/>
    <n v="0"/>
    <n v="0"/>
    <n v="0"/>
    <x v="215"/>
    <x v="207"/>
    <n v="47058"/>
    <x v="60"/>
    <x v="167"/>
    <n v="84"/>
    <n v="80"/>
    <n v="200"/>
  </r>
  <r>
    <x v="2"/>
    <x v="128"/>
    <x v="6"/>
    <x v="879"/>
    <x v="93"/>
    <n v="108.2"/>
    <n v="0.7"/>
    <n v="0.6"/>
    <n v="0"/>
    <n v="0"/>
    <n v="0"/>
    <n v="0"/>
    <n v="0"/>
    <x v="1020"/>
    <x v="97"/>
    <n v="47127"/>
    <x v="91"/>
    <x v="7"/>
    <n v="51"/>
    <n v="80"/>
    <n v="200"/>
  </r>
  <r>
    <x v="1"/>
    <x v="105"/>
    <x v="2"/>
    <x v="2"/>
    <x v="2"/>
    <n v="0"/>
    <n v="0"/>
    <n v="0"/>
    <n v="0"/>
    <n v="0"/>
    <n v="0"/>
    <n v="0"/>
    <n v="0"/>
    <x v="174"/>
    <x v="171"/>
    <n v="11845"/>
    <x v="2"/>
    <x v="1"/>
    <n v="0"/>
    <n v="5"/>
    <n v="11"/>
  </r>
  <r>
    <x v="2"/>
    <x v="2"/>
    <x v="6"/>
    <x v="968"/>
    <x v="658"/>
    <n v="183"/>
    <n v="1"/>
    <n v="1"/>
    <n v="0"/>
    <n v="0"/>
    <n v="0"/>
    <n v="0"/>
    <n v="0"/>
    <x v="681"/>
    <x v="618"/>
    <n v="46990"/>
    <x v="128"/>
    <x v="59"/>
    <n v="86"/>
    <n v="80"/>
    <n v="200"/>
  </r>
  <r>
    <x v="0"/>
    <x v="37"/>
    <x v="0"/>
    <x v="113"/>
    <x v="2"/>
    <n v="0.2"/>
    <n v="0"/>
    <n v="1"/>
    <n v="0.5"/>
    <n v="0"/>
    <n v="0.1"/>
    <n v="0"/>
    <n v="3.6"/>
    <x v="37"/>
    <x v="37"/>
    <n v="1040772"/>
    <x v="1"/>
    <x v="1"/>
    <n v="2"/>
    <n v="999"/>
    <n v="999"/>
  </r>
  <r>
    <x v="1"/>
    <x v="110"/>
    <x v="1"/>
    <x v="969"/>
    <x v="21"/>
    <n v="7.7"/>
    <n v="9.6999999999999993"/>
    <n v="4"/>
    <n v="0"/>
    <n v="0"/>
    <n v="0"/>
    <n v="0"/>
    <n v="0"/>
    <x v="885"/>
    <x v="797"/>
    <n v="246593"/>
    <x v="27"/>
    <x v="16"/>
    <n v="19"/>
    <n v="50"/>
    <n v="64"/>
  </r>
  <r>
    <x v="0"/>
    <x v="9"/>
    <x v="0"/>
    <x v="431"/>
    <x v="87"/>
    <n v="0"/>
    <n v="5.7"/>
    <n v="0"/>
    <n v="2.5"/>
    <n v="0.2"/>
    <n v="0"/>
    <n v="11.6"/>
    <n v="0"/>
    <x v="1019"/>
    <x v="909"/>
    <n v="0"/>
    <x v="34"/>
    <x v="16"/>
    <n v="0"/>
    <n v="999"/>
    <n v="999"/>
  </r>
  <r>
    <x v="0"/>
    <x v="2"/>
    <x v="0"/>
    <x v="86"/>
    <x v="23"/>
    <n v="0.3"/>
    <n v="1.6"/>
    <n v="2.7"/>
    <n v="0.7"/>
    <n v="0.8"/>
    <n v="0.2"/>
    <n v="0.8"/>
    <n v="3.8"/>
    <x v="166"/>
    <x v="163"/>
    <n v="1033881"/>
    <x v="13"/>
    <x v="16"/>
    <n v="3"/>
    <n v="999"/>
    <n v="999"/>
  </r>
  <r>
    <x v="1"/>
    <x v="57"/>
    <x v="0"/>
    <x v="555"/>
    <x v="61"/>
    <n v="0"/>
    <n v="4.5"/>
    <n v="0"/>
    <n v="15.8"/>
    <n v="1.9"/>
    <n v="0"/>
    <n v="8.4"/>
    <n v="0"/>
    <x v="59"/>
    <x v="59"/>
    <n v="92473"/>
    <x v="281"/>
    <x v="77"/>
    <n v="0"/>
    <n v="999"/>
    <n v="999"/>
  </r>
  <r>
    <x v="2"/>
    <x v="19"/>
    <x v="7"/>
    <x v="970"/>
    <x v="659"/>
    <n v="223.7"/>
    <n v="1.5"/>
    <n v="1.2"/>
    <n v="0"/>
    <n v="0"/>
    <n v="0"/>
    <n v="0"/>
    <n v="0"/>
    <x v="21"/>
    <x v="21"/>
    <n v="171648"/>
    <x v="84"/>
    <x v="117"/>
    <n v="384"/>
    <n v="65"/>
    <n v="79"/>
  </r>
  <r>
    <x v="0"/>
    <x v="67"/>
    <x v="3"/>
    <x v="2"/>
    <x v="2"/>
    <n v="0"/>
    <n v="0"/>
    <n v="0"/>
    <n v="0"/>
    <n v="0"/>
    <n v="0"/>
    <n v="0"/>
    <n v="0"/>
    <x v="75"/>
    <x v="75"/>
    <n v="161651"/>
    <x v="2"/>
    <x v="1"/>
    <n v="0"/>
    <n v="18"/>
    <n v="29"/>
  </r>
  <r>
    <x v="2"/>
    <x v="94"/>
    <x v="1"/>
    <x v="971"/>
    <x v="660"/>
    <n v="95.2"/>
    <n v="3.2"/>
    <n v="1.9"/>
    <n v="0"/>
    <n v="0"/>
    <n v="0"/>
    <n v="0"/>
    <n v="0"/>
    <x v="1021"/>
    <x v="910"/>
    <n v="246842"/>
    <x v="94"/>
    <x v="179"/>
    <n v="235"/>
    <n v="50"/>
    <n v="64"/>
  </r>
  <r>
    <x v="0"/>
    <x v="101"/>
    <x v="6"/>
    <x v="514"/>
    <x v="661"/>
    <n v="7.1"/>
    <n v="0.4"/>
    <n v="2.1"/>
    <n v="0"/>
    <n v="0"/>
    <n v="0"/>
    <n v="0"/>
    <n v="0"/>
    <x v="178"/>
    <x v="175"/>
    <n v="42437"/>
    <x v="20"/>
    <x v="21"/>
    <n v="3"/>
    <n v="80"/>
    <n v="200"/>
  </r>
  <r>
    <x v="1"/>
    <x v="102"/>
    <x v="0"/>
    <x v="892"/>
    <x v="61"/>
    <n v="2.4"/>
    <n v="1.6"/>
    <n v="1.5"/>
    <n v="4.5"/>
    <n v="2.7"/>
    <n v="1.6"/>
    <n v="1.7"/>
    <n v="2.8"/>
    <x v="433"/>
    <x v="404"/>
    <n v="911102"/>
    <x v="56"/>
    <x v="31"/>
    <n v="22"/>
    <n v="999"/>
    <n v="999"/>
  </r>
  <r>
    <x v="1"/>
    <x v="42"/>
    <x v="3"/>
    <x v="298"/>
    <x v="2"/>
    <n v="0.7"/>
    <n v="0"/>
    <n v="2.9"/>
    <n v="0"/>
    <n v="0"/>
    <n v="0"/>
    <n v="0"/>
    <n v="0"/>
    <x v="967"/>
    <x v="867"/>
    <n v="146325"/>
    <x v="0"/>
    <x v="1"/>
    <n v="1"/>
    <n v="18"/>
    <n v="29"/>
  </r>
  <r>
    <x v="0"/>
    <x v="10"/>
    <x v="0"/>
    <x v="212"/>
    <x v="19"/>
    <n v="0.4"/>
    <n v="2.2000000000000002"/>
    <n v="2.2000000000000002"/>
    <n v="1"/>
    <n v="0.7"/>
    <n v="0.3"/>
    <n v="1.4"/>
    <n v="3.7"/>
    <x v="10"/>
    <x v="10"/>
    <n v="1040154"/>
    <x v="13"/>
    <x v="39"/>
    <n v="4"/>
    <n v="999"/>
    <n v="999"/>
  </r>
  <r>
    <x v="0"/>
    <x v="47"/>
    <x v="0"/>
    <x v="241"/>
    <x v="0"/>
    <n v="1"/>
    <n v="5"/>
    <n v="0.5"/>
    <n v="0.9"/>
    <n v="0.3"/>
    <n v="0.7"/>
    <n v="3"/>
    <n v="1.3"/>
    <x v="1022"/>
    <x v="911"/>
    <n v="1040060"/>
    <x v="45"/>
    <x v="0"/>
    <n v="10"/>
    <n v="999"/>
    <n v="999"/>
  </r>
  <r>
    <x v="2"/>
    <x v="103"/>
    <x v="3"/>
    <x v="972"/>
    <x v="662"/>
    <n v="0"/>
    <n v="2.1"/>
    <n v="0"/>
    <n v="0"/>
    <n v="0"/>
    <n v="0"/>
    <n v="0"/>
    <n v="0"/>
    <x v="339"/>
    <x v="317"/>
    <n v="0"/>
    <x v="309"/>
    <x v="240"/>
    <n v="0"/>
    <n v="18"/>
    <n v="29"/>
  </r>
  <r>
    <x v="2"/>
    <x v="49"/>
    <x v="3"/>
    <x v="973"/>
    <x v="663"/>
    <n v="26"/>
    <n v="3.4"/>
    <n v="2.6"/>
    <n v="0"/>
    <n v="0"/>
    <n v="0"/>
    <n v="0"/>
    <n v="0"/>
    <x v="1023"/>
    <x v="795"/>
    <n v="161716"/>
    <x v="67"/>
    <x v="61"/>
    <n v="42"/>
    <n v="18"/>
    <n v="29"/>
  </r>
  <r>
    <x v="2"/>
    <x v="32"/>
    <x v="5"/>
    <x v="83"/>
    <x v="642"/>
    <n v="106.6"/>
    <n v="2.5"/>
    <n v="1.7"/>
    <n v="0"/>
    <n v="0"/>
    <n v="0"/>
    <n v="0"/>
    <n v="0"/>
    <x v="1024"/>
    <x v="912"/>
    <n v="347102"/>
    <x v="289"/>
    <x v="127"/>
    <n v="370"/>
    <n v="30"/>
    <n v="49"/>
  </r>
  <r>
    <x v="1"/>
    <x v="86"/>
    <x v="4"/>
    <x v="567"/>
    <x v="2"/>
    <n v="0"/>
    <n v="0"/>
    <n v="0"/>
    <n v="0"/>
    <n v="0"/>
    <n v="0"/>
    <n v="0"/>
    <n v="0"/>
    <x v="383"/>
    <x v="359"/>
    <n v="44537"/>
    <x v="0"/>
    <x v="1"/>
    <n v="0"/>
    <n v="12"/>
    <n v="17"/>
  </r>
  <r>
    <x v="0"/>
    <x v="122"/>
    <x v="0"/>
    <x v="75"/>
    <x v="82"/>
    <n v="0"/>
    <n v="11"/>
    <n v="0"/>
    <n v="2.9"/>
    <n v="0.1"/>
    <n v="0"/>
    <n v="29.9"/>
    <n v="0"/>
    <x v="550"/>
    <x v="505"/>
    <n v="0"/>
    <x v="137"/>
    <x v="0"/>
    <n v="0"/>
    <n v="999"/>
    <n v="999"/>
  </r>
  <r>
    <x v="0"/>
    <x v="117"/>
    <x v="5"/>
    <x v="2"/>
    <x v="2"/>
    <n v="0"/>
    <n v="0"/>
    <n v="0"/>
    <n v="0"/>
    <n v="0"/>
    <n v="0"/>
    <n v="0"/>
    <n v="0"/>
    <x v="1025"/>
    <x v="913"/>
    <n v="346890"/>
    <x v="2"/>
    <x v="1"/>
    <n v="0"/>
    <n v="30"/>
    <n v="49"/>
  </r>
  <r>
    <x v="1"/>
    <x v="128"/>
    <x v="0"/>
    <x v="806"/>
    <x v="519"/>
    <n v="4"/>
    <n v="2.8"/>
    <n v="1.2"/>
    <n v="6.9"/>
    <n v="3.2"/>
    <n v="3.1"/>
    <n v="2.2000000000000002"/>
    <n v="2.2000000000000002"/>
    <x v="1026"/>
    <x v="914"/>
    <n v="1040601"/>
    <x v="17"/>
    <x v="75"/>
    <n v="42"/>
    <n v="999"/>
    <n v="999"/>
  </r>
  <r>
    <x v="0"/>
    <x v="100"/>
    <x v="2"/>
    <x v="2"/>
    <x v="2"/>
    <n v="0"/>
    <n v="0"/>
    <n v="0"/>
    <n v="0"/>
    <n v="0"/>
    <n v="0"/>
    <n v="0"/>
    <n v="0"/>
    <x v="151"/>
    <x v="148"/>
    <n v="2658"/>
    <x v="2"/>
    <x v="1"/>
    <n v="0"/>
    <n v="5"/>
    <n v="11"/>
  </r>
  <r>
    <x v="0"/>
    <x v="23"/>
    <x v="2"/>
    <x v="2"/>
    <x v="2"/>
    <n v="0"/>
    <n v="0"/>
    <n v="0"/>
    <n v="0"/>
    <n v="0"/>
    <n v="0"/>
    <n v="0"/>
    <n v="0"/>
    <x v="516"/>
    <x v="472"/>
    <n v="21117"/>
    <x v="2"/>
    <x v="1"/>
    <n v="0"/>
    <n v="5"/>
    <n v="11"/>
  </r>
  <r>
    <x v="0"/>
    <x v="53"/>
    <x v="3"/>
    <x v="2"/>
    <x v="2"/>
    <n v="0"/>
    <n v="0"/>
    <n v="0"/>
    <n v="0"/>
    <n v="0"/>
    <n v="0"/>
    <n v="0"/>
    <n v="0"/>
    <x v="604"/>
    <x v="113"/>
    <n v="161693"/>
    <x v="2"/>
    <x v="1"/>
    <n v="0"/>
    <n v="18"/>
    <n v="29"/>
  </r>
  <r>
    <x v="0"/>
    <x v="92"/>
    <x v="8"/>
    <x v="2"/>
    <x v="2"/>
    <n v="0"/>
    <n v="0"/>
    <n v="0"/>
    <n v="0"/>
    <n v="0"/>
    <n v="0"/>
    <n v="0"/>
    <n v="0"/>
    <x v="28"/>
    <x v="28"/>
    <n v="0"/>
    <x v="2"/>
    <x v="1"/>
    <n v="0"/>
    <n v="0"/>
    <n v="4"/>
  </r>
  <r>
    <x v="2"/>
    <x v="19"/>
    <x v="4"/>
    <x v="974"/>
    <x v="664"/>
    <n v="161.69999999999999"/>
    <n v="2"/>
    <n v="1.6"/>
    <n v="0"/>
    <n v="0"/>
    <n v="0"/>
    <n v="0"/>
    <n v="0"/>
    <x v="834"/>
    <x v="757"/>
    <n v="44526"/>
    <x v="229"/>
    <x v="99"/>
    <n v="72"/>
    <n v="12"/>
    <n v="17"/>
  </r>
  <r>
    <x v="0"/>
    <x v="38"/>
    <x v="7"/>
    <x v="26"/>
    <x v="2"/>
    <n v="0"/>
    <n v="0"/>
    <n v="0"/>
    <n v="0"/>
    <n v="0"/>
    <n v="0"/>
    <n v="0"/>
    <n v="0"/>
    <x v="502"/>
    <x v="463"/>
    <n v="171755"/>
    <x v="1"/>
    <x v="1"/>
    <n v="0"/>
    <n v="65"/>
    <n v="79"/>
  </r>
  <r>
    <x v="1"/>
    <x v="48"/>
    <x v="1"/>
    <x v="21"/>
    <x v="235"/>
    <n v="2.8"/>
    <n v="3.2"/>
    <n v="4.5"/>
    <n v="0"/>
    <n v="0"/>
    <n v="0"/>
    <n v="0"/>
    <n v="0"/>
    <x v="796"/>
    <x v="723"/>
    <n v="247106"/>
    <x v="20"/>
    <x v="21"/>
    <n v="7"/>
    <n v="50"/>
    <n v="64"/>
  </r>
  <r>
    <x v="2"/>
    <x v="71"/>
    <x v="7"/>
    <x v="371"/>
    <x v="73"/>
    <n v="0"/>
    <n v="11.2"/>
    <n v="0"/>
    <n v="0"/>
    <n v="0"/>
    <n v="0"/>
    <n v="0"/>
    <n v="0"/>
    <x v="1027"/>
    <x v="915"/>
    <n v="0"/>
    <x v="51"/>
    <x v="11"/>
    <n v="0"/>
    <n v="65"/>
    <n v="79"/>
  </r>
  <r>
    <x v="1"/>
    <x v="122"/>
    <x v="4"/>
    <x v="234"/>
    <x v="2"/>
    <n v="0"/>
    <n v="0"/>
    <n v="0"/>
    <n v="0"/>
    <n v="0"/>
    <n v="0"/>
    <n v="0"/>
    <n v="0"/>
    <x v="692"/>
    <x v="28"/>
    <n v="0"/>
    <x v="20"/>
    <x v="1"/>
    <n v="0"/>
    <n v="12"/>
    <n v="17"/>
  </r>
  <r>
    <x v="0"/>
    <x v="132"/>
    <x v="5"/>
    <x v="2"/>
    <x v="2"/>
    <n v="0"/>
    <n v="0"/>
    <n v="0"/>
    <n v="0"/>
    <n v="0"/>
    <n v="0"/>
    <n v="0"/>
    <n v="0"/>
    <x v="300"/>
    <x v="283"/>
    <n v="332845"/>
    <x v="2"/>
    <x v="1"/>
    <n v="0"/>
    <n v="30"/>
    <n v="49"/>
  </r>
  <r>
    <x v="2"/>
    <x v="69"/>
    <x v="1"/>
    <x v="173"/>
    <x v="665"/>
    <n v="48.9"/>
    <n v="3.4"/>
    <n v="3"/>
    <n v="0"/>
    <n v="0"/>
    <n v="0"/>
    <n v="0"/>
    <n v="0"/>
    <x v="785"/>
    <x v="712"/>
    <n v="212791"/>
    <x v="204"/>
    <x v="19"/>
    <n v="104"/>
    <n v="50"/>
    <n v="64"/>
  </r>
  <r>
    <x v="2"/>
    <x v="72"/>
    <x v="7"/>
    <x v="975"/>
    <x v="521"/>
    <n v="41.3"/>
    <n v="1.4"/>
    <n v="1.6"/>
    <n v="0"/>
    <n v="0"/>
    <n v="0"/>
    <n v="0"/>
    <n v="0"/>
    <x v="1028"/>
    <x v="836"/>
    <n v="171728"/>
    <x v="17"/>
    <x v="31"/>
    <n v="71"/>
    <n v="65"/>
    <n v="79"/>
  </r>
  <r>
    <x v="1"/>
    <x v="74"/>
    <x v="0"/>
    <x v="976"/>
    <x v="77"/>
    <n v="5.9"/>
    <n v="2.2999999999999998"/>
    <n v="0.8"/>
    <n v="5.4"/>
    <n v="2.8"/>
    <n v="4"/>
    <n v="2"/>
    <n v="1.4"/>
    <x v="705"/>
    <x v="641"/>
    <n v="1042471"/>
    <x v="56"/>
    <x v="28"/>
    <n v="62"/>
    <n v="999"/>
    <n v="999"/>
  </r>
  <r>
    <x v="0"/>
    <x v="113"/>
    <x v="8"/>
    <x v="2"/>
    <x v="2"/>
    <n v="0"/>
    <n v="0"/>
    <n v="0"/>
    <n v="0"/>
    <n v="0"/>
    <n v="0"/>
    <n v="0"/>
    <n v="0"/>
    <x v="28"/>
    <x v="28"/>
    <n v="0"/>
    <x v="2"/>
    <x v="1"/>
    <n v="0"/>
    <n v="0"/>
    <n v="4"/>
  </r>
  <r>
    <x v="2"/>
    <x v="33"/>
    <x v="0"/>
    <x v="89"/>
    <x v="78"/>
    <n v="12.8"/>
    <n v="2"/>
    <n v="1.1000000000000001"/>
    <n v="15.4"/>
    <n v="7.4"/>
    <n v="10.7"/>
    <n v="2.1"/>
    <n v="1.4"/>
    <x v="497"/>
    <x v="459"/>
    <n v="1040757"/>
    <x v="135"/>
    <x v="111"/>
    <n v="133"/>
    <n v="999"/>
    <n v="999"/>
  </r>
  <r>
    <x v="1"/>
    <x v="11"/>
    <x v="6"/>
    <x v="281"/>
    <x v="66"/>
    <n v="25.5"/>
    <n v="0.7"/>
    <n v="0.5"/>
    <n v="0"/>
    <n v="0"/>
    <n v="0"/>
    <n v="0"/>
    <n v="0"/>
    <x v="1029"/>
    <x v="640"/>
    <n v="47127"/>
    <x v="45"/>
    <x v="11"/>
    <n v="12"/>
    <n v="80"/>
    <n v="200"/>
  </r>
  <r>
    <x v="1"/>
    <x v="2"/>
    <x v="2"/>
    <x v="99"/>
    <x v="2"/>
    <n v="11.3"/>
    <n v="0"/>
    <n v="0.2"/>
    <n v="0"/>
    <n v="0"/>
    <n v="0"/>
    <n v="0"/>
    <n v="0"/>
    <x v="2"/>
    <x v="2"/>
    <n v="17689"/>
    <x v="0"/>
    <x v="1"/>
    <n v="2"/>
    <n v="5"/>
    <n v="11"/>
  </r>
  <r>
    <x v="2"/>
    <x v="133"/>
    <x v="0"/>
    <x v="977"/>
    <x v="6"/>
    <n v="0"/>
    <n v="11.1"/>
    <n v="0"/>
    <n v="181.7"/>
    <n v="11.3"/>
    <n v="0"/>
    <n v="16.100000000000001"/>
    <n v="0"/>
    <x v="457"/>
    <x v="423"/>
    <n v="0"/>
    <x v="405"/>
    <x v="310"/>
    <n v="0"/>
    <n v="999"/>
    <n v="999"/>
  </r>
  <r>
    <x v="2"/>
    <x v="63"/>
    <x v="4"/>
    <x v="978"/>
    <x v="666"/>
    <n v="80.900000000000006"/>
    <n v="2"/>
    <n v="1.8"/>
    <n v="0"/>
    <n v="0"/>
    <n v="0"/>
    <n v="0"/>
    <n v="0"/>
    <x v="921"/>
    <x v="828"/>
    <n v="44495"/>
    <x v="67"/>
    <x v="15"/>
    <n v="36"/>
    <n v="12"/>
    <n v="17"/>
  </r>
  <r>
    <x v="2"/>
    <x v="103"/>
    <x v="1"/>
    <x v="979"/>
    <x v="667"/>
    <n v="0"/>
    <n v="4.4000000000000004"/>
    <n v="0"/>
    <n v="0"/>
    <n v="0"/>
    <n v="0"/>
    <n v="0"/>
    <n v="0"/>
    <x v="645"/>
    <x v="586"/>
    <n v="0"/>
    <x v="303"/>
    <x v="165"/>
    <n v="0"/>
    <n v="50"/>
    <n v="64"/>
  </r>
  <r>
    <x v="2"/>
    <x v="98"/>
    <x v="8"/>
    <x v="405"/>
    <x v="17"/>
    <n v="0"/>
    <n v="10.8"/>
    <n v="0"/>
    <n v="0"/>
    <n v="0"/>
    <n v="0"/>
    <n v="0"/>
    <n v="0"/>
    <x v="28"/>
    <x v="28"/>
    <n v="0"/>
    <x v="46"/>
    <x v="11"/>
    <n v="0"/>
    <n v="0"/>
    <n v="4"/>
  </r>
  <r>
    <x v="1"/>
    <x v="29"/>
    <x v="1"/>
    <x v="398"/>
    <x v="79"/>
    <n v="7.9"/>
    <n v="1.8"/>
    <n v="3.6"/>
    <n v="0"/>
    <n v="0"/>
    <n v="0"/>
    <n v="0"/>
    <n v="0"/>
    <x v="171"/>
    <x v="168"/>
    <n v="239606"/>
    <x v="27"/>
    <x v="59"/>
    <n v="19"/>
    <n v="50"/>
    <n v="64"/>
  </r>
  <r>
    <x v="2"/>
    <x v="16"/>
    <x v="7"/>
    <x v="980"/>
    <x v="668"/>
    <n v="701.8"/>
    <n v="1.2"/>
    <n v="2.4"/>
    <n v="0"/>
    <n v="0"/>
    <n v="0"/>
    <n v="0"/>
    <n v="0"/>
    <x v="475"/>
    <x v="439"/>
    <n v="127818"/>
    <x v="406"/>
    <x v="311"/>
    <n v="897"/>
    <n v="65"/>
    <n v="79"/>
  </r>
  <r>
    <x v="0"/>
    <x v="43"/>
    <x v="5"/>
    <x v="2"/>
    <x v="2"/>
    <n v="0"/>
    <n v="0"/>
    <n v="0"/>
    <n v="0"/>
    <n v="0"/>
    <n v="0"/>
    <n v="0"/>
    <n v="0"/>
    <x v="579"/>
    <x v="197"/>
    <n v="347312"/>
    <x v="2"/>
    <x v="1"/>
    <n v="0"/>
    <n v="30"/>
    <n v="49"/>
  </r>
  <r>
    <x v="2"/>
    <x v="1"/>
    <x v="0"/>
    <x v="981"/>
    <x v="669"/>
    <n v="84.6"/>
    <n v="1.8"/>
    <n v="1.5"/>
    <n v="143.30000000000001"/>
    <n v="72.7"/>
    <n v="89.2"/>
    <n v="2"/>
    <n v="1.6"/>
    <x v="863"/>
    <x v="781"/>
    <n v="1040343"/>
    <x v="407"/>
    <x v="312"/>
    <n v="880"/>
    <n v="999"/>
    <n v="999"/>
  </r>
  <r>
    <x v="0"/>
    <x v="107"/>
    <x v="5"/>
    <x v="286"/>
    <x v="2"/>
    <n v="0"/>
    <n v="0"/>
    <n v="0"/>
    <n v="0"/>
    <n v="0"/>
    <n v="0"/>
    <n v="0"/>
    <n v="0"/>
    <x v="177"/>
    <x v="174"/>
    <n v="0"/>
    <x v="45"/>
    <x v="1"/>
    <n v="0"/>
    <n v="30"/>
    <n v="49"/>
  </r>
  <r>
    <x v="1"/>
    <x v="25"/>
    <x v="3"/>
    <x v="137"/>
    <x v="257"/>
    <n v="4.4000000000000004"/>
    <n v="6.9"/>
    <n v="4.0999999999999996"/>
    <n v="0"/>
    <n v="0"/>
    <n v="0"/>
    <n v="0"/>
    <n v="0"/>
    <x v="820"/>
    <x v="747"/>
    <n v="114102"/>
    <x v="29"/>
    <x v="48"/>
    <n v="5"/>
    <n v="18"/>
    <n v="29"/>
  </r>
  <r>
    <x v="0"/>
    <x v="30"/>
    <x v="0"/>
    <x v="2"/>
    <x v="19"/>
    <n v="0.3"/>
    <n v="0"/>
    <n v="0"/>
    <n v="0"/>
    <n v="0.7"/>
    <n v="0.2"/>
    <n v="0"/>
    <n v="0"/>
    <x v="651"/>
    <x v="592"/>
    <n v="1039564"/>
    <x v="2"/>
    <x v="39"/>
    <n v="3"/>
    <n v="999"/>
    <n v="999"/>
  </r>
  <r>
    <x v="0"/>
    <x v="111"/>
    <x v="4"/>
    <x v="2"/>
    <x v="2"/>
    <n v="0"/>
    <n v="0"/>
    <n v="0"/>
    <n v="0"/>
    <n v="0"/>
    <n v="0"/>
    <n v="0"/>
    <n v="0"/>
    <x v="787"/>
    <x v="714"/>
    <n v="43599"/>
    <x v="2"/>
    <x v="1"/>
    <n v="0"/>
    <n v="12"/>
    <n v="17"/>
  </r>
  <r>
    <x v="1"/>
    <x v="33"/>
    <x v="8"/>
    <x v="219"/>
    <x v="2"/>
    <n v="0"/>
    <n v="0"/>
    <n v="0"/>
    <n v="0"/>
    <n v="0"/>
    <n v="0"/>
    <n v="0"/>
    <n v="0"/>
    <x v="28"/>
    <x v="28"/>
    <n v="0"/>
    <x v="1"/>
    <x v="1"/>
    <n v="0"/>
    <n v="0"/>
    <n v="4"/>
  </r>
  <r>
    <x v="2"/>
    <x v="127"/>
    <x v="8"/>
    <x v="982"/>
    <x v="2"/>
    <n v="0"/>
    <n v="0"/>
    <n v="0"/>
    <n v="0"/>
    <n v="0"/>
    <n v="0"/>
    <n v="0"/>
    <n v="0"/>
    <x v="28"/>
    <x v="28"/>
    <n v="0"/>
    <x v="408"/>
    <x v="1"/>
    <n v="0"/>
    <n v="0"/>
    <n v="4"/>
  </r>
  <r>
    <x v="2"/>
    <x v="92"/>
    <x v="5"/>
    <x v="983"/>
    <x v="457"/>
    <n v="40"/>
    <n v="2.4"/>
    <n v="1.6"/>
    <n v="0"/>
    <n v="0"/>
    <n v="0"/>
    <n v="0"/>
    <n v="0"/>
    <x v="799"/>
    <x v="726"/>
    <n v="347283"/>
    <x v="4"/>
    <x v="6"/>
    <n v="139"/>
    <n v="30"/>
    <n v="49"/>
  </r>
  <r>
    <x v="1"/>
    <x v="28"/>
    <x v="3"/>
    <x v="188"/>
    <x v="125"/>
    <n v="0.6"/>
    <n v="1.4"/>
    <n v="6.5"/>
    <n v="0"/>
    <n v="0"/>
    <n v="0"/>
    <n v="0"/>
    <n v="0"/>
    <x v="641"/>
    <x v="582"/>
    <n v="161659"/>
    <x v="45"/>
    <x v="48"/>
    <n v="1"/>
    <n v="18"/>
    <n v="29"/>
  </r>
  <r>
    <x v="1"/>
    <x v="89"/>
    <x v="0"/>
    <x v="1"/>
    <x v="82"/>
    <n v="0"/>
    <n v="14.5"/>
    <n v="0"/>
    <n v="4"/>
    <n v="0.2"/>
    <n v="0"/>
    <n v="23.3"/>
    <n v="0"/>
    <x v="847"/>
    <x v="768"/>
    <n v="0"/>
    <x v="137"/>
    <x v="39"/>
    <n v="0"/>
    <n v="999"/>
    <n v="999"/>
  </r>
  <r>
    <x v="0"/>
    <x v="82"/>
    <x v="3"/>
    <x v="2"/>
    <x v="2"/>
    <n v="0"/>
    <n v="0"/>
    <n v="0"/>
    <n v="0"/>
    <n v="0"/>
    <n v="0"/>
    <n v="0"/>
    <n v="0"/>
    <x v="523"/>
    <x v="478"/>
    <n v="161703"/>
    <x v="2"/>
    <x v="1"/>
    <n v="0"/>
    <n v="18"/>
    <n v="29"/>
  </r>
  <r>
    <x v="1"/>
    <x v="58"/>
    <x v="3"/>
    <x v="391"/>
    <x v="103"/>
    <n v="1.9"/>
    <n v="2.2000000000000002"/>
    <n v="3.8"/>
    <n v="0"/>
    <n v="0"/>
    <n v="0"/>
    <n v="0"/>
    <n v="0"/>
    <x v="983"/>
    <x v="881"/>
    <n v="161555"/>
    <x v="18"/>
    <x v="26"/>
    <n v="3"/>
    <n v="18"/>
    <n v="29"/>
  </r>
  <r>
    <x v="1"/>
    <x v="87"/>
    <x v="7"/>
    <x v="382"/>
    <x v="634"/>
    <n v="4.8"/>
    <n v="2.7"/>
    <n v="9"/>
    <n v="0"/>
    <n v="0"/>
    <n v="0"/>
    <n v="0"/>
    <n v="0"/>
    <x v="294"/>
    <x v="277"/>
    <n v="41816"/>
    <x v="32"/>
    <x v="88"/>
    <n v="2"/>
    <n v="65"/>
    <n v="79"/>
  </r>
  <r>
    <x v="0"/>
    <x v="32"/>
    <x v="5"/>
    <x v="212"/>
    <x v="2"/>
    <n v="0"/>
    <n v="0"/>
    <n v="0"/>
    <n v="0"/>
    <n v="0"/>
    <n v="0"/>
    <n v="0"/>
    <n v="0"/>
    <x v="1024"/>
    <x v="912"/>
    <n v="347102"/>
    <x v="1"/>
    <x v="1"/>
    <n v="0"/>
    <n v="30"/>
    <n v="49"/>
  </r>
  <r>
    <x v="1"/>
    <x v="33"/>
    <x v="4"/>
    <x v="2"/>
    <x v="2"/>
    <n v="0"/>
    <n v="0"/>
    <n v="0"/>
    <n v="0"/>
    <n v="0"/>
    <n v="0"/>
    <n v="0"/>
    <n v="0"/>
    <x v="873"/>
    <x v="241"/>
    <n v="44590"/>
    <x v="2"/>
    <x v="1"/>
    <n v="0"/>
    <n v="12"/>
    <n v="17"/>
  </r>
  <r>
    <x v="0"/>
    <x v="80"/>
    <x v="1"/>
    <x v="2"/>
    <x v="38"/>
    <n v="0"/>
    <n v="0"/>
    <n v="0"/>
    <n v="0"/>
    <n v="0"/>
    <n v="0"/>
    <n v="0"/>
    <n v="0"/>
    <x v="525"/>
    <x v="480"/>
    <n v="232184"/>
    <x v="2"/>
    <x v="0"/>
    <n v="0"/>
    <n v="50"/>
    <n v="64"/>
  </r>
  <r>
    <x v="1"/>
    <x v="6"/>
    <x v="1"/>
    <x v="192"/>
    <x v="276"/>
    <n v="4.9000000000000004"/>
    <n v="3.7"/>
    <n v="3.6"/>
    <n v="0"/>
    <n v="0"/>
    <n v="0"/>
    <n v="0"/>
    <n v="0"/>
    <x v="1016"/>
    <x v="907"/>
    <n v="246490"/>
    <x v="64"/>
    <x v="48"/>
    <n v="12"/>
    <n v="50"/>
    <n v="64"/>
  </r>
  <r>
    <x v="1"/>
    <x v="15"/>
    <x v="5"/>
    <x v="870"/>
    <x v="169"/>
    <n v="4.5999999999999996"/>
    <n v="3.2"/>
    <n v="3.3"/>
    <n v="0"/>
    <n v="0"/>
    <n v="0"/>
    <n v="0"/>
    <n v="0"/>
    <x v="220"/>
    <x v="211"/>
    <n v="344772"/>
    <x v="34"/>
    <x v="38"/>
    <n v="16"/>
    <n v="30"/>
    <n v="49"/>
  </r>
  <r>
    <x v="1"/>
    <x v="57"/>
    <x v="1"/>
    <x v="984"/>
    <x v="17"/>
    <n v="0"/>
    <n v="41.4"/>
    <n v="0"/>
    <n v="0"/>
    <n v="0"/>
    <n v="0"/>
    <n v="0"/>
    <n v="0"/>
    <x v="824"/>
    <x v="751"/>
    <n v="18445"/>
    <x v="194"/>
    <x v="16"/>
    <n v="0"/>
    <n v="50"/>
    <n v="64"/>
  </r>
  <r>
    <x v="1"/>
    <x v="43"/>
    <x v="6"/>
    <x v="82"/>
    <x v="62"/>
    <n v="8.5"/>
    <n v="0.5"/>
    <n v="0.5"/>
    <n v="0"/>
    <n v="0"/>
    <n v="0"/>
    <n v="0"/>
    <n v="0"/>
    <x v="833"/>
    <x v="101"/>
    <n v="47130"/>
    <x v="1"/>
    <x v="0"/>
    <n v="4"/>
    <n v="80"/>
    <n v="200"/>
  </r>
  <r>
    <x v="0"/>
    <x v="82"/>
    <x v="8"/>
    <x v="2"/>
    <x v="2"/>
    <n v="0"/>
    <n v="0"/>
    <n v="0"/>
    <n v="0"/>
    <n v="0"/>
    <n v="0"/>
    <n v="0"/>
    <n v="0"/>
    <x v="28"/>
    <x v="28"/>
    <n v="0"/>
    <x v="2"/>
    <x v="1"/>
    <n v="0"/>
    <n v="0"/>
    <n v="4"/>
  </r>
  <r>
    <x v="2"/>
    <x v="16"/>
    <x v="5"/>
    <x v="985"/>
    <x v="670"/>
    <n v="1294.0999999999999"/>
    <n v="1.6"/>
    <n v="2.5"/>
    <n v="0"/>
    <n v="0"/>
    <n v="0"/>
    <n v="0"/>
    <n v="0"/>
    <x v="978"/>
    <x v="876"/>
    <n v="202387"/>
    <x v="409"/>
    <x v="313"/>
    <n v="2619"/>
    <n v="30"/>
    <n v="49"/>
  </r>
  <r>
    <x v="1"/>
    <x v="0"/>
    <x v="5"/>
    <x v="82"/>
    <x v="61"/>
    <n v="3.5"/>
    <n v="1.9"/>
    <n v="1.2"/>
    <n v="0"/>
    <n v="0"/>
    <n v="0"/>
    <n v="0"/>
    <n v="0"/>
    <x v="946"/>
    <x v="849"/>
    <n v="346933"/>
    <x v="13"/>
    <x v="48"/>
    <n v="12"/>
    <n v="30"/>
    <n v="49"/>
  </r>
  <r>
    <x v="1"/>
    <x v="99"/>
    <x v="3"/>
    <x v="117"/>
    <x v="141"/>
    <n v="1.5"/>
    <n v="5.4"/>
    <n v="5.0999999999999996"/>
    <n v="0"/>
    <n v="0"/>
    <n v="0"/>
    <n v="0"/>
    <n v="0"/>
    <x v="1030"/>
    <x v="916"/>
    <n v="129112"/>
    <x v="33"/>
    <x v="39"/>
    <n v="2"/>
    <n v="18"/>
    <n v="29"/>
  </r>
  <r>
    <x v="1"/>
    <x v="137"/>
    <x v="5"/>
    <x v="198"/>
    <x v="19"/>
    <n v="1.7"/>
    <n v="20"/>
    <n v="4.7"/>
    <n v="0"/>
    <n v="0"/>
    <n v="0"/>
    <n v="0"/>
    <n v="0"/>
    <x v="557"/>
    <x v="511"/>
    <n v="349175"/>
    <x v="33"/>
    <x v="0"/>
    <n v="6"/>
    <n v="30"/>
    <n v="49"/>
  </r>
  <r>
    <x v="0"/>
    <x v="92"/>
    <x v="5"/>
    <x v="2"/>
    <x v="2"/>
    <n v="0"/>
    <n v="0"/>
    <n v="0"/>
    <n v="0"/>
    <n v="0"/>
    <n v="0"/>
    <n v="0"/>
    <n v="0"/>
    <x v="799"/>
    <x v="726"/>
    <n v="347283"/>
    <x v="2"/>
    <x v="1"/>
    <n v="0"/>
    <n v="30"/>
    <n v="49"/>
  </r>
  <r>
    <x v="1"/>
    <x v="11"/>
    <x v="1"/>
    <x v="870"/>
    <x v="1"/>
    <n v="1.2"/>
    <n v="18.899999999999999"/>
    <n v="12.6"/>
    <n v="0"/>
    <n v="0"/>
    <n v="0"/>
    <n v="0"/>
    <n v="0"/>
    <x v="1031"/>
    <x v="53"/>
    <n v="246908"/>
    <x v="13"/>
    <x v="0"/>
    <n v="3"/>
    <n v="50"/>
    <n v="64"/>
  </r>
  <r>
    <x v="0"/>
    <x v="126"/>
    <x v="4"/>
    <x v="2"/>
    <x v="2"/>
    <n v="0"/>
    <n v="0"/>
    <n v="0"/>
    <n v="0"/>
    <n v="0"/>
    <n v="0"/>
    <n v="0"/>
    <n v="0"/>
    <x v="925"/>
    <x v="208"/>
    <n v="44597"/>
    <x v="2"/>
    <x v="1"/>
    <n v="0"/>
    <n v="12"/>
    <n v="17"/>
  </r>
  <r>
    <x v="2"/>
    <x v="136"/>
    <x v="4"/>
    <x v="986"/>
    <x v="618"/>
    <n v="0"/>
    <n v="7.9"/>
    <n v="0"/>
    <n v="0"/>
    <n v="0"/>
    <n v="0"/>
    <n v="0"/>
    <n v="0"/>
    <x v="1002"/>
    <x v="896"/>
    <n v="0"/>
    <x v="11"/>
    <x v="57"/>
    <n v="0"/>
    <n v="12"/>
    <n v="17"/>
  </r>
  <r>
    <x v="1"/>
    <x v="33"/>
    <x v="5"/>
    <x v="2"/>
    <x v="2"/>
    <n v="1.2"/>
    <n v="0"/>
    <n v="0"/>
    <n v="0"/>
    <n v="0"/>
    <n v="0"/>
    <n v="0"/>
    <n v="0"/>
    <x v="217"/>
    <x v="197"/>
    <n v="347311"/>
    <x v="2"/>
    <x v="1"/>
    <n v="4"/>
    <n v="30"/>
    <n v="49"/>
  </r>
  <r>
    <x v="1"/>
    <x v="129"/>
    <x v="1"/>
    <x v="40"/>
    <x v="145"/>
    <n v="1.2"/>
    <n v="3.8"/>
    <n v="5.0999999999999996"/>
    <n v="0"/>
    <n v="0"/>
    <n v="0"/>
    <n v="0"/>
    <n v="0"/>
    <x v="864"/>
    <x v="782"/>
    <n v="246922"/>
    <x v="0"/>
    <x v="11"/>
    <n v="3"/>
    <n v="50"/>
    <n v="64"/>
  </r>
  <r>
    <x v="0"/>
    <x v="16"/>
    <x v="1"/>
    <x v="193"/>
    <x v="33"/>
    <n v="0.7"/>
    <n v="6.3"/>
    <n v="35.1"/>
    <n v="0"/>
    <n v="0"/>
    <n v="0"/>
    <n v="0"/>
    <n v="0"/>
    <x v="310"/>
    <x v="292"/>
    <n v="147279"/>
    <x v="35"/>
    <x v="5"/>
    <n v="1"/>
    <n v="50"/>
    <n v="64"/>
  </r>
  <r>
    <x v="1"/>
    <x v="103"/>
    <x v="5"/>
    <x v="104"/>
    <x v="2"/>
    <n v="0"/>
    <n v="0"/>
    <n v="0"/>
    <n v="0"/>
    <n v="0"/>
    <n v="0"/>
    <n v="0"/>
    <n v="0"/>
    <x v="818"/>
    <x v="745"/>
    <n v="0"/>
    <x v="8"/>
    <x v="1"/>
    <n v="0"/>
    <n v="30"/>
    <n v="49"/>
  </r>
  <r>
    <x v="2"/>
    <x v="29"/>
    <x v="3"/>
    <x v="987"/>
    <x v="671"/>
    <n v="271.7"/>
    <n v="2.5"/>
    <n v="1.3"/>
    <n v="0"/>
    <n v="0"/>
    <n v="0"/>
    <n v="0"/>
    <n v="0"/>
    <x v="463"/>
    <x v="429"/>
    <n v="155323"/>
    <x v="410"/>
    <x v="314"/>
    <n v="422"/>
    <n v="18"/>
    <n v="29"/>
  </r>
  <r>
    <x v="1"/>
    <x v="28"/>
    <x v="4"/>
    <x v="103"/>
    <x v="2"/>
    <n v="0"/>
    <n v="0"/>
    <n v="0"/>
    <n v="0"/>
    <n v="0"/>
    <n v="0"/>
    <n v="0"/>
    <n v="0"/>
    <x v="679"/>
    <x v="616"/>
    <n v="44558"/>
    <x v="1"/>
    <x v="1"/>
    <n v="0"/>
    <n v="12"/>
    <n v="17"/>
  </r>
  <r>
    <x v="0"/>
    <x v="48"/>
    <x v="0"/>
    <x v="2"/>
    <x v="0"/>
    <n v="0.1"/>
    <n v="0"/>
    <n v="0"/>
    <n v="0"/>
    <n v="0.3"/>
    <n v="0.1"/>
    <n v="0"/>
    <n v="0"/>
    <x v="401"/>
    <x v="375"/>
    <n v="1041683"/>
    <x v="2"/>
    <x v="0"/>
    <n v="1"/>
    <n v="999"/>
    <n v="999"/>
  </r>
  <r>
    <x v="1"/>
    <x v="6"/>
    <x v="0"/>
    <x v="537"/>
    <x v="110"/>
    <n v="7.1"/>
    <n v="2.2000000000000002"/>
    <n v="1.3"/>
    <n v="11.2"/>
    <n v="6.8"/>
    <n v="4.9000000000000004"/>
    <n v="1.7"/>
    <n v="2.2999999999999998"/>
    <x v="680"/>
    <x v="617"/>
    <n v="1035714"/>
    <x v="15"/>
    <x v="14"/>
    <n v="74"/>
    <n v="999"/>
    <n v="999"/>
  </r>
  <r>
    <x v="1"/>
    <x v="64"/>
    <x v="1"/>
    <x v="870"/>
    <x v="276"/>
    <n v="2.4"/>
    <n v="3.1"/>
    <n v="6.3"/>
    <n v="0"/>
    <n v="0"/>
    <n v="0"/>
    <n v="0"/>
    <n v="0"/>
    <x v="72"/>
    <x v="72"/>
    <n v="246904"/>
    <x v="13"/>
    <x v="48"/>
    <n v="6"/>
    <n v="50"/>
    <n v="64"/>
  </r>
  <r>
    <x v="0"/>
    <x v="86"/>
    <x v="3"/>
    <x v="2"/>
    <x v="2"/>
    <n v="0"/>
    <n v="0"/>
    <n v="0"/>
    <n v="0"/>
    <n v="0"/>
    <n v="0"/>
    <n v="0"/>
    <n v="0"/>
    <x v="1014"/>
    <x v="905"/>
    <n v="161629"/>
    <x v="2"/>
    <x v="1"/>
    <n v="0"/>
    <n v="18"/>
    <n v="29"/>
  </r>
  <r>
    <x v="2"/>
    <x v="42"/>
    <x v="6"/>
    <x v="406"/>
    <x v="672"/>
    <n v="30"/>
    <n v="0.5"/>
    <n v="0.6"/>
    <n v="0"/>
    <n v="0"/>
    <n v="0"/>
    <n v="0"/>
    <n v="0"/>
    <x v="515"/>
    <x v="471"/>
    <n v="43312"/>
    <x v="13"/>
    <x v="21"/>
    <n v="13"/>
    <n v="80"/>
    <n v="200"/>
  </r>
  <r>
    <x v="2"/>
    <x v="138"/>
    <x v="5"/>
    <x v="988"/>
    <x v="504"/>
    <n v="0"/>
    <n v="9"/>
    <n v="0"/>
    <n v="0"/>
    <n v="0"/>
    <n v="0"/>
    <n v="0"/>
    <n v="0"/>
    <x v="884"/>
    <x v="796"/>
    <n v="0"/>
    <x v="175"/>
    <x v="149"/>
    <n v="0"/>
    <n v="30"/>
    <n v="49"/>
  </r>
  <r>
    <x v="1"/>
    <x v="44"/>
    <x v="7"/>
    <x v="369"/>
    <x v="189"/>
    <n v="10.3"/>
    <n v="1.9"/>
    <n v="2"/>
    <n v="0"/>
    <n v="0"/>
    <n v="0"/>
    <n v="0"/>
    <n v="0"/>
    <x v="335"/>
    <x v="313"/>
    <n v="154842"/>
    <x v="24"/>
    <x v="48"/>
    <n v="16"/>
    <n v="65"/>
    <n v="79"/>
  </r>
  <r>
    <x v="2"/>
    <x v="66"/>
    <x v="0"/>
    <x v="989"/>
    <x v="673"/>
    <n v="23.6"/>
    <n v="2.4"/>
    <n v="9.6999999999999993"/>
    <n v="253"/>
    <n v="78.400000000000006"/>
    <n v="21.1"/>
    <n v="3.2"/>
    <n v="12"/>
    <x v="1032"/>
    <x v="917"/>
    <n v="169151"/>
    <x v="411"/>
    <x v="315"/>
    <n v="40"/>
    <n v="999"/>
    <n v="999"/>
  </r>
  <r>
    <x v="1"/>
    <x v="124"/>
    <x v="3"/>
    <x v="990"/>
    <x v="28"/>
    <n v="3.4"/>
    <n v="6.5"/>
    <n v="18.600000000000001"/>
    <n v="0"/>
    <n v="0"/>
    <n v="0"/>
    <n v="0"/>
    <n v="0"/>
    <x v="975"/>
    <x v="873"/>
    <n v="58804"/>
    <x v="30"/>
    <x v="43"/>
    <n v="2"/>
    <n v="18"/>
    <n v="29"/>
  </r>
  <r>
    <x v="2"/>
    <x v="38"/>
    <x v="5"/>
    <x v="991"/>
    <x v="554"/>
    <n v="38.9"/>
    <n v="2.2999999999999998"/>
    <n v="1.7"/>
    <n v="0"/>
    <n v="0"/>
    <n v="0"/>
    <n v="0"/>
    <n v="0"/>
    <x v="855"/>
    <x v="774"/>
    <n v="347322"/>
    <x v="204"/>
    <x v="20"/>
    <n v="135"/>
    <n v="30"/>
    <n v="49"/>
  </r>
  <r>
    <x v="0"/>
    <x v="71"/>
    <x v="3"/>
    <x v="2"/>
    <x v="2"/>
    <n v="0"/>
    <n v="0"/>
    <n v="0"/>
    <n v="0"/>
    <n v="0"/>
    <n v="0"/>
    <n v="0"/>
    <n v="0"/>
    <x v="290"/>
    <x v="273"/>
    <n v="0"/>
    <x v="2"/>
    <x v="1"/>
    <n v="0"/>
    <n v="18"/>
    <n v="29"/>
  </r>
  <r>
    <x v="1"/>
    <x v="22"/>
    <x v="7"/>
    <x v="992"/>
    <x v="674"/>
    <n v="32"/>
    <n v="1.2"/>
    <n v="2.4"/>
    <n v="0"/>
    <n v="0"/>
    <n v="0"/>
    <n v="0"/>
    <n v="0"/>
    <x v="965"/>
    <x v="202"/>
    <n v="171635"/>
    <x v="66"/>
    <x v="27"/>
    <n v="55"/>
    <n v="65"/>
    <n v="79"/>
  </r>
  <r>
    <x v="0"/>
    <x v="39"/>
    <x v="5"/>
    <x v="2"/>
    <x v="2"/>
    <n v="0"/>
    <n v="0"/>
    <n v="0"/>
    <n v="0"/>
    <n v="0"/>
    <n v="0"/>
    <n v="0"/>
    <n v="0"/>
    <x v="669"/>
    <x v="607"/>
    <n v="346982"/>
    <x v="2"/>
    <x v="1"/>
    <n v="0"/>
    <n v="30"/>
    <n v="49"/>
  </r>
  <r>
    <x v="0"/>
    <x v="49"/>
    <x v="8"/>
    <x v="2"/>
    <x v="2"/>
    <n v="0"/>
    <n v="0"/>
    <n v="0"/>
    <n v="0"/>
    <n v="0"/>
    <n v="0"/>
    <n v="0"/>
    <n v="0"/>
    <x v="28"/>
    <x v="28"/>
    <n v="0"/>
    <x v="2"/>
    <x v="1"/>
    <n v="0"/>
    <n v="0"/>
    <n v="4"/>
  </r>
  <r>
    <x v="2"/>
    <x v="99"/>
    <x v="5"/>
    <x v="993"/>
    <x v="675"/>
    <n v="119.7"/>
    <n v="2.4"/>
    <n v="1.3"/>
    <n v="0"/>
    <n v="0"/>
    <n v="0"/>
    <n v="0"/>
    <n v="0"/>
    <x v="519"/>
    <x v="475"/>
    <n v="296569"/>
    <x v="254"/>
    <x v="316"/>
    <n v="355"/>
    <n v="30"/>
    <n v="49"/>
  </r>
  <r>
    <x v="2"/>
    <x v="131"/>
    <x v="3"/>
    <x v="994"/>
    <x v="676"/>
    <n v="17.899999999999999"/>
    <n v="2.5"/>
    <n v="7.6"/>
    <n v="0"/>
    <n v="0"/>
    <n v="0"/>
    <n v="0"/>
    <n v="0"/>
    <x v="830"/>
    <x v="754"/>
    <n v="5594"/>
    <x v="412"/>
    <x v="317"/>
    <n v="1"/>
    <n v="18"/>
    <n v="29"/>
  </r>
  <r>
    <x v="0"/>
    <x v="115"/>
    <x v="5"/>
    <x v="2"/>
    <x v="2"/>
    <n v="0"/>
    <n v="0"/>
    <n v="0"/>
    <n v="0"/>
    <n v="0"/>
    <n v="0"/>
    <n v="0"/>
    <n v="0"/>
    <x v="201"/>
    <x v="194"/>
    <n v="329404"/>
    <x v="2"/>
    <x v="1"/>
    <n v="0"/>
    <n v="30"/>
    <n v="49"/>
  </r>
  <r>
    <x v="2"/>
    <x v="98"/>
    <x v="4"/>
    <x v="537"/>
    <x v="34"/>
    <n v="6.7"/>
    <n v="4"/>
    <n v="1.4"/>
    <n v="0"/>
    <n v="0"/>
    <n v="0"/>
    <n v="0"/>
    <n v="0"/>
    <x v="801"/>
    <x v="728"/>
    <n v="44583"/>
    <x v="45"/>
    <x v="11"/>
    <n v="3"/>
    <n v="12"/>
    <n v="17"/>
  </r>
  <r>
    <x v="1"/>
    <x v="74"/>
    <x v="7"/>
    <x v="216"/>
    <x v="677"/>
    <n v="12.8"/>
    <n v="1.8"/>
    <n v="1.6"/>
    <n v="0"/>
    <n v="0"/>
    <n v="0"/>
    <n v="0"/>
    <n v="0"/>
    <x v="940"/>
    <x v="844"/>
    <n v="172021"/>
    <x v="33"/>
    <x v="21"/>
    <n v="22"/>
    <n v="65"/>
    <n v="79"/>
  </r>
  <r>
    <x v="2"/>
    <x v="3"/>
    <x v="1"/>
    <x v="995"/>
    <x v="678"/>
    <n v="20.100000000000001"/>
    <n v="3.8"/>
    <n v="19"/>
    <n v="0"/>
    <n v="0"/>
    <n v="0"/>
    <n v="0"/>
    <n v="0"/>
    <x v="691"/>
    <x v="628"/>
    <n v="49704"/>
    <x v="132"/>
    <x v="318"/>
    <n v="10"/>
    <n v="50"/>
    <n v="64"/>
  </r>
  <r>
    <x v="0"/>
    <x v="113"/>
    <x v="7"/>
    <x v="2"/>
    <x v="2"/>
    <n v="1.2"/>
    <n v="0"/>
    <n v="0"/>
    <n v="0"/>
    <n v="0"/>
    <n v="0"/>
    <n v="0"/>
    <n v="0"/>
    <x v="628"/>
    <x v="571"/>
    <n v="171823"/>
    <x v="2"/>
    <x v="1"/>
    <n v="2"/>
    <n v="65"/>
    <n v="79"/>
  </r>
  <r>
    <x v="0"/>
    <x v="77"/>
    <x v="0"/>
    <x v="113"/>
    <x v="0"/>
    <n v="0.4"/>
    <n v="2"/>
    <n v="0.5"/>
    <n v="0.2"/>
    <n v="0.3"/>
    <n v="0.3"/>
    <n v="0.8"/>
    <n v="0.9"/>
    <x v="780"/>
    <x v="709"/>
    <n v="1040518"/>
    <x v="1"/>
    <x v="0"/>
    <n v="4"/>
    <n v="999"/>
    <n v="999"/>
  </r>
  <r>
    <x v="1"/>
    <x v="114"/>
    <x v="1"/>
    <x v="119"/>
    <x v="25"/>
    <n v="9.3000000000000007"/>
    <n v="5.8"/>
    <n v="4"/>
    <n v="0"/>
    <n v="0"/>
    <n v="0"/>
    <n v="0"/>
    <n v="0"/>
    <x v="693"/>
    <x v="629"/>
    <n v="246635"/>
    <x v="35"/>
    <x v="5"/>
    <n v="23"/>
    <n v="50"/>
    <n v="64"/>
  </r>
  <r>
    <x v="0"/>
    <x v="136"/>
    <x v="7"/>
    <x v="371"/>
    <x v="460"/>
    <n v="0"/>
    <n v="8.1999999999999993"/>
    <n v="0"/>
    <n v="0"/>
    <n v="0"/>
    <n v="0"/>
    <n v="0"/>
    <n v="0"/>
    <x v="990"/>
    <x v="886"/>
    <n v="0"/>
    <x v="33"/>
    <x v="39"/>
    <n v="0"/>
    <n v="65"/>
    <n v="79"/>
  </r>
  <r>
    <x v="0"/>
    <x v="71"/>
    <x v="7"/>
    <x v="93"/>
    <x v="23"/>
    <n v="0"/>
    <n v="2.8"/>
    <n v="0"/>
    <n v="0"/>
    <n v="0"/>
    <n v="0"/>
    <n v="0"/>
    <n v="0"/>
    <x v="1027"/>
    <x v="915"/>
    <n v="0"/>
    <x v="1"/>
    <x v="0"/>
    <n v="0"/>
    <n v="65"/>
    <n v="79"/>
  </r>
  <r>
    <x v="0"/>
    <x v="56"/>
    <x v="0"/>
    <x v="241"/>
    <x v="19"/>
    <n v="0.1"/>
    <n v="1.2"/>
    <n v="5"/>
    <n v="0.7"/>
    <n v="0.8"/>
    <n v="0.1"/>
    <n v="0.9"/>
    <n v="12.7"/>
    <x v="354"/>
    <x v="331"/>
    <n v="925908"/>
    <x v="45"/>
    <x v="16"/>
    <n v="1"/>
    <n v="999"/>
    <n v="999"/>
  </r>
  <r>
    <x v="1"/>
    <x v="88"/>
    <x v="3"/>
    <x v="341"/>
    <x v="13"/>
    <n v="0"/>
    <n v="16.2"/>
    <n v="0"/>
    <n v="0"/>
    <n v="0"/>
    <n v="0"/>
    <n v="0"/>
    <n v="0"/>
    <x v="627"/>
    <x v="570"/>
    <n v="0"/>
    <x v="134"/>
    <x v="11"/>
    <n v="0"/>
    <n v="18"/>
    <n v="29"/>
  </r>
  <r>
    <x v="0"/>
    <x v="91"/>
    <x v="1"/>
    <x v="2"/>
    <x v="2"/>
    <n v="0.4"/>
    <n v="0"/>
    <n v="0"/>
    <n v="0"/>
    <n v="0"/>
    <n v="0"/>
    <n v="0"/>
    <n v="0"/>
    <x v="822"/>
    <x v="749"/>
    <n v="246658"/>
    <x v="2"/>
    <x v="1"/>
    <n v="1"/>
    <n v="50"/>
    <n v="64"/>
  </r>
  <r>
    <x v="1"/>
    <x v="92"/>
    <x v="7"/>
    <x v="996"/>
    <x v="237"/>
    <n v="11.6"/>
    <n v="1.5"/>
    <n v="1.7"/>
    <n v="0"/>
    <n v="0"/>
    <n v="0"/>
    <n v="0"/>
    <n v="0"/>
    <x v="130"/>
    <x v="129"/>
    <n v="171716"/>
    <x v="33"/>
    <x v="48"/>
    <n v="20"/>
    <n v="65"/>
    <n v="79"/>
  </r>
  <r>
    <x v="0"/>
    <x v="18"/>
    <x v="3"/>
    <x v="2"/>
    <x v="2"/>
    <n v="0"/>
    <n v="0"/>
    <n v="0"/>
    <n v="0"/>
    <n v="0"/>
    <n v="0"/>
    <n v="0"/>
    <n v="0"/>
    <x v="173"/>
    <x v="170"/>
    <n v="153584"/>
    <x v="2"/>
    <x v="1"/>
    <n v="0"/>
    <n v="18"/>
    <n v="29"/>
  </r>
  <r>
    <x v="0"/>
    <x v="114"/>
    <x v="0"/>
    <x v="113"/>
    <x v="82"/>
    <n v="0.2"/>
    <n v="1"/>
    <n v="1"/>
    <n v="0.2"/>
    <n v="0.3"/>
    <n v="0.1"/>
    <n v="0.6"/>
    <n v="1.7"/>
    <x v="199"/>
    <x v="193"/>
    <n v="1038858"/>
    <x v="1"/>
    <x v="11"/>
    <n v="2"/>
    <n v="999"/>
    <n v="999"/>
  </r>
  <r>
    <x v="2"/>
    <x v="25"/>
    <x v="0"/>
    <x v="997"/>
    <x v="679"/>
    <n v="215.3"/>
    <n v="1.6"/>
    <n v="1.8"/>
    <n v="410"/>
    <n v="234.2"/>
    <n v="184.4"/>
    <n v="1.8"/>
    <n v="2.2000000000000002"/>
    <x v="1033"/>
    <x v="918"/>
    <n v="779977"/>
    <x v="413"/>
    <x v="319"/>
    <n v="1679"/>
    <n v="999"/>
    <n v="999"/>
  </r>
  <r>
    <x v="1"/>
    <x v="89"/>
    <x v="5"/>
    <x v="976"/>
    <x v="82"/>
    <n v="0"/>
    <n v="23"/>
    <n v="0"/>
    <n v="0"/>
    <n v="0"/>
    <n v="0"/>
    <n v="0"/>
    <n v="0"/>
    <x v="631"/>
    <x v="573"/>
    <n v="0"/>
    <x v="16"/>
    <x v="0"/>
    <n v="0"/>
    <n v="30"/>
    <n v="49"/>
  </r>
  <r>
    <x v="0"/>
    <x v="110"/>
    <x v="4"/>
    <x v="2"/>
    <x v="2"/>
    <n v="0"/>
    <n v="0"/>
    <n v="0"/>
    <n v="0"/>
    <n v="0"/>
    <n v="0"/>
    <n v="0"/>
    <n v="0"/>
    <x v="999"/>
    <x v="893"/>
    <n v="44443"/>
    <x v="2"/>
    <x v="1"/>
    <n v="0"/>
    <n v="12"/>
    <n v="17"/>
  </r>
  <r>
    <x v="2"/>
    <x v="123"/>
    <x v="5"/>
    <x v="326"/>
    <x v="182"/>
    <n v="55.9"/>
    <n v="2.4"/>
    <n v="2"/>
    <n v="0"/>
    <n v="0"/>
    <n v="0"/>
    <n v="0"/>
    <n v="0"/>
    <x v="1034"/>
    <x v="919"/>
    <n v="347269"/>
    <x v="221"/>
    <x v="320"/>
    <n v="194"/>
    <n v="30"/>
    <n v="49"/>
  </r>
  <r>
    <x v="2"/>
    <x v="134"/>
    <x v="7"/>
    <x v="998"/>
    <x v="680"/>
    <n v="231.6"/>
    <n v="1.3"/>
    <n v="1"/>
    <n v="0"/>
    <n v="0"/>
    <n v="0"/>
    <n v="0"/>
    <n v="0"/>
    <x v="1011"/>
    <x v="902"/>
    <n v="164100"/>
    <x v="189"/>
    <x v="234"/>
    <n v="380"/>
    <n v="65"/>
    <n v="79"/>
  </r>
  <r>
    <x v="0"/>
    <x v="88"/>
    <x v="7"/>
    <x v="66"/>
    <x v="145"/>
    <n v="0"/>
    <n v="10.1"/>
    <n v="0"/>
    <n v="0"/>
    <n v="0"/>
    <n v="0"/>
    <n v="0"/>
    <n v="0"/>
    <x v="596"/>
    <x v="545"/>
    <n v="0"/>
    <x v="24"/>
    <x v="39"/>
    <n v="0"/>
    <n v="65"/>
    <n v="79"/>
  </r>
  <r>
    <x v="2"/>
    <x v="102"/>
    <x v="2"/>
    <x v="999"/>
    <x v="681"/>
    <n v="0"/>
    <n v="0.9"/>
    <n v="0"/>
    <n v="0"/>
    <n v="0"/>
    <n v="0"/>
    <n v="0"/>
    <n v="0"/>
    <x v="202"/>
    <x v="195"/>
    <n v="0"/>
    <x v="80"/>
    <x v="61"/>
    <n v="0"/>
    <n v="5"/>
    <n v="11"/>
  </r>
  <r>
    <x v="2"/>
    <x v="62"/>
    <x v="4"/>
    <x v="1000"/>
    <x v="218"/>
    <n v="9"/>
    <n v="4.0999999999999996"/>
    <n v="2.1"/>
    <n v="0"/>
    <n v="0"/>
    <n v="0"/>
    <n v="0"/>
    <n v="0"/>
    <x v="632"/>
    <x v="241"/>
    <n v="44592"/>
    <x v="18"/>
    <x v="16"/>
    <n v="4"/>
    <n v="12"/>
    <n v="17"/>
  </r>
  <r>
    <x v="0"/>
    <x v="33"/>
    <x v="6"/>
    <x v="2"/>
    <x v="2"/>
    <n v="0"/>
    <n v="0"/>
    <n v="0"/>
    <n v="0"/>
    <n v="0"/>
    <n v="0"/>
    <n v="0"/>
    <n v="0"/>
    <x v="758"/>
    <x v="101"/>
    <n v="47130"/>
    <x v="2"/>
    <x v="1"/>
    <n v="0"/>
    <n v="80"/>
    <n v="200"/>
  </r>
  <r>
    <x v="1"/>
    <x v="98"/>
    <x v="3"/>
    <x v="2"/>
    <x v="23"/>
    <n v="0"/>
    <n v="0"/>
    <n v="0"/>
    <n v="0"/>
    <n v="0"/>
    <n v="0"/>
    <n v="0"/>
    <n v="0"/>
    <x v="715"/>
    <x v="113"/>
    <n v="161697"/>
    <x v="2"/>
    <x v="0"/>
    <n v="0"/>
    <n v="18"/>
    <n v="29"/>
  </r>
  <r>
    <x v="0"/>
    <x v="96"/>
    <x v="5"/>
    <x v="2"/>
    <x v="2"/>
    <n v="0"/>
    <n v="0"/>
    <n v="0"/>
    <n v="0"/>
    <n v="0"/>
    <n v="0"/>
    <n v="0"/>
    <n v="0"/>
    <x v="856"/>
    <x v="775"/>
    <n v="347264"/>
    <x v="2"/>
    <x v="1"/>
    <n v="0"/>
    <n v="30"/>
    <n v="49"/>
  </r>
  <r>
    <x v="2"/>
    <x v="24"/>
    <x v="8"/>
    <x v="235"/>
    <x v="13"/>
    <n v="0"/>
    <n v="61.5"/>
    <n v="0"/>
    <n v="0"/>
    <n v="0"/>
    <n v="0"/>
    <n v="0"/>
    <n v="0"/>
    <x v="28"/>
    <x v="28"/>
    <n v="0"/>
    <x v="303"/>
    <x v="0"/>
    <n v="0"/>
    <n v="0"/>
    <n v="4"/>
  </r>
  <r>
    <x v="2"/>
    <x v="1"/>
    <x v="4"/>
    <x v="1001"/>
    <x v="682"/>
    <n v="103.2"/>
    <n v="2.6"/>
    <n v="2.2000000000000002"/>
    <n v="0"/>
    <n v="0"/>
    <n v="0"/>
    <n v="0"/>
    <n v="0"/>
    <x v="972"/>
    <x v="871"/>
    <n v="44553"/>
    <x v="135"/>
    <x v="104"/>
    <n v="46"/>
    <n v="12"/>
    <n v="17"/>
  </r>
  <r>
    <x v="0"/>
    <x v="79"/>
    <x v="8"/>
    <x v="2"/>
    <x v="2"/>
    <n v="0"/>
    <n v="0"/>
    <n v="0"/>
    <n v="0"/>
    <n v="0"/>
    <n v="0"/>
    <n v="0"/>
    <n v="0"/>
    <x v="28"/>
    <x v="28"/>
    <n v="0"/>
    <x v="2"/>
    <x v="1"/>
    <n v="0"/>
    <n v="0"/>
    <n v="4"/>
  </r>
  <r>
    <x v="0"/>
    <x v="73"/>
    <x v="4"/>
    <x v="2"/>
    <x v="2"/>
    <n v="0"/>
    <n v="0"/>
    <n v="0"/>
    <n v="0"/>
    <n v="0"/>
    <n v="0"/>
    <n v="0"/>
    <n v="0"/>
    <x v="819"/>
    <x v="746"/>
    <n v="37326"/>
    <x v="2"/>
    <x v="1"/>
    <n v="0"/>
    <n v="12"/>
    <n v="17"/>
  </r>
  <r>
    <x v="1"/>
    <x v="47"/>
    <x v="5"/>
    <x v="501"/>
    <x v="379"/>
    <n v="4.5999999999999996"/>
    <n v="4.2"/>
    <n v="3.3"/>
    <n v="0"/>
    <n v="0"/>
    <n v="0"/>
    <n v="0"/>
    <n v="0"/>
    <x v="552"/>
    <x v="507"/>
    <n v="347177"/>
    <x v="134"/>
    <x v="17"/>
    <n v="16"/>
    <n v="30"/>
    <n v="49"/>
  </r>
  <r>
    <x v="0"/>
    <x v="6"/>
    <x v="3"/>
    <x v="2"/>
    <x v="2"/>
    <n v="0"/>
    <n v="0"/>
    <n v="0"/>
    <n v="0"/>
    <n v="0"/>
    <n v="0"/>
    <n v="0"/>
    <n v="0"/>
    <x v="265"/>
    <x v="254"/>
    <n v="161406"/>
    <x v="2"/>
    <x v="1"/>
    <n v="0"/>
    <n v="18"/>
    <n v="29"/>
  </r>
  <r>
    <x v="0"/>
    <x v="90"/>
    <x v="0"/>
    <x v="241"/>
    <x v="87"/>
    <n v="0"/>
    <n v="1.7"/>
    <n v="0"/>
    <n v="0.4"/>
    <n v="0.5"/>
    <n v="0"/>
    <n v="0.9"/>
    <n v="0"/>
    <x v="263"/>
    <x v="252"/>
    <n v="969242"/>
    <x v="45"/>
    <x v="39"/>
    <n v="0"/>
    <n v="999"/>
    <n v="999"/>
  </r>
  <r>
    <x v="2"/>
    <x v="139"/>
    <x v="4"/>
    <x v="132"/>
    <x v="17"/>
    <n v="2.2000000000000002"/>
    <n v="2.6"/>
    <n v="1.4"/>
    <n v="0"/>
    <n v="0"/>
    <n v="0"/>
    <n v="0"/>
    <n v="0"/>
    <x v="1035"/>
    <x v="882"/>
    <n v="44587"/>
    <x v="1"/>
    <x v="0"/>
    <n v="1"/>
    <n v="12"/>
    <n v="17"/>
  </r>
  <r>
    <x v="0"/>
    <x v="81"/>
    <x v="3"/>
    <x v="393"/>
    <x v="2"/>
    <n v="0"/>
    <n v="0"/>
    <n v="0"/>
    <n v="0"/>
    <n v="0"/>
    <n v="0"/>
    <n v="0"/>
    <n v="0"/>
    <x v="100"/>
    <x v="99"/>
    <n v="0"/>
    <x v="45"/>
    <x v="1"/>
    <n v="0"/>
    <n v="18"/>
    <n v="29"/>
  </r>
  <r>
    <x v="0"/>
    <x v="26"/>
    <x v="3"/>
    <x v="2"/>
    <x v="2"/>
    <n v="0"/>
    <n v="0"/>
    <n v="0"/>
    <n v="0"/>
    <n v="0"/>
    <n v="0"/>
    <n v="0"/>
    <n v="0"/>
    <x v="1036"/>
    <x v="920"/>
    <n v="161631"/>
    <x v="2"/>
    <x v="1"/>
    <n v="0"/>
    <n v="18"/>
    <n v="29"/>
  </r>
  <r>
    <x v="2"/>
    <x v="123"/>
    <x v="7"/>
    <x v="655"/>
    <x v="156"/>
    <n v="73.400000000000006"/>
    <n v="2.2000000000000002"/>
    <n v="1.6"/>
    <n v="0"/>
    <n v="0"/>
    <n v="0"/>
    <n v="0"/>
    <n v="0"/>
    <x v="261"/>
    <x v="250"/>
    <n v="171710"/>
    <x v="128"/>
    <x v="57"/>
    <n v="126"/>
    <n v="65"/>
    <n v="79"/>
  </r>
  <r>
    <x v="2"/>
    <x v="132"/>
    <x v="5"/>
    <x v="1002"/>
    <x v="683"/>
    <n v="522.20000000000005"/>
    <n v="1.7"/>
    <n v="0.7"/>
    <n v="0"/>
    <n v="0"/>
    <n v="0"/>
    <n v="0"/>
    <n v="0"/>
    <x v="300"/>
    <x v="283"/>
    <n v="332845"/>
    <x v="414"/>
    <x v="321"/>
    <n v="1738"/>
    <n v="30"/>
    <n v="49"/>
  </r>
  <r>
    <x v="2"/>
    <x v="24"/>
    <x v="7"/>
    <x v="254"/>
    <x v="684"/>
    <n v="40.200000000000003"/>
    <n v="1.9"/>
    <n v="1.3"/>
    <n v="0"/>
    <n v="0"/>
    <n v="0"/>
    <n v="0"/>
    <n v="0"/>
    <x v="485"/>
    <x v="449"/>
    <n v="171751"/>
    <x v="46"/>
    <x v="23"/>
    <n v="69"/>
    <n v="65"/>
    <n v="79"/>
  </r>
  <r>
    <x v="2"/>
    <x v="133"/>
    <x v="2"/>
    <x v="170"/>
    <x v="2"/>
    <n v="0"/>
    <n v="0"/>
    <n v="0"/>
    <n v="0"/>
    <n v="0"/>
    <n v="0"/>
    <n v="0"/>
    <n v="0"/>
    <x v="356"/>
    <x v="28"/>
    <n v="0"/>
    <x v="196"/>
    <x v="1"/>
    <n v="0"/>
    <n v="5"/>
    <n v="11"/>
  </r>
  <r>
    <x v="2"/>
    <x v="33"/>
    <x v="8"/>
    <x v="371"/>
    <x v="58"/>
    <n v="0"/>
    <n v="6.8"/>
    <n v="0"/>
    <n v="0"/>
    <n v="0"/>
    <n v="0"/>
    <n v="0"/>
    <n v="0"/>
    <x v="28"/>
    <x v="28"/>
    <n v="0"/>
    <x v="29"/>
    <x v="39"/>
    <n v="0"/>
    <n v="0"/>
    <n v="4"/>
  </r>
  <r>
    <x v="0"/>
    <x v="24"/>
    <x v="7"/>
    <x v="2"/>
    <x v="2"/>
    <n v="0"/>
    <n v="0"/>
    <n v="0"/>
    <n v="0"/>
    <n v="0"/>
    <n v="0"/>
    <n v="0"/>
    <n v="0"/>
    <x v="485"/>
    <x v="449"/>
    <n v="171751"/>
    <x v="2"/>
    <x v="1"/>
    <n v="0"/>
    <n v="65"/>
    <n v="79"/>
  </r>
  <r>
    <x v="0"/>
    <x v="31"/>
    <x v="2"/>
    <x v="2"/>
    <x v="2"/>
    <n v="0"/>
    <n v="0"/>
    <n v="0"/>
    <n v="0"/>
    <n v="0"/>
    <n v="0"/>
    <n v="0"/>
    <n v="0"/>
    <x v="138"/>
    <x v="137"/>
    <n v="7798"/>
    <x v="2"/>
    <x v="1"/>
    <n v="0"/>
    <n v="5"/>
    <n v="11"/>
  </r>
  <r>
    <x v="1"/>
    <x v="83"/>
    <x v="5"/>
    <x v="499"/>
    <x v="116"/>
    <n v="2.1"/>
    <n v="3.3"/>
    <n v="3.3"/>
    <n v="0"/>
    <n v="0"/>
    <n v="0"/>
    <n v="0"/>
    <n v="0"/>
    <x v="1037"/>
    <x v="921"/>
    <n v="331646"/>
    <x v="51"/>
    <x v="48"/>
    <n v="7"/>
    <n v="30"/>
    <n v="49"/>
  </r>
  <r>
    <x v="1"/>
    <x v="45"/>
    <x v="4"/>
    <x v="503"/>
    <x v="2"/>
    <n v="0"/>
    <n v="0"/>
    <n v="0"/>
    <n v="0"/>
    <n v="0"/>
    <n v="0"/>
    <n v="0"/>
    <n v="0"/>
    <x v="974"/>
    <x v="28"/>
    <n v="0"/>
    <x v="64"/>
    <x v="1"/>
    <n v="0"/>
    <n v="12"/>
    <n v="17"/>
  </r>
  <r>
    <x v="0"/>
    <x v="33"/>
    <x v="3"/>
    <x v="2"/>
    <x v="2"/>
    <n v="0"/>
    <n v="0"/>
    <n v="0"/>
    <n v="0"/>
    <n v="0"/>
    <n v="0"/>
    <n v="0"/>
    <n v="0"/>
    <x v="998"/>
    <x v="892"/>
    <n v="161706"/>
    <x v="2"/>
    <x v="1"/>
    <n v="0"/>
    <n v="18"/>
    <n v="29"/>
  </r>
  <r>
    <x v="0"/>
    <x v="118"/>
    <x v="7"/>
    <x v="99"/>
    <x v="2"/>
    <n v="0"/>
    <n v="0"/>
    <n v="0"/>
    <n v="0"/>
    <n v="0"/>
    <n v="0"/>
    <n v="0"/>
    <n v="0"/>
    <x v="1038"/>
    <x v="922"/>
    <n v="157887"/>
    <x v="1"/>
    <x v="1"/>
    <n v="0"/>
    <n v="65"/>
    <n v="79"/>
  </r>
  <r>
    <x v="1"/>
    <x v="87"/>
    <x v="4"/>
    <x v="2"/>
    <x v="2"/>
    <n v="0"/>
    <n v="0"/>
    <n v="0"/>
    <n v="0"/>
    <n v="0"/>
    <n v="0"/>
    <n v="0"/>
    <n v="0"/>
    <x v="458"/>
    <x v="424"/>
    <n v="0"/>
    <x v="2"/>
    <x v="1"/>
    <n v="0"/>
    <n v="12"/>
    <n v="17"/>
  </r>
  <r>
    <x v="0"/>
    <x v="28"/>
    <x v="1"/>
    <x v="103"/>
    <x v="2"/>
    <n v="0.4"/>
    <n v="0"/>
    <n v="7.5"/>
    <n v="0"/>
    <n v="0"/>
    <n v="0"/>
    <n v="0"/>
    <n v="0"/>
    <x v="306"/>
    <x v="289"/>
    <n v="246874"/>
    <x v="1"/>
    <x v="1"/>
    <n v="1"/>
    <n v="50"/>
    <n v="64"/>
  </r>
  <r>
    <x v="2"/>
    <x v="127"/>
    <x v="4"/>
    <x v="1003"/>
    <x v="685"/>
    <n v="735.7"/>
    <n v="1.5"/>
    <n v="1.8"/>
    <n v="0"/>
    <n v="0"/>
    <n v="0"/>
    <n v="0"/>
    <n v="0"/>
    <x v="708"/>
    <x v="644"/>
    <n v="5029"/>
    <x v="415"/>
    <x v="322"/>
    <n v="37"/>
    <n v="12"/>
    <n v="17"/>
  </r>
  <r>
    <x v="1"/>
    <x v="13"/>
    <x v="2"/>
    <x v="8"/>
    <x v="2"/>
    <n v="0"/>
    <n v="0"/>
    <n v="0"/>
    <n v="0"/>
    <n v="0"/>
    <n v="0"/>
    <n v="0"/>
    <n v="0"/>
    <x v="724"/>
    <x v="657"/>
    <n v="0"/>
    <x v="20"/>
    <x v="1"/>
    <n v="0"/>
    <n v="5"/>
    <n v="11"/>
  </r>
  <r>
    <x v="2"/>
    <x v="68"/>
    <x v="6"/>
    <x v="119"/>
    <x v="686"/>
    <n v="87"/>
    <n v="0.5"/>
    <n v="0.4"/>
    <n v="0"/>
    <n v="0"/>
    <n v="0"/>
    <n v="0"/>
    <n v="0"/>
    <x v="1039"/>
    <x v="923"/>
    <n v="43669"/>
    <x v="24"/>
    <x v="17"/>
    <n v="38"/>
    <n v="80"/>
    <n v="200"/>
  </r>
  <r>
    <x v="2"/>
    <x v="108"/>
    <x v="0"/>
    <x v="1004"/>
    <x v="687"/>
    <n v="93.9"/>
    <n v="1.7"/>
    <n v="1.4"/>
    <n v="149.6"/>
    <n v="78.2"/>
    <n v="92.7"/>
    <n v="1.9"/>
    <n v="1.6"/>
    <x v="969"/>
    <x v="869"/>
    <n v="1040368"/>
    <x v="416"/>
    <x v="140"/>
    <n v="977"/>
    <n v="999"/>
    <n v="999"/>
  </r>
  <r>
    <x v="0"/>
    <x v="60"/>
    <x v="3"/>
    <x v="212"/>
    <x v="2"/>
    <n v="0"/>
    <n v="0"/>
    <n v="0"/>
    <n v="0"/>
    <n v="0"/>
    <n v="0"/>
    <n v="0"/>
    <n v="0"/>
    <x v="128"/>
    <x v="127"/>
    <n v="122651"/>
    <x v="1"/>
    <x v="1"/>
    <n v="0"/>
    <n v="18"/>
    <n v="29"/>
  </r>
  <r>
    <x v="1"/>
    <x v="90"/>
    <x v="3"/>
    <x v="47"/>
    <x v="58"/>
    <n v="0.7"/>
    <n v="5.2"/>
    <n v="13.4"/>
    <n v="0"/>
    <n v="0"/>
    <n v="0"/>
    <n v="0"/>
    <n v="0"/>
    <x v="1040"/>
    <x v="924"/>
    <n v="152861"/>
    <x v="51"/>
    <x v="16"/>
    <n v="1"/>
    <n v="18"/>
    <n v="29"/>
  </r>
  <r>
    <x v="2"/>
    <x v="58"/>
    <x v="1"/>
    <x v="1005"/>
    <x v="688"/>
    <n v="122.8"/>
    <n v="3"/>
    <n v="2.2000000000000002"/>
    <n v="0"/>
    <n v="0"/>
    <n v="0"/>
    <n v="0"/>
    <n v="0"/>
    <x v="1041"/>
    <x v="925"/>
    <n v="246713"/>
    <x v="281"/>
    <x v="92"/>
    <n v="303"/>
    <n v="50"/>
    <n v="64"/>
  </r>
  <r>
    <x v="0"/>
    <x v="60"/>
    <x v="4"/>
    <x v="2"/>
    <x v="2"/>
    <n v="0"/>
    <n v="0"/>
    <n v="0"/>
    <n v="0"/>
    <n v="0"/>
    <n v="0"/>
    <n v="0"/>
    <n v="0"/>
    <x v="643"/>
    <x v="584"/>
    <n v="18212"/>
    <x v="2"/>
    <x v="1"/>
    <n v="0"/>
    <n v="12"/>
    <n v="17"/>
  </r>
  <r>
    <x v="1"/>
    <x v="38"/>
    <x v="3"/>
    <x v="82"/>
    <x v="23"/>
    <n v="0.6"/>
    <n v="8.1999999999999993"/>
    <n v="6.8"/>
    <n v="0"/>
    <n v="0"/>
    <n v="0"/>
    <n v="0"/>
    <n v="0"/>
    <x v="713"/>
    <x v="376"/>
    <n v="161722"/>
    <x v="45"/>
    <x v="0"/>
    <n v="1"/>
    <n v="18"/>
    <n v="29"/>
  </r>
  <r>
    <x v="2"/>
    <x v="66"/>
    <x v="4"/>
    <x v="1006"/>
    <x v="689"/>
    <n v="0"/>
    <n v="9.6999999999999993"/>
    <n v="0"/>
    <n v="0"/>
    <n v="0"/>
    <n v="0"/>
    <n v="0"/>
    <n v="0"/>
    <x v="690"/>
    <x v="627"/>
    <n v="0"/>
    <x v="271"/>
    <x v="265"/>
    <n v="0"/>
    <n v="12"/>
    <n v="17"/>
  </r>
  <r>
    <x v="2"/>
    <x v="76"/>
    <x v="6"/>
    <x v="1007"/>
    <x v="66"/>
    <n v="29.7"/>
    <n v="2.2999999999999998"/>
    <n v="1.4"/>
    <n v="0"/>
    <n v="0"/>
    <n v="0"/>
    <n v="0"/>
    <n v="0"/>
    <x v="1007"/>
    <x v="97"/>
    <n v="47129"/>
    <x v="24"/>
    <x v="11"/>
    <n v="14"/>
    <n v="80"/>
    <n v="200"/>
  </r>
  <r>
    <x v="2"/>
    <x v="133"/>
    <x v="4"/>
    <x v="327"/>
    <x v="2"/>
    <n v="0"/>
    <n v="0"/>
    <n v="0"/>
    <n v="0"/>
    <n v="0"/>
    <n v="0"/>
    <n v="0"/>
    <n v="0"/>
    <x v="781"/>
    <x v="28"/>
    <n v="0"/>
    <x v="417"/>
    <x v="1"/>
    <n v="0"/>
    <n v="12"/>
    <n v="17"/>
  </r>
  <r>
    <x v="1"/>
    <x v="113"/>
    <x v="4"/>
    <x v="2"/>
    <x v="2"/>
    <n v="0"/>
    <n v="0"/>
    <n v="0"/>
    <n v="0"/>
    <n v="0"/>
    <n v="0"/>
    <n v="0"/>
    <n v="0"/>
    <x v="867"/>
    <x v="785"/>
    <n v="44601"/>
    <x v="2"/>
    <x v="1"/>
    <n v="0"/>
    <n v="12"/>
    <n v="17"/>
  </r>
  <r>
    <x v="2"/>
    <x v="53"/>
    <x v="7"/>
    <x v="1008"/>
    <x v="237"/>
    <n v="30.3"/>
    <n v="1.8"/>
    <n v="0.8"/>
    <n v="0"/>
    <n v="0"/>
    <n v="0"/>
    <n v="0"/>
    <n v="0"/>
    <x v="931"/>
    <x v="836"/>
    <n v="171730"/>
    <x v="24"/>
    <x v="48"/>
    <n v="52"/>
    <n v="65"/>
    <n v="79"/>
  </r>
  <r>
    <x v="1"/>
    <x v="97"/>
    <x v="7"/>
    <x v="144"/>
    <x v="27"/>
    <n v="4"/>
    <n v="3.1"/>
    <n v="32.299999999999997"/>
    <n v="0"/>
    <n v="0"/>
    <n v="0"/>
    <n v="0"/>
    <n v="0"/>
    <x v="842"/>
    <x v="762"/>
    <n v="100914"/>
    <x v="4"/>
    <x v="61"/>
    <n v="4"/>
    <n v="65"/>
    <n v="79"/>
  </r>
  <r>
    <x v="0"/>
    <x v="72"/>
    <x v="0"/>
    <x v="113"/>
    <x v="2"/>
    <n v="0"/>
    <n v="0"/>
    <n v="0"/>
    <n v="0.1"/>
    <n v="0"/>
    <n v="0"/>
    <n v="0"/>
    <n v="0"/>
    <x v="848"/>
    <x v="350"/>
    <n v="1040648"/>
    <x v="1"/>
    <x v="1"/>
    <n v="0"/>
    <n v="999"/>
    <n v="999"/>
  </r>
  <r>
    <x v="2"/>
    <x v="20"/>
    <x v="7"/>
    <x v="557"/>
    <x v="690"/>
    <n v="0"/>
    <n v="2.2000000000000002"/>
    <n v="0"/>
    <n v="0"/>
    <n v="0"/>
    <n v="0"/>
    <n v="0"/>
    <n v="0"/>
    <x v="22"/>
    <x v="22"/>
    <n v="0"/>
    <x v="211"/>
    <x v="100"/>
    <n v="0"/>
    <n v="65"/>
    <n v="79"/>
  </r>
  <r>
    <x v="2"/>
    <x v="134"/>
    <x v="4"/>
    <x v="1009"/>
    <x v="691"/>
    <n v="394.6"/>
    <n v="1.9"/>
    <n v="1.2"/>
    <n v="0"/>
    <n v="0"/>
    <n v="0"/>
    <n v="0"/>
    <n v="0"/>
    <x v="1042"/>
    <x v="926"/>
    <n v="34462"/>
    <x v="352"/>
    <x v="93"/>
    <n v="136"/>
    <n v="12"/>
    <n v="17"/>
  </r>
  <r>
    <x v="0"/>
    <x v="76"/>
    <x v="4"/>
    <x v="2"/>
    <x v="2"/>
    <n v="0"/>
    <n v="0"/>
    <n v="0"/>
    <n v="0"/>
    <n v="0"/>
    <n v="0"/>
    <n v="0"/>
    <n v="0"/>
    <x v="843"/>
    <x v="764"/>
    <n v="44580"/>
    <x v="2"/>
    <x v="1"/>
    <n v="0"/>
    <n v="12"/>
    <n v="17"/>
  </r>
  <r>
    <x v="2"/>
    <x v="117"/>
    <x v="6"/>
    <x v="801"/>
    <x v="692"/>
    <n v="125.4"/>
    <n v="0.8"/>
    <n v="0.9"/>
    <n v="0"/>
    <n v="0"/>
    <n v="0"/>
    <n v="0"/>
    <n v="0"/>
    <x v="957"/>
    <x v="325"/>
    <n v="47037"/>
    <x v="31"/>
    <x v="75"/>
    <n v="59"/>
    <n v="80"/>
    <n v="200"/>
  </r>
  <r>
    <x v="2"/>
    <x v="98"/>
    <x v="2"/>
    <x v="155"/>
    <x v="475"/>
    <n v="4.7"/>
    <n v="0.7"/>
    <n v="0.9"/>
    <n v="0"/>
    <n v="0"/>
    <n v="0"/>
    <n v="0"/>
    <n v="0"/>
    <x v="858"/>
    <x v="142"/>
    <n v="21245"/>
    <x v="20"/>
    <x v="21"/>
    <n v="1"/>
    <n v="5"/>
    <n v="11"/>
  </r>
  <r>
    <x v="1"/>
    <x v="47"/>
    <x v="2"/>
    <x v="417"/>
    <x v="2"/>
    <n v="4.7"/>
    <n v="0"/>
    <n v="0.7"/>
    <n v="0"/>
    <n v="0"/>
    <n v="0"/>
    <n v="0"/>
    <n v="0"/>
    <x v="657"/>
    <x v="598"/>
    <n v="21142"/>
    <x v="45"/>
    <x v="1"/>
    <n v="1"/>
    <n v="5"/>
    <n v="11"/>
  </r>
  <r>
    <x v="2"/>
    <x v="32"/>
    <x v="0"/>
    <x v="667"/>
    <x v="693"/>
    <n v="115.9"/>
    <n v="2.1"/>
    <n v="1.2"/>
    <n v="179"/>
    <n v="70.900000000000006"/>
    <n v="94.4"/>
    <n v="2.5"/>
    <n v="1.9"/>
    <x v="108"/>
    <x v="107"/>
    <n v="1039743"/>
    <x v="418"/>
    <x v="323"/>
    <n v="1205"/>
    <n v="999"/>
    <n v="999"/>
  </r>
  <r>
    <x v="2"/>
    <x v="94"/>
    <x v="5"/>
    <x v="1010"/>
    <x v="694"/>
    <n v="72.599999999999994"/>
    <n v="2.2999999999999998"/>
    <n v="1.8"/>
    <n v="0"/>
    <n v="0"/>
    <n v="0"/>
    <n v="0"/>
    <n v="0"/>
    <x v="257"/>
    <x v="246"/>
    <n v="347231"/>
    <x v="110"/>
    <x v="324"/>
    <n v="252"/>
    <n v="30"/>
    <n v="49"/>
  </r>
  <r>
    <x v="1"/>
    <x v="83"/>
    <x v="2"/>
    <x v="2"/>
    <x v="73"/>
    <n v="0"/>
    <n v="0"/>
    <n v="0"/>
    <n v="0"/>
    <n v="0"/>
    <n v="0"/>
    <n v="0"/>
    <n v="0"/>
    <x v="895"/>
    <x v="806"/>
    <n v="0"/>
    <x v="2"/>
    <x v="0"/>
    <n v="0"/>
    <n v="5"/>
    <n v="11"/>
  </r>
  <r>
    <x v="1"/>
    <x v="72"/>
    <x v="5"/>
    <x v="976"/>
    <x v="19"/>
    <n v="0.9"/>
    <n v="11.5"/>
    <n v="5.0999999999999996"/>
    <n v="0"/>
    <n v="0"/>
    <n v="0"/>
    <n v="0"/>
    <n v="0"/>
    <x v="970"/>
    <x v="197"/>
    <n v="347295"/>
    <x v="13"/>
    <x v="0"/>
    <n v="3"/>
    <n v="30"/>
    <n v="49"/>
  </r>
  <r>
    <x v="1"/>
    <x v="39"/>
    <x v="4"/>
    <x v="372"/>
    <x v="2"/>
    <n v="0"/>
    <n v="0"/>
    <n v="0"/>
    <n v="0"/>
    <n v="0"/>
    <n v="0"/>
    <n v="0"/>
    <n v="0"/>
    <x v="624"/>
    <x v="568"/>
    <n v="44459"/>
    <x v="0"/>
    <x v="1"/>
    <n v="0"/>
    <n v="12"/>
    <n v="17"/>
  </r>
  <r>
    <x v="0"/>
    <x v="72"/>
    <x v="3"/>
    <x v="2"/>
    <x v="2"/>
    <n v="0"/>
    <n v="0"/>
    <n v="0"/>
    <n v="0"/>
    <n v="0"/>
    <n v="0"/>
    <n v="0"/>
    <n v="0"/>
    <x v="267"/>
    <x v="113"/>
    <n v="161690"/>
    <x v="2"/>
    <x v="1"/>
    <n v="0"/>
    <n v="18"/>
    <n v="29"/>
  </r>
  <r>
    <x v="1"/>
    <x v="103"/>
    <x v="3"/>
    <x v="234"/>
    <x v="19"/>
    <n v="0"/>
    <n v="5.8"/>
    <n v="0"/>
    <n v="0"/>
    <n v="0"/>
    <n v="0"/>
    <n v="0"/>
    <n v="0"/>
    <x v="339"/>
    <x v="317"/>
    <n v="0"/>
    <x v="13"/>
    <x v="0"/>
    <n v="0"/>
    <n v="18"/>
    <n v="29"/>
  </r>
  <r>
    <x v="0"/>
    <x v="130"/>
    <x v="6"/>
    <x v="1011"/>
    <x v="4"/>
    <n v="0"/>
    <n v="8.3000000000000007"/>
    <n v="0"/>
    <n v="0"/>
    <n v="0"/>
    <n v="0"/>
    <n v="0"/>
    <n v="0"/>
    <x v="532"/>
    <x v="487"/>
    <n v="0"/>
    <x v="24"/>
    <x v="11"/>
    <n v="0"/>
    <n v="80"/>
    <n v="200"/>
  </r>
  <r>
    <x v="1"/>
    <x v="64"/>
    <x v="2"/>
    <x v="2"/>
    <x v="2"/>
    <n v="0"/>
    <n v="0"/>
    <n v="0"/>
    <n v="0"/>
    <n v="0"/>
    <n v="0"/>
    <n v="0"/>
    <n v="0"/>
    <x v="229"/>
    <x v="219"/>
    <n v="21236"/>
    <x v="2"/>
    <x v="1"/>
    <n v="0"/>
    <n v="5"/>
    <n v="11"/>
  </r>
  <r>
    <x v="2"/>
    <x v="64"/>
    <x v="8"/>
    <x v="903"/>
    <x v="36"/>
    <n v="0"/>
    <n v="11.6"/>
    <n v="0"/>
    <n v="0"/>
    <n v="0"/>
    <n v="0"/>
    <n v="0"/>
    <n v="0"/>
    <x v="28"/>
    <x v="28"/>
    <n v="0"/>
    <x v="80"/>
    <x v="16"/>
    <n v="0"/>
    <n v="0"/>
    <n v="4"/>
  </r>
  <r>
    <x v="2"/>
    <x v="49"/>
    <x v="5"/>
    <x v="704"/>
    <x v="94"/>
    <n v="36.6"/>
    <n v="2.5"/>
    <n v="1.5"/>
    <n v="0"/>
    <n v="0"/>
    <n v="0"/>
    <n v="0"/>
    <n v="0"/>
    <x v="1043"/>
    <x v="799"/>
    <n v="347317"/>
    <x v="76"/>
    <x v="98"/>
    <n v="127"/>
    <n v="30"/>
    <n v="49"/>
  </r>
  <r>
    <x v="2"/>
    <x v="80"/>
    <x v="1"/>
    <x v="1012"/>
    <x v="695"/>
    <n v="182.2"/>
    <n v="2.4"/>
    <n v="1.3"/>
    <n v="0"/>
    <n v="0"/>
    <n v="0"/>
    <n v="0"/>
    <n v="0"/>
    <x v="525"/>
    <x v="480"/>
    <n v="232184"/>
    <x v="215"/>
    <x v="239"/>
    <n v="423"/>
    <n v="50"/>
    <n v="64"/>
  </r>
  <r>
    <x v="1"/>
    <x v="18"/>
    <x v="7"/>
    <x v="1013"/>
    <x v="610"/>
    <n v="15.7"/>
    <n v="3.8"/>
    <n v="2"/>
    <n v="0"/>
    <n v="0"/>
    <n v="0"/>
    <n v="0"/>
    <n v="0"/>
    <x v="1044"/>
    <x v="927"/>
    <n v="165480"/>
    <x v="36"/>
    <x v="16"/>
    <n v="26"/>
    <n v="65"/>
    <n v="79"/>
  </r>
  <r>
    <x v="1"/>
    <x v="134"/>
    <x v="6"/>
    <x v="1014"/>
    <x v="696"/>
    <n v="75.8"/>
    <n v="0.8"/>
    <n v="0.8"/>
    <n v="0"/>
    <n v="0"/>
    <n v="0"/>
    <n v="0"/>
    <n v="0"/>
    <x v="399"/>
    <x v="373"/>
    <n v="44830"/>
    <x v="91"/>
    <x v="17"/>
    <n v="34"/>
    <n v="80"/>
    <n v="200"/>
  </r>
  <r>
    <x v="1"/>
    <x v="19"/>
    <x v="3"/>
    <x v="820"/>
    <x v="125"/>
    <n v="3.1"/>
    <n v="4"/>
    <n v="3.6"/>
    <n v="0"/>
    <n v="0"/>
    <n v="0"/>
    <n v="0"/>
    <n v="0"/>
    <x v="778"/>
    <x v="707"/>
    <n v="161600"/>
    <x v="51"/>
    <x v="48"/>
    <n v="5"/>
    <n v="18"/>
    <n v="29"/>
  </r>
  <r>
    <x v="0"/>
    <x v="88"/>
    <x v="4"/>
    <x v="2"/>
    <x v="2"/>
    <n v="0"/>
    <n v="0"/>
    <n v="0"/>
    <n v="0"/>
    <n v="0"/>
    <n v="0"/>
    <n v="0"/>
    <n v="0"/>
    <x v="869"/>
    <x v="787"/>
    <n v="0"/>
    <x v="2"/>
    <x v="1"/>
    <n v="0"/>
    <n v="12"/>
    <n v="17"/>
  </r>
  <r>
    <x v="2"/>
    <x v="69"/>
    <x v="7"/>
    <x v="1015"/>
    <x v="697"/>
    <n v="52.3"/>
    <n v="1.7"/>
    <n v="1.3"/>
    <n v="0"/>
    <n v="0"/>
    <n v="0"/>
    <n v="0"/>
    <n v="0"/>
    <x v="773"/>
    <x v="702"/>
    <n v="153089"/>
    <x v="118"/>
    <x v="57"/>
    <n v="80"/>
    <n v="65"/>
    <n v="79"/>
  </r>
  <r>
    <x v="2"/>
    <x v="129"/>
    <x v="6"/>
    <x v="281"/>
    <x v="96"/>
    <n v="19.100000000000001"/>
    <n v="0.5"/>
    <n v="0.6"/>
    <n v="0"/>
    <n v="0"/>
    <n v="0"/>
    <n v="0"/>
    <n v="0"/>
    <x v="332"/>
    <x v="101"/>
    <n v="47130"/>
    <x v="45"/>
    <x v="39"/>
    <n v="9"/>
    <n v="80"/>
    <n v="200"/>
  </r>
  <r>
    <x v="1"/>
    <x v="16"/>
    <x v="7"/>
    <x v="1016"/>
    <x v="698"/>
    <n v="28.9"/>
    <n v="1.9"/>
    <n v="12.7"/>
    <n v="0"/>
    <n v="0"/>
    <n v="0"/>
    <n v="0"/>
    <n v="0"/>
    <x v="475"/>
    <x v="439"/>
    <n v="127818"/>
    <x v="419"/>
    <x v="325"/>
    <n v="37"/>
    <n v="65"/>
    <n v="79"/>
  </r>
  <r>
    <x v="1"/>
    <x v="112"/>
    <x v="0"/>
    <x v="7"/>
    <x v="519"/>
    <n v="0"/>
    <n v="10.1"/>
    <n v="0"/>
    <n v="22.8"/>
    <n v="1.1000000000000001"/>
    <n v="0"/>
    <n v="19.899999999999999"/>
    <n v="0"/>
    <x v="851"/>
    <x v="771"/>
    <n v="0"/>
    <x v="412"/>
    <x v="28"/>
    <n v="0"/>
    <n v="999"/>
    <n v="999"/>
  </r>
  <r>
    <x v="0"/>
    <x v="127"/>
    <x v="7"/>
    <x v="1017"/>
    <x v="615"/>
    <n v="8"/>
    <n v="3.9"/>
    <n v="10.6"/>
    <n v="0"/>
    <n v="0"/>
    <n v="0"/>
    <n v="0"/>
    <n v="0"/>
    <x v="362"/>
    <x v="338"/>
    <n v="137780"/>
    <x v="44"/>
    <x v="75"/>
    <n v="11"/>
    <n v="65"/>
    <n v="79"/>
  </r>
  <r>
    <x v="0"/>
    <x v="14"/>
    <x v="0"/>
    <x v="75"/>
    <x v="0"/>
    <n v="0"/>
    <n v="22"/>
    <n v="0"/>
    <n v="3.3"/>
    <n v="0.1"/>
    <n v="0"/>
    <n v="46.5"/>
    <n v="0"/>
    <x v="14"/>
    <x v="14"/>
    <n v="0"/>
    <x v="31"/>
    <x v="0"/>
    <n v="0"/>
    <n v="999"/>
    <n v="999"/>
  </r>
  <r>
    <x v="0"/>
    <x v="62"/>
    <x v="8"/>
    <x v="2"/>
    <x v="2"/>
    <n v="0"/>
    <n v="0"/>
    <n v="0"/>
    <n v="0"/>
    <n v="0"/>
    <n v="0"/>
    <n v="0"/>
    <n v="0"/>
    <x v="28"/>
    <x v="28"/>
    <n v="0"/>
    <x v="2"/>
    <x v="1"/>
    <n v="0"/>
    <n v="0"/>
    <n v="4"/>
  </r>
  <r>
    <x v="0"/>
    <x v="24"/>
    <x v="4"/>
    <x v="2"/>
    <x v="2"/>
    <n v="0"/>
    <n v="0"/>
    <n v="0"/>
    <n v="0"/>
    <n v="0"/>
    <n v="0"/>
    <n v="0"/>
    <n v="0"/>
    <x v="991"/>
    <x v="241"/>
    <n v="44592"/>
    <x v="2"/>
    <x v="1"/>
    <n v="0"/>
    <n v="12"/>
    <n v="17"/>
  </r>
  <r>
    <x v="1"/>
    <x v="95"/>
    <x v="7"/>
    <x v="1018"/>
    <x v="94"/>
    <n v="19.600000000000001"/>
    <n v="2"/>
    <n v="2.2000000000000002"/>
    <n v="0"/>
    <n v="0"/>
    <n v="0"/>
    <n v="0"/>
    <n v="0"/>
    <x v="1045"/>
    <x v="928"/>
    <n v="168311"/>
    <x v="29"/>
    <x v="17"/>
    <n v="33"/>
    <n v="65"/>
    <n v="79"/>
  </r>
  <r>
    <x v="2"/>
    <x v="104"/>
    <x v="4"/>
    <x v="1019"/>
    <x v="699"/>
    <n v="0"/>
    <n v="7.1"/>
    <n v="0"/>
    <n v="0"/>
    <n v="0"/>
    <n v="0"/>
    <n v="0"/>
    <n v="0"/>
    <x v="760"/>
    <x v="689"/>
    <n v="0"/>
    <x v="144"/>
    <x v="34"/>
    <n v="0"/>
    <n v="12"/>
    <n v="17"/>
  </r>
  <r>
    <x v="0"/>
    <x v="53"/>
    <x v="5"/>
    <x v="2"/>
    <x v="2"/>
    <n v="0"/>
    <n v="0"/>
    <n v="0"/>
    <n v="0"/>
    <n v="0"/>
    <n v="0"/>
    <n v="0"/>
    <n v="0"/>
    <x v="1046"/>
    <x v="197"/>
    <n v="347299"/>
    <x v="2"/>
    <x v="1"/>
    <n v="0"/>
    <n v="30"/>
    <n v="49"/>
  </r>
  <r>
    <x v="0"/>
    <x v="24"/>
    <x v="0"/>
    <x v="2"/>
    <x v="2"/>
    <n v="0"/>
    <n v="0"/>
    <n v="0"/>
    <n v="0"/>
    <n v="0"/>
    <n v="0"/>
    <n v="0"/>
    <n v="0"/>
    <x v="783"/>
    <x v="710"/>
    <n v="1040782"/>
    <x v="2"/>
    <x v="1"/>
    <n v="0"/>
    <n v="999"/>
    <n v="999"/>
  </r>
  <r>
    <x v="0"/>
    <x v="15"/>
    <x v="3"/>
    <x v="2"/>
    <x v="2"/>
    <n v="0"/>
    <n v="0"/>
    <n v="0"/>
    <n v="0"/>
    <n v="0"/>
    <n v="0"/>
    <n v="0"/>
    <n v="0"/>
    <x v="1047"/>
    <x v="929"/>
    <n v="159858"/>
    <x v="2"/>
    <x v="1"/>
    <n v="0"/>
    <n v="18"/>
    <n v="29"/>
  </r>
  <r>
    <x v="0"/>
    <x v="37"/>
    <x v="8"/>
    <x v="2"/>
    <x v="2"/>
    <n v="0"/>
    <n v="0"/>
    <n v="0"/>
    <n v="0"/>
    <n v="0"/>
    <n v="0"/>
    <n v="0"/>
    <n v="0"/>
    <x v="28"/>
    <x v="28"/>
    <n v="0"/>
    <x v="2"/>
    <x v="1"/>
    <n v="0"/>
    <n v="0"/>
    <n v="4"/>
  </r>
  <r>
    <x v="1"/>
    <x v="99"/>
    <x v="2"/>
    <x v="2"/>
    <x v="2"/>
    <n v="0"/>
    <n v="0"/>
    <n v="0"/>
    <n v="0"/>
    <n v="0"/>
    <n v="0"/>
    <n v="0"/>
    <n v="0"/>
    <x v="493"/>
    <x v="456"/>
    <n v="0"/>
    <x v="2"/>
    <x v="1"/>
    <n v="0"/>
    <n v="5"/>
    <n v="11"/>
  </r>
  <r>
    <x v="2"/>
    <x v="110"/>
    <x v="7"/>
    <x v="934"/>
    <x v="24"/>
    <n v="112"/>
    <n v="0.6"/>
    <n v="0.6"/>
    <n v="0"/>
    <n v="0"/>
    <n v="0"/>
    <n v="0"/>
    <n v="0"/>
    <x v="323"/>
    <x v="67"/>
    <n v="171395"/>
    <x v="182"/>
    <x v="18"/>
    <n v="192"/>
    <n v="65"/>
    <n v="79"/>
  </r>
  <r>
    <x v="2"/>
    <x v="3"/>
    <x v="2"/>
    <x v="1020"/>
    <x v="2"/>
    <n v="0"/>
    <n v="0"/>
    <n v="0"/>
    <n v="0"/>
    <n v="0"/>
    <n v="0"/>
    <n v="0"/>
    <n v="0"/>
    <x v="3"/>
    <x v="3"/>
    <n v="0"/>
    <x v="420"/>
    <x v="1"/>
    <n v="0"/>
    <n v="5"/>
    <n v="11"/>
  </r>
  <r>
    <x v="1"/>
    <x v="79"/>
    <x v="0"/>
    <x v="41"/>
    <x v="38"/>
    <n v="2.9"/>
    <n v="7"/>
    <n v="1.7"/>
    <n v="6"/>
    <n v="1"/>
    <n v="1.9"/>
    <n v="6.2"/>
    <n v="3.2"/>
    <x v="934"/>
    <x v="838"/>
    <n v="1040655"/>
    <x v="17"/>
    <x v="48"/>
    <n v="30"/>
    <n v="999"/>
    <n v="999"/>
  </r>
  <r>
    <x v="1"/>
    <x v="45"/>
    <x v="0"/>
    <x v="641"/>
    <x v="162"/>
    <n v="0"/>
    <n v="7.1"/>
    <n v="0"/>
    <n v="27.3"/>
    <n v="1.8"/>
    <n v="0"/>
    <n v="15.3"/>
    <n v="0"/>
    <x v="44"/>
    <x v="44"/>
    <n v="0"/>
    <x v="79"/>
    <x v="59"/>
    <n v="0"/>
    <n v="999"/>
    <n v="999"/>
  </r>
  <r>
    <x v="2"/>
    <x v="95"/>
    <x v="7"/>
    <x v="1021"/>
    <x v="700"/>
    <n v="236.5"/>
    <n v="1.2"/>
    <n v="1"/>
    <n v="0"/>
    <n v="0"/>
    <n v="0"/>
    <n v="0"/>
    <n v="0"/>
    <x v="1045"/>
    <x v="928"/>
    <n v="168311"/>
    <x v="215"/>
    <x v="178"/>
    <n v="398"/>
    <n v="65"/>
    <n v="79"/>
  </r>
  <r>
    <x v="0"/>
    <x v="57"/>
    <x v="7"/>
    <x v="472"/>
    <x v="13"/>
    <n v="0"/>
    <n v="11.3"/>
    <n v="0"/>
    <n v="0"/>
    <n v="0"/>
    <n v="0"/>
    <n v="0"/>
    <n v="0"/>
    <x v="706"/>
    <x v="642"/>
    <n v="32952"/>
    <x v="20"/>
    <x v="0"/>
    <n v="0"/>
    <n v="65"/>
    <n v="79"/>
  </r>
  <r>
    <x v="1"/>
    <x v="17"/>
    <x v="8"/>
    <x v="2"/>
    <x v="2"/>
    <n v="0"/>
    <n v="0"/>
    <n v="0"/>
    <n v="0"/>
    <n v="0"/>
    <n v="0"/>
    <n v="0"/>
    <n v="0"/>
    <x v="28"/>
    <x v="28"/>
    <n v="0"/>
    <x v="2"/>
    <x v="1"/>
    <n v="0"/>
    <n v="0"/>
    <n v="4"/>
  </r>
  <r>
    <x v="2"/>
    <x v="57"/>
    <x v="5"/>
    <x v="1022"/>
    <x v="701"/>
    <n v="49.6"/>
    <n v="2.8"/>
    <n v="3.9"/>
    <n v="0"/>
    <n v="0"/>
    <n v="0"/>
    <n v="0"/>
    <n v="0"/>
    <x v="1048"/>
    <x v="930"/>
    <n v="24199"/>
    <x v="266"/>
    <x v="326"/>
    <n v="12"/>
    <n v="30"/>
    <n v="49"/>
  </r>
  <r>
    <x v="2"/>
    <x v="116"/>
    <x v="0"/>
    <x v="340"/>
    <x v="702"/>
    <n v="46.9"/>
    <n v="2.2000000000000002"/>
    <n v="1.4"/>
    <n v="72.8"/>
    <n v="32.9"/>
    <n v="39.5"/>
    <n v="2.2000000000000002"/>
    <n v="1.8"/>
    <x v="989"/>
    <x v="885"/>
    <n v="1040815"/>
    <x v="421"/>
    <x v="327"/>
    <n v="488"/>
    <n v="999"/>
    <n v="999"/>
  </r>
  <r>
    <x v="1"/>
    <x v="109"/>
    <x v="1"/>
    <x v="12"/>
    <x v="56"/>
    <n v="6.9"/>
    <n v="6.2"/>
    <n v="5.0999999999999996"/>
    <n v="0"/>
    <n v="0"/>
    <n v="0"/>
    <n v="0"/>
    <n v="0"/>
    <x v="937"/>
    <x v="841"/>
    <n v="246834"/>
    <x v="27"/>
    <x v="26"/>
    <n v="17"/>
    <n v="50"/>
    <n v="64"/>
  </r>
  <r>
    <x v="0"/>
    <x v="52"/>
    <x v="7"/>
    <x v="698"/>
    <x v="2"/>
    <n v="0.6"/>
    <n v="0"/>
    <n v="11"/>
    <n v="0"/>
    <n v="0"/>
    <n v="0"/>
    <n v="0"/>
    <n v="0"/>
    <x v="1006"/>
    <x v="899"/>
    <n v="170603"/>
    <x v="45"/>
    <x v="1"/>
    <n v="1"/>
    <n v="65"/>
    <n v="79"/>
  </r>
  <r>
    <x v="1"/>
    <x v="39"/>
    <x v="1"/>
    <x v="57"/>
    <x v="12"/>
    <n v="5.3"/>
    <n v="1.6"/>
    <n v="3"/>
    <n v="0"/>
    <n v="0"/>
    <n v="0"/>
    <n v="0"/>
    <n v="0"/>
    <x v="893"/>
    <x v="804"/>
    <n v="246614"/>
    <x v="18"/>
    <x v="23"/>
    <n v="13"/>
    <n v="50"/>
    <n v="64"/>
  </r>
  <r>
    <x v="0"/>
    <x v="74"/>
    <x v="6"/>
    <x v="82"/>
    <x v="2"/>
    <n v="2.1"/>
    <n v="0"/>
    <n v="2"/>
    <n v="0"/>
    <n v="0"/>
    <n v="0"/>
    <n v="0"/>
    <n v="0"/>
    <x v="89"/>
    <x v="89"/>
    <n v="47191"/>
    <x v="1"/>
    <x v="1"/>
    <n v="1"/>
    <n v="80"/>
    <n v="200"/>
  </r>
  <r>
    <x v="2"/>
    <x v="36"/>
    <x v="1"/>
    <x v="776"/>
    <x v="74"/>
    <n v="102.1"/>
    <n v="4.2"/>
    <n v="2.2999999999999998"/>
    <n v="0"/>
    <n v="0"/>
    <n v="0"/>
    <n v="0"/>
    <n v="0"/>
    <x v="903"/>
    <x v="814"/>
    <n v="246862"/>
    <x v="63"/>
    <x v="166"/>
    <n v="252"/>
    <n v="50"/>
    <n v="64"/>
  </r>
  <r>
    <x v="1"/>
    <x v="108"/>
    <x v="2"/>
    <x v="54"/>
    <x v="2"/>
    <n v="4.7"/>
    <n v="0"/>
    <n v="0.2"/>
    <n v="0"/>
    <n v="0"/>
    <n v="0"/>
    <n v="0"/>
    <n v="0"/>
    <x v="212"/>
    <x v="204"/>
    <n v="21195"/>
    <x v="1"/>
    <x v="1"/>
    <n v="1"/>
    <n v="5"/>
    <n v="11"/>
  </r>
  <r>
    <x v="0"/>
    <x v="74"/>
    <x v="3"/>
    <x v="2"/>
    <x v="2"/>
    <n v="0"/>
    <n v="0"/>
    <n v="0"/>
    <n v="0"/>
    <n v="0"/>
    <n v="0"/>
    <n v="0"/>
    <n v="0"/>
    <x v="901"/>
    <x v="812"/>
    <n v="162045"/>
    <x v="2"/>
    <x v="1"/>
    <n v="0"/>
    <n v="18"/>
    <n v="29"/>
  </r>
  <r>
    <x v="2"/>
    <x v="93"/>
    <x v="0"/>
    <x v="1023"/>
    <x v="703"/>
    <n v="0"/>
    <n v="2.1"/>
    <n v="0"/>
    <n v="210.1"/>
    <n v="75.400000000000006"/>
    <n v="0"/>
    <n v="2.8"/>
    <n v="0"/>
    <x v="1004"/>
    <x v="897"/>
    <n v="0"/>
    <x v="422"/>
    <x v="328"/>
    <n v="0"/>
    <n v="999"/>
    <n v="999"/>
  </r>
  <r>
    <x v="2"/>
    <x v="134"/>
    <x v="3"/>
    <x v="1024"/>
    <x v="704"/>
    <n v="413.2"/>
    <n v="2.2999999999999998"/>
    <n v="0.9"/>
    <n v="0"/>
    <n v="0"/>
    <n v="0"/>
    <n v="0"/>
    <n v="0"/>
    <x v="371"/>
    <x v="347"/>
    <n v="152215"/>
    <x v="336"/>
    <x v="143"/>
    <n v="629"/>
    <n v="18"/>
    <n v="29"/>
  </r>
  <r>
    <x v="1"/>
    <x v="83"/>
    <x v="3"/>
    <x v="59"/>
    <x v="21"/>
    <n v="2"/>
    <n v="1.6"/>
    <n v="2.6"/>
    <n v="0"/>
    <n v="0"/>
    <n v="0"/>
    <n v="0"/>
    <n v="0"/>
    <x v="910"/>
    <x v="818"/>
    <n v="150759"/>
    <x v="13"/>
    <x v="26"/>
    <n v="3"/>
    <n v="18"/>
    <n v="29"/>
  </r>
  <r>
    <x v="2"/>
    <x v="22"/>
    <x v="1"/>
    <x v="1025"/>
    <x v="705"/>
    <n v="193.7"/>
    <n v="2.9"/>
    <n v="2.2000000000000002"/>
    <n v="0"/>
    <n v="0"/>
    <n v="0"/>
    <n v="0"/>
    <n v="0"/>
    <x v="1049"/>
    <x v="931"/>
    <n v="246748"/>
    <x v="244"/>
    <x v="275"/>
    <n v="478"/>
    <n v="50"/>
    <n v="64"/>
  </r>
  <r>
    <x v="0"/>
    <x v="1"/>
    <x v="3"/>
    <x v="2"/>
    <x v="2"/>
    <n v="0"/>
    <n v="0"/>
    <n v="0"/>
    <n v="0"/>
    <n v="0"/>
    <n v="0"/>
    <n v="0"/>
    <n v="0"/>
    <x v="963"/>
    <x v="864"/>
    <n v="161643"/>
    <x v="2"/>
    <x v="1"/>
    <n v="0"/>
    <n v="18"/>
    <n v="29"/>
  </r>
  <r>
    <x v="0"/>
    <x v="0"/>
    <x v="4"/>
    <x v="2"/>
    <x v="2"/>
    <n v="0"/>
    <n v="0"/>
    <n v="0"/>
    <n v="0"/>
    <n v="0"/>
    <n v="0"/>
    <n v="0"/>
    <n v="0"/>
    <x v="828"/>
    <x v="753"/>
    <n v="44418"/>
    <x v="2"/>
    <x v="1"/>
    <n v="0"/>
    <n v="12"/>
    <n v="17"/>
  </r>
  <r>
    <x v="0"/>
    <x v="40"/>
    <x v="0"/>
    <x v="26"/>
    <x v="82"/>
    <n v="0"/>
    <n v="13"/>
    <n v="0"/>
    <n v="4"/>
    <n v="0.2"/>
    <n v="0"/>
    <n v="23.5"/>
    <n v="0"/>
    <x v="79"/>
    <x v="79"/>
    <n v="0"/>
    <x v="17"/>
    <x v="39"/>
    <n v="0"/>
    <n v="999"/>
    <n v="999"/>
  </r>
  <r>
    <x v="1"/>
    <x v="120"/>
    <x v="6"/>
    <x v="122"/>
    <x v="62"/>
    <n v="34"/>
    <n v="3.2"/>
    <n v="0.8"/>
    <n v="0"/>
    <n v="0"/>
    <n v="0"/>
    <n v="0"/>
    <n v="0"/>
    <x v="508"/>
    <x v="360"/>
    <n v="47126"/>
    <x v="64"/>
    <x v="0"/>
    <n v="16"/>
    <n v="80"/>
    <n v="200"/>
  </r>
  <r>
    <x v="1"/>
    <x v="72"/>
    <x v="0"/>
    <x v="43"/>
    <x v="519"/>
    <n v="3.9"/>
    <n v="2.2000000000000002"/>
    <n v="0.9"/>
    <n v="4.3"/>
    <n v="2.9"/>
    <n v="2.6"/>
    <n v="1.5"/>
    <n v="1.7"/>
    <x v="848"/>
    <x v="350"/>
    <n v="1040648"/>
    <x v="29"/>
    <x v="75"/>
    <n v="41"/>
    <n v="999"/>
    <n v="999"/>
  </r>
  <r>
    <x v="0"/>
    <x v="56"/>
    <x v="4"/>
    <x v="2"/>
    <x v="2"/>
    <n v="0"/>
    <n v="0"/>
    <n v="0"/>
    <n v="0"/>
    <n v="0"/>
    <n v="0"/>
    <n v="0"/>
    <n v="0"/>
    <x v="1050"/>
    <x v="932"/>
    <n v="30389"/>
    <x v="2"/>
    <x v="1"/>
    <n v="0"/>
    <n v="12"/>
    <n v="17"/>
  </r>
  <r>
    <x v="1"/>
    <x v="51"/>
    <x v="3"/>
    <x v="405"/>
    <x v="351"/>
    <n v="4.4000000000000004"/>
    <n v="2.1"/>
    <n v="2.9"/>
    <n v="0"/>
    <n v="0"/>
    <n v="0"/>
    <n v="0"/>
    <n v="0"/>
    <x v="105"/>
    <x v="104"/>
    <n v="157475"/>
    <x v="27"/>
    <x v="38"/>
    <n v="7"/>
    <n v="18"/>
    <n v="29"/>
  </r>
  <r>
    <x v="0"/>
    <x v="15"/>
    <x v="2"/>
    <x v="2"/>
    <x v="2"/>
    <n v="0"/>
    <n v="0"/>
    <n v="0"/>
    <n v="0"/>
    <n v="0"/>
    <n v="0"/>
    <n v="0"/>
    <n v="0"/>
    <x v="376"/>
    <x v="352"/>
    <n v="14013"/>
    <x v="2"/>
    <x v="1"/>
    <n v="0"/>
    <n v="5"/>
    <n v="11"/>
  </r>
  <r>
    <x v="0"/>
    <x v="9"/>
    <x v="5"/>
    <x v="86"/>
    <x v="2"/>
    <n v="0"/>
    <n v="0"/>
    <n v="0"/>
    <n v="0"/>
    <n v="0"/>
    <n v="0"/>
    <n v="0"/>
    <n v="0"/>
    <x v="1012"/>
    <x v="903"/>
    <n v="0"/>
    <x v="0"/>
    <x v="1"/>
    <n v="0"/>
    <n v="30"/>
    <n v="49"/>
  </r>
  <r>
    <x v="1"/>
    <x v="131"/>
    <x v="0"/>
    <x v="32"/>
    <x v="36"/>
    <n v="1.5"/>
    <n v="3.3"/>
    <n v="5.5"/>
    <n v="12.6"/>
    <n v="2"/>
    <n v="1.1000000000000001"/>
    <n v="6.2"/>
    <n v="11.1"/>
    <x v="560"/>
    <x v="514"/>
    <n v="68441"/>
    <x v="21"/>
    <x v="60"/>
    <n v="1"/>
    <n v="999"/>
    <n v="999"/>
  </r>
  <r>
    <x v="0"/>
    <x v="70"/>
    <x v="2"/>
    <x v="2"/>
    <x v="2"/>
    <n v="0"/>
    <n v="0"/>
    <n v="0"/>
    <n v="0"/>
    <n v="0"/>
    <n v="0"/>
    <n v="0"/>
    <n v="0"/>
    <x v="761"/>
    <x v="690"/>
    <n v="21228"/>
    <x v="2"/>
    <x v="1"/>
    <n v="0"/>
    <n v="5"/>
    <n v="11"/>
  </r>
  <r>
    <x v="0"/>
    <x v="110"/>
    <x v="3"/>
    <x v="2"/>
    <x v="2"/>
    <n v="0"/>
    <n v="0"/>
    <n v="0"/>
    <n v="0"/>
    <n v="0"/>
    <n v="0"/>
    <n v="0"/>
    <n v="0"/>
    <x v="870"/>
    <x v="788"/>
    <n v="161468"/>
    <x v="2"/>
    <x v="1"/>
    <n v="0"/>
    <n v="18"/>
    <n v="29"/>
  </r>
  <r>
    <x v="2"/>
    <x v="109"/>
    <x v="3"/>
    <x v="944"/>
    <x v="706"/>
    <n v="52.6"/>
    <n v="2.9"/>
    <n v="2.4"/>
    <n v="0"/>
    <n v="0"/>
    <n v="0"/>
    <n v="0"/>
    <n v="0"/>
    <x v="214"/>
    <x v="206"/>
    <n v="161635"/>
    <x v="281"/>
    <x v="96"/>
    <n v="85"/>
    <n v="18"/>
    <n v="29"/>
  </r>
  <r>
    <x v="2"/>
    <x v="57"/>
    <x v="7"/>
    <x v="1026"/>
    <x v="182"/>
    <n v="12.1"/>
    <n v="1.9"/>
    <n v="7.3"/>
    <n v="0"/>
    <n v="0"/>
    <n v="0"/>
    <n v="0"/>
    <n v="0"/>
    <x v="706"/>
    <x v="642"/>
    <n v="32952"/>
    <x v="23"/>
    <x v="104"/>
    <n v="4"/>
    <n v="65"/>
    <n v="79"/>
  </r>
  <r>
    <x v="2"/>
    <x v="105"/>
    <x v="4"/>
    <x v="1027"/>
    <x v="258"/>
    <n v="89.4"/>
    <n v="2.1"/>
    <n v="1.7"/>
    <n v="0"/>
    <n v="0"/>
    <n v="0"/>
    <n v="0"/>
    <n v="0"/>
    <x v="378"/>
    <x v="354"/>
    <n v="40287"/>
    <x v="198"/>
    <x v="19"/>
    <n v="36"/>
    <n v="12"/>
    <n v="17"/>
  </r>
  <r>
    <x v="0"/>
    <x v="107"/>
    <x v="1"/>
    <x v="42"/>
    <x v="2"/>
    <n v="0"/>
    <n v="0"/>
    <n v="0"/>
    <n v="0"/>
    <n v="0"/>
    <n v="0"/>
    <n v="0"/>
    <n v="0"/>
    <x v="766"/>
    <x v="695"/>
    <n v="0"/>
    <x v="27"/>
    <x v="1"/>
    <n v="0"/>
    <n v="50"/>
    <n v="64"/>
  </r>
  <r>
    <x v="2"/>
    <x v="54"/>
    <x v="3"/>
    <x v="934"/>
    <x v="40"/>
    <n v="15.4"/>
    <n v="5.4"/>
    <n v="4.7"/>
    <n v="0"/>
    <n v="0"/>
    <n v="0"/>
    <n v="0"/>
    <n v="0"/>
    <x v="859"/>
    <x v="777"/>
    <n v="162196"/>
    <x v="39"/>
    <x v="149"/>
    <n v="25"/>
    <n v="18"/>
    <n v="29"/>
  </r>
  <r>
    <x v="2"/>
    <x v="33"/>
    <x v="4"/>
    <x v="537"/>
    <x v="17"/>
    <n v="0"/>
    <n v="7.8"/>
    <n v="0"/>
    <n v="0"/>
    <n v="0"/>
    <n v="0"/>
    <n v="0"/>
    <n v="0"/>
    <x v="873"/>
    <x v="241"/>
    <n v="44590"/>
    <x v="45"/>
    <x v="0"/>
    <n v="0"/>
    <n v="12"/>
    <n v="17"/>
  </r>
  <r>
    <x v="1"/>
    <x v="70"/>
    <x v="1"/>
    <x v="64"/>
    <x v="145"/>
    <n v="6.1"/>
    <n v="5.6"/>
    <n v="1.5"/>
    <n v="0"/>
    <n v="0"/>
    <n v="0"/>
    <n v="0"/>
    <n v="0"/>
    <x v="93"/>
    <x v="93"/>
    <n v="246898"/>
    <x v="45"/>
    <x v="11"/>
    <n v="15"/>
    <n v="50"/>
    <n v="64"/>
  </r>
  <r>
    <x v="1"/>
    <x v="80"/>
    <x v="5"/>
    <x v="133"/>
    <x v="519"/>
    <n v="1.5"/>
    <n v="3.1"/>
    <n v="3.5"/>
    <n v="0"/>
    <n v="0"/>
    <n v="0"/>
    <n v="0"/>
    <n v="0"/>
    <x v="99"/>
    <x v="98"/>
    <n v="330602"/>
    <x v="64"/>
    <x v="21"/>
    <n v="5"/>
    <n v="30"/>
    <n v="49"/>
  </r>
  <r>
    <x v="2"/>
    <x v="6"/>
    <x v="8"/>
    <x v="926"/>
    <x v="17"/>
    <n v="0"/>
    <n v="55.8"/>
    <n v="0"/>
    <n v="0"/>
    <n v="0"/>
    <n v="0"/>
    <n v="0"/>
    <n v="0"/>
    <x v="28"/>
    <x v="28"/>
    <n v="0"/>
    <x v="97"/>
    <x v="11"/>
    <n v="0"/>
    <n v="0"/>
    <n v="4"/>
  </r>
  <r>
    <x v="0"/>
    <x v="32"/>
    <x v="0"/>
    <x v="241"/>
    <x v="2"/>
    <n v="0.1"/>
    <n v="0"/>
    <n v="5"/>
    <n v="0.5"/>
    <n v="0"/>
    <n v="0.1"/>
    <n v="0"/>
    <n v="7.7"/>
    <x v="108"/>
    <x v="107"/>
    <n v="1039743"/>
    <x v="45"/>
    <x v="1"/>
    <n v="1"/>
    <n v="999"/>
    <n v="999"/>
  </r>
  <r>
    <x v="0"/>
    <x v="54"/>
    <x v="2"/>
    <x v="2"/>
    <x v="2"/>
    <n v="0"/>
    <n v="0"/>
    <n v="0"/>
    <n v="0"/>
    <n v="0"/>
    <n v="0"/>
    <n v="0"/>
    <n v="0"/>
    <x v="373"/>
    <x v="349"/>
    <n v="21516"/>
    <x v="2"/>
    <x v="1"/>
    <n v="0"/>
    <n v="5"/>
    <n v="11"/>
  </r>
  <r>
    <x v="2"/>
    <x v="109"/>
    <x v="5"/>
    <x v="1028"/>
    <x v="707"/>
    <n v="74.900000000000006"/>
    <n v="2.2000000000000002"/>
    <n v="1.8"/>
    <n v="0"/>
    <n v="0"/>
    <n v="0"/>
    <n v="0"/>
    <n v="0"/>
    <x v="1051"/>
    <x v="933"/>
    <n v="347220"/>
    <x v="201"/>
    <x v="281"/>
    <n v="260"/>
    <n v="30"/>
    <n v="49"/>
  </r>
  <r>
    <x v="0"/>
    <x v="103"/>
    <x v="4"/>
    <x v="2"/>
    <x v="2"/>
    <n v="0"/>
    <n v="0"/>
    <n v="0"/>
    <n v="0"/>
    <n v="0"/>
    <n v="0"/>
    <n v="0"/>
    <n v="0"/>
    <x v="844"/>
    <x v="821"/>
    <n v="0"/>
    <x v="2"/>
    <x v="1"/>
    <n v="0"/>
    <n v="12"/>
    <n v="17"/>
  </r>
  <r>
    <x v="2"/>
    <x v="11"/>
    <x v="1"/>
    <x v="1029"/>
    <x v="639"/>
    <n v="40.1"/>
    <n v="4.4000000000000004"/>
    <n v="2.2000000000000002"/>
    <n v="0"/>
    <n v="0"/>
    <n v="0"/>
    <n v="0"/>
    <n v="0"/>
    <x v="1031"/>
    <x v="53"/>
    <n v="246908"/>
    <x v="31"/>
    <x v="25"/>
    <n v="99"/>
    <n v="50"/>
    <n v="64"/>
  </r>
  <r>
    <x v="1"/>
    <x v="109"/>
    <x v="5"/>
    <x v="178"/>
    <x v="21"/>
    <n v="2.2999999999999998"/>
    <n v="2.8"/>
    <n v="3.9"/>
    <n v="0"/>
    <n v="0"/>
    <n v="0"/>
    <n v="0"/>
    <n v="0"/>
    <x v="1051"/>
    <x v="933"/>
    <n v="347220"/>
    <x v="24"/>
    <x v="13"/>
    <n v="8"/>
    <n v="30"/>
    <n v="49"/>
  </r>
  <r>
    <x v="2"/>
    <x v="94"/>
    <x v="2"/>
    <x v="1030"/>
    <x v="708"/>
    <n v="236.1"/>
    <n v="0.8"/>
    <n v="0.6"/>
    <n v="0"/>
    <n v="0"/>
    <n v="0"/>
    <n v="0"/>
    <n v="0"/>
    <x v="1052"/>
    <x v="934"/>
    <n v="21179"/>
    <x v="423"/>
    <x v="329"/>
    <n v="50"/>
    <n v="5"/>
    <n v="11"/>
  </r>
  <r>
    <x v="0"/>
    <x v="91"/>
    <x v="3"/>
    <x v="2"/>
    <x v="2"/>
    <n v="0"/>
    <n v="0"/>
    <n v="0"/>
    <n v="0"/>
    <n v="0"/>
    <n v="0"/>
    <n v="0"/>
    <n v="0"/>
    <x v="124"/>
    <x v="123"/>
    <n v="161526"/>
    <x v="2"/>
    <x v="1"/>
    <n v="0"/>
    <n v="18"/>
    <n v="29"/>
  </r>
  <r>
    <x v="2"/>
    <x v="29"/>
    <x v="8"/>
    <x v="242"/>
    <x v="2"/>
    <n v="0"/>
    <n v="0"/>
    <n v="0"/>
    <n v="0"/>
    <n v="0"/>
    <n v="0"/>
    <n v="0"/>
    <n v="0"/>
    <x v="28"/>
    <x v="28"/>
    <n v="0"/>
    <x v="127"/>
    <x v="1"/>
    <n v="0"/>
    <n v="0"/>
    <n v="4"/>
  </r>
  <r>
    <x v="2"/>
    <x v="126"/>
    <x v="6"/>
    <x v="1031"/>
    <x v="709"/>
    <n v="154.9"/>
    <n v="0.3"/>
    <n v="0.4"/>
    <n v="0"/>
    <n v="0"/>
    <n v="0"/>
    <n v="0"/>
    <n v="0"/>
    <x v="495"/>
    <x v="353"/>
    <n v="47134"/>
    <x v="36"/>
    <x v="31"/>
    <n v="73"/>
    <n v="80"/>
    <n v="200"/>
  </r>
  <r>
    <x v="2"/>
    <x v="97"/>
    <x v="1"/>
    <x v="1032"/>
    <x v="710"/>
    <n v="36.9"/>
    <n v="4.2"/>
    <n v="20.6"/>
    <n v="0"/>
    <n v="0"/>
    <n v="0"/>
    <n v="0"/>
    <n v="0"/>
    <x v="572"/>
    <x v="525"/>
    <n v="92192"/>
    <x v="424"/>
    <x v="330"/>
    <n v="34"/>
    <n v="50"/>
    <n v="64"/>
  </r>
  <r>
    <x v="2"/>
    <x v="123"/>
    <x v="2"/>
    <x v="1033"/>
    <x v="711"/>
    <n v="150.9"/>
    <n v="0.8"/>
    <n v="0.5"/>
    <n v="0"/>
    <n v="0"/>
    <n v="0"/>
    <n v="0"/>
    <n v="0"/>
    <x v="982"/>
    <x v="880"/>
    <n v="21212"/>
    <x v="54"/>
    <x v="91"/>
    <n v="32"/>
    <n v="5"/>
    <n v="11"/>
  </r>
  <r>
    <x v="0"/>
    <x v="98"/>
    <x v="5"/>
    <x v="2"/>
    <x v="2"/>
    <n v="0"/>
    <n v="0"/>
    <n v="0"/>
    <n v="0"/>
    <n v="0"/>
    <n v="0"/>
    <n v="0"/>
    <n v="0"/>
    <x v="898"/>
    <x v="809"/>
    <n v="347307"/>
    <x v="2"/>
    <x v="1"/>
    <n v="0"/>
    <n v="30"/>
    <n v="49"/>
  </r>
  <r>
    <x v="1"/>
    <x v="89"/>
    <x v="1"/>
    <x v="391"/>
    <x v="2"/>
    <n v="0"/>
    <n v="0"/>
    <n v="0"/>
    <n v="0"/>
    <n v="0"/>
    <n v="0"/>
    <n v="0"/>
    <n v="0"/>
    <x v="119"/>
    <x v="118"/>
    <n v="0"/>
    <x v="33"/>
    <x v="1"/>
    <n v="0"/>
    <n v="50"/>
    <n v="64"/>
  </r>
  <r>
    <x v="0"/>
    <x v="100"/>
    <x v="0"/>
    <x v="113"/>
    <x v="82"/>
    <n v="0.2"/>
    <n v="1"/>
    <n v="1"/>
    <n v="0.2"/>
    <n v="0.4"/>
    <n v="0.1"/>
    <n v="0.5"/>
    <n v="1.8"/>
    <x v="465"/>
    <x v="431"/>
    <n v="979825"/>
    <x v="1"/>
    <x v="11"/>
    <n v="2"/>
    <n v="999"/>
    <n v="999"/>
  </r>
  <r>
    <x v="2"/>
    <x v="30"/>
    <x v="7"/>
    <x v="1034"/>
    <x v="712"/>
    <n v="111.3"/>
    <n v="1.2"/>
    <n v="1.4"/>
    <n v="0"/>
    <n v="0"/>
    <n v="0"/>
    <n v="0"/>
    <n v="0"/>
    <x v="600"/>
    <x v="549"/>
    <n v="171584"/>
    <x v="125"/>
    <x v="181"/>
    <n v="191"/>
    <n v="65"/>
    <n v="79"/>
  </r>
  <r>
    <x v="0"/>
    <x v="69"/>
    <x v="5"/>
    <x v="892"/>
    <x v="87"/>
    <n v="0.3"/>
    <n v="12"/>
    <n v="12"/>
    <n v="0"/>
    <n v="0"/>
    <n v="0"/>
    <n v="0"/>
    <n v="0"/>
    <x v="647"/>
    <x v="588"/>
    <n v="303628"/>
    <x v="13"/>
    <x v="0"/>
    <n v="1"/>
    <n v="30"/>
    <n v="49"/>
  </r>
  <r>
    <x v="0"/>
    <x v="36"/>
    <x v="0"/>
    <x v="2"/>
    <x v="2"/>
    <n v="0.2"/>
    <n v="0"/>
    <n v="0"/>
    <n v="0"/>
    <n v="0"/>
    <n v="0.1"/>
    <n v="0"/>
    <n v="0"/>
    <x v="425"/>
    <x v="396"/>
    <n v="1040388"/>
    <x v="2"/>
    <x v="1"/>
    <n v="2"/>
    <n v="999"/>
    <n v="999"/>
  </r>
  <r>
    <x v="0"/>
    <x v="91"/>
    <x v="5"/>
    <x v="2"/>
    <x v="2"/>
    <n v="0"/>
    <n v="0"/>
    <n v="0"/>
    <n v="0"/>
    <n v="0"/>
    <n v="0"/>
    <n v="0"/>
    <n v="0"/>
    <x v="1053"/>
    <x v="935"/>
    <n v="347042"/>
    <x v="2"/>
    <x v="1"/>
    <n v="0"/>
    <n v="30"/>
    <n v="49"/>
  </r>
  <r>
    <x v="1"/>
    <x v="4"/>
    <x v="4"/>
    <x v="2"/>
    <x v="49"/>
    <n v="0"/>
    <n v="0"/>
    <n v="0"/>
    <n v="0"/>
    <n v="0"/>
    <n v="0"/>
    <n v="0"/>
    <n v="0"/>
    <x v="966"/>
    <x v="866"/>
    <n v="31808"/>
    <x v="2"/>
    <x v="0"/>
    <n v="0"/>
    <n v="12"/>
    <n v="17"/>
  </r>
  <r>
    <x v="2"/>
    <x v="20"/>
    <x v="0"/>
    <x v="1035"/>
    <x v="713"/>
    <n v="0"/>
    <n v="2.2000000000000002"/>
    <n v="0"/>
    <n v="123.4"/>
    <n v="41.5"/>
    <n v="0"/>
    <n v="3"/>
    <n v="0"/>
    <x v="441"/>
    <x v="412"/>
    <n v="0"/>
    <x v="425"/>
    <x v="331"/>
    <n v="0"/>
    <n v="999"/>
    <n v="999"/>
  </r>
  <r>
    <x v="0"/>
    <x v="53"/>
    <x v="7"/>
    <x v="2"/>
    <x v="2"/>
    <n v="0"/>
    <n v="0"/>
    <n v="0"/>
    <n v="0"/>
    <n v="0"/>
    <n v="0"/>
    <n v="0"/>
    <n v="0"/>
    <x v="931"/>
    <x v="836"/>
    <n v="171730"/>
    <x v="2"/>
    <x v="1"/>
    <n v="0"/>
    <n v="65"/>
    <n v="79"/>
  </r>
  <r>
    <x v="2"/>
    <x v="56"/>
    <x v="8"/>
    <x v="163"/>
    <x v="2"/>
    <n v="0"/>
    <n v="0"/>
    <n v="0"/>
    <n v="0"/>
    <n v="0"/>
    <n v="0"/>
    <n v="0"/>
    <n v="0"/>
    <x v="28"/>
    <x v="28"/>
    <n v="0"/>
    <x v="154"/>
    <x v="1"/>
    <n v="0"/>
    <n v="0"/>
    <n v="4"/>
  </r>
  <r>
    <x v="2"/>
    <x v="47"/>
    <x v="3"/>
    <x v="603"/>
    <x v="594"/>
    <n v="103.3"/>
    <n v="2.2999999999999998"/>
    <n v="1.7"/>
    <n v="0"/>
    <n v="0"/>
    <n v="0"/>
    <n v="0"/>
    <n v="0"/>
    <x v="1054"/>
    <x v="936"/>
    <n v="161605"/>
    <x v="423"/>
    <x v="123"/>
    <n v="167"/>
    <n v="18"/>
    <n v="29"/>
  </r>
  <r>
    <x v="1"/>
    <x v="123"/>
    <x v="5"/>
    <x v="278"/>
    <x v="19"/>
    <n v="1.4"/>
    <n v="22.8"/>
    <n v="6.5"/>
    <n v="0"/>
    <n v="0"/>
    <n v="0"/>
    <n v="0"/>
    <n v="0"/>
    <x v="1034"/>
    <x v="919"/>
    <n v="347269"/>
    <x v="24"/>
    <x v="0"/>
    <n v="5"/>
    <n v="30"/>
    <n v="49"/>
  </r>
  <r>
    <x v="0"/>
    <x v="135"/>
    <x v="7"/>
    <x v="60"/>
    <x v="2"/>
    <n v="0"/>
    <n v="0"/>
    <n v="0"/>
    <n v="0"/>
    <n v="0"/>
    <n v="0"/>
    <n v="0"/>
    <n v="0"/>
    <x v="660"/>
    <x v="600"/>
    <n v="0"/>
    <x v="0"/>
    <x v="1"/>
    <n v="0"/>
    <n v="65"/>
    <n v="79"/>
  </r>
  <r>
    <x v="1"/>
    <x v="113"/>
    <x v="6"/>
    <x v="193"/>
    <x v="301"/>
    <n v="27.6"/>
    <n v="0.7"/>
    <n v="0.9"/>
    <n v="0"/>
    <n v="0"/>
    <n v="0"/>
    <n v="0"/>
    <n v="0"/>
    <x v="1055"/>
    <x v="937"/>
    <n v="47144"/>
    <x v="18"/>
    <x v="16"/>
    <n v="13"/>
    <n v="80"/>
    <n v="200"/>
  </r>
  <r>
    <x v="1"/>
    <x v="131"/>
    <x v="1"/>
    <x v="480"/>
    <x v="235"/>
    <n v="7.6"/>
    <n v="8.1"/>
    <n v="4.3"/>
    <n v="0"/>
    <n v="0"/>
    <n v="0"/>
    <n v="0"/>
    <n v="0"/>
    <x v="291"/>
    <x v="274"/>
    <n v="13200"/>
    <x v="56"/>
    <x v="38"/>
    <n v="1"/>
    <n v="50"/>
    <n v="64"/>
  </r>
  <r>
    <x v="0"/>
    <x v="134"/>
    <x v="0"/>
    <x v="113"/>
    <x v="82"/>
    <n v="0.4"/>
    <n v="1"/>
    <n v="0.5"/>
    <n v="0.2"/>
    <n v="0.3"/>
    <n v="0.3"/>
    <n v="0.6"/>
    <n v="0.7"/>
    <x v="476"/>
    <x v="440"/>
    <n v="965236"/>
    <x v="1"/>
    <x v="11"/>
    <n v="4"/>
    <n v="999"/>
    <n v="999"/>
  </r>
  <r>
    <x v="2"/>
    <x v="67"/>
    <x v="4"/>
    <x v="1036"/>
    <x v="714"/>
    <n v="98.7"/>
    <n v="1.8"/>
    <n v="1.3"/>
    <n v="0"/>
    <n v="0"/>
    <n v="0"/>
    <n v="0"/>
    <n v="0"/>
    <x v="281"/>
    <x v="265"/>
    <n v="44558"/>
    <x v="261"/>
    <x v="19"/>
    <n v="44"/>
    <n v="12"/>
    <n v="17"/>
  </r>
  <r>
    <x v="2"/>
    <x v="26"/>
    <x v="3"/>
    <x v="1037"/>
    <x v="715"/>
    <n v="62.5"/>
    <n v="3"/>
    <n v="2.5"/>
    <n v="0"/>
    <n v="0"/>
    <n v="0"/>
    <n v="0"/>
    <n v="0"/>
    <x v="1036"/>
    <x v="920"/>
    <n v="161631"/>
    <x v="113"/>
    <x v="92"/>
    <n v="101"/>
    <n v="18"/>
    <n v="29"/>
  </r>
  <r>
    <x v="2"/>
    <x v="77"/>
    <x v="7"/>
    <x v="1038"/>
    <x v="497"/>
    <n v="83.9"/>
    <n v="1"/>
    <n v="0.7"/>
    <n v="0"/>
    <n v="0"/>
    <n v="0"/>
    <n v="0"/>
    <n v="0"/>
    <x v="1009"/>
    <x v="518"/>
    <n v="171711"/>
    <x v="56"/>
    <x v="88"/>
    <n v="144"/>
    <n v="65"/>
    <n v="79"/>
  </r>
  <r>
    <x v="2"/>
    <x v="84"/>
    <x v="5"/>
    <x v="1039"/>
    <x v="57"/>
    <n v="31.4"/>
    <n v="2"/>
    <n v="1.5"/>
    <n v="0"/>
    <n v="0"/>
    <n v="0"/>
    <n v="0"/>
    <n v="0"/>
    <x v="767"/>
    <x v="696"/>
    <n v="347333"/>
    <x v="185"/>
    <x v="15"/>
    <n v="109"/>
    <n v="30"/>
    <n v="49"/>
  </r>
  <r>
    <x v="2"/>
    <x v="121"/>
    <x v="3"/>
    <x v="1040"/>
    <x v="716"/>
    <n v="0"/>
    <n v="10.1"/>
    <n v="0"/>
    <n v="0"/>
    <n v="0"/>
    <n v="0"/>
    <n v="0"/>
    <n v="0"/>
    <x v="250"/>
    <x v="239"/>
    <n v="0"/>
    <x v="426"/>
    <x v="97"/>
    <n v="0"/>
    <n v="18"/>
    <n v="29"/>
  </r>
  <r>
    <x v="1"/>
    <x v="137"/>
    <x v="6"/>
    <x v="1041"/>
    <x v="717"/>
    <n v="61.2"/>
    <n v="0.6"/>
    <n v="0.8"/>
    <n v="0"/>
    <n v="0"/>
    <n v="0"/>
    <n v="0"/>
    <n v="0"/>
    <x v="1056"/>
    <x v="938"/>
    <n v="47353"/>
    <x v="27"/>
    <x v="13"/>
    <n v="29"/>
    <n v="80"/>
    <n v="200"/>
  </r>
  <r>
    <x v="0"/>
    <x v="126"/>
    <x v="2"/>
    <x v="2"/>
    <x v="2"/>
    <n v="0"/>
    <n v="0"/>
    <n v="0"/>
    <n v="0"/>
    <n v="0"/>
    <n v="0"/>
    <n v="0"/>
    <n v="0"/>
    <x v="746"/>
    <x v="382"/>
    <n v="21266"/>
    <x v="2"/>
    <x v="1"/>
    <n v="0"/>
    <n v="5"/>
    <n v="11"/>
  </r>
  <r>
    <x v="0"/>
    <x v="125"/>
    <x v="4"/>
    <x v="2"/>
    <x v="2"/>
    <n v="0"/>
    <n v="0"/>
    <n v="0"/>
    <n v="0"/>
    <n v="0"/>
    <n v="0"/>
    <n v="0"/>
    <n v="0"/>
    <x v="779"/>
    <x v="708"/>
    <n v="0"/>
    <x v="2"/>
    <x v="1"/>
    <n v="0"/>
    <n v="12"/>
    <n v="17"/>
  </r>
  <r>
    <x v="2"/>
    <x v="47"/>
    <x v="0"/>
    <x v="1042"/>
    <x v="718"/>
    <n v="169"/>
    <n v="1.8"/>
    <n v="1.1000000000000001"/>
    <n v="237.1"/>
    <n v="110.7"/>
    <n v="148.30000000000001"/>
    <n v="2.1"/>
    <n v="1.6"/>
    <x v="1022"/>
    <x v="911"/>
    <n v="1040060"/>
    <x v="427"/>
    <x v="332"/>
    <n v="1758"/>
    <n v="999"/>
    <n v="999"/>
  </r>
  <r>
    <x v="0"/>
    <x v="131"/>
    <x v="4"/>
    <x v="2"/>
    <x v="2"/>
    <n v="0"/>
    <n v="0"/>
    <n v="0"/>
    <n v="0"/>
    <n v="0"/>
    <n v="0"/>
    <n v="0"/>
    <n v="0"/>
    <x v="431"/>
    <x v="402"/>
    <n v="0"/>
    <x v="2"/>
    <x v="1"/>
    <n v="0"/>
    <n v="12"/>
    <n v="17"/>
  </r>
  <r>
    <x v="2"/>
    <x v="95"/>
    <x v="3"/>
    <x v="1043"/>
    <x v="719"/>
    <n v="237.1"/>
    <n v="2.5"/>
    <n v="1.5"/>
    <n v="0"/>
    <n v="0"/>
    <n v="0"/>
    <n v="0"/>
    <n v="0"/>
    <x v="1057"/>
    <x v="939"/>
    <n v="156874"/>
    <x v="133"/>
    <x v="333"/>
    <n v="372"/>
    <n v="18"/>
    <n v="29"/>
  </r>
  <r>
    <x v="1"/>
    <x v="10"/>
    <x v="1"/>
    <x v="623"/>
    <x v="228"/>
    <n v="9.6999999999999993"/>
    <n v="3.8"/>
    <n v="5.3"/>
    <n v="0"/>
    <n v="0"/>
    <n v="0"/>
    <n v="0"/>
    <n v="0"/>
    <x v="558"/>
    <x v="512"/>
    <n v="246812"/>
    <x v="8"/>
    <x v="28"/>
    <n v="24"/>
    <n v="50"/>
    <n v="64"/>
  </r>
  <r>
    <x v="0"/>
    <x v="82"/>
    <x v="4"/>
    <x v="2"/>
    <x v="2"/>
    <n v="0"/>
    <n v="0"/>
    <n v="0"/>
    <n v="0"/>
    <n v="0"/>
    <n v="0"/>
    <n v="0"/>
    <n v="0"/>
    <x v="1058"/>
    <x v="241"/>
    <n v="44590"/>
    <x v="2"/>
    <x v="1"/>
    <n v="0"/>
    <n v="12"/>
    <n v="17"/>
  </r>
  <r>
    <x v="0"/>
    <x v="104"/>
    <x v="0"/>
    <x v="20"/>
    <x v="49"/>
    <n v="0"/>
    <n v="2.5"/>
    <n v="0"/>
    <n v="3.8"/>
    <n v="1.2"/>
    <n v="0"/>
    <n v="3.2"/>
    <n v="0"/>
    <x v="959"/>
    <x v="861"/>
    <n v="274264"/>
    <x v="37"/>
    <x v="52"/>
    <n v="0"/>
    <n v="999"/>
    <n v="999"/>
  </r>
  <r>
    <x v="1"/>
    <x v="11"/>
    <x v="7"/>
    <x v="479"/>
    <x v="390"/>
    <n v="4.7"/>
    <n v="0.4"/>
    <n v="1.1000000000000001"/>
    <n v="0"/>
    <n v="0"/>
    <n v="0"/>
    <n v="0"/>
    <n v="0"/>
    <x v="511"/>
    <x v="367"/>
    <n v="171727"/>
    <x v="0"/>
    <x v="21"/>
    <n v="8"/>
    <n v="65"/>
    <n v="79"/>
  </r>
  <r>
    <x v="0"/>
    <x v="22"/>
    <x v="5"/>
    <x v="2"/>
    <x v="19"/>
    <n v="0"/>
    <n v="0"/>
    <n v="0"/>
    <n v="0"/>
    <n v="0"/>
    <n v="0"/>
    <n v="0"/>
    <n v="0"/>
    <x v="896"/>
    <x v="807"/>
    <n v="347125"/>
    <x v="2"/>
    <x v="0"/>
    <n v="0"/>
    <n v="30"/>
    <n v="49"/>
  </r>
  <r>
    <x v="1"/>
    <x v="21"/>
    <x v="5"/>
    <x v="406"/>
    <x v="38"/>
    <n v="0"/>
    <n v="26.4"/>
    <n v="0"/>
    <n v="0"/>
    <n v="0"/>
    <n v="0"/>
    <n v="0"/>
    <n v="0"/>
    <x v="996"/>
    <x v="890"/>
    <n v="0"/>
    <x v="155"/>
    <x v="16"/>
    <n v="0"/>
    <n v="30"/>
    <n v="49"/>
  </r>
  <r>
    <x v="0"/>
    <x v="15"/>
    <x v="4"/>
    <x v="2"/>
    <x v="2"/>
    <n v="0"/>
    <n v="0"/>
    <n v="0"/>
    <n v="0"/>
    <n v="0"/>
    <n v="0"/>
    <n v="0"/>
    <n v="0"/>
    <x v="949"/>
    <x v="852"/>
    <n v="41807"/>
    <x v="2"/>
    <x v="1"/>
    <n v="0"/>
    <n v="12"/>
    <n v="17"/>
  </r>
  <r>
    <x v="2"/>
    <x v="32"/>
    <x v="7"/>
    <x v="1044"/>
    <x v="506"/>
    <n v="164.9"/>
    <n v="1.7"/>
    <n v="1.5"/>
    <n v="0"/>
    <n v="0"/>
    <n v="0"/>
    <n v="0"/>
    <n v="0"/>
    <x v="210"/>
    <x v="202"/>
    <n v="171612"/>
    <x v="114"/>
    <x v="111"/>
    <n v="283"/>
    <n v="65"/>
    <n v="79"/>
  </r>
  <r>
    <x v="1"/>
    <x v="38"/>
    <x v="4"/>
    <x v="2"/>
    <x v="17"/>
    <n v="0"/>
    <n v="0"/>
    <n v="0"/>
    <n v="0"/>
    <n v="0"/>
    <n v="0"/>
    <n v="0"/>
    <n v="0"/>
    <x v="827"/>
    <x v="208"/>
    <n v="44596"/>
    <x v="2"/>
    <x v="0"/>
    <n v="0"/>
    <n v="12"/>
    <n v="17"/>
  </r>
  <r>
    <x v="1"/>
    <x v="126"/>
    <x v="3"/>
    <x v="82"/>
    <x v="48"/>
    <n v="1.9"/>
    <n v="4.5999999999999996"/>
    <n v="2.2000000000000002"/>
    <n v="0"/>
    <n v="0"/>
    <n v="0"/>
    <n v="0"/>
    <n v="0"/>
    <x v="491"/>
    <x v="455"/>
    <n v="161725"/>
    <x v="45"/>
    <x v="11"/>
    <n v="3"/>
    <n v="18"/>
    <n v="29"/>
  </r>
  <r>
    <x v="2"/>
    <x v="121"/>
    <x v="7"/>
    <x v="1045"/>
    <x v="677"/>
    <n v="0"/>
    <n v="12.7"/>
    <n v="0"/>
    <n v="0"/>
    <n v="0"/>
    <n v="0"/>
    <n v="0"/>
    <n v="0"/>
    <x v="526"/>
    <x v="481"/>
    <n v="0"/>
    <x v="296"/>
    <x v="36"/>
    <n v="0"/>
    <n v="65"/>
    <n v="79"/>
  </r>
  <r>
    <x v="1"/>
    <x v="128"/>
    <x v="7"/>
    <x v="763"/>
    <x v="388"/>
    <n v="8.6999999999999993"/>
    <n v="0.7"/>
    <n v="1.4"/>
    <n v="0"/>
    <n v="0"/>
    <n v="0"/>
    <n v="0"/>
    <n v="0"/>
    <x v="1059"/>
    <x v="760"/>
    <n v="171720"/>
    <x v="13"/>
    <x v="5"/>
    <n v="15"/>
    <n v="65"/>
    <n v="79"/>
  </r>
  <r>
    <x v="1"/>
    <x v="132"/>
    <x v="7"/>
    <x v="1046"/>
    <x v="545"/>
    <n v="10.4"/>
    <n v="1.6"/>
    <n v="2.2000000000000002"/>
    <n v="0"/>
    <n v="0"/>
    <n v="0"/>
    <n v="0"/>
    <n v="0"/>
    <x v="295"/>
    <x v="278"/>
    <n v="163445"/>
    <x v="6"/>
    <x v="26"/>
    <n v="17"/>
    <n v="65"/>
    <n v="79"/>
  </r>
  <r>
    <x v="2"/>
    <x v="52"/>
    <x v="1"/>
    <x v="1047"/>
    <x v="720"/>
    <n v="184.2"/>
    <n v="3"/>
    <n v="1.9"/>
    <n v="0"/>
    <n v="0"/>
    <n v="0"/>
    <n v="0"/>
    <n v="0"/>
    <x v="757"/>
    <x v="687"/>
    <n v="245378"/>
    <x v="77"/>
    <x v="106"/>
    <n v="452"/>
    <n v="50"/>
    <n v="64"/>
  </r>
  <r>
    <x v="1"/>
    <x v="36"/>
    <x v="3"/>
    <x v="370"/>
    <x v="131"/>
    <n v="0"/>
    <n v="5.5"/>
    <n v="0"/>
    <n v="0"/>
    <n v="0"/>
    <n v="0"/>
    <n v="0"/>
    <n v="0"/>
    <x v="734"/>
    <x v="666"/>
    <n v="161646"/>
    <x v="33"/>
    <x v="16"/>
    <n v="0"/>
    <n v="18"/>
    <n v="29"/>
  </r>
  <r>
    <x v="0"/>
    <x v="110"/>
    <x v="6"/>
    <x v="159"/>
    <x v="62"/>
    <n v="0"/>
    <n v="0.9"/>
    <n v="0"/>
    <n v="0"/>
    <n v="0"/>
    <n v="0"/>
    <n v="0"/>
    <n v="0"/>
    <x v="185"/>
    <x v="49"/>
    <n v="47048"/>
    <x v="0"/>
    <x v="0"/>
    <n v="0"/>
    <n v="80"/>
    <n v="200"/>
  </r>
  <r>
    <x v="0"/>
    <x v="14"/>
    <x v="6"/>
    <x v="800"/>
    <x v="116"/>
    <n v="0"/>
    <n v="8.1999999999999993"/>
    <n v="0"/>
    <n v="0"/>
    <n v="0"/>
    <n v="0"/>
    <n v="0"/>
    <n v="0"/>
    <x v="716"/>
    <x v="650"/>
    <n v="0"/>
    <x v="18"/>
    <x v="0"/>
    <n v="0"/>
    <n v="80"/>
    <n v="200"/>
  </r>
  <r>
    <x v="1"/>
    <x v="85"/>
    <x v="4"/>
    <x v="203"/>
    <x v="721"/>
    <n v="0"/>
    <n v="1.1000000000000001"/>
    <n v="0"/>
    <n v="0"/>
    <n v="0"/>
    <n v="0"/>
    <n v="0"/>
    <n v="0"/>
    <x v="765"/>
    <x v="694"/>
    <n v="3456"/>
    <x v="18"/>
    <x v="7"/>
    <n v="0"/>
    <n v="12"/>
    <n v="17"/>
  </r>
  <r>
    <x v="0"/>
    <x v="59"/>
    <x v="5"/>
    <x v="18"/>
    <x v="2"/>
    <n v="0"/>
    <n v="0"/>
    <n v="0"/>
    <n v="0"/>
    <n v="0"/>
    <n v="0"/>
    <n v="0"/>
    <n v="0"/>
    <x v="183"/>
    <x v="179"/>
    <n v="0"/>
    <x v="1"/>
    <x v="1"/>
    <n v="0"/>
    <n v="30"/>
    <n v="49"/>
  </r>
  <r>
    <x v="2"/>
    <x v="128"/>
    <x v="7"/>
    <x v="456"/>
    <x v="369"/>
    <n v="53"/>
    <n v="0.8"/>
    <n v="0.8"/>
    <n v="0"/>
    <n v="0"/>
    <n v="0"/>
    <n v="0"/>
    <n v="0"/>
    <x v="1059"/>
    <x v="760"/>
    <n v="171720"/>
    <x v="91"/>
    <x v="97"/>
    <n v="91"/>
    <n v="65"/>
    <n v="79"/>
  </r>
  <r>
    <x v="1"/>
    <x v="139"/>
    <x v="3"/>
    <x v="197"/>
    <x v="2"/>
    <n v="0"/>
    <n v="0"/>
    <n v="0"/>
    <n v="0"/>
    <n v="0"/>
    <n v="0"/>
    <n v="0"/>
    <n v="0"/>
    <x v="1060"/>
    <x v="249"/>
    <n v="161700"/>
    <x v="0"/>
    <x v="1"/>
    <n v="0"/>
    <n v="18"/>
    <n v="29"/>
  </r>
  <r>
    <x v="2"/>
    <x v="90"/>
    <x v="1"/>
    <x v="1048"/>
    <x v="722"/>
    <n v="293.39999999999998"/>
    <n v="2.7"/>
    <n v="1.5"/>
    <n v="0"/>
    <n v="0"/>
    <n v="0"/>
    <n v="0"/>
    <n v="0"/>
    <x v="276"/>
    <x v="261"/>
    <n v="236190"/>
    <x v="212"/>
    <x v="115"/>
    <n v="693"/>
    <n v="50"/>
    <n v="64"/>
  </r>
  <r>
    <x v="1"/>
    <x v="44"/>
    <x v="2"/>
    <x v="212"/>
    <x v="2"/>
    <n v="0"/>
    <n v="0"/>
    <n v="0"/>
    <n v="0"/>
    <n v="0"/>
    <n v="0"/>
    <n v="0"/>
    <n v="0"/>
    <x v="897"/>
    <x v="808"/>
    <n v="0"/>
    <x v="1"/>
    <x v="1"/>
    <n v="0"/>
    <n v="5"/>
    <n v="11"/>
  </r>
  <r>
    <x v="1"/>
    <x v="18"/>
    <x v="5"/>
    <x v="182"/>
    <x v="116"/>
    <n v="3.3"/>
    <n v="8.9"/>
    <n v="5.6"/>
    <n v="0"/>
    <n v="0"/>
    <n v="0"/>
    <n v="0"/>
    <n v="0"/>
    <x v="804"/>
    <x v="731"/>
    <n v="336241"/>
    <x v="56"/>
    <x v="48"/>
    <n v="11"/>
    <n v="30"/>
    <n v="49"/>
  </r>
  <r>
    <x v="0"/>
    <x v="26"/>
    <x v="4"/>
    <x v="2"/>
    <x v="2"/>
    <n v="0"/>
    <n v="0"/>
    <n v="0"/>
    <n v="0"/>
    <n v="0"/>
    <n v="0"/>
    <n v="0"/>
    <n v="0"/>
    <x v="82"/>
    <x v="82"/>
    <n v="44538"/>
    <x v="2"/>
    <x v="1"/>
    <n v="0"/>
    <n v="12"/>
    <n v="17"/>
  </r>
  <r>
    <x v="0"/>
    <x v="72"/>
    <x v="7"/>
    <x v="2"/>
    <x v="2"/>
    <n v="0"/>
    <n v="0"/>
    <n v="0"/>
    <n v="0"/>
    <n v="0"/>
    <n v="0"/>
    <n v="0"/>
    <n v="0"/>
    <x v="1028"/>
    <x v="836"/>
    <n v="171728"/>
    <x v="2"/>
    <x v="1"/>
    <n v="0"/>
    <n v="65"/>
    <n v="79"/>
  </r>
  <r>
    <x v="1"/>
    <x v="23"/>
    <x v="5"/>
    <x v="564"/>
    <x v="53"/>
    <n v="4.3"/>
    <n v="3.1"/>
    <n v="3.8"/>
    <n v="0"/>
    <n v="0"/>
    <n v="0"/>
    <n v="0"/>
    <n v="0"/>
    <x v="1061"/>
    <x v="940"/>
    <n v="347113"/>
    <x v="34"/>
    <x v="75"/>
    <n v="15"/>
    <n v="30"/>
    <n v="49"/>
  </r>
  <r>
    <x v="2"/>
    <x v="59"/>
    <x v="4"/>
    <x v="1049"/>
    <x v="723"/>
    <n v="0"/>
    <n v="6.7"/>
    <n v="0"/>
    <n v="0"/>
    <n v="0"/>
    <n v="0"/>
    <n v="0"/>
    <n v="0"/>
    <x v="655"/>
    <x v="596"/>
    <n v="0"/>
    <x v="312"/>
    <x v="27"/>
    <n v="0"/>
    <n v="12"/>
    <n v="17"/>
  </r>
  <r>
    <x v="1"/>
    <x v="22"/>
    <x v="2"/>
    <x v="2"/>
    <x v="17"/>
    <n v="0"/>
    <n v="0"/>
    <n v="0"/>
    <n v="0"/>
    <n v="0"/>
    <n v="0"/>
    <n v="0"/>
    <n v="0"/>
    <x v="576"/>
    <x v="529"/>
    <n v="21125"/>
    <x v="2"/>
    <x v="0"/>
    <n v="0"/>
    <n v="5"/>
    <n v="11"/>
  </r>
  <r>
    <x v="2"/>
    <x v="105"/>
    <x v="8"/>
    <x v="1050"/>
    <x v="17"/>
    <n v="0"/>
    <n v="152.19999999999999"/>
    <n v="0"/>
    <n v="0"/>
    <n v="0"/>
    <n v="0"/>
    <n v="0"/>
    <n v="0"/>
    <x v="28"/>
    <x v="28"/>
    <n v="0"/>
    <x v="96"/>
    <x v="11"/>
    <n v="0"/>
    <n v="0"/>
    <n v="4"/>
  </r>
  <r>
    <x v="2"/>
    <x v="56"/>
    <x v="1"/>
    <x v="1051"/>
    <x v="724"/>
    <n v="52.3"/>
    <n v="2.6"/>
    <n v="1.4"/>
    <n v="0"/>
    <n v="0"/>
    <n v="0"/>
    <n v="0"/>
    <n v="0"/>
    <x v="694"/>
    <x v="630"/>
    <n v="225645"/>
    <x v="118"/>
    <x v="265"/>
    <n v="118"/>
    <n v="50"/>
    <n v="64"/>
  </r>
  <r>
    <x v="1"/>
    <x v="25"/>
    <x v="2"/>
    <x v="212"/>
    <x v="2"/>
    <n v="0"/>
    <n v="0"/>
    <n v="0"/>
    <n v="0"/>
    <n v="0"/>
    <n v="0"/>
    <n v="0"/>
    <n v="0"/>
    <x v="524"/>
    <x v="479"/>
    <n v="0"/>
    <x v="1"/>
    <x v="1"/>
    <n v="0"/>
    <n v="5"/>
    <n v="11"/>
  </r>
  <r>
    <x v="0"/>
    <x v="133"/>
    <x v="1"/>
    <x v="115"/>
    <x v="2"/>
    <n v="0"/>
    <n v="0"/>
    <n v="0"/>
    <n v="0"/>
    <n v="0"/>
    <n v="0"/>
    <n v="0"/>
    <n v="0"/>
    <x v="809"/>
    <x v="736"/>
    <n v="0"/>
    <x v="27"/>
    <x v="1"/>
    <n v="0"/>
    <n v="50"/>
    <n v="64"/>
  </r>
  <r>
    <x v="2"/>
    <x v="59"/>
    <x v="1"/>
    <x v="1052"/>
    <x v="725"/>
    <n v="0"/>
    <n v="3.5"/>
    <n v="0"/>
    <n v="0"/>
    <n v="0"/>
    <n v="0"/>
    <n v="0"/>
    <n v="0"/>
    <x v="412"/>
    <x v="386"/>
    <n v="0"/>
    <x v="419"/>
    <x v="256"/>
    <n v="0"/>
    <n v="50"/>
    <n v="64"/>
  </r>
  <r>
    <x v="0"/>
    <x v="39"/>
    <x v="1"/>
    <x v="26"/>
    <x v="2"/>
    <n v="0.4"/>
    <n v="0"/>
    <n v="6.5"/>
    <n v="0"/>
    <n v="0"/>
    <n v="0"/>
    <n v="0"/>
    <n v="0"/>
    <x v="893"/>
    <x v="804"/>
    <n v="246614"/>
    <x v="1"/>
    <x v="1"/>
    <n v="1"/>
    <n v="50"/>
    <n v="64"/>
  </r>
  <r>
    <x v="2"/>
    <x v="59"/>
    <x v="3"/>
    <x v="1053"/>
    <x v="726"/>
    <n v="0"/>
    <n v="2.8"/>
    <n v="0"/>
    <n v="0"/>
    <n v="0"/>
    <n v="0"/>
    <n v="0"/>
    <n v="0"/>
    <x v="61"/>
    <x v="61"/>
    <n v="0"/>
    <x v="428"/>
    <x v="334"/>
    <n v="0"/>
    <n v="18"/>
    <n v="29"/>
  </r>
  <r>
    <x v="1"/>
    <x v="90"/>
    <x v="7"/>
    <x v="842"/>
    <x v="612"/>
    <n v="15.8"/>
    <n v="1.7"/>
    <n v="1.7"/>
    <n v="0"/>
    <n v="0"/>
    <n v="0"/>
    <n v="0"/>
    <n v="0"/>
    <x v="120"/>
    <x v="119"/>
    <n v="164773"/>
    <x v="16"/>
    <x v="5"/>
    <n v="26"/>
    <n v="65"/>
    <n v="79"/>
  </r>
  <r>
    <x v="0"/>
    <x v="133"/>
    <x v="4"/>
    <x v="2"/>
    <x v="2"/>
    <n v="0"/>
    <n v="0"/>
    <n v="0"/>
    <n v="0"/>
    <n v="0"/>
    <n v="0"/>
    <n v="0"/>
    <n v="0"/>
    <x v="781"/>
    <x v="28"/>
    <n v="0"/>
    <x v="2"/>
    <x v="1"/>
    <n v="0"/>
    <n v="12"/>
    <n v="17"/>
  </r>
  <r>
    <x v="1"/>
    <x v="24"/>
    <x v="8"/>
    <x v="43"/>
    <x v="2"/>
    <n v="0"/>
    <n v="0"/>
    <n v="0"/>
    <n v="0"/>
    <n v="0"/>
    <n v="0"/>
    <n v="0"/>
    <n v="0"/>
    <x v="28"/>
    <x v="28"/>
    <n v="0"/>
    <x v="18"/>
    <x v="1"/>
    <n v="0"/>
    <n v="0"/>
    <n v="4"/>
  </r>
  <r>
    <x v="0"/>
    <x v="49"/>
    <x v="3"/>
    <x v="2"/>
    <x v="2"/>
    <n v="0"/>
    <n v="0"/>
    <n v="0"/>
    <n v="0"/>
    <n v="0"/>
    <n v="0"/>
    <n v="0"/>
    <n v="0"/>
    <x v="1023"/>
    <x v="795"/>
    <n v="161716"/>
    <x v="2"/>
    <x v="1"/>
    <n v="0"/>
    <n v="18"/>
    <n v="29"/>
  </r>
  <r>
    <x v="2"/>
    <x v="127"/>
    <x v="2"/>
    <x v="1054"/>
    <x v="727"/>
    <n v="0"/>
    <n v="0.9"/>
    <n v="0"/>
    <n v="0"/>
    <n v="0"/>
    <n v="0"/>
    <n v="0"/>
    <n v="0"/>
    <x v="418"/>
    <x v="390"/>
    <n v="0"/>
    <x v="429"/>
    <x v="335"/>
    <n v="0"/>
    <n v="5"/>
    <n v="11"/>
  </r>
  <r>
    <x v="2"/>
    <x v="131"/>
    <x v="7"/>
    <x v="305"/>
    <x v="483"/>
    <n v="7.8"/>
    <n v="1.9"/>
    <n v="11.1"/>
    <n v="0"/>
    <n v="0"/>
    <n v="0"/>
    <n v="0"/>
    <n v="0"/>
    <x v="955"/>
    <x v="858"/>
    <n v="25507"/>
    <x v="23"/>
    <x v="117"/>
    <n v="2"/>
    <n v="65"/>
    <n v="79"/>
  </r>
  <r>
    <x v="2"/>
    <x v="118"/>
    <x v="2"/>
    <x v="1055"/>
    <x v="728"/>
    <n v="0"/>
    <n v="0.4"/>
    <n v="0"/>
    <n v="0"/>
    <n v="0"/>
    <n v="0"/>
    <n v="0"/>
    <n v="0"/>
    <x v="230"/>
    <x v="220"/>
    <n v="0"/>
    <x v="118"/>
    <x v="24"/>
    <n v="0"/>
    <n v="5"/>
    <n v="11"/>
  </r>
  <r>
    <x v="2"/>
    <x v="61"/>
    <x v="6"/>
    <x v="1056"/>
    <x v="22"/>
    <n v="148.5"/>
    <n v="0.7"/>
    <n v="0.4"/>
    <n v="0"/>
    <n v="0"/>
    <n v="0"/>
    <n v="0"/>
    <n v="0"/>
    <x v="904"/>
    <x v="353"/>
    <n v="47134"/>
    <x v="91"/>
    <x v="17"/>
    <n v="70"/>
    <n v="80"/>
    <n v="200"/>
  </r>
  <r>
    <x v="2"/>
    <x v="46"/>
    <x v="0"/>
    <x v="1057"/>
    <x v="729"/>
    <n v="63.8"/>
    <n v="2.2999999999999998"/>
    <n v="1.5"/>
    <n v="116"/>
    <n v="44.1"/>
    <n v="49.5"/>
    <n v="2.6"/>
    <n v="2.2999999999999998"/>
    <x v="1062"/>
    <x v="941"/>
    <n v="1049342"/>
    <x v="335"/>
    <x v="336"/>
    <n v="670"/>
    <n v="999"/>
    <n v="999"/>
  </r>
  <r>
    <x v="2"/>
    <x v="14"/>
    <x v="5"/>
    <x v="660"/>
    <x v="10"/>
    <n v="0"/>
    <n v="12.2"/>
    <n v="0"/>
    <n v="0"/>
    <n v="0"/>
    <n v="0"/>
    <n v="0"/>
    <n v="0"/>
    <x v="695"/>
    <x v="631"/>
    <n v="0"/>
    <x v="181"/>
    <x v="43"/>
    <n v="0"/>
    <n v="30"/>
    <n v="49"/>
  </r>
  <r>
    <x v="1"/>
    <x v="43"/>
    <x v="8"/>
    <x v="2"/>
    <x v="2"/>
    <n v="0"/>
    <n v="0"/>
    <n v="0"/>
    <n v="0"/>
    <n v="0"/>
    <n v="0"/>
    <n v="0"/>
    <n v="0"/>
    <x v="28"/>
    <x v="28"/>
    <n v="0"/>
    <x v="2"/>
    <x v="1"/>
    <n v="0"/>
    <n v="0"/>
    <n v="4"/>
  </r>
  <r>
    <x v="1"/>
    <x v="115"/>
    <x v="7"/>
    <x v="370"/>
    <x v="392"/>
    <n v="5"/>
    <n v="0.6"/>
    <n v="2.1"/>
    <n v="0"/>
    <n v="0"/>
    <n v="0"/>
    <n v="0"/>
    <n v="0"/>
    <x v="878"/>
    <x v="793"/>
    <n v="161284"/>
    <x v="13"/>
    <x v="5"/>
    <n v="8"/>
    <n v="65"/>
    <n v="79"/>
  </r>
  <r>
    <x v="0"/>
    <x v="7"/>
    <x v="5"/>
    <x v="75"/>
    <x v="2"/>
    <n v="0"/>
    <n v="0"/>
    <n v="0"/>
    <n v="0"/>
    <n v="0"/>
    <n v="0"/>
    <n v="0"/>
    <n v="0"/>
    <x v="7"/>
    <x v="7"/>
    <n v="103054"/>
    <x v="20"/>
    <x v="1"/>
    <n v="0"/>
    <n v="30"/>
    <n v="49"/>
  </r>
  <r>
    <x v="0"/>
    <x v="128"/>
    <x v="7"/>
    <x v="2"/>
    <x v="2"/>
    <n v="0"/>
    <n v="0"/>
    <n v="0"/>
    <n v="0"/>
    <n v="0"/>
    <n v="0"/>
    <n v="0"/>
    <n v="0"/>
    <x v="1059"/>
    <x v="760"/>
    <n v="171720"/>
    <x v="2"/>
    <x v="1"/>
    <n v="0"/>
    <n v="65"/>
    <n v="79"/>
  </r>
  <r>
    <x v="1"/>
    <x v="121"/>
    <x v="5"/>
    <x v="46"/>
    <x v="49"/>
    <n v="0"/>
    <n v="28.7"/>
    <n v="0"/>
    <n v="0"/>
    <n v="0"/>
    <n v="0"/>
    <n v="0"/>
    <n v="0"/>
    <x v="954"/>
    <x v="857"/>
    <n v="0"/>
    <x v="115"/>
    <x v="11"/>
    <n v="0"/>
    <n v="30"/>
    <n v="49"/>
  </r>
  <r>
    <x v="1"/>
    <x v="54"/>
    <x v="5"/>
    <x v="1"/>
    <x v="2"/>
    <n v="0.9"/>
    <n v="0"/>
    <n v="3.2"/>
    <n v="0"/>
    <n v="0"/>
    <n v="0"/>
    <n v="0"/>
    <n v="0"/>
    <x v="536"/>
    <x v="491"/>
    <n v="348149"/>
    <x v="45"/>
    <x v="1"/>
    <n v="3"/>
    <n v="30"/>
    <n v="49"/>
  </r>
  <r>
    <x v="2"/>
    <x v="84"/>
    <x v="1"/>
    <x v="1058"/>
    <x v="39"/>
    <n v="47.4"/>
    <n v="4.8"/>
    <n v="2.2000000000000002"/>
    <n v="0"/>
    <n v="0"/>
    <n v="0"/>
    <n v="0"/>
    <n v="0"/>
    <x v="368"/>
    <x v="344"/>
    <n v="246950"/>
    <x v="118"/>
    <x v="27"/>
    <n v="117"/>
    <n v="50"/>
    <n v="64"/>
  </r>
  <r>
    <x v="1"/>
    <x v="23"/>
    <x v="6"/>
    <x v="1059"/>
    <x v="543"/>
    <n v="59.4"/>
    <n v="0.5"/>
    <n v="0.9"/>
    <n v="0"/>
    <n v="0"/>
    <n v="0"/>
    <n v="0"/>
    <n v="0"/>
    <x v="1063"/>
    <x v="766"/>
    <n v="47102"/>
    <x v="35"/>
    <x v="38"/>
    <n v="28"/>
    <n v="80"/>
    <n v="200"/>
  </r>
  <r>
    <x v="0"/>
    <x v="30"/>
    <x v="4"/>
    <x v="2"/>
    <x v="2"/>
    <n v="0"/>
    <n v="0"/>
    <n v="0"/>
    <n v="0"/>
    <n v="0"/>
    <n v="0"/>
    <n v="0"/>
    <n v="0"/>
    <x v="933"/>
    <x v="837"/>
    <n v="44506"/>
    <x v="2"/>
    <x v="1"/>
    <n v="0"/>
    <n v="12"/>
    <n v="17"/>
  </r>
  <r>
    <x v="0"/>
    <x v="41"/>
    <x v="6"/>
    <x v="117"/>
    <x v="327"/>
    <n v="2.1"/>
    <n v="0.9"/>
    <n v="3.6"/>
    <n v="0"/>
    <n v="0"/>
    <n v="0"/>
    <n v="0"/>
    <n v="0"/>
    <x v="1001"/>
    <x v="895"/>
    <n v="46650"/>
    <x v="0"/>
    <x v="0"/>
    <n v="1"/>
    <n v="80"/>
    <n v="200"/>
  </r>
  <r>
    <x v="0"/>
    <x v="58"/>
    <x v="2"/>
    <x v="2"/>
    <x v="2"/>
    <n v="0"/>
    <n v="0"/>
    <n v="0"/>
    <n v="0"/>
    <n v="0"/>
    <n v="0"/>
    <n v="0"/>
    <n v="0"/>
    <x v="107"/>
    <x v="106"/>
    <n v="21068"/>
    <x v="2"/>
    <x v="1"/>
    <n v="0"/>
    <n v="5"/>
    <n v="11"/>
  </r>
  <r>
    <x v="2"/>
    <x v="96"/>
    <x v="2"/>
    <x v="1060"/>
    <x v="730"/>
    <n v="193.3"/>
    <n v="0.8"/>
    <n v="0.5"/>
    <n v="0"/>
    <n v="0"/>
    <n v="0"/>
    <n v="0"/>
    <n v="0"/>
    <x v="213"/>
    <x v="205"/>
    <n v="21210"/>
    <x v="229"/>
    <x v="195"/>
    <n v="41"/>
    <n v="5"/>
    <n v="11"/>
  </r>
  <r>
    <x v="1"/>
    <x v="45"/>
    <x v="3"/>
    <x v="201"/>
    <x v="131"/>
    <n v="0"/>
    <n v="5.7"/>
    <n v="0"/>
    <n v="0"/>
    <n v="0"/>
    <n v="0"/>
    <n v="0"/>
    <n v="0"/>
    <x v="142"/>
    <x v="140"/>
    <n v="0"/>
    <x v="66"/>
    <x v="11"/>
    <n v="0"/>
    <n v="18"/>
    <n v="29"/>
  </r>
  <r>
    <x v="2"/>
    <x v="22"/>
    <x v="2"/>
    <x v="1061"/>
    <x v="731"/>
    <n v="189.3"/>
    <n v="0.9"/>
    <n v="0.9"/>
    <n v="0"/>
    <n v="0"/>
    <n v="0"/>
    <n v="0"/>
    <n v="0"/>
    <x v="576"/>
    <x v="529"/>
    <n v="21125"/>
    <x v="201"/>
    <x v="337"/>
    <n v="40"/>
    <n v="5"/>
    <n v="11"/>
  </r>
  <r>
    <x v="1"/>
    <x v="72"/>
    <x v="7"/>
    <x v="628"/>
    <x v="237"/>
    <n v="8.6999999999999993"/>
    <n v="1.1000000000000001"/>
    <n v="1.7"/>
    <n v="0"/>
    <n v="0"/>
    <n v="0"/>
    <n v="0"/>
    <n v="0"/>
    <x v="1028"/>
    <x v="836"/>
    <n v="171728"/>
    <x v="18"/>
    <x v="48"/>
    <n v="15"/>
    <n v="65"/>
    <n v="79"/>
  </r>
  <r>
    <x v="2"/>
    <x v="128"/>
    <x v="5"/>
    <x v="1062"/>
    <x v="39"/>
    <n v="31.1"/>
    <n v="2.1"/>
    <n v="1.5"/>
    <n v="0"/>
    <n v="0"/>
    <n v="0"/>
    <n v="0"/>
    <n v="0"/>
    <x v="282"/>
    <x v="266"/>
    <n v="347288"/>
    <x v="39"/>
    <x v="111"/>
    <n v="108"/>
    <n v="30"/>
    <n v="49"/>
  </r>
  <r>
    <x v="1"/>
    <x v="24"/>
    <x v="2"/>
    <x v="2"/>
    <x v="2"/>
    <n v="4.7"/>
    <n v="0"/>
    <n v="0"/>
    <n v="0"/>
    <n v="0"/>
    <n v="0"/>
    <n v="0"/>
    <n v="0"/>
    <x v="26"/>
    <x v="26"/>
    <n v="21260"/>
    <x v="2"/>
    <x v="1"/>
    <n v="1"/>
    <n v="5"/>
    <n v="11"/>
  </r>
  <r>
    <x v="2"/>
    <x v="2"/>
    <x v="4"/>
    <x v="1063"/>
    <x v="732"/>
    <n v="122.5"/>
    <n v="2.5"/>
    <n v="2.2000000000000002"/>
    <n v="0"/>
    <n v="0"/>
    <n v="0"/>
    <n v="0"/>
    <n v="0"/>
    <x v="565"/>
    <x v="519"/>
    <n v="44085"/>
    <x v="195"/>
    <x v="171"/>
    <n v="54"/>
    <n v="12"/>
    <n v="17"/>
  </r>
  <r>
    <x v="2"/>
    <x v="10"/>
    <x v="0"/>
    <x v="1064"/>
    <x v="717"/>
    <n v="125.8"/>
    <n v="1.8"/>
    <n v="1.1000000000000001"/>
    <n v="173.1"/>
    <n v="86.1"/>
    <n v="100"/>
    <n v="2"/>
    <n v="1.7"/>
    <x v="10"/>
    <x v="10"/>
    <n v="1040154"/>
    <x v="430"/>
    <x v="338"/>
    <n v="1309"/>
    <n v="999"/>
    <n v="999"/>
  </r>
  <r>
    <x v="0"/>
    <x v="115"/>
    <x v="7"/>
    <x v="2"/>
    <x v="77"/>
    <n v="0.6"/>
    <n v="0"/>
    <n v="0"/>
    <n v="0"/>
    <n v="0"/>
    <n v="0"/>
    <n v="0"/>
    <n v="0"/>
    <x v="878"/>
    <x v="793"/>
    <n v="161284"/>
    <x v="2"/>
    <x v="0"/>
    <n v="1"/>
    <n v="65"/>
    <n v="79"/>
  </r>
  <r>
    <x v="0"/>
    <x v="139"/>
    <x v="0"/>
    <x v="2"/>
    <x v="2"/>
    <n v="0.2"/>
    <n v="0"/>
    <n v="0"/>
    <n v="0"/>
    <n v="0"/>
    <n v="0.1"/>
    <n v="0"/>
    <n v="0"/>
    <x v="540"/>
    <x v="495"/>
    <n v="1040720"/>
    <x v="2"/>
    <x v="1"/>
    <n v="2"/>
    <n v="999"/>
    <n v="999"/>
  </r>
  <r>
    <x v="0"/>
    <x v="35"/>
    <x v="4"/>
    <x v="2"/>
    <x v="2"/>
    <n v="0"/>
    <n v="0"/>
    <n v="0"/>
    <n v="0"/>
    <n v="0"/>
    <n v="0"/>
    <n v="0"/>
    <n v="0"/>
    <x v="298"/>
    <x v="281"/>
    <n v="44661"/>
    <x v="2"/>
    <x v="1"/>
    <n v="0"/>
    <n v="12"/>
    <n v="17"/>
  </r>
  <r>
    <x v="0"/>
    <x v="56"/>
    <x v="2"/>
    <x v="2"/>
    <x v="2"/>
    <n v="0"/>
    <n v="0"/>
    <n v="0"/>
    <n v="0"/>
    <n v="0"/>
    <n v="0"/>
    <n v="0"/>
    <n v="0"/>
    <x v="534"/>
    <x v="489"/>
    <n v="0"/>
    <x v="2"/>
    <x v="1"/>
    <n v="0"/>
    <n v="5"/>
    <n v="11"/>
  </r>
  <r>
    <x v="0"/>
    <x v="5"/>
    <x v="0"/>
    <x v="417"/>
    <x v="87"/>
    <n v="0"/>
    <n v="10.7"/>
    <n v="0"/>
    <n v="4.5"/>
    <n v="0.2"/>
    <n v="0"/>
    <n v="22.6"/>
    <n v="0"/>
    <x v="894"/>
    <x v="805"/>
    <n v="0"/>
    <x v="75"/>
    <x v="16"/>
    <n v="0"/>
    <n v="999"/>
    <n v="999"/>
  </r>
  <r>
    <x v="2"/>
    <x v="1"/>
    <x v="3"/>
    <x v="978"/>
    <x v="483"/>
    <n v="59.4"/>
    <n v="3.3"/>
    <n v="2.5"/>
    <n v="0"/>
    <n v="0"/>
    <n v="0"/>
    <n v="0"/>
    <n v="0"/>
    <x v="963"/>
    <x v="864"/>
    <n v="161643"/>
    <x v="431"/>
    <x v="195"/>
    <n v="96"/>
    <n v="18"/>
    <n v="29"/>
  </r>
  <r>
    <x v="0"/>
    <x v="70"/>
    <x v="4"/>
    <x v="2"/>
    <x v="2"/>
    <n v="0"/>
    <n v="0"/>
    <n v="0"/>
    <n v="0"/>
    <n v="0"/>
    <n v="0"/>
    <n v="0"/>
    <n v="0"/>
    <x v="83"/>
    <x v="83"/>
    <n v="44572"/>
    <x v="2"/>
    <x v="1"/>
    <n v="0"/>
    <n v="12"/>
    <n v="17"/>
  </r>
  <r>
    <x v="0"/>
    <x v="92"/>
    <x v="0"/>
    <x v="113"/>
    <x v="2"/>
    <n v="0.1"/>
    <n v="0"/>
    <n v="2"/>
    <n v="0.1"/>
    <n v="0"/>
    <n v="0.1"/>
    <n v="0"/>
    <n v="2.2999999999999998"/>
    <x v="336"/>
    <x v="314"/>
    <n v="1040563"/>
    <x v="1"/>
    <x v="1"/>
    <n v="1"/>
    <n v="999"/>
    <n v="999"/>
  </r>
  <r>
    <x v="1"/>
    <x v="101"/>
    <x v="3"/>
    <x v="300"/>
    <x v="141"/>
    <n v="0.7"/>
    <n v="4.2"/>
    <n v="8.4"/>
    <n v="0"/>
    <n v="0"/>
    <n v="0"/>
    <n v="0"/>
    <n v="0"/>
    <x v="1064"/>
    <x v="942"/>
    <n v="139795"/>
    <x v="18"/>
    <x v="39"/>
    <n v="1"/>
    <n v="18"/>
    <n v="29"/>
  </r>
  <r>
    <x v="0"/>
    <x v="104"/>
    <x v="4"/>
    <x v="2"/>
    <x v="2"/>
    <n v="0"/>
    <n v="0"/>
    <n v="0"/>
    <n v="0"/>
    <n v="0"/>
    <n v="0"/>
    <n v="0"/>
    <n v="0"/>
    <x v="760"/>
    <x v="689"/>
    <n v="0"/>
    <x v="2"/>
    <x v="1"/>
    <n v="0"/>
    <n v="12"/>
    <n v="17"/>
  </r>
  <r>
    <x v="1"/>
    <x v="3"/>
    <x v="4"/>
    <x v="8"/>
    <x v="2"/>
    <n v="0"/>
    <n v="0"/>
    <n v="0"/>
    <n v="0"/>
    <n v="0"/>
    <n v="0"/>
    <n v="0"/>
    <n v="0"/>
    <x v="1065"/>
    <x v="943"/>
    <n v="0"/>
    <x v="0"/>
    <x v="1"/>
    <n v="0"/>
    <n v="12"/>
    <n v="17"/>
  </r>
  <r>
    <x v="0"/>
    <x v="130"/>
    <x v="1"/>
    <x v="92"/>
    <x v="87"/>
    <n v="0"/>
    <n v="15"/>
    <n v="0"/>
    <n v="0"/>
    <n v="0"/>
    <n v="0"/>
    <n v="0"/>
    <n v="0"/>
    <x v="285"/>
    <x v="268"/>
    <n v="0"/>
    <x v="20"/>
    <x v="0"/>
    <n v="0"/>
    <n v="50"/>
    <n v="64"/>
  </r>
  <r>
    <x v="2"/>
    <x v="76"/>
    <x v="8"/>
    <x v="645"/>
    <x v="13"/>
    <n v="0"/>
    <n v="24.7"/>
    <n v="0"/>
    <n v="0"/>
    <n v="0"/>
    <n v="0"/>
    <n v="0"/>
    <n v="0"/>
    <x v="28"/>
    <x v="28"/>
    <n v="0"/>
    <x v="56"/>
    <x v="0"/>
    <n v="0"/>
    <n v="0"/>
    <n v="4"/>
  </r>
  <r>
    <x v="0"/>
    <x v="76"/>
    <x v="8"/>
    <x v="2"/>
    <x v="2"/>
    <n v="0"/>
    <n v="0"/>
    <n v="0"/>
    <n v="0"/>
    <n v="0"/>
    <n v="0"/>
    <n v="0"/>
    <n v="0"/>
    <x v="28"/>
    <x v="28"/>
    <n v="0"/>
    <x v="2"/>
    <x v="1"/>
    <n v="0"/>
    <n v="0"/>
    <n v="4"/>
  </r>
  <r>
    <x v="1"/>
    <x v="36"/>
    <x v="2"/>
    <x v="54"/>
    <x v="17"/>
    <n v="4.7"/>
    <n v="0.9"/>
    <n v="0.2"/>
    <n v="0"/>
    <n v="0"/>
    <n v="0"/>
    <n v="0"/>
    <n v="0"/>
    <x v="1066"/>
    <x v="944"/>
    <n v="21197"/>
    <x v="1"/>
    <x v="0"/>
    <n v="1"/>
    <n v="5"/>
    <n v="11"/>
  </r>
  <r>
    <x v="2"/>
    <x v="66"/>
    <x v="7"/>
    <x v="1065"/>
    <x v="456"/>
    <n v="14.2"/>
    <n v="2.2000000000000002"/>
    <n v="10.9"/>
    <n v="0"/>
    <n v="0"/>
    <n v="0"/>
    <n v="0"/>
    <n v="0"/>
    <x v="1067"/>
    <x v="945"/>
    <n v="56482"/>
    <x v="109"/>
    <x v="197"/>
    <n v="8"/>
    <n v="65"/>
    <n v="79"/>
  </r>
  <r>
    <x v="2"/>
    <x v="89"/>
    <x v="5"/>
    <x v="1066"/>
    <x v="28"/>
    <n v="0"/>
    <n v="2.7"/>
    <n v="0"/>
    <n v="0"/>
    <n v="0"/>
    <n v="0"/>
    <n v="0"/>
    <n v="0"/>
    <x v="631"/>
    <x v="573"/>
    <n v="0"/>
    <x v="170"/>
    <x v="78"/>
    <n v="0"/>
    <n v="30"/>
    <n v="49"/>
  </r>
  <r>
    <x v="0"/>
    <x v="16"/>
    <x v="6"/>
    <x v="1067"/>
    <x v="353"/>
    <n v="11.2"/>
    <n v="1.5"/>
    <n v="5.8"/>
    <n v="0"/>
    <n v="0"/>
    <n v="0"/>
    <n v="0"/>
    <n v="0"/>
    <x v="256"/>
    <x v="245"/>
    <n v="35560"/>
    <x v="8"/>
    <x v="13"/>
    <n v="4"/>
    <n v="80"/>
    <n v="200"/>
  </r>
  <r>
    <x v="0"/>
    <x v="134"/>
    <x v="4"/>
    <x v="2"/>
    <x v="2"/>
    <n v="0"/>
    <n v="0"/>
    <n v="0"/>
    <n v="0"/>
    <n v="0"/>
    <n v="0"/>
    <n v="0"/>
    <n v="0"/>
    <x v="1042"/>
    <x v="926"/>
    <n v="34462"/>
    <x v="2"/>
    <x v="1"/>
    <n v="0"/>
    <n v="12"/>
    <n v="17"/>
  </r>
  <r>
    <x v="0"/>
    <x v="34"/>
    <x v="0"/>
    <x v="251"/>
    <x v="460"/>
    <n v="0.2"/>
    <n v="4.2"/>
    <n v="31.5"/>
    <n v="9.6"/>
    <n v="1.8"/>
    <n v="0.1"/>
    <n v="5.3"/>
    <n v="89.9"/>
    <x v="849"/>
    <x v="769"/>
    <n v="447192"/>
    <x v="23"/>
    <x v="3"/>
    <n v="1"/>
    <n v="999"/>
    <n v="999"/>
  </r>
  <r>
    <x v="2"/>
    <x v="42"/>
    <x v="7"/>
    <x v="577"/>
    <x v="733"/>
    <n v="40.200000000000003"/>
    <n v="0.8"/>
    <n v="0.8"/>
    <n v="0"/>
    <n v="0"/>
    <n v="0"/>
    <n v="0"/>
    <n v="0"/>
    <x v="41"/>
    <x v="41"/>
    <n v="159143"/>
    <x v="91"/>
    <x v="97"/>
    <n v="64"/>
    <n v="65"/>
    <n v="79"/>
  </r>
  <r>
    <x v="0"/>
    <x v="22"/>
    <x v="1"/>
    <x v="2"/>
    <x v="2"/>
    <n v="0"/>
    <n v="0"/>
    <n v="0"/>
    <n v="0"/>
    <n v="0"/>
    <n v="0"/>
    <n v="0"/>
    <n v="0"/>
    <x v="1049"/>
    <x v="931"/>
    <n v="246748"/>
    <x v="2"/>
    <x v="1"/>
    <n v="0"/>
    <n v="50"/>
    <n v="64"/>
  </r>
  <r>
    <x v="1"/>
    <x v="76"/>
    <x v="5"/>
    <x v="212"/>
    <x v="73"/>
    <n v="0.9"/>
    <n v="0.8"/>
    <n v="1"/>
    <n v="0"/>
    <n v="0"/>
    <n v="0"/>
    <n v="0"/>
    <n v="0"/>
    <x v="1017"/>
    <x v="799"/>
    <n v="347302"/>
    <x v="1"/>
    <x v="39"/>
    <n v="3"/>
    <n v="30"/>
    <n v="49"/>
  </r>
  <r>
    <x v="2"/>
    <x v="63"/>
    <x v="6"/>
    <x v="1068"/>
    <x v="734"/>
    <n v="197.5"/>
    <n v="0.8"/>
    <n v="0.7"/>
    <n v="0"/>
    <n v="0"/>
    <n v="0"/>
    <n v="0"/>
    <n v="0"/>
    <x v="125"/>
    <x v="124"/>
    <n v="47086"/>
    <x v="19"/>
    <x v="97"/>
    <n v="93"/>
    <n v="80"/>
    <n v="200"/>
  </r>
  <r>
    <x v="2"/>
    <x v="31"/>
    <x v="0"/>
    <x v="1069"/>
    <x v="735"/>
    <n v="249"/>
    <n v="1.6"/>
    <n v="0.9"/>
    <n v="264.89999999999998"/>
    <n v="133.5"/>
    <n v="214.2"/>
    <n v="2"/>
    <n v="1.2"/>
    <x v="207"/>
    <x v="199"/>
    <n v="997177"/>
    <x v="432"/>
    <x v="339"/>
    <n v="2483"/>
    <n v="999"/>
    <n v="999"/>
  </r>
  <r>
    <x v="2"/>
    <x v="92"/>
    <x v="2"/>
    <x v="1000"/>
    <x v="592"/>
    <n v="4.7"/>
    <n v="1.4"/>
    <n v="4"/>
    <n v="0"/>
    <n v="0"/>
    <n v="0"/>
    <n v="0"/>
    <n v="0"/>
    <x v="905"/>
    <x v="815"/>
    <n v="21223"/>
    <x v="134"/>
    <x v="7"/>
    <n v="1"/>
    <n v="5"/>
    <n v="11"/>
  </r>
  <r>
    <x v="1"/>
    <x v="126"/>
    <x v="1"/>
    <x v="271"/>
    <x v="221"/>
    <n v="4"/>
    <n v="5.2"/>
    <n v="3.1"/>
    <n v="0"/>
    <n v="0"/>
    <n v="0"/>
    <n v="0"/>
    <n v="0"/>
    <x v="962"/>
    <x v="863"/>
    <n v="246942"/>
    <x v="20"/>
    <x v="39"/>
    <n v="10"/>
    <n v="50"/>
    <n v="64"/>
  </r>
  <r>
    <x v="1"/>
    <x v="132"/>
    <x v="4"/>
    <x v="198"/>
    <x v="2"/>
    <n v="0"/>
    <n v="0"/>
    <n v="0"/>
    <n v="0"/>
    <n v="0"/>
    <n v="0"/>
    <n v="0"/>
    <n v="0"/>
    <x v="997"/>
    <x v="891"/>
    <n v="34086"/>
    <x v="45"/>
    <x v="1"/>
    <n v="0"/>
    <n v="12"/>
    <n v="17"/>
  </r>
  <r>
    <x v="0"/>
    <x v="104"/>
    <x v="1"/>
    <x v="117"/>
    <x v="19"/>
    <n v="0"/>
    <n v="19"/>
    <n v="0"/>
    <n v="0"/>
    <n v="0"/>
    <n v="0"/>
    <n v="0"/>
    <n v="0"/>
    <x v="846"/>
    <x v="767"/>
    <n v="63187"/>
    <x v="13"/>
    <x v="0"/>
    <n v="0"/>
    <n v="50"/>
    <n v="64"/>
  </r>
  <r>
    <x v="2"/>
    <x v="139"/>
    <x v="8"/>
    <x v="17"/>
    <x v="17"/>
    <n v="0"/>
    <n v="7.2"/>
    <n v="0"/>
    <n v="0"/>
    <n v="0"/>
    <n v="0"/>
    <n v="0"/>
    <n v="0"/>
    <x v="28"/>
    <x v="28"/>
    <n v="0"/>
    <x v="35"/>
    <x v="11"/>
    <n v="0"/>
    <n v="0"/>
    <n v="4"/>
  </r>
  <r>
    <x v="0"/>
    <x v="71"/>
    <x v="5"/>
    <x v="0"/>
    <x v="2"/>
    <n v="0"/>
    <n v="0"/>
    <n v="0"/>
    <n v="0"/>
    <n v="0"/>
    <n v="0"/>
    <n v="0"/>
    <n v="0"/>
    <x v="153"/>
    <x v="150"/>
    <n v="0"/>
    <x v="1"/>
    <x v="1"/>
    <n v="0"/>
    <n v="30"/>
    <n v="49"/>
  </r>
  <r>
    <x v="1"/>
    <x v="77"/>
    <x v="5"/>
    <x v="63"/>
    <x v="379"/>
    <n v="2.6"/>
    <n v="1.8"/>
    <n v="2.5"/>
    <n v="0"/>
    <n v="0"/>
    <n v="0"/>
    <n v="0"/>
    <n v="0"/>
    <x v="614"/>
    <x v="559"/>
    <n v="347275"/>
    <x v="64"/>
    <x v="17"/>
    <n v="9"/>
    <n v="30"/>
    <n v="49"/>
  </r>
  <r>
    <x v="2"/>
    <x v="73"/>
    <x v="1"/>
    <x v="1070"/>
    <x v="736"/>
    <n v="235.6"/>
    <n v="2.6"/>
    <n v="2"/>
    <n v="0"/>
    <n v="0"/>
    <n v="0"/>
    <n v="0"/>
    <n v="0"/>
    <x v="86"/>
    <x v="86"/>
    <n v="240221"/>
    <x v="433"/>
    <x v="340"/>
    <n v="566"/>
    <n v="50"/>
    <n v="64"/>
  </r>
  <r>
    <x v="0"/>
    <x v="36"/>
    <x v="7"/>
    <x v="2"/>
    <x v="2"/>
    <n v="0"/>
    <n v="0"/>
    <n v="0"/>
    <n v="0"/>
    <n v="0"/>
    <n v="0"/>
    <n v="0"/>
    <n v="0"/>
    <x v="36"/>
    <x v="36"/>
    <n v="171695"/>
    <x v="2"/>
    <x v="1"/>
    <n v="0"/>
    <n v="65"/>
    <n v="79"/>
  </r>
  <r>
    <x v="2"/>
    <x v="124"/>
    <x v="1"/>
    <x v="1071"/>
    <x v="737"/>
    <n v="639.20000000000005"/>
    <n v="2.1"/>
    <n v="3.4"/>
    <n v="0"/>
    <n v="0"/>
    <n v="0"/>
    <n v="0"/>
    <n v="0"/>
    <x v="419"/>
    <x v="391"/>
    <n v="129378"/>
    <x v="434"/>
    <x v="341"/>
    <n v="827"/>
    <n v="50"/>
    <n v="64"/>
  </r>
  <r>
    <x v="1"/>
    <x v="118"/>
    <x v="5"/>
    <x v="205"/>
    <x v="77"/>
    <n v="1.2"/>
    <n v="3.4"/>
    <n v="5.6"/>
    <n v="0"/>
    <n v="0"/>
    <n v="0"/>
    <n v="0"/>
    <n v="0"/>
    <x v="512"/>
    <x v="469"/>
    <n v="320838"/>
    <x v="51"/>
    <x v="48"/>
    <n v="4"/>
    <n v="30"/>
    <n v="49"/>
  </r>
  <r>
    <x v="2"/>
    <x v="40"/>
    <x v="3"/>
    <x v="1072"/>
    <x v="738"/>
    <n v="0"/>
    <n v="3.3"/>
    <n v="0"/>
    <n v="0"/>
    <n v="0"/>
    <n v="0"/>
    <n v="0"/>
    <n v="0"/>
    <x v="1068"/>
    <x v="946"/>
    <n v="0"/>
    <x v="168"/>
    <x v="205"/>
    <n v="0"/>
    <n v="18"/>
    <n v="29"/>
  </r>
  <r>
    <x v="2"/>
    <x v="112"/>
    <x v="7"/>
    <x v="1073"/>
    <x v="386"/>
    <n v="0"/>
    <n v="5.6"/>
    <n v="0"/>
    <n v="0"/>
    <n v="0"/>
    <n v="0"/>
    <n v="0"/>
    <n v="0"/>
    <x v="993"/>
    <x v="887"/>
    <n v="0"/>
    <x v="125"/>
    <x v="25"/>
    <n v="0"/>
    <n v="65"/>
    <n v="79"/>
  </r>
  <r>
    <x v="0"/>
    <x v="124"/>
    <x v="5"/>
    <x v="1"/>
    <x v="2"/>
    <n v="0"/>
    <n v="0"/>
    <n v="0"/>
    <n v="0"/>
    <n v="0"/>
    <n v="0"/>
    <n v="0"/>
    <n v="0"/>
    <x v="800"/>
    <x v="727"/>
    <n v="175179"/>
    <x v="13"/>
    <x v="1"/>
    <n v="0"/>
    <n v="30"/>
    <n v="49"/>
  </r>
  <r>
    <x v="0"/>
    <x v="64"/>
    <x v="2"/>
    <x v="2"/>
    <x v="2"/>
    <n v="0"/>
    <n v="0"/>
    <n v="0"/>
    <n v="0"/>
    <n v="0"/>
    <n v="0"/>
    <n v="0"/>
    <n v="0"/>
    <x v="229"/>
    <x v="219"/>
    <n v="21236"/>
    <x v="2"/>
    <x v="1"/>
    <n v="0"/>
    <n v="5"/>
    <n v="11"/>
  </r>
  <r>
    <x v="1"/>
    <x v="118"/>
    <x v="4"/>
    <x v="26"/>
    <x v="49"/>
    <n v="0"/>
    <n v="2.6"/>
    <n v="0"/>
    <n v="0"/>
    <n v="0"/>
    <n v="0"/>
    <n v="0"/>
    <n v="0"/>
    <x v="916"/>
    <x v="824"/>
    <n v="29614"/>
    <x v="1"/>
    <x v="0"/>
    <n v="0"/>
    <n v="12"/>
    <n v="17"/>
  </r>
  <r>
    <x v="0"/>
    <x v="21"/>
    <x v="1"/>
    <x v="26"/>
    <x v="13"/>
    <n v="0"/>
    <n v="4.3"/>
    <n v="0"/>
    <n v="0"/>
    <n v="0"/>
    <n v="0"/>
    <n v="0"/>
    <n v="0"/>
    <x v="909"/>
    <x v="817"/>
    <n v="0"/>
    <x v="0"/>
    <x v="11"/>
    <n v="0"/>
    <n v="50"/>
    <n v="64"/>
  </r>
  <r>
    <x v="0"/>
    <x v="88"/>
    <x v="5"/>
    <x v="234"/>
    <x v="2"/>
    <n v="0"/>
    <n v="0"/>
    <n v="0"/>
    <n v="0"/>
    <n v="0"/>
    <n v="0"/>
    <n v="0"/>
    <n v="0"/>
    <x v="156"/>
    <x v="153"/>
    <n v="0"/>
    <x v="13"/>
    <x v="1"/>
    <n v="0"/>
    <n v="30"/>
    <n v="49"/>
  </r>
  <r>
    <x v="2"/>
    <x v="63"/>
    <x v="8"/>
    <x v="123"/>
    <x v="176"/>
    <n v="0"/>
    <n v="15.8"/>
    <n v="0"/>
    <n v="0"/>
    <n v="0"/>
    <n v="0"/>
    <n v="0"/>
    <n v="0"/>
    <x v="28"/>
    <x v="28"/>
    <n v="0"/>
    <x v="74"/>
    <x v="5"/>
    <n v="0"/>
    <n v="0"/>
    <n v="4"/>
  </r>
  <r>
    <x v="0"/>
    <x v="116"/>
    <x v="7"/>
    <x v="2"/>
    <x v="2"/>
    <n v="0"/>
    <n v="0"/>
    <n v="0"/>
    <n v="0"/>
    <n v="0"/>
    <n v="0"/>
    <n v="0"/>
    <n v="0"/>
    <x v="421"/>
    <x v="57"/>
    <n v="171755"/>
    <x v="2"/>
    <x v="1"/>
    <n v="0"/>
    <n v="65"/>
    <n v="79"/>
  </r>
  <r>
    <x v="2"/>
    <x v="103"/>
    <x v="4"/>
    <x v="1074"/>
    <x v="255"/>
    <n v="0"/>
    <n v="7.7"/>
    <n v="0"/>
    <n v="0"/>
    <n v="0"/>
    <n v="0"/>
    <n v="0"/>
    <n v="0"/>
    <x v="844"/>
    <x v="821"/>
    <n v="0"/>
    <x v="211"/>
    <x v="39"/>
    <n v="0"/>
    <n v="12"/>
    <n v="17"/>
  </r>
  <r>
    <x v="1"/>
    <x v="63"/>
    <x v="7"/>
    <x v="1075"/>
    <x v="414"/>
    <n v="16.899999999999999"/>
    <n v="1.5"/>
    <n v="3.2"/>
    <n v="0"/>
    <n v="0"/>
    <n v="0"/>
    <n v="0"/>
    <n v="0"/>
    <x v="101"/>
    <x v="100"/>
    <n v="171562"/>
    <x v="87"/>
    <x v="36"/>
    <n v="29"/>
    <n v="65"/>
    <n v="79"/>
  </r>
  <r>
    <x v="1"/>
    <x v="48"/>
    <x v="5"/>
    <x v="1"/>
    <x v="73"/>
    <n v="0.3"/>
    <n v="2.6"/>
    <n v="9.6999999999999993"/>
    <n v="0"/>
    <n v="0"/>
    <n v="0"/>
    <n v="0"/>
    <n v="0"/>
    <x v="1069"/>
    <x v="947"/>
    <n v="347612"/>
    <x v="45"/>
    <x v="39"/>
    <n v="1"/>
    <n v="30"/>
    <n v="49"/>
  </r>
  <r>
    <x v="0"/>
    <x v="86"/>
    <x v="0"/>
    <x v="212"/>
    <x v="0"/>
    <n v="0.6"/>
    <n v="9"/>
    <n v="1.5"/>
    <n v="1.3"/>
    <n v="0.3"/>
    <n v="0.4"/>
    <n v="4.3"/>
    <n v="3.1"/>
    <x v="349"/>
    <x v="326"/>
    <n v="1040190"/>
    <x v="13"/>
    <x v="0"/>
    <n v="6"/>
    <n v="999"/>
    <n v="999"/>
  </r>
  <r>
    <x v="1"/>
    <x v="48"/>
    <x v="4"/>
    <x v="2"/>
    <x v="2"/>
    <n v="0"/>
    <n v="0"/>
    <n v="0"/>
    <n v="0"/>
    <n v="0"/>
    <n v="0"/>
    <n v="0"/>
    <n v="0"/>
    <x v="756"/>
    <x v="686"/>
    <n v="44606"/>
    <x v="2"/>
    <x v="1"/>
    <n v="0"/>
    <n v="12"/>
    <n v="17"/>
  </r>
  <r>
    <x v="0"/>
    <x v="68"/>
    <x v="6"/>
    <x v="43"/>
    <x v="2"/>
    <n v="0"/>
    <n v="0"/>
    <n v="0"/>
    <n v="0"/>
    <n v="0"/>
    <n v="0"/>
    <n v="0"/>
    <n v="0"/>
    <x v="1039"/>
    <x v="923"/>
    <n v="43669"/>
    <x v="1"/>
    <x v="1"/>
    <n v="0"/>
    <n v="80"/>
    <n v="200"/>
  </r>
  <r>
    <x v="0"/>
    <x v="27"/>
    <x v="0"/>
    <x v="2"/>
    <x v="2"/>
    <n v="0.1"/>
    <n v="0"/>
    <n v="0"/>
    <n v="0"/>
    <n v="0"/>
    <n v="0.1"/>
    <n v="0"/>
    <n v="0"/>
    <x v="432"/>
    <x v="403"/>
    <n v="1047121"/>
    <x v="2"/>
    <x v="1"/>
    <n v="1"/>
    <n v="999"/>
    <n v="999"/>
  </r>
  <r>
    <x v="2"/>
    <x v="138"/>
    <x v="7"/>
    <x v="1076"/>
    <x v="547"/>
    <n v="0"/>
    <n v="6.5"/>
    <n v="0"/>
    <n v="0"/>
    <n v="0"/>
    <n v="0"/>
    <n v="0"/>
    <n v="0"/>
    <x v="586"/>
    <x v="536"/>
    <n v="0"/>
    <x v="141"/>
    <x v="28"/>
    <n v="0"/>
    <n v="65"/>
    <n v="79"/>
  </r>
  <r>
    <x v="2"/>
    <x v="7"/>
    <x v="8"/>
    <x v="1077"/>
    <x v="2"/>
    <n v="0"/>
    <n v="0"/>
    <n v="0"/>
    <n v="0"/>
    <n v="0"/>
    <n v="0"/>
    <n v="0"/>
    <n v="0"/>
    <x v="28"/>
    <x v="28"/>
    <n v="0"/>
    <x v="206"/>
    <x v="1"/>
    <n v="0"/>
    <n v="0"/>
    <n v="4"/>
  </r>
  <r>
    <x v="0"/>
    <x v="100"/>
    <x v="3"/>
    <x v="2"/>
    <x v="2"/>
    <n v="0"/>
    <n v="0"/>
    <n v="0"/>
    <n v="0"/>
    <n v="0"/>
    <n v="0"/>
    <n v="0"/>
    <n v="0"/>
    <x v="167"/>
    <x v="164"/>
    <n v="154206"/>
    <x v="2"/>
    <x v="1"/>
    <n v="0"/>
    <n v="18"/>
    <n v="29"/>
  </r>
  <r>
    <x v="0"/>
    <x v="15"/>
    <x v="5"/>
    <x v="2"/>
    <x v="2"/>
    <n v="0"/>
    <n v="0"/>
    <n v="0"/>
    <n v="0"/>
    <n v="0"/>
    <n v="0"/>
    <n v="0"/>
    <n v="0"/>
    <x v="220"/>
    <x v="211"/>
    <n v="344772"/>
    <x v="2"/>
    <x v="1"/>
    <n v="0"/>
    <n v="30"/>
    <n v="49"/>
  </r>
  <r>
    <x v="2"/>
    <x v="90"/>
    <x v="6"/>
    <x v="1078"/>
    <x v="739"/>
    <n v="242"/>
    <n v="0.7"/>
    <n v="0.6"/>
    <n v="0"/>
    <n v="0"/>
    <n v="0"/>
    <n v="0"/>
    <n v="0"/>
    <x v="987"/>
    <x v="883"/>
    <n v="45035"/>
    <x v="42"/>
    <x v="25"/>
    <n v="109"/>
    <n v="80"/>
    <n v="200"/>
  </r>
  <r>
    <x v="1"/>
    <x v="60"/>
    <x v="4"/>
    <x v="2"/>
    <x v="2"/>
    <n v="0"/>
    <n v="0"/>
    <n v="0"/>
    <n v="0"/>
    <n v="0"/>
    <n v="0"/>
    <n v="0"/>
    <n v="0"/>
    <x v="643"/>
    <x v="584"/>
    <n v="18212"/>
    <x v="2"/>
    <x v="1"/>
    <n v="0"/>
    <n v="12"/>
    <n v="17"/>
  </r>
  <r>
    <x v="2"/>
    <x v="39"/>
    <x v="4"/>
    <x v="1060"/>
    <x v="740"/>
    <n v="45"/>
    <n v="1.9"/>
    <n v="2.1"/>
    <n v="0"/>
    <n v="0"/>
    <n v="0"/>
    <n v="0"/>
    <n v="0"/>
    <x v="624"/>
    <x v="568"/>
    <n v="44459"/>
    <x v="75"/>
    <x v="34"/>
    <n v="20"/>
    <n v="12"/>
    <n v="17"/>
  </r>
  <r>
    <x v="1"/>
    <x v="119"/>
    <x v="7"/>
    <x v="869"/>
    <x v="358"/>
    <n v="15.7"/>
    <n v="5.9"/>
    <n v="1.7"/>
    <n v="0"/>
    <n v="0"/>
    <n v="0"/>
    <n v="0"/>
    <n v="0"/>
    <x v="623"/>
    <x v="567"/>
    <n v="172402"/>
    <x v="24"/>
    <x v="11"/>
    <n v="27"/>
    <n v="65"/>
    <n v="79"/>
  </r>
  <r>
    <x v="1"/>
    <x v="3"/>
    <x v="7"/>
    <x v="29"/>
    <x v="35"/>
    <n v="1.4"/>
    <n v="5.7"/>
    <n v="58.3"/>
    <n v="0"/>
    <n v="0"/>
    <n v="0"/>
    <n v="0"/>
    <n v="0"/>
    <x v="301"/>
    <x v="284"/>
    <n v="69658"/>
    <x v="128"/>
    <x v="130"/>
    <n v="1"/>
    <n v="65"/>
    <n v="79"/>
  </r>
  <r>
    <x v="1"/>
    <x v="32"/>
    <x v="6"/>
    <x v="200"/>
    <x v="741"/>
    <n v="63.7"/>
    <n v="0.8"/>
    <n v="1.3"/>
    <n v="0"/>
    <n v="0"/>
    <n v="0"/>
    <n v="0"/>
    <n v="0"/>
    <x v="388"/>
    <x v="207"/>
    <n v="47096"/>
    <x v="29"/>
    <x v="23"/>
    <n v="30"/>
    <n v="80"/>
    <n v="200"/>
  </r>
  <r>
    <x v="1"/>
    <x v="101"/>
    <x v="2"/>
    <x v="212"/>
    <x v="2"/>
    <n v="0"/>
    <n v="0"/>
    <n v="0"/>
    <n v="0"/>
    <n v="0"/>
    <n v="0"/>
    <n v="0"/>
    <n v="0"/>
    <x v="1070"/>
    <x v="948"/>
    <n v="0"/>
    <x v="1"/>
    <x v="1"/>
    <n v="0"/>
    <n v="5"/>
    <n v="11"/>
  </r>
  <r>
    <x v="1"/>
    <x v="56"/>
    <x v="4"/>
    <x v="2"/>
    <x v="2"/>
    <n v="0"/>
    <n v="0"/>
    <n v="0"/>
    <n v="0"/>
    <n v="0"/>
    <n v="0"/>
    <n v="0"/>
    <n v="0"/>
    <x v="1050"/>
    <x v="932"/>
    <n v="30389"/>
    <x v="2"/>
    <x v="1"/>
    <n v="0"/>
    <n v="12"/>
    <n v="17"/>
  </r>
  <r>
    <x v="2"/>
    <x v="20"/>
    <x v="3"/>
    <x v="1079"/>
    <x v="666"/>
    <n v="0"/>
    <n v="2.4"/>
    <n v="0"/>
    <n v="0"/>
    <n v="0"/>
    <n v="0"/>
    <n v="0"/>
    <n v="0"/>
    <x v="719"/>
    <x v="652"/>
    <n v="0"/>
    <x v="83"/>
    <x v="258"/>
    <n v="0"/>
    <n v="18"/>
    <n v="29"/>
  </r>
  <r>
    <x v="1"/>
    <x v="54"/>
    <x v="7"/>
    <x v="365"/>
    <x v="488"/>
    <n v="9.9"/>
    <n v="0.9"/>
    <n v="0.8"/>
    <n v="0"/>
    <n v="0"/>
    <n v="0"/>
    <n v="0"/>
    <n v="0"/>
    <x v="650"/>
    <x v="591"/>
    <n v="172161"/>
    <x v="45"/>
    <x v="16"/>
    <n v="17"/>
    <n v="65"/>
    <n v="79"/>
  </r>
  <r>
    <x v="1"/>
    <x v="129"/>
    <x v="2"/>
    <x v="2"/>
    <x v="2"/>
    <n v="0"/>
    <n v="0"/>
    <n v="0"/>
    <n v="0"/>
    <n v="0"/>
    <n v="0"/>
    <n v="0"/>
    <n v="0"/>
    <x v="960"/>
    <x v="142"/>
    <n v="21245"/>
    <x v="2"/>
    <x v="1"/>
    <n v="0"/>
    <n v="5"/>
    <n v="11"/>
  </r>
  <r>
    <x v="0"/>
    <x v="75"/>
    <x v="7"/>
    <x v="2"/>
    <x v="2"/>
    <n v="1.8"/>
    <n v="0"/>
    <n v="0"/>
    <n v="0"/>
    <n v="0"/>
    <n v="0"/>
    <n v="0"/>
    <n v="0"/>
    <x v="950"/>
    <x v="853"/>
    <n v="169088"/>
    <x v="2"/>
    <x v="1"/>
    <n v="3"/>
    <n v="65"/>
    <n v="79"/>
  </r>
  <r>
    <x v="0"/>
    <x v="58"/>
    <x v="0"/>
    <x v="212"/>
    <x v="0"/>
    <n v="0.2"/>
    <n v="9"/>
    <n v="4.5"/>
    <n v="0.7"/>
    <n v="0.3"/>
    <n v="0.1"/>
    <n v="2.2999999999999998"/>
    <n v="4.7"/>
    <x v="918"/>
    <x v="826"/>
    <n v="1039651"/>
    <x v="13"/>
    <x v="0"/>
    <n v="2"/>
    <n v="999"/>
    <n v="999"/>
  </r>
  <r>
    <x v="1"/>
    <x v="15"/>
    <x v="3"/>
    <x v="317"/>
    <x v="255"/>
    <n v="1.9"/>
    <n v="1.5"/>
    <n v="4.0999999999999996"/>
    <n v="0"/>
    <n v="0"/>
    <n v="0"/>
    <n v="0"/>
    <n v="0"/>
    <x v="1047"/>
    <x v="929"/>
    <n v="159858"/>
    <x v="64"/>
    <x v="7"/>
    <n v="3"/>
    <n v="18"/>
    <n v="29"/>
  </r>
  <r>
    <x v="2"/>
    <x v="59"/>
    <x v="0"/>
    <x v="781"/>
    <x v="742"/>
    <n v="0"/>
    <n v="2.7"/>
    <n v="0"/>
    <n v="204.9"/>
    <n v="57.9"/>
    <n v="0"/>
    <n v="3.5"/>
    <n v="0"/>
    <x v="589"/>
    <x v="539"/>
    <n v="0"/>
    <x v="435"/>
    <x v="342"/>
    <n v="0"/>
    <n v="999"/>
    <n v="999"/>
  </r>
  <r>
    <x v="0"/>
    <x v="4"/>
    <x v="7"/>
    <x v="99"/>
    <x v="2"/>
    <n v="0.6"/>
    <n v="0"/>
    <n v="3.5"/>
    <n v="0"/>
    <n v="0"/>
    <n v="0"/>
    <n v="0"/>
    <n v="0"/>
    <x v="1071"/>
    <x v="949"/>
    <n v="159712"/>
    <x v="1"/>
    <x v="1"/>
    <n v="1"/>
    <n v="65"/>
    <n v="79"/>
  </r>
  <r>
    <x v="0"/>
    <x v="77"/>
    <x v="6"/>
    <x v="2"/>
    <x v="62"/>
    <n v="2.1"/>
    <n v="0"/>
    <n v="0"/>
    <n v="0"/>
    <n v="0"/>
    <n v="0"/>
    <n v="0"/>
    <n v="0"/>
    <x v="500"/>
    <x v="32"/>
    <n v="47126"/>
    <x v="2"/>
    <x v="0"/>
    <n v="1"/>
    <n v="80"/>
    <n v="200"/>
  </r>
  <r>
    <x v="0"/>
    <x v="58"/>
    <x v="1"/>
    <x v="2"/>
    <x v="2"/>
    <n v="0"/>
    <n v="0"/>
    <n v="0"/>
    <n v="0"/>
    <n v="0"/>
    <n v="0"/>
    <n v="0"/>
    <n v="0"/>
    <x v="1041"/>
    <x v="925"/>
    <n v="246713"/>
    <x v="2"/>
    <x v="1"/>
    <n v="0"/>
    <n v="50"/>
    <n v="64"/>
  </r>
  <r>
    <x v="0"/>
    <x v="114"/>
    <x v="6"/>
    <x v="2"/>
    <x v="2"/>
    <n v="2.1"/>
    <n v="0"/>
    <n v="0"/>
    <n v="0"/>
    <n v="0"/>
    <n v="0"/>
    <n v="0"/>
    <n v="0"/>
    <x v="626"/>
    <x v="124"/>
    <n v="47073"/>
    <x v="2"/>
    <x v="1"/>
    <n v="1"/>
    <n v="80"/>
    <n v="200"/>
  </r>
  <r>
    <x v="1"/>
    <x v="94"/>
    <x v="1"/>
    <x v="203"/>
    <x v="276"/>
    <n v="6.1"/>
    <n v="2.4"/>
    <n v="1.9"/>
    <n v="0"/>
    <n v="0"/>
    <n v="0"/>
    <n v="0"/>
    <n v="0"/>
    <x v="1021"/>
    <x v="910"/>
    <n v="246842"/>
    <x v="20"/>
    <x v="48"/>
    <n v="15"/>
    <n v="50"/>
    <n v="64"/>
  </r>
  <r>
    <x v="2"/>
    <x v="139"/>
    <x v="1"/>
    <x v="1080"/>
    <x v="25"/>
    <n v="11.3"/>
    <n v="5.2"/>
    <n v="3"/>
    <n v="0"/>
    <n v="0"/>
    <n v="0"/>
    <n v="0"/>
    <n v="0"/>
    <x v="857"/>
    <x v="776"/>
    <n v="246925"/>
    <x v="6"/>
    <x v="5"/>
    <n v="28"/>
    <n v="50"/>
    <n v="64"/>
  </r>
  <r>
    <x v="1"/>
    <x v="132"/>
    <x v="0"/>
    <x v="370"/>
    <x v="288"/>
    <n v="7"/>
    <n v="2"/>
    <n v="1.5"/>
    <n v="12.3"/>
    <n v="7.2"/>
    <n v="5"/>
    <n v="1.7"/>
    <n v="2.5"/>
    <x v="741"/>
    <x v="673"/>
    <n v="961158"/>
    <x v="325"/>
    <x v="4"/>
    <n v="67"/>
    <n v="999"/>
    <n v="999"/>
  </r>
  <r>
    <x v="2"/>
    <x v="91"/>
    <x v="4"/>
    <x v="366"/>
    <x v="324"/>
    <n v="83.2"/>
    <n v="1.9"/>
    <n v="1.7"/>
    <n v="0"/>
    <n v="0"/>
    <n v="0"/>
    <n v="0"/>
    <n v="0"/>
    <x v="968"/>
    <x v="868"/>
    <n v="44479"/>
    <x v="185"/>
    <x v="116"/>
    <n v="37"/>
    <n v="12"/>
    <n v="17"/>
  </r>
  <r>
    <x v="2"/>
    <x v="80"/>
    <x v="6"/>
    <x v="889"/>
    <x v="743"/>
    <n v="124.6"/>
    <n v="0.4"/>
    <n v="0.5"/>
    <n v="0"/>
    <n v="0"/>
    <n v="0"/>
    <n v="0"/>
    <n v="0"/>
    <x v="707"/>
    <x v="643"/>
    <n v="44158"/>
    <x v="91"/>
    <x v="59"/>
    <n v="55"/>
    <n v="80"/>
    <n v="200"/>
  </r>
  <r>
    <x v="0"/>
    <x v="126"/>
    <x v="8"/>
    <x v="2"/>
    <x v="2"/>
    <n v="0"/>
    <n v="0"/>
    <n v="0"/>
    <n v="0"/>
    <n v="0"/>
    <n v="0"/>
    <n v="0"/>
    <n v="0"/>
    <x v="28"/>
    <x v="28"/>
    <n v="0"/>
    <x v="2"/>
    <x v="1"/>
    <n v="0"/>
    <n v="0"/>
    <n v="4"/>
  </r>
  <r>
    <x v="2"/>
    <x v="5"/>
    <x v="4"/>
    <x v="1081"/>
    <x v="744"/>
    <n v="0"/>
    <n v="7.5"/>
    <n v="0"/>
    <n v="0"/>
    <n v="0"/>
    <n v="0"/>
    <n v="0"/>
    <n v="0"/>
    <x v="5"/>
    <x v="5"/>
    <n v="0"/>
    <x v="212"/>
    <x v="37"/>
    <n v="0"/>
    <n v="12"/>
    <n v="17"/>
  </r>
  <r>
    <x v="0"/>
    <x v="8"/>
    <x v="0"/>
    <x v="103"/>
    <x v="82"/>
    <n v="0"/>
    <n v="15"/>
    <n v="0"/>
    <n v="4.3"/>
    <n v="0.1"/>
    <n v="0"/>
    <n v="38.6"/>
    <n v="0"/>
    <x v="685"/>
    <x v="622"/>
    <n v="0"/>
    <x v="211"/>
    <x v="11"/>
    <n v="0"/>
    <n v="999"/>
    <n v="999"/>
  </r>
  <r>
    <x v="0"/>
    <x v="80"/>
    <x v="7"/>
    <x v="2"/>
    <x v="2"/>
    <n v="0"/>
    <n v="0"/>
    <n v="0"/>
    <n v="0"/>
    <n v="0"/>
    <n v="0"/>
    <n v="0"/>
    <n v="0"/>
    <x v="160"/>
    <x v="157"/>
    <n v="162052"/>
    <x v="2"/>
    <x v="1"/>
    <n v="0"/>
    <n v="65"/>
    <n v="79"/>
  </r>
  <r>
    <x v="1"/>
    <x v="74"/>
    <x v="6"/>
    <x v="564"/>
    <x v="356"/>
    <n v="55.1"/>
    <n v="0.9"/>
    <n v="0.3"/>
    <n v="0"/>
    <n v="0"/>
    <n v="0"/>
    <n v="0"/>
    <n v="0"/>
    <x v="89"/>
    <x v="89"/>
    <n v="47191"/>
    <x v="20"/>
    <x v="11"/>
    <n v="26"/>
    <n v="80"/>
    <n v="200"/>
  </r>
  <r>
    <x v="0"/>
    <x v="21"/>
    <x v="6"/>
    <x v="506"/>
    <x v="2"/>
    <n v="0"/>
    <n v="0"/>
    <n v="0"/>
    <n v="0"/>
    <n v="0"/>
    <n v="0"/>
    <n v="0"/>
    <n v="0"/>
    <x v="717"/>
    <x v="651"/>
    <n v="0"/>
    <x v="20"/>
    <x v="1"/>
    <n v="0"/>
    <n v="80"/>
    <n v="200"/>
  </r>
  <r>
    <x v="1"/>
    <x v="93"/>
    <x v="0"/>
    <x v="604"/>
    <x v="103"/>
    <n v="0"/>
    <n v="4.8"/>
    <n v="0"/>
    <n v="22.3"/>
    <n v="2.5"/>
    <n v="0"/>
    <n v="9"/>
    <n v="0"/>
    <x v="1004"/>
    <x v="897"/>
    <n v="0"/>
    <x v="174"/>
    <x v="4"/>
    <n v="0"/>
    <n v="999"/>
    <n v="999"/>
  </r>
  <r>
    <x v="1"/>
    <x v="79"/>
    <x v="2"/>
    <x v="2"/>
    <x v="2"/>
    <n v="0"/>
    <n v="0"/>
    <n v="0"/>
    <n v="0"/>
    <n v="0"/>
    <n v="0"/>
    <n v="0"/>
    <n v="0"/>
    <x v="361"/>
    <x v="337"/>
    <n v="21243"/>
    <x v="2"/>
    <x v="1"/>
    <n v="0"/>
    <n v="5"/>
    <n v="11"/>
  </r>
  <r>
    <x v="2"/>
    <x v="26"/>
    <x v="4"/>
    <x v="1082"/>
    <x v="745"/>
    <n v="80.8"/>
    <n v="1.9"/>
    <n v="1.8"/>
    <n v="0"/>
    <n v="0"/>
    <n v="0"/>
    <n v="0"/>
    <n v="0"/>
    <x v="82"/>
    <x v="82"/>
    <n v="44538"/>
    <x v="259"/>
    <x v="116"/>
    <n v="36"/>
    <n v="12"/>
    <n v="17"/>
  </r>
  <r>
    <x v="2"/>
    <x v="50"/>
    <x v="7"/>
    <x v="1083"/>
    <x v="746"/>
    <n v="169.9"/>
    <n v="1.2"/>
    <n v="1.3"/>
    <n v="0"/>
    <n v="0"/>
    <n v="0"/>
    <n v="0"/>
    <n v="0"/>
    <x v="821"/>
    <x v="748"/>
    <n v="166552"/>
    <x v="232"/>
    <x v="107"/>
    <n v="283"/>
    <n v="65"/>
    <n v="79"/>
  </r>
  <r>
    <x v="0"/>
    <x v="18"/>
    <x v="4"/>
    <x v="2"/>
    <x v="2"/>
    <n v="0"/>
    <n v="0"/>
    <n v="0"/>
    <n v="0"/>
    <n v="0"/>
    <n v="0"/>
    <n v="0"/>
    <n v="0"/>
    <x v="789"/>
    <x v="716"/>
    <n v="35358"/>
    <x v="2"/>
    <x v="1"/>
    <n v="0"/>
    <n v="12"/>
    <n v="17"/>
  </r>
  <r>
    <x v="1"/>
    <x v="32"/>
    <x v="4"/>
    <x v="300"/>
    <x v="2"/>
    <n v="2.2000000000000002"/>
    <n v="0"/>
    <n v="2.7"/>
    <n v="0"/>
    <n v="0"/>
    <n v="0"/>
    <n v="0"/>
    <n v="0"/>
    <x v="198"/>
    <x v="192"/>
    <n v="44511"/>
    <x v="0"/>
    <x v="1"/>
    <n v="1"/>
    <n v="12"/>
    <n v="17"/>
  </r>
  <r>
    <x v="1"/>
    <x v="9"/>
    <x v="3"/>
    <x v="570"/>
    <x v="87"/>
    <n v="0"/>
    <n v="33.700000000000003"/>
    <n v="0"/>
    <n v="0"/>
    <n v="0"/>
    <n v="0"/>
    <n v="0"/>
    <n v="0"/>
    <x v="110"/>
    <x v="109"/>
    <n v="0"/>
    <x v="29"/>
    <x v="0"/>
    <n v="0"/>
    <n v="18"/>
    <n v="29"/>
  </r>
  <r>
    <x v="2"/>
    <x v="28"/>
    <x v="5"/>
    <x v="981"/>
    <x v="445"/>
    <n v="83.2"/>
    <n v="2.1"/>
    <n v="1.6"/>
    <n v="0"/>
    <n v="0"/>
    <n v="0"/>
    <n v="0"/>
    <n v="0"/>
    <x v="29"/>
    <x v="29"/>
    <n v="347260"/>
    <x v="119"/>
    <x v="343"/>
    <n v="289"/>
    <n v="30"/>
    <n v="49"/>
  </r>
  <r>
    <x v="0"/>
    <x v="92"/>
    <x v="6"/>
    <x v="82"/>
    <x v="2"/>
    <n v="0"/>
    <n v="0"/>
    <n v="0"/>
    <n v="0"/>
    <n v="0"/>
    <n v="0"/>
    <n v="0"/>
    <n v="0"/>
    <x v="150"/>
    <x v="101"/>
    <n v="47126"/>
    <x v="1"/>
    <x v="1"/>
    <n v="0"/>
    <n v="80"/>
    <n v="200"/>
  </r>
  <r>
    <x v="2"/>
    <x v="126"/>
    <x v="7"/>
    <x v="1084"/>
    <x v="747"/>
    <n v="78.599999999999994"/>
    <n v="1"/>
    <n v="0.9"/>
    <n v="0"/>
    <n v="0"/>
    <n v="0"/>
    <n v="0"/>
    <n v="0"/>
    <x v="875"/>
    <x v="57"/>
    <n v="171757"/>
    <x v="31"/>
    <x v="77"/>
    <n v="135"/>
    <n v="65"/>
    <n v="79"/>
  </r>
  <r>
    <x v="0"/>
    <x v="13"/>
    <x v="2"/>
    <x v="2"/>
    <x v="2"/>
    <n v="0"/>
    <n v="0"/>
    <n v="0"/>
    <n v="0"/>
    <n v="0"/>
    <n v="0"/>
    <n v="0"/>
    <n v="0"/>
    <x v="724"/>
    <x v="657"/>
    <n v="0"/>
    <x v="2"/>
    <x v="1"/>
    <n v="0"/>
    <n v="5"/>
    <n v="11"/>
  </r>
  <r>
    <x v="1"/>
    <x v="78"/>
    <x v="3"/>
    <x v="177"/>
    <x v="58"/>
    <n v="0"/>
    <n v="3.2"/>
    <n v="0"/>
    <n v="0"/>
    <n v="0"/>
    <n v="0"/>
    <n v="0"/>
    <n v="0"/>
    <x v="668"/>
    <x v="606"/>
    <n v="0"/>
    <x v="29"/>
    <x v="0"/>
    <n v="0"/>
    <n v="18"/>
    <n v="29"/>
  </r>
  <r>
    <x v="1"/>
    <x v="55"/>
    <x v="0"/>
    <x v="37"/>
    <x v="131"/>
    <n v="4.4000000000000004"/>
    <n v="2.9"/>
    <n v="1.2"/>
    <n v="7"/>
    <n v="2.5"/>
    <n v="2.9"/>
    <n v="2.8"/>
    <n v="2.4"/>
    <x v="479"/>
    <x v="443"/>
    <n v="1040810"/>
    <x v="31"/>
    <x v="36"/>
    <n v="46"/>
    <n v="999"/>
    <n v="999"/>
  </r>
  <r>
    <x v="0"/>
    <x v="87"/>
    <x v="0"/>
    <x v="28"/>
    <x v="87"/>
    <n v="0"/>
    <n v="6.3"/>
    <n v="0"/>
    <n v="2.8"/>
    <n v="0.3"/>
    <n v="0"/>
    <n v="8.1999999999999993"/>
    <n v="0"/>
    <x v="233"/>
    <x v="223"/>
    <n v="120427"/>
    <x v="8"/>
    <x v="21"/>
    <n v="0"/>
    <n v="999"/>
    <n v="999"/>
  </r>
  <r>
    <x v="2"/>
    <x v="4"/>
    <x v="4"/>
    <x v="1076"/>
    <x v="748"/>
    <n v="122.6"/>
    <n v="1.5"/>
    <n v="1"/>
    <n v="0"/>
    <n v="0"/>
    <n v="0"/>
    <n v="0"/>
    <n v="0"/>
    <x v="966"/>
    <x v="866"/>
    <n v="31808"/>
    <x v="128"/>
    <x v="146"/>
    <n v="39"/>
    <n v="12"/>
    <n v="17"/>
  </r>
  <r>
    <x v="1"/>
    <x v="107"/>
    <x v="1"/>
    <x v="66"/>
    <x v="38"/>
    <n v="0"/>
    <n v="23"/>
    <n v="0"/>
    <n v="0"/>
    <n v="0"/>
    <n v="0"/>
    <n v="0"/>
    <n v="0"/>
    <x v="766"/>
    <x v="695"/>
    <n v="0"/>
    <x v="34"/>
    <x v="11"/>
    <n v="0"/>
    <n v="50"/>
    <n v="64"/>
  </r>
  <r>
    <x v="1"/>
    <x v="128"/>
    <x v="3"/>
    <x v="44"/>
    <x v="2"/>
    <n v="0"/>
    <n v="0"/>
    <n v="0"/>
    <n v="0"/>
    <n v="0"/>
    <n v="0"/>
    <n v="0"/>
    <n v="0"/>
    <x v="1072"/>
    <x v="950"/>
    <n v="161683"/>
    <x v="1"/>
    <x v="1"/>
    <n v="0"/>
    <n v="18"/>
    <n v="29"/>
  </r>
  <r>
    <x v="2"/>
    <x v="74"/>
    <x v="7"/>
    <x v="1085"/>
    <x v="749"/>
    <n v="53.5"/>
    <n v="1.9"/>
    <n v="1.3"/>
    <n v="0"/>
    <n v="0"/>
    <n v="0"/>
    <n v="0"/>
    <n v="0"/>
    <x v="940"/>
    <x v="844"/>
    <n v="172021"/>
    <x v="17"/>
    <x v="36"/>
    <n v="92"/>
    <n v="65"/>
    <n v="79"/>
  </r>
  <r>
    <x v="1"/>
    <x v="86"/>
    <x v="5"/>
    <x v="392"/>
    <x v="110"/>
    <n v="3.5"/>
    <n v="3.7"/>
    <n v="4.5999999999999996"/>
    <n v="0"/>
    <n v="0"/>
    <n v="0"/>
    <n v="0"/>
    <n v="0"/>
    <x v="109"/>
    <x v="108"/>
    <n v="347207"/>
    <x v="8"/>
    <x v="23"/>
    <n v="12"/>
    <n v="30"/>
    <n v="49"/>
  </r>
  <r>
    <x v="1"/>
    <x v="135"/>
    <x v="4"/>
    <x v="2"/>
    <x v="2"/>
    <n v="0"/>
    <n v="0"/>
    <n v="0"/>
    <n v="0"/>
    <n v="0"/>
    <n v="0"/>
    <n v="0"/>
    <n v="0"/>
    <x v="979"/>
    <x v="877"/>
    <n v="0"/>
    <x v="2"/>
    <x v="1"/>
    <n v="0"/>
    <n v="12"/>
    <n v="17"/>
  </r>
  <r>
    <x v="1"/>
    <x v="2"/>
    <x v="5"/>
    <x v="370"/>
    <x v="379"/>
    <n v="2.9"/>
    <n v="2.9"/>
    <n v="3.6"/>
    <n v="0"/>
    <n v="0"/>
    <n v="0"/>
    <n v="0"/>
    <n v="0"/>
    <x v="434"/>
    <x v="405"/>
    <n v="346520"/>
    <x v="16"/>
    <x v="17"/>
    <n v="10"/>
    <n v="30"/>
    <n v="49"/>
  </r>
  <r>
    <x v="2"/>
    <x v="0"/>
    <x v="2"/>
    <x v="418"/>
    <x v="750"/>
    <n v="150.6"/>
    <n v="0.9"/>
    <n v="0.5"/>
    <n v="0"/>
    <n v="0"/>
    <n v="0"/>
    <n v="0"/>
    <n v="0"/>
    <x v="115"/>
    <x v="114"/>
    <n v="19254"/>
    <x v="304"/>
    <x v="111"/>
    <n v="29"/>
    <n v="5"/>
    <n v="11"/>
  </r>
  <r>
    <x v="0"/>
    <x v="76"/>
    <x v="5"/>
    <x v="2"/>
    <x v="19"/>
    <n v="0"/>
    <n v="0"/>
    <n v="0"/>
    <n v="0"/>
    <n v="0"/>
    <n v="0"/>
    <n v="0"/>
    <n v="0"/>
    <x v="1017"/>
    <x v="799"/>
    <n v="347302"/>
    <x v="2"/>
    <x v="0"/>
    <n v="0"/>
    <n v="30"/>
    <n v="49"/>
  </r>
  <r>
    <x v="0"/>
    <x v="79"/>
    <x v="6"/>
    <x v="620"/>
    <x v="2"/>
    <n v="2.1"/>
    <n v="0"/>
    <n v="3.9"/>
    <n v="0"/>
    <n v="0"/>
    <n v="0"/>
    <n v="0"/>
    <n v="0"/>
    <x v="98"/>
    <x v="97"/>
    <n v="47128"/>
    <x v="0"/>
    <x v="1"/>
    <n v="1"/>
    <n v="80"/>
    <n v="200"/>
  </r>
  <r>
    <x v="1"/>
    <x v="114"/>
    <x v="7"/>
    <x v="1086"/>
    <x v="285"/>
    <n v="16.899999999999999"/>
    <n v="1.1000000000000001"/>
    <n v="1.8"/>
    <n v="0"/>
    <n v="0"/>
    <n v="0"/>
    <n v="0"/>
    <n v="0"/>
    <x v="1073"/>
    <x v="951"/>
    <n v="171472"/>
    <x v="16"/>
    <x v="23"/>
    <n v="29"/>
    <n v="65"/>
    <n v="79"/>
  </r>
  <r>
    <x v="2"/>
    <x v="38"/>
    <x v="3"/>
    <x v="1087"/>
    <x v="178"/>
    <n v="30.9"/>
    <n v="5.3"/>
    <n v="3.2"/>
    <n v="0"/>
    <n v="0"/>
    <n v="0"/>
    <n v="0"/>
    <n v="0"/>
    <x v="713"/>
    <x v="376"/>
    <n v="161722"/>
    <x v="231"/>
    <x v="165"/>
    <n v="50"/>
    <n v="18"/>
    <n v="29"/>
  </r>
  <r>
    <x v="2"/>
    <x v="118"/>
    <x v="3"/>
    <x v="1088"/>
    <x v="441"/>
    <n v="68.2"/>
    <n v="2.6"/>
    <n v="1.2"/>
    <n v="0"/>
    <n v="0"/>
    <n v="0"/>
    <n v="0"/>
    <n v="0"/>
    <x v="929"/>
    <x v="834"/>
    <n v="143769"/>
    <x v="367"/>
    <x v="166"/>
    <n v="98"/>
    <n v="18"/>
    <n v="29"/>
  </r>
  <r>
    <x v="2"/>
    <x v="90"/>
    <x v="3"/>
    <x v="1089"/>
    <x v="751"/>
    <n v="402.3"/>
    <n v="2.4"/>
    <n v="1"/>
    <n v="0"/>
    <n v="0"/>
    <n v="0"/>
    <n v="0"/>
    <n v="0"/>
    <x v="1040"/>
    <x v="924"/>
    <n v="152861"/>
    <x v="436"/>
    <x v="344"/>
    <n v="615"/>
    <n v="18"/>
    <n v="29"/>
  </r>
  <r>
    <x v="1"/>
    <x v="65"/>
    <x v="4"/>
    <x v="2"/>
    <x v="2"/>
    <n v="0"/>
    <n v="0"/>
    <n v="0"/>
    <n v="0"/>
    <n v="0"/>
    <n v="0"/>
    <n v="0"/>
    <n v="0"/>
    <x v="73"/>
    <x v="73"/>
    <n v="0"/>
    <x v="2"/>
    <x v="1"/>
    <n v="0"/>
    <n v="12"/>
    <n v="17"/>
  </r>
  <r>
    <x v="0"/>
    <x v="134"/>
    <x v="7"/>
    <x v="99"/>
    <x v="116"/>
    <n v="1.2"/>
    <n v="1"/>
    <n v="1.8"/>
    <n v="0"/>
    <n v="0"/>
    <n v="0"/>
    <n v="0"/>
    <n v="0"/>
    <x v="1011"/>
    <x v="902"/>
    <n v="164100"/>
    <x v="1"/>
    <x v="0"/>
    <n v="2"/>
    <n v="65"/>
    <n v="79"/>
  </r>
  <r>
    <x v="0"/>
    <x v="21"/>
    <x v="5"/>
    <x v="1"/>
    <x v="2"/>
    <n v="0"/>
    <n v="0"/>
    <n v="0"/>
    <n v="0"/>
    <n v="0"/>
    <n v="0"/>
    <n v="0"/>
    <n v="0"/>
    <x v="996"/>
    <x v="890"/>
    <n v="0"/>
    <x v="18"/>
    <x v="1"/>
    <n v="0"/>
    <n v="30"/>
    <n v="49"/>
  </r>
  <r>
    <x v="1"/>
    <x v="125"/>
    <x v="4"/>
    <x v="86"/>
    <x v="2"/>
    <n v="0"/>
    <n v="0"/>
    <n v="0"/>
    <n v="0"/>
    <n v="0"/>
    <n v="0"/>
    <n v="0"/>
    <n v="0"/>
    <x v="779"/>
    <x v="708"/>
    <n v="0"/>
    <x v="1"/>
    <x v="1"/>
    <n v="0"/>
    <n v="12"/>
    <n v="17"/>
  </r>
  <r>
    <x v="2"/>
    <x v="80"/>
    <x v="2"/>
    <x v="240"/>
    <x v="752"/>
    <n v="0"/>
    <n v="0.6"/>
    <n v="0"/>
    <n v="0"/>
    <n v="0"/>
    <n v="0"/>
    <n v="0"/>
    <n v="0"/>
    <x v="311"/>
    <x v="293"/>
    <n v="0"/>
    <x v="123"/>
    <x v="345"/>
    <n v="0"/>
    <n v="5"/>
    <n v="11"/>
  </r>
  <r>
    <x v="1"/>
    <x v="35"/>
    <x v="3"/>
    <x v="1"/>
    <x v="48"/>
    <n v="1.2"/>
    <n v="3.2"/>
    <n v="2.4"/>
    <n v="0"/>
    <n v="0"/>
    <n v="0"/>
    <n v="0"/>
    <n v="0"/>
    <x v="892"/>
    <x v="803"/>
    <n v="162370"/>
    <x v="0"/>
    <x v="11"/>
    <n v="2"/>
    <n v="18"/>
    <n v="29"/>
  </r>
  <r>
    <x v="2"/>
    <x v="44"/>
    <x v="5"/>
    <x v="703"/>
    <x v="46"/>
    <n v="61.2"/>
    <n v="2.9"/>
    <n v="1.4"/>
    <n v="0"/>
    <n v="0"/>
    <n v="0"/>
    <n v="0"/>
    <n v="0"/>
    <x v="908"/>
    <x v="816"/>
    <n v="310294"/>
    <x v="221"/>
    <x v="96"/>
    <n v="190"/>
    <n v="30"/>
    <n v="49"/>
  </r>
  <r>
    <x v="0"/>
    <x v="50"/>
    <x v="2"/>
    <x v="2"/>
    <x v="2"/>
    <n v="0"/>
    <n v="0"/>
    <n v="0"/>
    <n v="0"/>
    <n v="0"/>
    <n v="0"/>
    <n v="0"/>
    <n v="0"/>
    <x v="1074"/>
    <x v="952"/>
    <n v="4155"/>
    <x v="2"/>
    <x v="1"/>
    <n v="0"/>
    <n v="5"/>
    <n v="11"/>
  </r>
  <r>
    <x v="1"/>
    <x v="7"/>
    <x v="7"/>
    <x v="550"/>
    <x v="672"/>
    <n v="5.3"/>
    <n v="4.0999999999999996"/>
    <n v="28.2"/>
    <n v="0"/>
    <n v="0"/>
    <n v="0"/>
    <n v="0"/>
    <n v="0"/>
    <x v="1015"/>
    <x v="906"/>
    <n v="93634"/>
    <x v="154"/>
    <x v="165"/>
    <n v="5"/>
    <n v="65"/>
    <n v="79"/>
  </r>
  <r>
    <x v="2"/>
    <x v="79"/>
    <x v="4"/>
    <x v="382"/>
    <x v="72"/>
    <n v="20.2"/>
    <n v="2.5"/>
    <n v="2.1"/>
    <n v="0"/>
    <n v="0"/>
    <n v="0"/>
    <n v="0"/>
    <n v="0"/>
    <x v="677"/>
    <x v="229"/>
    <n v="44578"/>
    <x v="35"/>
    <x v="75"/>
    <n v="9"/>
    <n v="12"/>
    <n v="17"/>
  </r>
  <r>
    <x v="2"/>
    <x v="132"/>
    <x v="1"/>
    <x v="1090"/>
    <x v="753"/>
    <n v="340.2"/>
    <n v="2.9"/>
    <n v="1.7"/>
    <n v="0"/>
    <n v="0"/>
    <n v="0"/>
    <n v="0"/>
    <n v="0"/>
    <x v="556"/>
    <x v="510"/>
    <n v="234246"/>
    <x v="437"/>
    <x v="290"/>
    <n v="797"/>
    <n v="50"/>
    <n v="64"/>
  </r>
  <r>
    <x v="2"/>
    <x v="80"/>
    <x v="4"/>
    <x v="1091"/>
    <x v="754"/>
    <n v="173.8"/>
    <n v="1.7"/>
    <n v="1.5"/>
    <n v="0"/>
    <n v="0"/>
    <n v="0"/>
    <n v="0"/>
    <n v="0"/>
    <x v="547"/>
    <x v="502"/>
    <n v="33365"/>
    <x v="145"/>
    <x v="229"/>
    <n v="58"/>
    <n v="12"/>
    <n v="17"/>
  </r>
  <r>
    <x v="1"/>
    <x v="118"/>
    <x v="7"/>
    <x v="222"/>
    <x v="37"/>
    <n v="5.0999999999999996"/>
    <n v="2.5"/>
    <n v="2.8"/>
    <n v="0"/>
    <n v="0"/>
    <n v="0"/>
    <n v="0"/>
    <n v="0"/>
    <x v="1038"/>
    <x v="922"/>
    <n v="157887"/>
    <x v="64"/>
    <x v="39"/>
    <n v="8"/>
    <n v="65"/>
    <n v="79"/>
  </r>
  <r>
    <x v="0"/>
    <x v="130"/>
    <x v="0"/>
    <x v="298"/>
    <x v="87"/>
    <n v="0"/>
    <n v="6.7"/>
    <n v="0"/>
    <n v="2.8"/>
    <n v="0.2"/>
    <n v="0"/>
    <n v="12.1"/>
    <n v="0"/>
    <x v="375"/>
    <x v="351"/>
    <n v="0"/>
    <x v="37"/>
    <x v="16"/>
    <n v="0"/>
    <n v="999"/>
    <n v="999"/>
  </r>
  <r>
    <x v="2"/>
    <x v="78"/>
    <x v="5"/>
    <x v="1092"/>
    <x v="755"/>
    <n v="0"/>
    <n v="12.7"/>
    <n v="0"/>
    <n v="0"/>
    <n v="0"/>
    <n v="0"/>
    <n v="0"/>
    <n v="0"/>
    <x v="234"/>
    <x v="224"/>
    <n v="0"/>
    <x v="438"/>
    <x v="124"/>
    <n v="0"/>
    <n v="30"/>
    <n v="49"/>
  </r>
  <r>
    <x v="0"/>
    <x v="75"/>
    <x v="3"/>
    <x v="2"/>
    <x v="2"/>
    <n v="0"/>
    <n v="0"/>
    <n v="0"/>
    <n v="0"/>
    <n v="0"/>
    <n v="0"/>
    <n v="0"/>
    <n v="0"/>
    <x v="312"/>
    <x v="294"/>
    <n v="158188"/>
    <x v="2"/>
    <x v="1"/>
    <n v="0"/>
    <n v="18"/>
    <n v="29"/>
  </r>
  <r>
    <x v="1"/>
    <x v="102"/>
    <x v="5"/>
    <x v="92"/>
    <x v="431"/>
    <n v="0.9"/>
    <n v="1.7"/>
    <n v="5"/>
    <n v="0"/>
    <n v="0"/>
    <n v="0"/>
    <n v="0"/>
    <n v="0"/>
    <x v="517"/>
    <x v="473"/>
    <n v="317904"/>
    <x v="18"/>
    <x v="5"/>
    <n v="3"/>
    <n v="30"/>
    <n v="49"/>
  </r>
  <r>
    <x v="0"/>
    <x v="139"/>
    <x v="4"/>
    <x v="2"/>
    <x v="2"/>
    <n v="0"/>
    <n v="0"/>
    <n v="0"/>
    <n v="0"/>
    <n v="0"/>
    <n v="0"/>
    <n v="0"/>
    <n v="0"/>
    <x v="1035"/>
    <x v="882"/>
    <n v="44587"/>
    <x v="2"/>
    <x v="1"/>
    <n v="0"/>
    <n v="12"/>
    <n v="17"/>
  </r>
  <r>
    <x v="2"/>
    <x v="29"/>
    <x v="6"/>
    <x v="858"/>
    <x v="756"/>
    <n v="220.6"/>
    <n v="1.1000000000000001"/>
    <n v="0.8"/>
    <n v="0"/>
    <n v="0"/>
    <n v="0"/>
    <n v="0"/>
    <n v="0"/>
    <x v="814"/>
    <x v="741"/>
    <n v="45782"/>
    <x v="80"/>
    <x v="31"/>
    <n v="101"/>
    <n v="80"/>
    <n v="200"/>
  </r>
  <r>
    <x v="2"/>
    <x v="68"/>
    <x v="0"/>
    <x v="739"/>
    <x v="728"/>
    <n v="186.8"/>
    <n v="1.5"/>
    <n v="0.6"/>
    <n v="133.5"/>
    <n v="70.3"/>
    <n v="162.4"/>
    <n v="1.9"/>
    <n v="0.8"/>
    <x v="360"/>
    <x v="336"/>
    <n v="943061"/>
    <x v="439"/>
    <x v="346"/>
    <n v="1762"/>
    <n v="999"/>
    <n v="999"/>
  </r>
  <r>
    <x v="2"/>
    <x v="118"/>
    <x v="0"/>
    <x v="1093"/>
    <x v="757"/>
    <n v="52.5"/>
    <n v="1.7"/>
    <n v="1.1000000000000001"/>
    <n v="63.9"/>
    <n v="31.4"/>
    <n v="45.1"/>
    <n v="2"/>
    <n v="1.4"/>
    <x v="283"/>
    <x v="267"/>
    <n v="919703"/>
    <x v="440"/>
    <x v="64"/>
    <n v="483"/>
    <n v="999"/>
    <n v="999"/>
  </r>
  <r>
    <x v="0"/>
    <x v="2"/>
    <x v="4"/>
    <x v="2"/>
    <x v="2"/>
    <n v="0"/>
    <n v="0"/>
    <n v="0"/>
    <n v="0"/>
    <n v="0"/>
    <n v="0"/>
    <n v="0"/>
    <n v="0"/>
    <x v="565"/>
    <x v="519"/>
    <n v="44085"/>
    <x v="2"/>
    <x v="1"/>
    <n v="0"/>
    <n v="12"/>
    <n v="17"/>
  </r>
  <r>
    <x v="1"/>
    <x v="105"/>
    <x v="4"/>
    <x v="348"/>
    <x v="2"/>
    <n v="0"/>
    <n v="0"/>
    <n v="0"/>
    <n v="0"/>
    <n v="0"/>
    <n v="0"/>
    <n v="0"/>
    <n v="0"/>
    <x v="378"/>
    <x v="354"/>
    <n v="40287"/>
    <x v="0"/>
    <x v="1"/>
    <n v="0"/>
    <n v="12"/>
    <n v="17"/>
  </r>
  <r>
    <x v="2"/>
    <x v="42"/>
    <x v="2"/>
    <x v="1094"/>
    <x v="692"/>
    <n v="0"/>
    <n v="0.5"/>
    <n v="0"/>
    <n v="0"/>
    <n v="0"/>
    <n v="0"/>
    <n v="0"/>
    <n v="0"/>
    <x v="958"/>
    <x v="860"/>
    <n v="0"/>
    <x v="192"/>
    <x v="217"/>
    <n v="0"/>
    <n v="5"/>
    <n v="11"/>
  </r>
  <r>
    <x v="0"/>
    <x v="128"/>
    <x v="3"/>
    <x v="2"/>
    <x v="2"/>
    <n v="0"/>
    <n v="0"/>
    <n v="0"/>
    <n v="0"/>
    <n v="0"/>
    <n v="0"/>
    <n v="0"/>
    <n v="0"/>
    <x v="1072"/>
    <x v="950"/>
    <n v="161683"/>
    <x v="2"/>
    <x v="1"/>
    <n v="0"/>
    <n v="18"/>
    <n v="29"/>
  </r>
  <r>
    <x v="2"/>
    <x v="117"/>
    <x v="3"/>
    <x v="1095"/>
    <x v="758"/>
    <n v="89.8"/>
    <n v="3.8"/>
    <n v="1.8"/>
    <n v="0"/>
    <n v="0"/>
    <n v="0"/>
    <n v="0"/>
    <n v="0"/>
    <x v="420"/>
    <x v="392"/>
    <n v="161435"/>
    <x v="77"/>
    <x v="178"/>
    <n v="145"/>
    <n v="18"/>
    <n v="29"/>
  </r>
  <r>
    <x v="1"/>
    <x v="117"/>
    <x v="5"/>
    <x v="512"/>
    <x v="36"/>
    <n v="2"/>
    <n v="4.2"/>
    <n v="5.3"/>
    <n v="0"/>
    <n v="0"/>
    <n v="0"/>
    <n v="0"/>
    <n v="0"/>
    <x v="1025"/>
    <x v="913"/>
    <n v="346890"/>
    <x v="16"/>
    <x v="26"/>
    <n v="7"/>
    <n v="30"/>
    <n v="49"/>
  </r>
  <r>
    <x v="0"/>
    <x v="93"/>
    <x v="5"/>
    <x v="108"/>
    <x v="2"/>
    <n v="0"/>
    <n v="0"/>
    <n v="0"/>
    <n v="0"/>
    <n v="0"/>
    <n v="0"/>
    <n v="0"/>
    <n v="0"/>
    <x v="759"/>
    <x v="688"/>
    <n v="0"/>
    <x v="45"/>
    <x v="1"/>
    <n v="0"/>
    <n v="30"/>
    <n v="49"/>
  </r>
  <r>
    <x v="2"/>
    <x v="58"/>
    <x v="7"/>
    <x v="1096"/>
    <x v="534"/>
    <n v="141.6"/>
    <n v="1.2"/>
    <n v="1.2"/>
    <n v="0"/>
    <n v="0"/>
    <n v="0"/>
    <n v="0"/>
    <n v="0"/>
    <x v="1075"/>
    <x v="953"/>
    <n v="171598"/>
    <x v="47"/>
    <x v="42"/>
    <n v="243"/>
    <n v="65"/>
    <n v="79"/>
  </r>
  <r>
    <x v="0"/>
    <x v="22"/>
    <x v="4"/>
    <x v="2"/>
    <x v="2"/>
    <n v="0"/>
    <n v="0"/>
    <n v="0"/>
    <n v="0"/>
    <n v="0"/>
    <n v="0"/>
    <n v="0"/>
    <n v="0"/>
    <x v="442"/>
    <x v="413"/>
    <n v="44514"/>
    <x v="2"/>
    <x v="1"/>
    <n v="0"/>
    <n v="12"/>
    <n v="17"/>
  </r>
  <r>
    <x v="1"/>
    <x v="102"/>
    <x v="4"/>
    <x v="2"/>
    <x v="2"/>
    <n v="0"/>
    <n v="0"/>
    <n v="0"/>
    <n v="0"/>
    <n v="0"/>
    <n v="0"/>
    <n v="0"/>
    <n v="0"/>
    <x v="1076"/>
    <x v="954"/>
    <n v="28723"/>
    <x v="2"/>
    <x v="1"/>
    <n v="0"/>
    <n v="12"/>
    <n v="17"/>
  </r>
  <r>
    <x v="0"/>
    <x v="109"/>
    <x v="5"/>
    <x v="2"/>
    <x v="2"/>
    <n v="0"/>
    <n v="0"/>
    <n v="0"/>
    <n v="0"/>
    <n v="0"/>
    <n v="0"/>
    <n v="0"/>
    <n v="0"/>
    <x v="1051"/>
    <x v="933"/>
    <n v="347220"/>
    <x v="2"/>
    <x v="1"/>
    <n v="0"/>
    <n v="30"/>
    <n v="49"/>
  </r>
  <r>
    <x v="1"/>
    <x v="93"/>
    <x v="7"/>
    <x v="1097"/>
    <x v="289"/>
    <n v="0"/>
    <n v="4.2"/>
    <n v="0"/>
    <n v="0"/>
    <n v="0"/>
    <n v="0"/>
    <n v="0"/>
    <n v="0"/>
    <x v="211"/>
    <x v="203"/>
    <n v="0"/>
    <x v="48"/>
    <x v="130"/>
    <n v="0"/>
    <n v="65"/>
    <n v="79"/>
  </r>
  <r>
    <x v="1"/>
    <x v="70"/>
    <x v="2"/>
    <x v="75"/>
    <x v="2"/>
    <n v="4.7"/>
    <n v="0"/>
    <n v="0.5"/>
    <n v="0"/>
    <n v="0"/>
    <n v="0"/>
    <n v="0"/>
    <n v="0"/>
    <x v="761"/>
    <x v="690"/>
    <n v="21228"/>
    <x v="0"/>
    <x v="1"/>
    <n v="1"/>
    <n v="5"/>
    <n v="11"/>
  </r>
  <r>
    <x v="1"/>
    <x v="122"/>
    <x v="7"/>
    <x v="1098"/>
    <x v="123"/>
    <n v="0"/>
    <n v="7.3"/>
    <n v="0"/>
    <n v="0"/>
    <n v="0"/>
    <n v="0"/>
    <n v="0"/>
    <n v="0"/>
    <x v="254"/>
    <x v="243"/>
    <n v="0"/>
    <x v="106"/>
    <x v="17"/>
    <n v="0"/>
    <n v="65"/>
    <n v="79"/>
  </r>
  <r>
    <x v="2"/>
    <x v="74"/>
    <x v="2"/>
    <x v="371"/>
    <x v="351"/>
    <n v="18.7"/>
    <n v="2"/>
    <n v="0.7"/>
    <n v="0"/>
    <n v="0"/>
    <n v="0"/>
    <n v="0"/>
    <n v="0"/>
    <x v="382"/>
    <x v="358"/>
    <n v="21371"/>
    <x v="6"/>
    <x v="21"/>
    <n v="4"/>
    <n v="5"/>
    <n v="11"/>
  </r>
  <r>
    <x v="2"/>
    <x v="56"/>
    <x v="4"/>
    <x v="606"/>
    <x v="759"/>
    <n v="95.4"/>
    <n v="1.5"/>
    <n v="0.6"/>
    <n v="0"/>
    <n v="0"/>
    <n v="0"/>
    <n v="0"/>
    <n v="0"/>
    <x v="1050"/>
    <x v="932"/>
    <n v="30389"/>
    <x v="37"/>
    <x v="299"/>
    <n v="29"/>
    <n v="12"/>
    <n v="17"/>
  </r>
  <r>
    <x v="1"/>
    <x v="33"/>
    <x v="3"/>
    <x v="2"/>
    <x v="2"/>
    <n v="0"/>
    <n v="0"/>
    <n v="0"/>
    <n v="0"/>
    <n v="0"/>
    <n v="0"/>
    <n v="0"/>
    <n v="0"/>
    <x v="998"/>
    <x v="892"/>
    <n v="161706"/>
    <x v="2"/>
    <x v="1"/>
    <n v="0"/>
    <n v="18"/>
    <n v="29"/>
  </r>
  <r>
    <x v="0"/>
    <x v="40"/>
    <x v="5"/>
    <x v="93"/>
    <x v="2"/>
    <n v="0"/>
    <n v="0"/>
    <n v="0"/>
    <n v="0"/>
    <n v="0"/>
    <n v="0"/>
    <n v="0"/>
    <n v="0"/>
    <x v="701"/>
    <x v="637"/>
    <n v="0"/>
    <x v="45"/>
    <x v="1"/>
    <n v="0"/>
    <n v="30"/>
    <n v="49"/>
  </r>
  <r>
    <x v="0"/>
    <x v="18"/>
    <x v="1"/>
    <x v="234"/>
    <x v="2"/>
    <n v="0"/>
    <n v="0"/>
    <n v="0"/>
    <n v="0"/>
    <n v="0"/>
    <n v="0"/>
    <n v="0"/>
    <n v="0"/>
    <x v="20"/>
    <x v="20"/>
    <n v="237215"/>
    <x v="1"/>
    <x v="1"/>
    <n v="0"/>
    <n v="50"/>
    <n v="64"/>
  </r>
  <r>
    <x v="0"/>
    <x v="19"/>
    <x v="2"/>
    <x v="2"/>
    <x v="2"/>
    <n v="0"/>
    <n v="0"/>
    <n v="0"/>
    <n v="0"/>
    <n v="0"/>
    <n v="0"/>
    <n v="0"/>
    <n v="0"/>
    <x v="385"/>
    <x v="361"/>
    <n v="21134"/>
    <x v="2"/>
    <x v="1"/>
    <n v="0"/>
    <n v="5"/>
    <n v="11"/>
  </r>
  <r>
    <x v="2"/>
    <x v="35"/>
    <x v="4"/>
    <x v="604"/>
    <x v="634"/>
    <n v="17.899999999999999"/>
    <n v="1"/>
    <n v="0.9"/>
    <n v="0"/>
    <n v="0"/>
    <n v="0"/>
    <n v="0"/>
    <n v="0"/>
    <x v="298"/>
    <x v="281"/>
    <n v="44661"/>
    <x v="13"/>
    <x v="52"/>
    <n v="8"/>
    <n v="12"/>
    <n v="17"/>
  </r>
  <r>
    <x v="1"/>
    <x v="28"/>
    <x v="6"/>
    <x v="389"/>
    <x v="323"/>
    <n v="50.9"/>
    <n v="0.6"/>
    <n v="0.7"/>
    <n v="0"/>
    <n v="0"/>
    <n v="0"/>
    <n v="0"/>
    <n v="0"/>
    <x v="326"/>
    <x v="49"/>
    <n v="47125"/>
    <x v="51"/>
    <x v="26"/>
    <n v="24"/>
    <n v="80"/>
    <n v="200"/>
  </r>
  <r>
    <x v="2"/>
    <x v="17"/>
    <x v="2"/>
    <x v="155"/>
    <x v="221"/>
    <n v="0"/>
    <n v="1.8"/>
    <n v="0"/>
    <n v="0"/>
    <n v="0"/>
    <n v="0"/>
    <n v="0"/>
    <n v="0"/>
    <x v="927"/>
    <x v="26"/>
    <n v="21253"/>
    <x v="20"/>
    <x v="11"/>
    <n v="0"/>
    <n v="5"/>
    <n v="11"/>
  </r>
  <r>
    <x v="2"/>
    <x v="32"/>
    <x v="1"/>
    <x v="1099"/>
    <x v="760"/>
    <n v="119.2"/>
    <n v="3.6"/>
    <n v="3"/>
    <n v="0"/>
    <n v="0"/>
    <n v="0"/>
    <n v="0"/>
    <n v="0"/>
    <x v="592"/>
    <x v="542"/>
    <n v="246724"/>
    <x v="141"/>
    <x v="310"/>
    <n v="294"/>
    <n v="50"/>
    <n v="64"/>
  </r>
  <r>
    <x v="1"/>
    <x v="29"/>
    <x v="4"/>
    <x v="37"/>
    <x v="73"/>
    <n v="2.7"/>
    <n v="5"/>
    <n v="2"/>
    <n v="0"/>
    <n v="0"/>
    <n v="0"/>
    <n v="0"/>
    <n v="0"/>
    <x v="286"/>
    <x v="269"/>
    <n v="36756"/>
    <x v="0"/>
    <x v="0"/>
    <n v="1"/>
    <n v="12"/>
    <n v="17"/>
  </r>
  <r>
    <x v="2"/>
    <x v="41"/>
    <x v="2"/>
    <x v="1100"/>
    <x v="585"/>
    <n v="100.6"/>
    <n v="1.2"/>
    <n v="0.8"/>
    <n v="0"/>
    <n v="0"/>
    <n v="0"/>
    <n v="0"/>
    <n v="0"/>
    <x v="94"/>
    <x v="94"/>
    <n v="12921"/>
    <x v="154"/>
    <x v="98"/>
    <n v="13"/>
    <n v="5"/>
    <n v="11"/>
  </r>
  <r>
    <x v="2"/>
    <x v="124"/>
    <x v="5"/>
    <x v="1101"/>
    <x v="761"/>
    <n v="1139.4000000000001"/>
    <n v="1.5"/>
    <n v="2.2000000000000002"/>
    <n v="0"/>
    <n v="0"/>
    <n v="0"/>
    <n v="0"/>
    <n v="0"/>
    <x v="800"/>
    <x v="727"/>
    <n v="175179"/>
    <x v="441"/>
    <x v="347"/>
    <n v="1996"/>
    <n v="30"/>
    <n v="49"/>
  </r>
  <r>
    <x v="0"/>
    <x v="109"/>
    <x v="6"/>
    <x v="620"/>
    <x v="2"/>
    <n v="6.4"/>
    <n v="0"/>
    <n v="1.3"/>
    <n v="0"/>
    <n v="0"/>
    <n v="0"/>
    <n v="0"/>
    <n v="0"/>
    <x v="429"/>
    <x v="400"/>
    <n v="47117"/>
    <x v="0"/>
    <x v="1"/>
    <n v="3"/>
    <n v="80"/>
    <n v="200"/>
  </r>
  <r>
    <x v="2"/>
    <x v="117"/>
    <x v="5"/>
    <x v="1102"/>
    <x v="694"/>
    <n v="94.8"/>
    <n v="2.1"/>
    <n v="1.3"/>
    <n v="0"/>
    <n v="0"/>
    <n v="0"/>
    <n v="0"/>
    <n v="0"/>
    <x v="1025"/>
    <x v="913"/>
    <n v="346890"/>
    <x v="196"/>
    <x v="348"/>
    <n v="329"/>
    <n v="30"/>
    <n v="49"/>
  </r>
  <r>
    <x v="0"/>
    <x v="119"/>
    <x v="1"/>
    <x v="2"/>
    <x v="2"/>
    <n v="0.4"/>
    <n v="0"/>
    <n v="0"/>
    <n v="0"/>
    <n v="0"/>
    <n v="0"/>
    <n v="0"/>
    <n v="0"/>
    <x v="906"/>
    <x v="95"/>
    <n v="247813"/>
    <x v="2"/>
    <x v="1"/>
    <n v="1"/>
    <n v="50"/>
    <n v="64"/>
  </r>
  <r>
    <x v="0"/>
    <x v="26"/>
    <x v="5"/>
    <x v="2"/>
    <x v="2"/>
    <n v="0"/>
    <n v="0"/>
    <n v="0"/>
    <n v="0"/>
    <n v="0"/>
    <n v="0"/>
    <n v="0"/>
    <n v="0"/>
    <x v="342"/>
    <x v="319"/>
    <n v="347213"/>
    <x v="2"/>
    <x v="1"/>
    <n v="0"/>
    <n v="30"/>
    <n v="49"/>
  </r>
  <r>
    <x v="2"/>
    <x v="114"/>
    <x v="5"/>
    <x v="173"/>
    <x v="762"/>
    <n v="84.4"/>
    <n v="2.2999999999999998"/>
    <n v="1.7"/>
    <n v="0"/>
    <n v="0"/>
    <n v="0"/>
    <n v="0"/>
    <n v="0"/>
    <x v="506"/>
    <x v="465"/>
    <n v="347017"/>
    <x v="442"/>
    <x v="281"/>
    <n v="293"/>
    <n v="30"/>
    <n v="49"/>
  </r>
  <r>
    <x v="0"/>
    <x v="130"/>
    <x v="7"/>
    <x v="278"/>
    <x v="2"/>
    <n v="0"/>
    <n v="0"/>
    <n v="0"/>
    <n v="0"/>
    <n v="0"/>
    <n v="0"/>
    <n v="0"/>
    <n v="0"/>
    <x v="913"/>
    <x v="822"/>
    <n v="0"/>
    <x v="18"/>
    <x v="1"/>
    <n v="0"/>
    <n v="65"/>
    <n v="79"/>
  </r>
  <r>
    <x v="1"/>
    <x v="99"/>
    <x v="4"/>
    <x v="408"/>
    <x v="49"/>
    <n v="4.5999999999999996"/>
    <n v="2.4"/>
    <n v="0.5"/>
    <n v="0"/>
    <n v="0"/>
    <n v="0"/>
    <n v="0"/>
    <n v="0"/>
    <x v="146"/>
    <x v="144"/>
    <n v="21795"/>
    <x v="1"/>
    <x v="0"/>
    <n v="1"/>
    <n v="12"/>
    <n v="17"/>
  </r>
  <r>
    <x v="1"/>
    <x v="111"/>
    <x v="0"/>
    <x v="153"/>
    <x v="166"/>
    <n v="10.4"/>
    <n v="2.4"/>
    <n v="1.3"/>
    <n v="17.8"/>
    <n v="8"/>
    <n v="7.2"/>
    <n v="2.2000000000000002"/>
    <n v="2.5"/>
    <x v="459"/>
    <x v="425"/>
    <n v="1030965"/>
    <x v="101"/>
    <x v="298"/>
    <n v="107"/>
    <n v="999"/>
    <n v="999"/>
  </r>
  <r>
    <x v="2"/>
    <x v="61"/>
    <x v="5"/>
    <x v="1103"/>
    <x v="198"/>
    <n v="38.9"/>
    <n v="2.7"/>
    <n v="1.8"/>
    <n v="0"/>
    <n v="0"/>
    <n v="0"/>
    <n v="0"/>
    <n v="0"/>
    <x v="63"/>
    <x v="63"/>
    <n v="347328"/>
    <x v="231"/>
    <x v="166"/>
    <n v="135"/>
    <n v="30"/>
    <n v="49"/>
  </r>
  <r>
    <x v="0"/>
    <x v="66"/>
    <x v="0"/>
    <x v="431"/>
    <x v="73"/>
    <n v="0.6"/>
    <n v="1.5"/>
    <n v="2.8"/>
    <n v="2.7"/>
    <n v="1"/>
    <n v="0.2"/>
    <n v="2.7"/>
    <n v="16.2"/>
    <x v="1032"/>
    <x v="917"/>
    <n v="169151"/>
    <x v="91"/>
    <x v="75"/>
    <n v="1"/>
    <n v="999"/>
    <n v="999"/>
  </r>
  <r>
    <x v="1"/>
    <x v="27"/>
    <x v="2"/>
    <x v="234"/>
    <x v="2"/>
    <n v="0"/>
    <n v="0"/>
    <n v="0"/>
    <n v="0"/>
    <n v="0"/>
    <n v="0"/>
    <n v="0"/>
    <n v="0"/>
    <x v="850"/>
    <x v="770"/>
    <n v="22205"/>
    <x v="0"/>
    <x v="1"/>
    <n v="0"/>
    <n v="5"/>
    <n v="11"/>
  </r>
  <r>
    <x v="1"/>
    <x v="107"/>
    <x v="4"/>
    <x v="431"/>
    <x v="2"/>
    <n v="0"/>
    <n v="0"/>
    <n v="0"/>
    <n v="0"/>
    <n v="0"/>
    <n v="0"/>
    <n v="0"/>
    <n v="0"/>
    <x v="507"/>
    <x v="466"/>
    <n v="0"/>
    <x v="0"/>
    <x v="1"/>
    <n v="0"/>
    <n v="12"/>
    <n v="17"/>
  </r>
  <r>
    <x v="2"/>
    <x v="14"/>
    <x v="3"/>
    <x v="660"/>
    <x v="656"/>
    <n v="0"/>
    <n v="24.3"/>
    <n v="0"/>
    <n v="0"/>
    <n v="0"/>
    <n v="0"/>
    <n v="0"/>
    <n v="0"/>
    <x v="625"/>
    <x v="569"/>
    <n v="0"/>
    <x v="344"/>
    <x v="26"/>
    <n v="0"/>
    <n v="18"/>
    <n v="29"/>
  </r>
  <r>
    <x v="0"/>
    <x v="31"/>
    <x v="1"/>
    <x v="2"/>
    <x v="2"/>
    <n v="0.4"/>
    <n v="0"/>
    <n v="0"/>
    <n v="0"/>
    <n v="0"/>
    <n v="0"/>
    <n v="0"/>
    <n v="0"/>
    <x v="808"/>
    <x v="735"/>
    <n v="240866"/>
    <x v="2"/>
    <x v="1"/>
    <n v="1"/>
    <n v="50"/>
    <n v="64"/>
  </r>
  <r>
    <x v="0"/>
    <x v="23"/>
    <x v="6"/>
    <x v="351"/>
    <x v="96"/>
    <n v="0"/>
    <n v="0.5"/>
    <n v="0"/>
    <n v="0"/>
    <n v="0"/>
    <n v="0"/>
    <n v="0"/>
    <n v="0"/>
    <x v="1063"/>
    <x v="766"/>
    <n v="47102"/>
    <x v="45"/>
    <x v="39"/>
    <n v="0"/>
    <n v="80"/>
    <n v="200"/>
  </r>
  <r>
    <x v="2"/>
    <x v="20"/>
    <x v="1"/>
    <x v="1104"/>
    <x v="281"/>
    <n v="0"/>
    <n v="3.3"/>
    <n v="0"/>
    <n v="0"/>
    <n v="0"/>
    <n v="0"/>
    <n v="0"/>
    <n v="0"/>
    <x v="745"/>
    <x v="676"/>
    <n v="0"/>
    <x v="296"/>
    <x v="10"/>
    <n v="0"/>
    <n v="50"/>
    <n v="64"/>
  </r>
  <r>
    <x v="0"/>
    <x v="1"/>
    <x v="6"/>
    <x v="102"/>
    <x v="2"/>
    <n v="4.2"/>
    <n v="0"/>
    <n v="1"/>
    <n v="0"/>
    <n v="0"/>
    <n v="0"/>
    <n v="0"/>
    <n v="0"/>
    <x v="845"/>
    <x v="766"/>
    <n v="47121"/>
    <x v="1"/>
    <x v="1"/>
    <n v="2"/>
    <n v="80"/>
    <n v="200"/>
  </r>
  <r>
    <x v="2"/>
    <x v="73"/>
    <x v="5"/>
    <x v="1105"/>
    <x v="763"/>
    <n v="301.5"/>
    <n v="2.1"/>
    <n v="1.1000000000000001"/>
    <n v="0"/>
    <n v="0"/>
    <n v="0"/>
    <n v="0"/>
    <n v="0"/>
    <x v="619"/>
    <x v="563"/>
    <n v="339580"/>
    <x v="443"/>
    <x v="349"/>
    <n v="1024"/>
    <n v="30"/>
    <n v="49"/>
  </r>
  <r>
    <x v="1"/>
    <x v="56"/>
    <x v="7"/>
    <x v="220"/>
    <x v="166"/>
    <n v="5"/>
    <n v="1.1000000000000001"/>
    <n v="1.2"/>
    <n v="0"/>
    <n v="0"/>
    <n v="0"/>
    <n v="0"/>
    <n v="0"/>
    <x v="424"/>
    <x v="395"/>
    <n v="158525"/>
    <x v="45"/>
    <x v="39"/>
    <n v="8"/>
    <n v="65"/>
    <n v="79"/>
  </r>
  <r>
    <x v="0"/>
    <x v="35"/>
    <x v="0"/>
    <x v="113"/>
    <x v="2"/>
    <n v="0.2"/>
    <n v="0"/>
    <n v="1"/>
    <n v="0.2"/>
    <n v="0"/>
    <n v="0.1"/>
    <n v="0"/>
    <n v="1.9"/>
    <x v="571"/>
    <x v="524"/>
    <n v="1044756"/>
    <x v="1"/>
    <x v="1"/>
    <n v="2"/>
    <n v="999"/>
    <n v="999"/>
  </r>
  <r>
    <x v="2"/>
    <x v="31"/>
    <x v="5"/>
    <x v="1106"/>
    <x v="764"/>
    <n v="275.89999999999998"/>
    <n v="2"/>
    <n v="1.1000000000000001"/>
    <n v="0"/>
    <n v="0"/>
    <n v="0"/>
    <n v="0"/>
    <n v="0"/>
    <x v="640"/>
    <x v="581"/>
    <n v="340282"/>
    <x v="444"/>
    <x v="350"/>
    <n v="939"/>
    <n v="30"/>
    <n v="49"/>
  </r>
  <r>
    <x v="0"/>
    <x v="67"/>
    <x v="6"/>
    <x v="102"/>
    <x v="62"/>
    <n v="0"/>
    <n v="0.5"/>
    <n v="0"/>
    <n v="0"/>
    <n v="0"/>
    <n v="0"/>
    <n v="0"/>
    <n v="0"/>
    <x v="919"/>
    <x v="506"/>
    <n v="47124"/>
    <x v="1"/>
    <x v="0"/>
    <n v="0"/>
    <n v="80"/>
    <n v="200"/>
  </r>
  <r>
    <x v="0"/>
    <x v="62"/>
    <x v="0"/>
    <x v="2"/>
    <x v="2"/>
    <n v="0"/>
    <n v="0"/>
    <n v="0"/>
    <n v="0"/>
    <n v="0"/>
    <n v="0"/>
    <n v="0"/>
    <n v="0"/>
    <x v="985"/>
    <x v="37"/>
    <n v="1040778"/>
    <x v="2"/>
    <x v="1"/>
    <n v="0"/>
    <n v="999"/>
    <n v="999"/>
  </r>
  <r>
    <x v="1"/>
    <x v="27"/>
    <x v="3"/>
    <x v="393"/>
    <x v="141"/>
    <n v="1.2"/>
    <n v="1.1000000000000001"/>
    <n v="1.2"/>
    <n v="0"/>
    <n v="0"/>
    <n v="0"/>
    <n v="0"/>
    <n v="0"/>
    <x v="961"/>
    <x v="862"/>
    <n v="162672"/>
    <x v="1"/>
    <x v="39"/>
    <n v="2"/>
    <n v="18"/>
    <n v="29"/>
  </r>
  <r>
    <x v="1"/>
    <x v="101"/>
    <x v="1"/>
    <x v="17"/>
    <x v="765"/>
    <n v="0.9"/>
    <n v="2.5"/>
    <n v="9.6"/>
    <n v="0"/>
    <n v="0"/>
    <n v="0"/>
    <n v="0"/>
    <n v="0"/>
    <x v="154"/>
    <x v="151"/>
    <n v="219986"/>
    <x v="20"/>
    <x v="21"/>
    <n v="2"/>
    <n v="50"/>
    <n v="64"/>
  </r>
  <r>
    <x v="0"/>
    <x v="64"/>
    <x v="5"/>
    <x v="212"/>
    <x v="2"/>
    <n v="0"/>
    <n v="0"/>
    <n v="0"/>
    <n v="0"/>
    <n v="0"/>
    <n v="0"/>
    <n v="0"/>
    <n v="0"/>
    <x v="815"/>
    <x v="742"/>
    <n v="347292"/>
    <x v="1"/>
    <x v="1"/>
    <n v="0"/>
    <n v="30"/>
    <n v="49"/>
  </r>
  <r>
    <x v="0"/>
    <x v="84"/>
    <x v="7"/>
    <x v="2"/>
    <x v="2"/>
    <n v="0.6"/>
    <n v="0"/>
    <n v="0"/>
    <n v="0"/>
    <n v="0"/>
    <n v="0"/>
    <n v="0"/>
    <n v="0"/>
    <x v="103"/>
    <x v="102"/>
    <n v="171762"/>
    <x v="2"/>
    <x v="1"/>
    <n v="1"/>
    <n v="65"/>
    <n v="79"/>
  </r>
  <r>
    <x v="0"/>
    <x v="109"/>
    <x v="0"/>
    <x v="147"/>
    <x v="2"/>
    <n v="0.3"/>
    <n v="0"/>
    <n v="2.2999999999999998"/>
    <n v="0.7"/>
    <n v="0"/>
    <n v="0.2"/>
    <n v="0"/>
    <n v="3.4"/>
    <x v="881"/>
    <x v="794"/>
    <n v="1040253"/>
    <x v="20"/>
    <x v="1"/>
    <n v="3"/>
    <n v="999"/>
    <n v="999"/>
  </r>
  <r>
    <x v="1"/>
    <x v="116"/>
    <x v="8"/>
    <x v="97"/>
    <x v="2"/>
    <n v="0"/>
    <n v="0"/>
    <n v="0"/>
    <n v="0"/>
    <n v="0"/>
    <n v="0"/>
    <n v="0"/>
    <n v="0"/>
    <x v="28"/>
    <x v="28"/>
    <n v="0"/>
    <x v="45"/>
    <x v="1"/>
    <n v="0"/>
    <n v="0"/>
    <n v="4"/>
  </r>
  <r>
    <x v="2"/>
    <x v="118"/>
    <x v="7"/>
    <x v="12"/>
    <x v="217"/>
    <n v="29.1"/>
    <n v="1.5"/>
    <n v="1.2"/>
    <n v="0"/>
    <n v="0"/>
    <n v="0"/>
    <n v="0"/>
    <n v="0"/>
    <x v="1038"/>
    <x v="922"/>
    <n v="157887"/>
    <x v="134"/>
    <x v="23"/>
    <n v="46"/>
    <n v="65"/>
    <n v="79"/>
  </r>
  <r>
    <x v="2"/>
    <x v="110"/>
    <x v="1"/>
    <x v="1107"/>
    <x v="766"/>
    <n v="108.7"/>
    <n v="3.4"/>
    <n v="2"/>
    <n v="0"/>
    <n v="0"/>
    <n v="0"/>
    <n v="0"/>
    <n v="0"/>
    <x v="885"/>
    <x v="797"/>
    <n v="246593"/>
    <x v="101"/>
    <x v="91"/>
    <n v="268"/>
    <n v="50"/>
    <n v="64"/>
  </r>
  <r>
    <x v="1"/>
    <x v="73"/>
    <x v="7"/>
    <x v="78"/>
    <x v="767"/>
    <n v="17.3"/>
    <n v="1.7"/>
    <n v="2.1"/>
    <n v="0"/>
    <n v="0"/>
    <n v="0"/>
    <n v="0"/>
    <n v="0"/>
    <x v="902"/>
    <x v="813"/>
    <n v="167465"/>
    <x v="134"/>
    <x v="17"/>
    <n v="29"/>
    <n v="65"/>
    <n v="79"/>
  </r>
  <r>
    <x v="1"/>
    <x v="43"/>
    <x v="3"/>
    <x v="2"/>
    <x v="23"/>
    <n v="0"/>
    <n v="0"/>
    <n v="0"/>
    <n v="0"/>
    <n v="0"/>
    <n v="0"/>
    <n v="0"/>
    <n v="0"/>
    <x v="87"/>
    <x v="87"/>
    <n v="161709"/>
    <x v="2"/>
    <x v="0"/>
    <n v="0"/>
    <n v="18"/>
    <n v="29"/>
  </r>
  <r>
    <x v="1"/>
    <x v="73"/>
    <x v="2"/>
    <x v="298"/>
    <x v="61"/>
    <n v="0"/>
    <n v="0.9"/>
    <n v="0"/>
    <n v="0"/>
    <n v="0"/>
    <n v="0"/>
    <n v="0"/>
    <n v="0"/>
    <x v="569"/>
    <x v="522"/>
    <n v="6610"/>
    <x v="0"/>
    <x v="11"/>
    <n v="0"/>
    <n v="5"/>
    <n v="11"/>
  </r>
  <r>
    <x v="1"/>
    <x v="129"/>
    <x v="3"/>
    <x v="44"/>
    <x v="23"/>
    <n v="0"/>
    <n v="2.6"/>
    <n v="0"/>
    <n v="0"/>
    <n v="0"/>
    <n v="0"/>
    <n v="0"/>
    <n v="0"/>
    <x v="396"/>
    <x v="87"/>
    <n v="161700"/>
    <x v="1"/>
    <x v="0"/>
    <n v="0"/>
    <n v="18"/>
    <n v="29"/>
  </r>
  <r>
    <x v="1"/>
    <x v="124"/>
    <x v="7"/>
    <x v="1069"/>
    <x v="768"/>
    <n v="20"/>
    <n v="1.9"/>
    <n v="11.2"/>
    <n v="0"/>
    <n v="0"/>
    <n v="0"/>
    <n v="0"/>
    <n v="0"/>
    <x v="543"/>
    <x v="498"/>
    <n v="119716"/>
    <x v="107"/>
    <x v="197"/>
    <n v="24"/>
    <n v="65"/>
    <n v="79"/>
  </r>
  <r>
    <x v="1"/>
    <x v="5"/>
    <x v="1"/>
    <x v="1108"/>
    <x v="656"/>
    <n v="0"/>
    <n v="21"/>
    <n v="0"/>
    <n v="0"/>
    <n v="0"/>
    <n v="0"/>
    <n v="0"/>
    <n v="0"/>
    <x v="722"/>
    <x v="655"/>
    <n v="0"/>
    <x v="76"/>
    <x v="7"/>
    <n v="0"/>
    <n v="50"/>
    <n v="64"/>
  </r>
  <r>
    <x v="1"/>
    <x v="47"/>
    <x v="3"/>
    <x v="555"/>
    <x v="100"/>
    <n v="0.6"/>
    <n v="2.4"/>
    <n v="16.7"/>
    <n v="0"/>
    <n v="0"/>
    <n v="0"/>
    <n v="0"/>
    <n v="0"/>
    <x v="1054"/>
    <x v="936"/>
    <n v="161605"/>
    <x v="33"/>
    <x v="13"/>
    <n v="1"/>
    <n v="18"/>
    <n v="29"/>
  </r>
  <r>
    <x v="2"/>
    <x v="32"/>
    <x v="6"/>
    <x v="1109"/>
    <x v="769"/>
    <n v="233.6"/>
    <n v="0.7"/>
    <n v="0.6"/>
    <n v="0"/>
    <n v="0"/>
    <n v="0"/>
    <n v="0"/>
    <n v="0"/>
    <x v="388"/>
    <x v="207"/>
    <n v="47096"/>
    <x v="19"/>
    <x v="25"/>
    <n v="110"/>
    <n v="80"/>
    <n v="200"/>
  </r>
  <r>
    <x v="0"/>
    <x v="67"/>
    <x v="4"/>
    <x v="2"/>
    <x v="2"/>
    <n v="0"/>
    <n v="0"/>
    <n v="0"/>
    <n v="0"/>
    <n v="0"/>
    <n v="0"/>
    <n v="0"/>
    <n v="0"/>
    <x v="281"/>
    <x v="265"/>
    <n v="44558"/>
    <x v="2"/>
    <x v="1"/>
    <n v="0"/>
    <n v="12"/>
    <n v="17"/>
  </r>
  <r>
    <x v="2"/>
    <x v="4"/>
    <x v="0"/>
    <x v="1110"/>
    <x v="770"/>
    <n v="150.5"/>
    <n v="1.3"/>
    <n v="0.7"/>
    <n v="111.8"/>
    <n v="74.900000000000006"/>
    <n v="132.6"/>
    <n v="1.5"/>
    <n v="0.8"/>
    <x v="813"/>
    <x v="740"/>
    <n v="937807"/>
    <x v="146"/>
    <x v="351"/>
    <n v="1411"/>
    <n v="999"/>
    <n v="999"/>
  </r>
  <r>
    <x v="2"/>
    <x v="110"/>
    <x v="0"/>
    <x v="1111"/>
    <x v="67"/>
    <n v="93.1"/>
    <n v="1.7"/>
    <n v="1.1000000000000001"/>
    <n v="127.4"/>
    <n v="63.6"/>
    <n v="83.5"/>
    <n v="2"/>
    <n v="1.5"/>
    <x v="359"/>
    <x v="335"/>
    <n v="1037728"/>
    <x v="445"/>
    <x v="352"/>
    <n v="966"/>
    <n v="999"/>
    <n v="999"/>
  </r>
  <r>
    <x v="2"/>
    <x v="117"/>
    <x v="2"/>
    <x v="1112"/>
    <x v="771"/>
    <n v="112.2"/>
    <n v="1.1000000000000001"/>
    <n v="0.8"/>
    <n v="0"/>
    <n v="0"/>
    <n v="0"/>
    <n v="0"/>
    <n v="0"/>
    <x v="888"/>
    <x v="800"/>
    <n v="18722"/>
    <x v="151"/>
    <x v="76"/>
    <n v="21"/>
    <n v="5"/>
    <n v="11"/>
  </r>
  <r>
    <x v="1"/>
    <x v="91"/>
    <x v="8"/>
    <x v="20"/>
    <x v="2"/>
    <n v="0"/>
    <n v="0"/>
    <n v="0"/>
    <n v="0"/>
    <n v="0"/>
    <n v="0"/>
    <n v="0"/>
    <n v="0"/>
    <x v="28"/>
    <x v="28"/>
    <n v="0"/>
    <x v="20"/>
    <x v="1"/>
    <n v="0"/>
    <n v="0"/>
    <n v="4"/>
  </r>
  <r>
    <x v="2"/>
    <x v="82"/>
    <x v="4"/>
    <x v="220"/>
    <x v="2"/>
    <n v="0"/>
    <n v="0"/>
    <n v="0"/>
    <n v="0"/>
    <n v="0"/>
    <n v="0"/>
    <n v="0"/>
    <n v="0"/>
    <x v="1058"/>
    <x v="241"/>
    <n v="44590"/>
    <x v="0"/>
    <x v="1"/>
    <n v="0"/>
    <n v="12"/>
    <n v="17"/>
  </r>
  <r>
    <x v="2"/>
    <x v="44"/>
    <x v="7"/>
    <x v="1113"/>
    <x v="772"/>
    <n v="40"/>
    <n v="1.9"/>
    <n v="1.5"/>
    <n v="0"/>
    <n v="0"/>
    <n v="0"/>
    <n v="0"/>
    <n v="0"/>
    <x v="335"/>
    <x v="313"/>
    <n v="154842"/>
    <x v="71"/>
    <x v="3"/>
    <n v="62"/>
    <n v="65"/>
    <n v="79"/>
  </r>
  <r>
    <x v="1"/>
    <x v="85"/>
    <x v="8"/>
    <x v="109"/>
    <x v="2"/>
    <n v="0"/>
    <n v="0"/>
    <n v="0"/>
    <n v="0"/>
    <n v="0"/>
    <n v="0"/>
    <n v="0"/>
    <n v="0"/>
    <x v="28"/>
    <x v="28"/>
    <n v="0"/>
    <x v="137"/>
    <x v="1"/>
    <n v="0"/>
    <n v="0"/>
    <n v="4"/>
  </r>
  <r>
    <x v="2"/>
    <x v="27"/>
    <x v="3"/>
    <x v="1114"/>
    <x v="44"/>
    <n v="28.3"/>
    <n v="3.2"/>
    <n v="2.6"/>
    <n v="0"/>
    <n v="0"/>
    <n v="0"/>
    <n v="0"/>
    <n v="0"/>
    <x v="961"/>
    <x v="862"/>
    <n v="162672"/>
    <x v="67"/>
    <x v="94"/>
    <n v="46"/>
    <n v="18"/>
    <n v="29"/>
  </r>
  <r>
    <x v="2"/>
    <x v="27"/>
    <x v="4"/>
    <x v="73"/>
    <x v="634"/>
    <n v="29.1"/>
    <n v="2.5"/>
    <n v="1.4"/>
    <n v="0"/>
    <n v="0"/>
    <n v="0"/>
    <n v="0"/>
    <n v="0"/>
    <x v="289"/>
    <x v="272"/>
    <n v="44716"/>
    <x v="16"/>
    <x v="52"/>
    <n v="13"/>
    <n v="12"/>
    <n v="17"/>
  </r>
  <r>
    <x v="2"/>
    <x v="14"/>
    <x v="4"/>
    <x v="1115"/>
    <x v="18"/>
    <n v="0"/>
    <n v="3.8"/>
    <n v="0"/>
    <n v="0"/>
    <n v="0"/>
    <n v="0"/>
    <n v="0"/>
    <n v="0"/>
    <x v="1077"/>
    <x v="955"/>
    <n v="0"/>
    <x v="106"/>
    <x v="0"/>
    <n v="0"/>
    <n v="12"/>
    <n v="17"/>
  </r>
  <r>
    <x v="0"/>
    <x v="65"/>
    <x v="4"/>
    <x v="2"/>
    <x v="2"/>
    <n v="0"/>
    <n v="0"/>
    <n v="0"/>
    <n v="0"/>
    <n v="0"/>
    <n v="0"/>
    <n v="0"/>
    <n v="0"/>
    <x v="73"/>
    <x v="73"/>
    <n v="0"/>
    <x v="2"/>
    <x v="1"/>
    <n v="0"/>
    <n v="12"/>
    <n v="17"/>
  </r>
  <r>
    <x v="1"/>
    <x v="53"/>
    <x v="3"/>
    <x v="2"/>
    <x v="2"/>
    <n v="0"/>
    <n v="0"/>
    <n v="0"/>
    <n v="0"/>
    <n v="0"/>
    <n v="0"/>
    <n v="0"/>
    <n v="0"/>
    <x v="604"/>
    <x v="113"/>
    <n v="161693"/>
    <x v="2"/>
    <x v="1"/>
    <n v="0"/>
    <n v="18"/>
    <n v="29"/>
  </r>
  <r>
    <x v="2"/>
    <x v="138"/>
    <x v="6"/>
    <x v="374"/>
    <x v="400"/>
    <n v="0"/>
    <n v="5.6"/>
    <n v="0"/>
    <n v="0"/>
    <n v="0"/>
    <n v="0"/>
    <n v="0"/>
    <n v="0"/>
    <x v="514"/>
    <x v="470"/>
    <n v="0"/>
    <x v="194"/>
    <x v="16"/>
    <n v="0"/>
    <n v="80"/>
    <n v="200"/>
  </r>
  <r>
    <x v="2"/>
    <x v="74"/>
    <x v="5"/>
    <x v="884"/>
    <x v="531"/>
    <n v="21.6"/>
    <n v="2.6"/>
    <n v="2.5"/>
    <n v="0"/>
    <n v="0"/>
    <n v="0"/>
    <n v="0"/>
    <n v="0"/>
    <x v="123"/>
    <x v="122"/>
    <n v="347858"/>
    <x v="15"/>
    <x v="213"/>
    <n v="75"/>
    <n v="30"/>
    <n v="49"/>
  </r>
  <r>
    <x v="1"/>
    <x v="80"/>
    <x v="6"/>
    <x v="1116"/>
    <x v="773"/>
    <n v="27.2"/>
    <n v="0.3"/>
    <n v="0.8"/>
    <n v="0"/>
    <n v="0"/>
    <n v="0"/>
    <n v="0"/>
    <n v="0"/>
    <x v="707"/>
    <x v="643"/>
    <n v="44158"/>
    <x v="18"/>
    <x v="13"/>
    <n v="12"/>
    <n v="80"/>
    <n v="200"/>
  </r>
  <r>
    <x v="1"/>
    <x v="70"/>
    <x v="3"/>
    <x v="26"/>
    <x v="131"/>
    <n v="0.6"/>
    <n v="1.4"/>
    <n v="4.3"/>
    <n v="0"/>
    <n v="0"/>
    <n v="0"/>
    <n v="0"/>
    <n v="0"/>
    <x v="535"/>
    <x v="490"/>
    <n v="161682"/>
    <x v="0"/>
    <x v="16"/>
    <n v="1"/>
    <n v="18"/>
    <n v="29"/>
  </r>
  <r>
    <x v="2"/>
    <x v="41"/>
    <x v="0"/>
    <x v="1117"/>
    <x v="774"/>
    <n v="203.5"/>
    <n v="1.8"/>
    <n v="1.1000000000000001"/>
    <n v="263.60000000000002"/>
    <n v="119.4"/>
    <n v="173.6"/>
    <n v="2.2000000000000002"/>
    <n v="1.5"/>
    <x v="531"/>
    <x v="486"/>
    <n v="1018396"/>
    <x v="446"/>
    <x v="353"/>
    <n v="2072"/>
    <n v="999"/>
    <n v="999"/>
  </r>
  <r>
    <x v="1"/>
    <x v="123"/>
    <x v="4"/>
    <x v="2"/>
    <x v="17"/>
    <n v="0"/>
    <n v="0"/>
    <n v="0"/>
    <n v="0"/>
    <n v="0"/>
    <n v="0"/>
    <n v="0"/>
    <n v="0"/>
    <x v="792"/>
    <x v="719"/>
    <n v="44563"/>
    <x v="2"/>
    <x v="0"/>
    <n v="0"/>
    <n v="12"/>
    <n v="17"/>
  </r>
  <r>
    <x v="2"/>
    <x v="104"/>
    <x v="0"/>
    <x v="1118"/>
    <x v="775"/>
    <n v="32.799999999999997"/>
    <n v="2.4"/>
    <n v="7.4"/>
    <n v="281.89999999999998"/>
    <n v="82.4"/>
    <n v="26.7"/>
    <n v="3.4"/>
    <n v="10.5"/>
    <x v="959"/>
    <x v="861"/>
    <n v="274264"/>
    <x v="447"/>
    <x v="354"/>
    <n v="90"/>
    <n v="999"/>
    <n v="999"/>
  </r>
  <r>
    <x v="2"/>
    <x v="104"/>
    <x v="1"/>
    <x v="1119"/>
    <x v="495"/>
    <n v="30.1"/>
    <n v="4.5"/>
    <n v="13.2"/>
    <n v="0"/>
    <n v="0"/>
    <n v="0"/>
    <n v="0"/>
    <n v="0"/>
    <x v="846"/>
    <x v="767"/>
    <n v="63187"/>
    <x v="448"/>
    <x v="162"/>
    <n v="19"/>
    <n v="50"/>
    <n v="64"/>
  </r>
  <r>
    <x v="1"/>
    <x v="94"/>
    <x v="2"/>
    <x v="2"/>
    <x v="2"/>
    <n v="0"/>
    <n v="0"/>
    <n v="0"/>
    <n v="0"/>
    <n v="0"/>
    <n v="0"/>
    <n v="0"/>
    <n v="0"/>
    <x v="1052"/>
    <x v="934"/>
    <n v="21179"/>
    <x v="2"/>
    <x v="1"/>
    <n v="0"/>
    <n v="5"/>
    <n v="11"/>
  </r>
  <r>
    <x v="0"/>
    <x v="49"/>
    <x v="7"/>
    <x v="2"/>
    <x v="2"/>
    <n v="0.6"/>
    <n v="0"/>
    <n v="0"/>
    <n v="0"/>
    <n v="0"/>
    <n v="0"/>
    <n v="0"/>
    <n v="0"/>
    <x v="561"/>
    <x v="515"/>
    <n v="171752"/>
    <x v="2"/>
    <x v="1"/>
    <n v="1"/>
    <n v="65"/>
    <n v="79"/>
  </r>
  <r>
    <x v="0"/>
    <x v="124"/>
    <x v="0"/>
    <x v="117"/>
    <x v="125"/>
    <n v="1"/>
    <n v="2.7"/>
    <n v="7.6"/>
    <n v="10.9"/>
    <n v="3.2"/>
    <n v="0.4"/>
    <n v="3.4"/>
    <n v="26.9"/>
    <x v="926"/>
    <x v="832"/>
    <n v="517372"/>
    <x v="90"/>
    <x v="77"/>
    <n v="5"/>
    <n v="999"/>
    <n v="999"/>
  </r>
  <r>
    <x v="0"/>
    <x v="17"/>
    <x v="0"/>
    <x v="2"/>
    <x v="2"/>
    <n v="0.1"/>
    <n v="0"/>
    <n v="0"/>
    <n v="0"/>
    <n v="0"/>
    <n v="0.1"/>
    <n v="0"/>
    <n v="0"/>
    <x v="19"/>
    <x v="19"/>
    <n v="1040733"/>
    <x v="2"/>
    <x v="1"/>
    <n v="1"/>
    <n v="999"/>
    <n v="999"/>
  </r>
  <r>
    <x v="0"/>
    <x v="3"/>
    <x v="0"/>
    <x v="28"/>
    <x v="38"/>
    <n v="0.5"/>
    <n v="2.7"/>
    <n v="3.8"/>
    <n v="3"/>
    <n v="0.7"/>
    <n v="0.2"/>
    <n v="4.0999999999999996"/>
    <n v="16.7"/>
    <x v="292"/>
    <x v="275"/>
    <n v="221328"/>
    <x v="134"/>
    <x v="13"/>
    <n v="1"/>
    <n v="999"/>
    <n v="999"/>
  </r>
  <r>
    <x v="2"/>
    <x v="76"/>
    <x v="7"/>
    <x v="454"/>
    <x v="390"/>
    <n v="26.2"/>
    <n v="1.8"/>
    <n v="0.8"/>
    <n v="0"/>
    <n v="0"/>
    <n v="0"/>
    <n v="0"/>
    <n v="0"/>
    <x v="365"/>
    <x v="341"/>
    <n v="171732"/>
    <x v="33"/>
    <x v="21"/>
    <n v="45"/>
    <n v="65"/>
    <n v="79"/>
  </r>
  <r>
    <x v="2"/>
    <x v="4"/>
    <x v="5"/>
    <x v="1120"/>
    <x v="249"/>
    <n v="225.3"/>
    <n v="1.9"/>
    <n v="0.5"/>
    <n v="0"/>
    <n v="0"/>
    <n v="0"/>
    <n v="0"/>
    <n v="0"/>
    <x v="81"/>
    <x v="81"/>
    <n v="326607"/>
    <x v="111"/>
    <x v="44"/>
    <n v="736"/>
    <n v="30"/>
    <n v="49"/>
  </r>
  <r>
    <x v="1"/>
    <x v="25"/>
    <x v="6"/>
    <x v="1121"/>
    <x v="776"/>
    <n v="45.1"/>
    <n v="0.9"/>
    <n v="2.7"/>
    <n v="0"/>
    <n v="0"/>
    <n v="0"/>
    <n v="0"/>
    <n v="0"/>
    <x v="490"/>
    <x v="454"/>
    <n v="39936"/>
    <x v="118"/>
    <x v="57"/>
    <n v="18"/>
    <n v="80"/>
    <n v="200"/>
  </r>
  <r>
    <x v="1"/>
    <x v="12"/>
    <x v="4"/>
    <x v="2"/>
    <x v="2"/>
    <n v="0"/>
    <n v="0"/>
    <n v="0"/>
    <n v="0"/>
    <n v="0"/>
    <n v="0"/>
    <n v="0"/>
    <n v="0"/>
    <x v="754"/>
    <x v="684"/>
    <n v="0"/>
    <x v="2"/>
    <x v="1"/>
    <n v="0"/>
    <n v="12"/>
    <n v="17"/>
  </r>
  <r>
    <x v="1"/>
    <x v="0"/>
    <x v="7"/>
    <x v="1122"/>
    <x v="388"/>
    <n v="14"/>
    <n v="1.3"/>
    <n v="1.8"/>
    <n v="0"/>
    <n v="0"/>
    <n v="0"/>
    <n v="0"/>
    <n v="0"/>
    <x v="890"/>
    <x v="67"/>
    <n v="171376"/>
    <x v="6"/>
    <x v="5"/>
    <n v="24"/>
    <n v="65"/>
    <n v="79"/>
  </r>
  <r>
    <x v="2"/>
    <x v="110"/>
    <x v="5"/>
    <x v="27"/>
    <x v="660"/>
    <n v="75.5"/>
    <n v="2.4"/>
    <n v="1.7"/>
    <n v="0"/>
    <n v="0"/>
    <n v="0"/>
    <n v="0"/>
    <n v="0"/>
    <x v="976"/>
    <x v="874"/>
    <n v="346953"/>
    <x v="111"/>
    <x v="172"/>
    <n v="262"/>
    <n v="30"/>
    <n v="49"/>
  </r>
  <r>
    <x v="0"/>
    <x v="82"/>
    <x v="6"/>
    <x v="2"/>
    <x v="2"/>
    <n v="2.1"/>
    <n v="0"/>
    <n v="0"/>
    <n v="0"/>
    <n v="0"/>
    <n v="0"/>
    <n v="0"/>
    <n v="0"/>
    <x v="102"/>
    <x v="101"/>
    <n v="47130"/>
    <x v="2"/>
    <x v="1"/>
    <n v="1"/>
    <n v="80"/>
    <n v="200"/>
  </r>
  <r>
    <x v="2"/>
    <x v="55"/>
    <x v="4"/>
    <x v="1123"/>
    <x v="94"/>
    <n v="20.2"/>
    <n v="0.9"/>
    <n v="0.9"/>
    <n v="0"/>
    <n v="0"/>
    <n v="0"/>
    <n v="0"/>
    <n v="0"/>
    <x v="162"/>
    <x v="159"/>
    <n v="44594"/>
    <x v="18"/>
    <x v="130"/>
    <n v="9"/>
    <n v="12"/>
    <n v="17"/>
  </r>
  <r>
    <x v="1"/>
    <x v="74"/>
    <x v="3"/>
    <x v="60"/>
    <x v="2"/>
    <n v="0.6"/>
    <n v="0"/>
    <n v="4.7"/>
    <n v="0"/>
    <n v="0"/>
    <n v="0"/>
    <n v="0"/>
    <n v="0"/>
    <x v="901"/>
    <x v="812"/>
    <n v="162045"/>
    <x v="0"/>
    <x v="1"/>
    <n v="1"/>
    <n v="18"/>
    <n v="29"/>
  </r>
  <r>
    <x v="0"/>
    <x v="124"/>
    <x v="2"/>
    <x v="2"/>
    <x v="2"/>
    <n v="0"/>
    <n v="0"/>
    <n v="0"/>
    <n v="0"/>
    <n v="0"/>
    <n v="0"/>
    <n v="0"/>
    <n v="0"/>
    <x v="594"/>
    <x v="543"/>
    <n v="0"/>
    <x v="2"/>
    <x v="1"/>
    <n v="0"/>
    <n v="5"/>
    <n v="11"/>
  </r>
  <r>
    <x v="0"/>
    <x v="1"/>
    <x v="0"/>
    <x v="241"/>
    <x v="0"/>
    <n v="0.4"/>
    <n v="5"/>
    <n v="1.2"/>
    <n v="0.8"/>
    <n v="0.1"/>
    <n v="0.3"/>
    <n v="6.7"/>
    <n v="3.1"/>
    <x v="863"/>
    <x v="781"/>
    <n v="1040343"/>
    <x v="45"/>
    <x v="0"/>
    <n v="4"/>
    <n v="999"/>
    <n v="999"/>
  </r>
  <r>
    <x v="2"/>
    <x v="13"/>
    <x v="6"/>
    <x v="1124"/>
    <x v="777"/>
    <n v="338.2"/>
    <n v="0.8"/>
    <n v="1.3"/>
    <n v="0"/>
    <n v="0"/>
    <n v="0"/>
    <n v="0"/>
    <n v="0"/>
    <x v="273"/>
    <x v="259"/>
    <n v="39032"/>
    <x v="260"/>
    <x v="56"/>
    <n v="132"/>
    <n v="80"/>
    <n v="200"/>
  </r>
  <r>
    <x v="1"/>
    <x v="16"/>
    <x v="0"/>
    <x v="1125"/>
    <x v="778"/>
    <n v="20.9"/>
    <n v="2.1"/>
    <n v="5.0999999999999996"/>
    <n v="143.9"/>
    <n v="55.1"/>
    <n v="12.8"/>
    <n v="2.6"/>
    <n v="11.2"/>
    <x v="995"/>
    <x v="889"/>
    <n v="587380"/>
    <x v="449"/>
    <x v="355"/>
    <n v="123"/>
    <n v="999"/>
    <n v="999"/>
  </r>
  <r>
    <x v="1"/>
    <x v="34"/>
    <x v="3"/>
    <x v="1018"/>
    <x v="100"/>
    <n v="0"/>
    <n v="10.3"/>
    <n v="0"/>
    <n v="0"/>
    <n v="0"/>
    <n v="0"/>
    <n v="0"/>
    <n v="0"/>
    <x v="66"/>
    <x v="66"/>
    <n v="46808"/>
    <x v="90"/>
    <x v="23"/>
    <n v="0"/>
    <n v="18"/>
    <n v="29"/>
  </r>
  <r>
    <x v="0"/>
    <x v="79"/>
    <x v="5"/>
    <x v="2"/>
    <x v="2"/>
    <n v="0"/>
    <n v="0"/>
    <n v="0"/>
    <n v="0"/>
    <n v="0"/>
    <n v="0"/>
    <n v="0"/>
    <n v="0"/>
    <x v="663"/>
    <x v="197"/>
    <n v="347297"/>
    <x v="2"/>
    <x v="1"/>
    <n v="0"/>
    <n v="30"/>
    <n v="49"/>
  </r>
  <r>
    <x v="1"/>
    <x v="63"/>
    <x v="5"/>
    <x v="530"/>
    <x v="379"/>
    <n v="2.9"/>
    <n v="4.2"/>
    <n v="5.3"/>
    <n v="0"/>
    <n v="0"/>
    <n v="0"/>
    <n v="0"/>
    <n v="0"/>
    <x v="712"/>
    <x v="648"/>
    <n v="347053"/>
    <x v="8"/>
    <x v="17"/>
    <n v="10"/>
    <n v="30"/>
    <n v="49"/>
  </r>
  <r>
    <x v="2"/>
    <x v="137"/>
    <x v="4"/>
    <x v="1126"/>
    <x v="132"/>
    <n v="11.2"/>
    <n v="3.7"/>
    <n v="3.4"/>
    <n v="0"/>
    <n v="0"/>
    <n v="0"/>
    <n v="0"/>
    <n v="0"/>
    <x v="988"/>
    <x v="884"/>
    <n v="44749"/>
    <x v="27"/>
    <x v="13"/>
    <n v="5"/>
    <n v="12"/>
    <n v="17"/>
  </r>
  <r>
    <x v="2"/>
    <x v="9"/>
    <x v="5"/>
    <x v="756"/>
    <x v="779"/>
    <n v="0"/>
    <n v="2.4"/>
    <n v="0"/>
    <n v="0"/>
    <n v="0"/>
    <n v="0"/>
    <n v="0"/>
    <n v="0"/>
    <x v="1012"/>
    <x v="903"/>
    <n v="0"/>
    <x v="450"/>
    <x v="356"/>
    <n v="0"/>
    <n v="30"/>
    <n v="49"/>
  </r>
  <r>
    <x v="0"/>
    <x v="108"/>
    <x v="7"/>
    <x v="20"/>
    <x v="218"/>
    <n v="0.6"/>
    <n v="0.5"/>
    <n v="4.2"/>
    <n v="0"/>
    <n v="0"/>
    <n v="0"/>
    <n v="0"/>
    <n v="0"/>
    <x v="636"/>
    <x v="577"/>
    <n v="171693"/>
    <x v="1"/>
    <x v="11"/>
    <n v="1"/>
    <n v="65"/>
    <n v="79"/>
  </r>
  <r>
    <x v="1"/>
    <x v="76"/>
    <x v="2"/>
    <x v="2"/>
    <x v="2"/>
    <n v="4.7"/>
    <n v="0"/>
    <n v="0"/>
    <n v="0"/>
    <n v="0"/>
    <n v="0"/>
    <n v="0"/>
    <n v="0"/>
    <x v="549"/>
    <x v="504"/>
    <n v="21243"/>
    <x v="2"/>
    <x v="1"/>
    <n v="1"/>
    <n v="5"/>
    <n v="11"/>
  </r>
  <r>
    <x v="0"/>
    <x v="29"/>
    <x v="2"/>
    <x v="2"/>
    <x v="2"/>
    <n v="0"/>
    <n v="0"/>
    <n v="0"/>
    <n v="0"/>
    <n v="0"/>
    <n v="0"/>
    <n v="0"/>
    <n v="0"/>
    <x v="471"/>
    <x v="436"/>
    <n v="5230"/>
    <x v="2"/>
    <x v="1"/>
    <n v="0"/>
    <n v="5"/>
    <n v="11"/>
  </r>
  <r>
    <x v="2"/>
    <x v="114"/>
    <x v="4"/>
    <x v="636"/>
    <x v="780"/>
    <n v="51.7"/>
    <n v="3.7"/>
    <n v="3.3"/>
    <n v="0"/>
    <n v="0"/>
    <n v="0"/>
    <n v="0"/>
    <n v="0"/>
    <x v="570"/>
    <x v="523"/>
    <n v="44472"/>
    <x v="76"/>
    <x v="165"/>
    <n v="23"/>
    <n v="12"/>
    <n v="17"/>
  </r>
  <r>
    <x v="2"/>
    <x v="112"/>
    <x v="0"/>
    <x v="1127"/>
    <x v="18"/>
    <n v="0"/>
    <n v="9.6999999999999993"/>
    <n v="0"/>
    <n v="120.5"/>
    <n v="8.1"/>
    <n v="0"/>
    <n v="14.9"/>
    <n v="0"/>
    <x v="851"/>
    <x v="771"/>
    <n v="0"/>
    <x v="451"/>
    <x v="201"/>
    <n v="0"/>
    <n v="999"/>
    <n v="999"/>
  </r>
  <r>
    <x v="1"/>
    <x v="18"/>
    <x v="6"/>
    <x v="10"/>
    <x v="707"/>
    <n v="81.7"/>
    <n v="1"/>
    <n v="0.8"/>
    <n v="0"/>
    <n v="0"/>
    <n v="0"/>
    <n v="0"/>
    <n v="0"/>
    <x v="790"/>
    <x v="717"/>
    <n v="45272"/>
    <x v="134"/>
    <x v="5"/>
    <n v="37"/>
    <n v="80"/>
    <n v="200"/>
  </r>
  <r>
    <x v="0"/>
    <x v="139"/>
    <x v="3"/>
    <x v="2"/>
    <x v="2"/>
    <n v="0"/>
    <n v="0"/>
    <n v="0"/>
    <n v="0"/>
    <n v="0"/>
    <n v="0"/>
    <n v="0"/>
    <n v="0"/>
    <x v="1060"/>
    <x v="249"/>
    <n v="161700"/>
    <x v="2"/>
    <x v="1"/>
    <n v="0"/>
    <n v="18"/>
    <n v="29"/>
  </r>
  <r>
    <x v="2"/>
    <x v="76"/>
    <x v="4"/>
    <x v="220"/>
    <x v="241"/>
    <n v="9"/>
    <n v="0.9"/>
    <n v="0.7"/>
    <n v="0"/>
    <n v="0"/>
    <n v="0"/>
    <n v="0"/>
    <n v="0"/>
    <x v="843"/>
    <x v="764"/>
    <n v="44580"/>
    <x v="0"/>
    <x v="48"/>
    <n v="4"/>
    <n v="12"/>
    <n v="17"/>
  </r>
  <r>
    <x v="2"/>
    <x v="31"/>
    <x v="3"/>
    <x v="1128"/>
    <x v="781"/>
    <n v="255.2"/>
    <n v="2.1"/>
    <n v="1.2"/>
    <n v="0"/>
    <n v="0"/>
    <n v="0"/>
    <n v="0"/>
    <n v="0"/>
    <x v="563"/>
    <x v="517"/>
    <n v="156355"/>
    <x v="452"/>
    <x v="357"/>
    <n v="399"/>
    <n v="18"/>
    <n v="29"/>
  </r>
  <r>
    <x v="1"/>
    <x v="63"/>
    <x v="6"/>
    <x v="725"/>
    <x v="201"/>
    <n v="46.7"/>
    <n v="1"/>
    <n v="1.3"/>
    <n v="0"/>
    <n v="0"/>
    <n v="0"/>
    <n v="0"/>
    <n v="0"/>
    <x v="125"/>
    <x v="124"/>
    <n v="47086"/>
    <x v="36"/>
    <x v="26"/>
    <n v="22"/>
    <n v="80"/>
    <n v="200"/>
  </r>
  <r>
    <x v="1"/>
    <x v="113"/>
    <x v="3"/>
    <x v="2"/>
    <x v="48"/>
    <n v="0"/>
    <n v="0"/>
    <n v="0"/>
    <n v="0"/>
    <n v="0"/>
    <n v="0"/>
    <n v="0"/>
    <n v="0"/>
    <x v="389"/>
    <x v="364"/>
    <n v="161803"/>
    <x v="2"/>
    <x v="11"/>
    <n v="0"/>
    <n v="18"/>
    <n v="29"/>
  </r>
  <r>
    <x v="2"/>
    <x v="108"/>
    <x v="1"/>
    <x v="1129"/>
    <x v="782"/>
    <n v="92.4"/>
    <n v="3.7"/>
    <n v="2.6"/>
    <n v="0"/>
    <n v="0"/>
    <n v="0"/>
    <n v="0"/>
    <n v="0"/>
    <x v="224"/>
    <x v="215"/>
    <n v="246859"/>
    <x v="154"/>
    <x v="58"/>
    <n v="228"/>
    <n v="50"/>
    <n v="64"/>
  </r>
  <r>
    <x v="0"/>
    <x v="33"/>
    <x v="2"/>
    <x v="2"/>
    <x v="2"/>
    <n v="0"/>
    <n v="0"/>
    <n v="0"/>
    <n v="0"/>
    <n v="0"/>
    <n v="0"/>
    <n v="0"/>
    <n v="0"/>
    <x v="838"/>
    <x v="42"/>
    <n v="21259"/>
    <x v="2"/>
    <x v="1"/>
    <n v="0"/>
    <n v="5"/>
    <n v="11"/>
  </r>
  <r>
    <x v="1"/>
    <x v="61"/>
    <x v="8"/>
    <x v="132"/>
    <x v="2"/>
    <n v="0"/>
    <n v="0"/>
    <n v="0"/>
    <n v="0"/>
    <n v="0"/>
    <n v="0"/>
    <n v="0"/>
    <n v="0"/>
    <x v="28"/>
    <x v="28"/>
    <n v="0"/>
    <x v="13"/>
    <x v="1"/>
    <n v="0"/>
    <n v="0"/>
    <n v="4"/>
  </r>
  <r>
    <x v="0"/>
    <x v="129"/>
    <x v="0"/>
    <x v="2"/>
    <x v="2"/>
    <n v="0.1"/>
    <n v="0"/>
    <n v="0"/>
    <n v="0"/>
    <n v="0"/>
    <n v="0.1"/>
    <n v="0"/>
    <n v="0"/>
    <x v="684"/>
    <x v="621"/>
    <n v="1040706"/>
    <x v="2"/>
    <x v="1"/>
    <n v="1"/>
    <n v="999"/>
    <n v="999"/>
  </r>
  <r>
    <x v="0"/>
    <x v="34"/>
    <x v="3"/>
    <x v="2"/>
    <x v="2"/>
    <n v="0"/>
    <n v="0"/>
    <n v="0"/>
    <n v="0"/>
    <n v="0"/>
    <n v="0"/>
    <n v="0"/>
    <n v="0"/>
    <x v="66"/>
    <x v="66"/>
    <n v="46808"/>
    <x v="2"/>
    <x v="1"/>
    <n v="0"/>
    <n v="18"/>
    <n v="29"/>
  </r>
  <r>
    <x v="1"/>
    <x v="117"/>
    <x v="0"/>
    <x v="512"/>
    <x v="218"/>
    <n v="7.3"/>
    <n v="2.2999999999999998"/>
    <n v="1.5"/>
    <n v="13.9"/>
    <n v="6.1"/>
    <n v="4.9000000000000004"/>
    <n v="2.2999999999999998"/>
    <n v="2.8"/>
    <x v="218"/>
    <x v="209"/>
    <n v="1036367"/>
    <x v="300"/>
    <x v="33"/>
    <n v="76"/>
    <n v="999"/>
    <n v="999"/>
  </r>
  <r>
    <x v="1"/>
    <x v="97"/>
    <x v="1"/>
    <x v="1130"/>
    <x v="385"/>
    <n v="0"/>
    <n v="10.7"/>
    <n v="0"/>
    <n v="0"/>
    <n v="0"/>
    <n v="0"/>
    <n v="0"/>
    <n v="0"/>
    <x v="572"/>
    <x v="525"/>
    <n v="92192"/>
    <x v="30"/>
    <x v="168"/>
    <n v="0"/>
    <n v="50"/>
    <n v="64"/>
  </r>
  <r>
    <x v="1"/>
    <x v="39"/>
    <x v="3"/>
    <x v="287"/>
    <x v="48"/>
    <n v="0.6"/>
    <n v="3.9"/>
    <n v="5.8"/>
    <n v="0"/>
    <n v="0"/>
    <n v="0"/>
    <n v="0"/>
    <n v="0"/>
    <x v="1005"/>
    <x v="898"/>
    <n v="161484"/>
    <x v="45"/>
    <x v="11"/>
    <n v="1"/>
    <n v="18"/>
    <n v="29"/>
  </r>
  <r>
    <x v="2"/>
    <x v="47"/>
    <x v="6"/>
    <x v="1131"/>
    <x v="783"/>
    <n v="303.5"/>
    <n v="0.3"/>
    <n v="0.4"/>
    <n v="0"/>
    <n v="0"/>
    <n v="0"/>
    <n v="0"/>
    <n v="0"/>
    <x v="816"/>
    <x v="309"/>
    <n v="47114"/>
    <x v="48"/>
    <x v="165"/>
    <n v="143"/>
    <n v="80"/>
    <n v="200"/>
  </r>
  <r>
    <x v="0"/>
    <x v="13"/>
    <x v="3"/>
    <x v="212"/>
    <x v="2"/>
    <n v="0"/>
    <n v="0"/>
    <n v="0"/>
    <n v="0"/>
    <n v="0"/>
    <n v="0"/>
    <n v="0"/>
    <n v="0"/>
    <x v="649"/>
    <x v="590"/>
    <n v="103823"/>
    <x v="1"/>
    <x v="1"/>
    <n v="0"/>
    <n v="18"/>
    <n v="29"/>
  </r>
  <r>
    <x v="1"/>
    <x v="22"/>
    <x v="6"/>
    <x v="574"/>
    <x v="22"/>
    <n v="82.8"/>
    <n v="0.8"/>
    <n v="0.9"/>
    <n v="0"/>
    <n v="0"/>
    <n v="0"/>
    <n v="0"/>
    <n v="0"/>
    <x v="242"/>
    <x v="207"/>
    <n v="47104"/>
    <x v="8"/>
    <x v="17"/>
    <n v="39"/>
    <n v="80"/>
    <n v="200"/>
  </r>
  <r>
    <x v="1"/>
    <x v="119"/>
    <x v="3"/>
    <x v="155"/>
    <x v="141"/>
    <n v="0.6"/>
    <n v="3.1"/>
    <n v="7.3"/>
    <n v="0"/>
    <n v="0"/>
    <n v="0"/>
    <n v="0"/>
    <n v="0"/>
    <x v="249"/>
    <x v="238"/>
    <n v="162511"/>
    <x v="45"/>
    <x v="39"/>
    <n v="1"/>
    <n v="18"/>
    <n v="29"/>
  </r>
  <r>
    <x v="2"/>
    <x v="67"/>
    <x v="1"/>
    <x v="90"/>
    <x v="594"/>
    <n v="94.8"/>
    <n v="3.5"/>
    <n v="2.9"/>
    <n v="0"/>
    <n v="0"/>
    <n v="0"/>
    <n v="0"/>
    <n v="0"/>
    <x v="956"/>
    <x v="859"/>
    <n v="246869"/>
    <x v="187"/>
    <x v="2"/>
    <n v="234"/>
    <n v="50"/>
    <n v="64"/>
  </r>
  <r>
    <x v="0"/>
    <x v="5"/>
    <x v="7"/>
    <x v="1132"/>
    <x v="23"/>
    <n v="0"/>
    <n v="25"/>
    <n v="0"/>
    <n v="0"/>
    <n v="0"/>
    <n v="0"/>
    <n v="0"/>
    <n v="0"/>
    <x v="587"/>
    <x v="537"/>
    <n v="0"/>
    <x v="33"/>
    <x v="0"/>
    <n v="0"/>
    <n v="65"/>
    <n v="79"/>
  </r>
  <r>
    <x v="1"/>
    <x v="45"/>
    <x v="7"/>
    <x v="682"/>
    <x v="255"/>
    <n v="0"/>
    <n v="10.6"/>
    <n v="0"/>
    <n v="0"/>
    <n v="0"/>
    <n v="0"/>
    <n v="0"/>
    <n v="0"/>
    <x v="510"/>
    <x v="468"/>
    <n v="0"/>
    <x v="259"/>
    <x v="5"/>
    <n v="0"/>
    <n v="65"/>
    <n v="79"/>
  </r>
  <r>
    <x v="0"/>
    <x v="54"/>
    <x v="3"/>
    <x v="2"/>
    <x v="2"/>
    <n v="0"/>
    <n v="0"/>
    <n v="0"/>
    <n v="0"/>
    <n v="0"/>
    <n v="0"/>
    <n v="0"/>
    <n v="0"/>
    <x v="859"/>
    <x v="777"/>
    <n v="162196"/>
    <x v="2"/>
    <x v="1"/>
    <n v="0"/>
    <n v="18"/>
    <n v="29"/>
  </r>
  <r>
    <x v="1"/>
    <x v="35"/>
    <x v="7"/>
    <x v="406"/>
    <x v="228"/>
    <n v="12.2"/>
    <n v="1.4"/>
    <n v="1.5"/>
    <n v="0"/>
    <n v="0"/>
    <n v="0"/>
    <n v="0"/>
    <n v="0"/>
    <x v="35"/>
    <x v="35"/>
    <n v="172280"/>
    <x v="64"/>
    <x v="48"/>
    <n v="21"/>
    <n v="65"/>
    <n v="79"/>
  </r>
  <r>
    <x v="1"/>
    <x v="69"/>
    <x v="2"/>
    <x v="2"/>
    <x v="8"/>
    <n v="0"/>
    <n v="0"/>
    <n v="0"/>
    <n v="0"/>
    <n v="0"/>
    <n v="0"/>
    <n v="0"/>
    <n v="0"/>
    <x v="455"/>
    <x v="421"/>
    <n v="0"/>
    <x v="2"/>
    <x v="0"/>
    <n v="0"/>
    <n v="5"/>
    <n v="11"/>
  </r>
  <r>
    <x v="0"/>
    <x v="67"/>
    <x v="2"/>
    <x v="2"/>
    <x v="2"/>
    <n v="0"/>
    <n v="0"/>
    <n v="0"/>
    <n v="0"/>
    <n v="0"/>
    <n v="0"/>
    <n v="0"/>
    <n v="0"/>
    <x v="346"/>
    <x v="323"/>
    <n v="21200"/>
    <x v="2"/>
    <x v="1"/>
    <n v="0"/>
    <n v="5"/>
    <n v="11"/>
  </r>
  <r>
    <x v="0"/>
    <x v="9"/>
    <x v="4"/>
    <x v="108"/>
    <x v="2"/>
    <n v="0"/>
    <n v="0"/>
    <n v="0"/>
    <n v="0"/>
    <n v="0"/>
    <n v="0"/>
    <n v="0"/>
    <n v="0"/>
    <x v="163"/>
    <x v="160"/>
    <n v="0"/>
    <x v="1"/>
    <x v="1"/>
    <n v="0"/>
    <n v="12"/>
    <n v="17"/>
  </r>
  <r>
    <x v="0"/>
    <x v="54"/>
    <x v="4"/>
    <x v="2"/>
    <x v="2"/>
    <n v="0"/>
    <n v="0"/>
    <n v="0"/>
    <n v="0"/>
    <n v="0"/>
    <n v="0"/>
    <n v="0"/>
    <n v="0"/>
    <x v="672"/>
    <x v="610"/>
    <n v="44641"/>
    <x v="2"/>
    <x v="1"/>
    <n v="0"/>
    <n v="12"/>
    <n v="17"/>
  </r>
  <r>
    <x v="0"/>
    <x v="116"/>
    <x v="0"/>
    <x v="2"/>
    <x v="2"/>
    <n v="0.1"/>
    <n v="0"/>
    <n v="0"/>
    <n v="0"/>
    <n v="0"/>
    <n v="0.1"/>
    <n v="0"/>
    <n v="0"/>
    <x v="989"/>
    <x v="885"/>
    <n v="1040815"/>
    <x v="2"/>
    <x v="1"/>
    <n v="1"/>
    <n v="999"/>
    <n v="999"/>
  </r>
  <r>
    <x v="1"/>
    <x v="83"/>
    <x v="6"/>
    <x v="548"/>
    <x v="784"/>
    <n v="40.6"/>
    <n v="0.4"/>
    <n v="0.6"/>
    <n v="0"/>
    <n v="0"/>
    <n v="0"/>
    <n v="0"/>
    <n v="0"/>
    <x v="938"/>
    <x v="842"/>
    <n v="44353"/>
    <x v="18"/>
    <x v="5"/>
    <n v="18"/>
    <n v="80"/>
    <n v="200"/>
  </r>
  <r>
    <x v="0"/>
    <x v="64"/>
    <x v="4"/>
    <x v="2"/>
    <x v="2"/>
    <n v="0"/>
    <n v="0"/>
    <n v="0"/>
    <n v="0"/>
    <n v="0"/>
    <n v="0"/>
    <n v="0"/>
    <n v="0"/>
    <x v="992"/>
    <x v="785"/>
    <n v="44574"/>
    <x v="2"/>
    <x v="1"/>
    <n v="0"/>
    <n v="12"/>
    <n v="17"/>
  </r>
  <r>
    <x v="1"/>
    <x v="53"/>
    <x v="6"/>
    <x v="82"/>
    <x v="2"/>
    <n v="14.9"/>
    <n v="0"/>
    <n v="0.3"/>
    <n v="0"/>
    <n v="0"/>
    <n v="0"/>
    <n v="0"/>
    <n v="0"/>
    <x v="852"/>
    <x v="97"/>
    <n v="47129"/>
    <x v="1"/>
    <x v="1"/>
    <n v="7"/>
    <n v="80"/>
    <n v="200"/>
  </r>
  <r>
    <x v="2"/>
    <x v="10"/>
    <x v="1"/>
    <x v="1133"/>
    <x v="775"/>
    <n v="128.4"/>
    <n v="3.3"/>
    <n v="2.6"/>
    <n v="0"/>
    <n v="0"/>
    <n v="0"/>
    <n v="0"/>
    <n v="0"/>
    <x v="558"/>
    <x v="512"/>
    <n v="246812"/>
    <x v="380"/>
    <x v="320"/>
    <n v="317"/>
    <n v="50"/>
    <n v="64"/>
  </r>
  <r>
    <x v="0"/>
    <x v="6"/>
    <x v="5"/>
    <x v="2"/>
    <x v="2"/>
    <n v="0"/>
    <n v="0"/>
    <n v="0"/>
    <n v="0"/>
    <n v="0"/>
    <n v="0"/>
    <n v="0"/>
    <n v="0"/>
    <x v="104"/>
    <x v="103"/>
    <n v="346825"/>
    <x v="2"/>
    <x v="1"/>
    <n v="0"/>
    <n v="30"/>
    <n v="49"/>
  </r>
  <r>
    <x v="2"/>
    <x v="129"/>
    <x v="1"/>
    <x v="768"/>
    <x v="56"/>
    <n v="13"/>
    <n v="3.3"/>
    <n v="1.4"/>
    <n v="0"/>
    <n v="0"/>
    <n v="0"/>
    <n v="0"/>
    <n v="0"/>
    <x v="864"/>
    <x v="782"/>
    <n v="246922"/>
    <x v="18"/>
    <x v="26"/>
    <n v="32"/>
    <n v="50"/>
    <n v="64"/>
  </r>
  <r>
    <x v="1"/>
    <x v="4"/>
    <x v="7"/>
    <x v="370"/>
    <x v="289"/>
    <n v="5"/>
    <n v="1.1000000000000001"/>
    <n v="2.1"/>
    <n v="0"/>
    <n v="0"/>
    <n v="0"/>
    <n v="0"/>
    <n v="0"/>
    <x v="1071"/>
    <x v="949"/>
    <n v="159712"/>
    <x v="13"/>
    <x v="21"/>
    <n v="8"/>
    <n v="65"/>
    <n v="79"/>
  </r>
  <r>
    <x v="1"/>
    <x v="66"/>
    <x v="7"/>
    <x v="1074"/>
    <x v="646"/>
    <n v="1.8"/>
    <n v="2.9"/>
    <n v="22.3"/>
    <n v="0"/>
    <n v="0"/>
    <n v="0"/>
    <n v="0"/>
    <n v="0"/>
    <x v="1067"/>
    <x v="945"/>
    <n v="56482"/>
    <x v="87"/>
    <x v="31"/>
    <n v="1"/>
    <n v="65"/>
    <n v="79"/>
  </r>
  <r>
    <x v="0"/>
    <x v="53"/>
    <x v="2"/>
    <x v="2"/>
    <x v="2"/>
    <n v="0"/>
    <n v="0"/>
    <n v="0"/>
    <n v="0"/>
    <n v="0"/>
    <n v="0"/>
    <n v="0"/>
    <n v="0"/>
    <x v="144"/>
    <x v="142"/>
    <n v="21243"/>
    <x v="2"/>
    <x v="1"/>
    <n v="0"/>
    <n v="5"/>
    <n v="11"/>
  </r>
  <r>
    <x v="0"/>
    <x v="6"/>
    <x v="1"/>
    <x v="20"/>
    <x v="2"/>
    <n v="0"/>
    <n v="0"/>
    <n v="0"/>
    <n v="0"/>
    <n v="0"/>
    <n v="0"/>
    <n v="0"/>
    <n v="0"/>
    <x v="1016"/>
    <x v="907"/>
    <n v="246490"/>
    <x v="1"/>
    <x v="1"/>
    <n v="0"/>
    <n v="50"/>
    <n v="64"/>
  </r>
  <r>
    <x v="0"/>
    <x v="12"/>
    <x v="5"/>
    <x v="18"/>
    <x v="2"/>
    <n v="0"/>
    <n v="0"/>
    <n v="0"/>
    <n v="0"/>
    <n v="0"/>
    <n v="0"/>
    <n v="0"/>
    <n v="0"/>
    <x v="930"/>
    <x v="835"/>
    <n v="0"/>
    <x v="1"/>
    <x v="1"/>
    <n v="0"/>
    <n v="30"/>
    <n v="49"/>
  </r>
  <r>
    <x v="0"/>
    <x v="41"/>
    <x v="3"/>
    <x v="2"/>
    <x v="2"/>
    <n v="0"/>
    <n v="0"/>
    <n v="0"/>
    <n v="0"/>
    <n v="0"/>
    <n v="0"/>
    <n v="0"/>
    <n v="0"/>
    <x v="197"/>
    <x v="191"/>
    <n v="159319"/>
    <x v="2"/>
    <x v="1"/>
    <n v="0"/>
    <n v="18"/>
    <n v="29"/>
  </r>
  <r>
    <x v="2"/>
    <x v="111"/>
    <x v="1"/>
    <x v="1134"/>
    <x v="785"/>
    <n v="155.80000000000001"/>
    <n v="2.7"/>
    <n v="2.2000000000000002"/>
    <n v="0"/>
    <n v="0"/>
    <n v="0"/>
    <n v="0"/>
    <n v="0"/>
    <x v="674"/>
    <x v="612"/>
    <n v="245831"/>
    <x v="233"/>
    <x v="358"/>
    <n v="383"/>
    <n v="50"/>
    <n v="64"/>
  </r>
  <r>
    <x v="0"/>
    <x v="83"/>
    <x v="5"/>
    <x v="2"/>
    <x v="2"/>
    <n v="0"/>
    <n v="0"/>
    <n v="0"/>
    <n v="0"/>
    <n v="0"/>
    <n v="0"/>
    <n v="0"/>
    <n v="0"/>
    <x v="1037"/>
    <x v="921"/>
    <n v="331646"/>
    <x v="2"/>
    <x v="1"/>
    <n v="0"/>
    <n v="30"/>
    <n v="49"/>
  </r>
  <r>
    <x v="1"/>
    <x v="24"/>
    <x v="4"/>
    <x v="2"/>
    <x v="34"/>
    <n v="0"/>
    <n v="0"/>
    <n v="0"/>
    <n v="0"/>
    <n v="0"/>
    <n v="0"/>
    <n v="0"/>
    <n v="0"/>
    <x v="991"/>
    <x v="241"/>
    <n v="44592"/>
    <x v="2"/>
    <x v="11"/>
    <n v="0"/>
    <n v="12"/>
    <n v="17"/>
  </r>
  <r>
    <x v="0"/>
    <x v="26"/>
    <x v="6"/>
    <x v="66"/>
    <x v="66"/>
    <n v="10.6"/>
    <n v="0.9"/>
    <n v="1.5"/>
    <n v="0"/>
    <n v="0"/>
    <n v="0"/>
    <n v="0"/>
    <n v="0"/>
    <x v="862"/>
    <x v="780"/>
    <n v="47117"/>
    <x v="20"/>
    <x v="11"/>
    <n v="5"/>
    <n v="80"/>
    <n v="200"/>
  </r>
  <r>
    <x v="0"/>
    <x v="2"/>
    <x v="1"/>
    <x v="2"/>
    <x v="2"/>
    <n v="0.4"/>
    <n v="0"/>
    <n v="0"/>
    <n v="0"/>
    <n v="0"/>
    <n v="0"/>
    <n v="0"/>
    <n v="0"/>
    <x v="736"/>
    <x v="668"/>
    <n v="246259"/>
    <x v="2"/>
    <x v="1"/>
    <n v="1"/>
    <n v="50"/>
    <n v="64"/>
  </r>
  <r>
    <x v="1"/>
    <x v="129"/>
    <x v="7"/>
    <x v="395"/>
    <x v="34"/>
    <n v="3.5"/>
    <n v="2.2000000000000002"/>
    <n v="1.5"/>
    <n v="0"/>
    <n v="0"/>
    <n v="0"/>
    <n v="0"/>
    <n v="0"/>
    <x v="837"/>
    <x v="760"/>
    <n v="171735"/>
    <x v="0"/>
    <x v="0"/>
    <n v="6"/>
    <n v="65"/>
    <n v="79"/>
  </r>
  <r>
    <x v="1"/>
    <x v="29"/>
    <x v="6"/>
    <x v="729"/>
    <x v="666"/>
    <n v="59"/>
    <n v="0.8"/>
    <n v="1"/>
    <n v="0"/>
    <n v="0"/>
    <n v="0"/>
    <n v="0"/>
    <n v="0"/>
    <x v="814"/>
    <x v="741"/>
    <n v="45782"/>
    <x v="91"/>
    <x v="13"/>
    <n v="27"/>
    <n v="80"/>
    <n v="200"/>
  </r>
  <r>
    <x v="2"/>
    <x v="53"/>
    <x v="2"/>
    <x v="573"/>
    <x v="786"/>
    <n v="9.4"/>
    <n v="1.8"/>
    <n v="3.5"/>
    <n v="0"/>
    <n v="0"/>
    <n v="0"/>
    <n v="0"/>
    <n v="0"/>
    <x v="144"/>
    <x v="142"/>
    <n v="21243"/>
    <x v="71"/>
    <x v="75"/>
    <n v="2"/>
    <n v="5"/>
    <n v="11"/>
  </r>
  <r>
    <x v="1"/>
    <x v="49"/>
    <x v="5"/>
    <x v="168"/>
    <x v="19"/>
    <n v="1.4"/>
    <n v="11.8"/>
    <n v="3.4"/>
    <n v="0"/>
    <n v="0"/>
    <n v="0"/>
    <n v="0"/>
    <n v="0"/>
    <x v="1043"/>
    <x v="799"/>
    <n v="347317"/>
    <x v="13"/>
    <x v="0"/>
    <n v="5"/>
    <n v="30"/>
    <n v="49"/>
  </r>
  <r>
    <x v="1"/>
    <x v="37"/>
    <x v="1"/>
    <x v="215"/>
    <x v="2"/>
    <n v="2.4"/>
    <n v="0"/>
    <n v="3.8"/>
    <n v="0"/>
    <n v="0"/>
    <n v="0"/>
    <n v="0"/>
    <n v="0"/>
    <x v="64"/>
    <x v="64"/>
    <n v="246933"/>
    <x v="45"/>
    <x v="1"/>
    <n v="6"/>
    <n v="50"/>
    <n v="64"/>
  </r>
  <r>
    <x v="2"/>
    <x v="75"/>
    <x v="5"/>
    <x v="1135"/>
    <x v="787"/>
    <n v="244.9"/>
    <n v="2"/>
    <n v="1.5"/>
    <n v="0"/>
    <n v="0"/>
    <n v="0"/>
    <n v="0"/>
    <n v="0"/>
    <x v="92"/>
    <x v="92"/>
    <n v="342597"/>
    <x v="453"/>
    <x v="359"/>
    <n v="839"/>
    <n v="30"/>
    <n v="49"/>
  </r>
  <r>
    <x v="0"/>
    <x v="17"/>
    <x v="6"/>
    <x v="2"/>
    <x v="2"/>
    <n v="0"/>
    <n v="0"/>
    <n v="0"/>
    <n v="0"/>
    <n v="0"/>
    <n v="0"/>
    <n v="0"/>
    <n v="0"/>
    <x v="1078"/>
    <x v="101"/>
    <n v="47130"/>
    <x v="2"/>
    <x v="1"/>
    <n v="0"/>
    <n v="80"/>
    <n v="200"/>
  </r>
  <r>
    <x v="0"/>
    <x v="63"/>
    <x v="2"/>
    <x v="2"/>
    <x v="2"/>
    <n v="0"/>
    <n v="0"/>
    <n v="0"/>
    <n v="0"/>
    <n v="0"/>
    <n v="0"/>
    <n v="0"/>
    <n v="0"/>
    <x v="70"/>
    <x v="70"/>
    <n v="21005"/>
    <x v="2"/>
    <x v="1"/>
    <n v="0"/>
    <n v="5"/>
    <n v="11"/>
  </r>
  <r>
    <x v="2"/>
    <x v="42"/>
    <x v="1"/>
    <x v="1136"/>
    <x v="788"/>
    <n v="68.7"/>
    <n v="3"/>
    <n v="1.6"/>
    <n v="0"/>
    <n v="0"/>
    <n v="0"/>
    <n v="0"/>
    <n v="0"/>
    <x v="467"/>
    <x v="433"/>
    <n v="227154"/>
    <x v="185"/>
    <x v="182"/>
    <n v="156"/>
    <n v="50"/>
    <n v="64"/>
  </r>
  <r>
    <x v="2"/>
    <x v="80"/>
    <x v="7"/>
    <x v="1137"/>
    <x v="789"/>
    <n v="133.30000000000001"/>
    <n v="1.4"/>
    <n v="1.2"/>
    <n v="0"/>
    <n v="0"/>
    <n v="0"/>
    <n v="0"/>
    <n v="0"/>
    <x v="160"/>
    <x v="157"/>
    <n v="162052"/>
    <x v="54"/>
    <x v="82"/>
    <n v="216"/>
    <n v="65"/>
    <n v="79"/>
  </r>
  <r>
    <x v="1"/>
    <x v="54"/>
    <x v="8"/>
    <x v="20"/>
    <x v="2"/>
    <n v="0"/>
    <n v="0"/>
    <n v="0"/>
    <n v="0"/>
    <n v="0"/>
    <n v="0"/>
    <n v="0"/>
    <n v="0"/>
    <x v="28"/>
    <x v="28"/>
    <n v="0"/>
    <x v="20"/>
    <x v="1"/>
    <n v="0"/>
    <n v="0"/>
    <n v="4"/>
  </r>
  <r>
    <x v="0"/>
    <x v="62"/>
    <x v="1"/>
    <x v="2"/>
    <x v="2"/>
    <n v="0"/>
    <n v="0"/>
    <n v="0"/>
    <n v="0"/>
    <n v="0"/>
    <n v="0"/>
    <n v="0"/>
    <n v="0"/>
    <x v="65"/>
    <x v="65"/>
    <n v="246934"/>
    <x v="2"/>
    <x v="1"/>
    <n v="0"/>
    <n v="50"/>
    <n v="64"/>
  </r>
  <r>
    <x v="1"/>
    <x v="85"/>
    <x v="0"/>
    <x v="1138"/>
    <x v="790"/>
    <n v="28.7"/>
    <n v="1.9"/>
    <n v="3.7"/>
    <n v="149.1"/>
    <n v="64.099999999999994"/>
    <n v="17.2"/>
    <n v="2.2999999999999998"/>
    <n v="8.6999999999999993"/>
    <x v="287"/>
    <x v="270"/>
    <n v="641998"/>
    <x v="454"/>
    <x v="360"/>
    <n v="184"/>
    <n v="999"/>
    <n v="999"/>
  </r>
  <r>
    <x v="1"/>
    <x v="41"/>
    <x v="5"/>
    <x v="23"/>
    <x v="166"/>
    <n v="4.4000000000000004"/>
    <n v="1.8"/>
    <n v="2.2999999999999998"/>
    <n v="0"/>
    <n v="0"/>
    <n v="0"/>
    <n v="0"/>
    <n v="0"/>
    <x v="911"/>
    <x v="819"/>
    <n v="344132"/>
    <x v="16"/>
    <x v="36"/>
    <n v="15"/>
    <n v="30"/>
    <n v="49"/>
  </r>
  <r>
    <x v="0"/>
    <x v="138"/>
    <x v="5"/>
    <x v="86"/>
    <x v="2"/>
    <n v="0"/>
    <n v="0"/>
    <n v="0"/>
    <n v="0"/>
    <n v="0"/>
    <n v="0"/>
    <n v="0"/>
    <n v="0"/>
    <x v="884"/>
    <x v="796"/>
    <n v="0"/>
    <x v="20"/>
    <x v="1"/>
    <n v="0"/>
    <n v="30"/>
    <n v="49"/>
  </r>
  <r>
    <x v="1"/>
    <x v="100"/>
    <x v="0"/>
    <x v="198"/>
    <x v="791"/>
    <n v="7.5"/>
    <n v="1.1000000000000001"/>
    <n v="1.1000000000000001"/>
    <n v="10.1"/>
    <n v="9.6999999999999993"/>
    <n v="5.4"/>
    <n v="1"/>
    <n v="1.9"/>
    <x v="465"/>
    <x v="431"/>
    <n v="979825"/>
    <x v="39"/>
    <x v="98"/>
    <n v="73"/>
    <n v="999"/>
    <n v="999"/>
  </r>
  <r>
    <x v="1"/>
    <x v="94"/>
    <x v="7"/>
    <x v="701"/>
    <x v="205"/>
    <n v="19.2"/>
    <n v="1.9"/>
    <n v="2.2999999999999998"/>
    <n v="0"/>
    <n v="0"/>
    <n v="0"/>
    <n v="0"/>
    <n v="0"/>
    <x v="621"/>
    <x v="565"/>
    <n v="171689"/>
    <x v="8"/>
    <x v="17"/>
    <n v="33"/>
    <n v="65"/>
    <n v="79"/>
  </r>
  <r>
    <x v="2"/>
    <x v="97"/>
    <x v="5"/>
    <x v="1139"/>
    <x v="792"/>
    <n v="87.1"/>
    <n v="2.6"/>
    <n v="7.7"/>
    <n v="0"/>
    <n v="0"/>
    <n v="0"/>
    <n v="0"/>
    <n v="0"/>
    <x v="372"/>
    <x v="348"/>
    <n v="121631"/>
    <x v="455"/>
    <x v="361"/>
    <n v="106"/>
    <n v="30"/>
    <n v="49"/>
  </r>
  <r>
    <x v="2"/>
    <x v="102"/>
    <x v="4"/>
    <x v="84"/>
    <x v="94"/>
    <n v="52.2"/>
    <n v="2.8"/>
    <n v="1.2"/>
    <n v="0"/>
    <n v="0"/>
    <n v="0"/>
    <n v="0"/>
    <n v="0"/>
    <x v="1076"/>
    <x v="954"/>
    <n v="28723"/>
    <x v="56"/>
    <x v="59"/>
    <n v="15"/>
    <n v="12"/>
    <n v="17"/>
  </r>
  <r>
    <x v="0"/>
    <x v="111"/>
    <x v="5"/>
    <x v="2"/>
    <x v="2"/>
    <n v="0.3"/>
    <n v="0"/>
    <n v="0"/>
    <n v="0"/>
    <n v="0"/>
    <n v="0"/>
    <n v="0"/>
    <n v="0"/>
    <x v="578"/>
    <x v="531"/>
    <n v="345994"/>
    <x v="2"/>
    <x v="1"/>
    <n v="1"/>
    <n v="30"/>
    <n v="49"/>
  </r>
  <r>
    <x v="0"/>
    <x v="107"/>
    <x v="3"/>
    <x v="2"/>
    <x v="2"/>
    <n v="0"/>
    <n v="0"/>
    <n v="0"/>
    <n v="0"/>
    <n v="0"/>
    <n v="0"/>
    <n v="0"/>
    <n v="0"/>
    <x v="397"/>
    <x v="371"/>
    <n v="0"/>
    <x v="2"/>
    <x v="1"/>
    <n v="0"/>
    <n v="18"/>
    <n v="29"/>
  </r>
  <r>
    <x v="0"/>
    <x v="63"/>
    <x v="1"/>
    <x v="2"/>
    <x v="2"/>
    <n v="0"/>
    <n v="0"/>
    <n v="0"/>
    <n v="0"/>
    <n v="0"/>
    <n v="0"/>
    <n v="0"/>
    <n v="0"/>
    <x v="278"/>
    <x v="263"/>
    <n v="246677"/>
    <x v="2"/>
    <x v="1"/>
    <n v="0"/>
    <n v="50"/>
    <n v="64"/>
  </r>
  <r>
    <x v="1"/>
    <x v="136"/>
    <x v="3"/>
    <x v="645"/>
    <x v="87"/>
    <n v="0"/>
    <n v="49.3"/>
    <n v="0"/>
    <n v="0"/>
    <n v="0"/>
    <n v="0"/>
    <n v="0"/>
    <n v="0"/>
    <x v="582"/>
    <x v="533"/>
    <n v="0"/>
    <x v="48"/>
    <x v="0"/>
    <n v="0"/>
    <n v="18"/>
    <n v="29"/>
  </r>
  <r>
    <x v="2"/>
    <x v="15"/>
    <x v="3"/>
    <x v="1140"/>
    <x v="793"/>
    <n v="144.5"/>
    <n v="2.9"/>
    <n v="1.7"/>
    <n v="0"/>
    <n v="0"/>
    <n v="0"/>
    <n v="0"/>
    <n v="0"/>
    <x v="1047"/>
    <x v="929"/>
    <n v="159858"/>
    <x v="456"/>
    <x v="362"/>
    <n v="231"/>
    <n v="18"/>
    <n v="29"/>
  </r>
  <r>
    <x v="1"/>
    <x v="27"/>
    <x v="7"/>
    <x v="392"/>
    <x v="786"/>
    <n v="18"/>
    <n v="0.9"/>
    <n v="0.9"/>
    <n v="0"/>
    <n v="0"/>
    <n v="0"/>
    <n v="0"/>
    <n v="0"/>
    <x v="617"/>
    <x v="562"/>
    <n v="172519"/>
    <x v="18"/>
    <x v="5"/>
    <n v="31"/>
    <n v="65"/>
    <n v="79"/>
  </r>
  <r>
    <x v="2"/>
    <x v="37"/>
    <x v="5"/>
    <x v="1141"/>
    <x v="246"/>
    <n v="19.3"/>
    <n v="1.3"/>
    <n v="1.2"/>
    <n v="0"/>
    <n v="0"/>
    <n v="0"/>
    <n v="0"/>
    <n v="0"/>
    <x v="280"/>
    <x v="78"/>
    <n v="347313"/>
    <x v="32"/>
    <x v="182"/>
    <n v="67"/>
    <n v="30"/>
    <n v="49"/>
  </r>
  <r>
    <x v="1"/>
    <x v="87"/>
    <x v="0"/>
    <x v="134"/>
    <x v="235"/>
    <n v="5"/>
    <n v="3"/>
    <n v="2.4"/>
    <n v="17.600000000000001"/>
    <n v="3.4"/>
    <n v="2.2000000000000002"/>
    <n v="5.2"/>
    <n v="7.9"/>
    <x v="233"/>
    <x v="223"/>
    <n v="120427"/>
    <x v="277"/>
    <x v="213"/>
    <n v="6"/>
    <n v="999"/>
    <n v="999"/>
  </r>
  <r>
    <x v="2"/>
    <x v="30"/>
    <x v="5"/>
    <x v="224"/>
    <x v="794"/>
    <n v="106.6"/>
    <n v="2.2999999999999998"/>
    <n v="1.6"/>
    <n v="0"/>
    <n v="0"/>
    <n v="0"/>
    <n v="0"/>
    <n v="0"/>
    <x v="187"/>
    <x v="182"/>
    <n v="347072"/>
    <x v="278"/>
    <x v="67"/>
    <n v="370"/>
    <n v="30"/>
    <n v="49"/>
  </r>
  <r>
    <x v="0"/>
    <x v="139"/>
    <x v="6"/>
    <x v="2"/>
    <x v="2"/>
    <n v="4.2"/>
    <n v="0"/>
    <n v="0"/>
    <n v="0"/>
    <n v="0"/>
    <n v="0"/>
    <n v="0"/>
    <n v="0"/>
    <x v="492"/>
    <x v="101"/>
    <n v="47130"/>
    <x v="2"/>
    <x v="1"/>
    <n v="2"/>
    <n v="80"/>
    <n v="200"/>
  </r>
  <r>
    <x v="2"/>
    <x v="103"/>
    <x v="0"/>
    <x v="1142"/>
    <x v="246"/>
    <n v="0"/>
    <n v="2.6"/>
    <n v="0"/>
    <n v="52"/>
    <n v="14.9"/>
    <n v="0"/>
    <n v="3.5"/>
    <n v="0"/>
    <x v="605"/>
    <x v="552"/>
    <n v="0"/>
    <x v="457"/>
    <x v="162"/>
    <n v="0"/>
    <n v="999"/>
    <n v="999"/>
  </r>
  <r>
    <x v="0"/>
    <x v="73"/>
    <x v="7"/>
    <x v="2"/>
    <x v="61"/>
    <n v="1.8"/>
    <n v="0"/>
    <n v="0"/>
    <n v="0"/>
    <n v="0"/>
    <n v="0"/>
    <n v="0"/>
    <n v="0"/>
    <x v="902"/>
    <x v="813"/>
    <n v="167465"/>
    <x v="2"/>
    <x v="0"/>
    <n v="3"/>
    <n v="65"/>
    <n v="79"/>
  </r>
  <r>
    <x v="0"/>
    <x v="70"/>
    <x v="7"/>
    <x v="2"/>
    <x v="2"/>
    <n v="1.7"/>
    <n v="0"/>
    <n v="0"/>
    <n v="0"/>
    <n v="0"/>
    <n v="0"/>
    <n v="0"/>
    <n v="0"/>
    <x v="876"/>
    <x v="129"/>
    <n v="171719"/>
    <x v="2"/>
    <x v="1"/>
    <n v="3"/>
    <n v="65"/>
    <n v="79"/>
  </r>
  <r>
    <x v="1"/>
    <x v="10"/>
    <x v="6"/>
    <x v="772"/>
    <x v="795"/>
    <n v="82.8"/>
    <n v="0.5"/>
    <n v="0.9"/>
    <n v="0"/>
    <n v="0"/>
    <n v="0"/>
    <n v="0"/>
    <n v="0"/>
    <x v="309"/>
    <x v="124"/>
    <n v="47117"/>
    <x v="8"/>
    <x v="75"/>
    <n v="39"/>
    <n v="80"/>
    <n v="200"/>
  </r>
  <r>
    <x v="1"/>
    <x v="89"/>
    <x v="3"/>
    <x v="212"/>
    <x v="19"/>
    <n v="0"/>
    <n v="2.2000000000000002"/>
    <n v="0"/>
    <n v="0"/>
    <n v="0"/>
    <n v="0"/>
    <n v="0"/>
    <n v="0"/>
    <x v="900"/>
    <x v="811"/>
    <n v="0"/>
    <x v="0"/>
    <x v="0"/>
    <n v="0"/>
    <n v="18"/>
    <n v="29"/>
  </r>
  <r>
    <x v="0"/>
    <x v="86"/>
    <x v="2"/>
    <x v="2"/>
    <x v="2"/>
    <n v="0"/>
    <n v="0"/>
    <n v="0"/>
    <n v="0"/>
    <n v="0"/>
    <n v="0"/>
    <n v="0"/>
    <n v="0"/>
    <x v="363"/>
    <x v="339"/>
    <n v="21161"/>
    <x v="2"/>
    <x v="1"/>
    <n v="0"/>
    <n v="5"/>
    <n v="11"/>
  </r>
  <r>
    <x v="2"/>
    <x v="137"/>
    <x v="0"/>
    <x v="448"/>
    <x v="561"/>
    <n v="50.6"/>
    <n v="2.4"/>
    <n v="1.4"/>
    <n v="78.400000000000006"/>
    <n v="30.8"/>
    <n v="39"/>
    <n v="2.5"/>
    <n v="2"/>
    <x v="1079"/>
    <x v="956"/>
    <n v="1048252"/>
    <x v="336"/>
    <x v="269"/>
    <n v="530"/>
    <n v="999"/>
    <n v="999"/>
  </r>
  <r>
    <x v="0"/>
    <x v="38"/>
    <x v="2"/>
    <x v="2"/>
    <x v="2"/>
    <n v="0"/>
    <n v="0"/>
    <n v="0"/>
    <n v="0"/>
    <n v="0"/>
    <n v="0"/>
    <n v="0"/>
    <n v="0"/>
    <x v="630"/>
    <x v="262"/>
    <n v="21265"/>
    <x v="2"/>
    <x v="1"/>
    <n v="0"/>
    <n v="5"/>
    <n v="11"/>
  </r>
  <r>
    <x v="2"/>
    <x v="109"/>
    <x v="2"/>
    <x v="1143"/>
    <x v="796"/>
    <n v="179.5"/>
    <n v="1"/>
    <n v="0.8"/>
    <n v="0"/>
    <n v="0"/>
    <n v="0"/>
    <n v="0"/>
    <n v="0"/>
    <x v="673"/>
    <x v="611"/>
    <n v="21171"/>
    <x v="233"/>
    <x v="363"/>
    <n v="38"/>
    <n v="5"/>
    <n v="11"/>
  </r>
  <r>
    <x v="0"/>
    <x v="40"/>
    <x v="1"/>
    <x v="23"/>
    <x v="87"/>
    <n v="0"/>
    <n v="34.299999999999997"/>
    <n v="0"/>
    <n v="0"/>
    <n v="0"/>
    <n v="0"/>
    <n v="0"/>
    <n v="0"/>
    <x v="314"/>
    <x v="296"/>
    <n v="0"/>
    <x v="33"/>
    <x v="0"/>
    <n v="0"/>
    <n v="50"/>
    <n v="64"/>
  </r>
  <r>
    <x v="1"/>
    <x v="51"/>
    <x v="2"/>
    <x v="2"/>
    <x v="73"/>
    <n v="0"/>
    <n v="0"/>
    <n v="0"/>
    <n v="0"/>
    <n v="0"/>
    <n v="0"/>
    <n v="0"/>
    <n v="0"/>
    <x v="145"/>
    <x v="143"/>
    <n v="9749"/>
    <x v="2"/>
    <x v="0"/>
    <n v="0"/>
    <n v="5"/>
    <n v="11"/>
  </r>
  <r>
    <x v="1"/>
    <x v="14"/>
    <x v="4"/>
    <x v="76"/>
    <x v="2"/>
    <n v="0"/>
    <n v="0"/>
    <n v="0"/>
    <n v="0"/>
    <n v="0"/>
    <n v="0"/>
    <n v="0"/>
    <n v="0"/>
    <x v="1077"/>
    <x v="955"/>
    <n v="0"/>
    <x v="0"/>
    <x v="1"/>
    <n v="0"/>
    <n v="12"/>
    <n v="17"/>
  </r>
  <r>
    <x v="2"/>
    <x v="24"/>
    <x v="3"/>
    <x v="623"/>
    <x v="40"/>
    <n v="24.1"/>
    <n v="3.8"/>
    <n v="2.1"/>
    <n v="0"/>
    <n v="0"/>
    <n v="0"/>
    <n v="0"/>
    <n v="0"/>
    <x v="883"/>
    <x v="795"/>
    <n v="161715"/>
    <x v="42"/>
    <x v="149"/>
    <n v="39"/>
    <n v="18"/>
    <n v="29"/>
  </r>
  <r>
    <x v="0"/>
    <x v="99"/>
    <x v="5"/>
    <x v="892"/>
    <x v="38"/>
    <n v="0.3"/>
    <n v="5.0999999999999996"/>
    <n v="12"/>
    <n v="0"/>
    <n v="0"/>
    <n v="0"/>
    <n v="0"/>
    <n v="0"/>
    <x v="519"/>
    <x v="475"/>
    <n v="296569"/>
    <x v="13"/>
    <x v="11"/>
    <n v="1"/>
    <n v="30"/>
    <n v="49"/>
  </r>
  <r>
    <x v="0"/>
    <x v="64"/>
    <x v="6"/>
    <x v="2"/>
    <x v="2"/>
    <n v="2.1"/>
    <n v="0"/>
    <n v="0"/>
    <n v="0"/>
    <n v="0"/>
    <n v="0"/>
    <n v="0"/>
    <n v="0"/>
    <x v="659"/>
    <x v="97"/>
    <n v="47127"/>
    <x v="2"/>
    <x v="1"/>
    <n v="1"/>
    <n v="80"/>
    <n v="200"/>
  </r>
  <r>
    <x v="0"/>
    <x v="59"/>
    <x v="4"/>
    <x v="2"/>
    <x v="2"/>
    <n v="0"/>
    <n v="0"/>
    <n v="0"/>
    <n v="0"/>
    <n v="0"/>
    <n v="0"/>
    <n v="0"/>
    <n v="0"/>
    <x v="655"/>
    <x v="596"/>
    <n v="0"/>
    <x v="2"/>
    <x v="1"/>
    <n v="0"/>
    <n v="12"/>
    <n v="17"/>
  </r>
  <r>
    <x v="0"/>
    <x v="123"/>
    <x v="5"/>
    <x v="2"/>
    <x v="2"/>
    <n v="0"/>
    <n v="0"/>
    <n v="0"/>
    <n v="0"/>
    <n v="0"/>
    <n v="0"/>
    <n v="0"/>
    <n v="0"/>
    <x v="1034"/>
    <x v="919"/>
    <n v="347269"/>
    <x v="2"/>
    <x v="1"/>
    <n v="0"/>
    <n v="30"/>
    <n v="49"/>
  </r>
  <r>
    <x v="1"/>
    <x v="53"/>
    <x v="5"/>
    <x v="212"/>
    <x v="38"/>
    <n v="0.6"/>
    <n v="1.3"/>
    <n v="1.5"/>
    <n v="0"/>
    <n v="0"/>
    <n v="0"/>
    <n v="0"/>
    <n v="0"/>
    <x v="1046"/>
    <x v="197"/>
    <n v="347299"/>
    <x v="1"/>
    <x v="11"/>
    <n v="2"/>
    <n v="30"/>
    <n v="49"/>
  </r>
  <r>
    <x v="1"/>
    <x v="52"/>
    <x v="0"/>
    <x v="501"/>
    <x v="120"/>
    <n v="10.7"/>
    <n v="1.9"/>
    <n v="1.4"/>
    <n v="18.600000000000001"/>
    <n v="12.2"/>
    <n v="7.4"/>
    <n v="1.5"/>
    <n v="2.5"/>
    <x v="1018"/>
    <x v="908"/>
    <n v="1026640"/>
    <x v="250"/>
    <x v="76"/>
    <n v="110"/>
    <n v="999"/>
    <n v="999"/>
  </r>
  <r>
    <x v="0"/>
    <x v="57"/>
    <x v="3"/>
    <x v="2"/>
    <x v="2"/>
    <n v="0"/>
    <n v="0"/>
    <n v="0"/>
    <n v="0"/>
    <n v="0"/>
    <n v="0"/>
    <n v="0"/>
    <n v="0"/>
    <x v="192"/>
    <x v="186"/>
    <n v="7958"/>
    <x v="2"/>
    <x v="1"/>
    <n v="0"/>
    <n v="18"/>
    <n v="29"/>
  </r>
  <r>
    <x v="0"/>
    <x v="129"/>
    <x v="2"/>
    <x v="2"/>
    <x v="2"/>
    <n v="0"/>
    <n v="0"/>
    <n v="0"/>
    <n v="0"/>
    <n v="0"/>
    <n v="0"/>
    <n v="0"/>
    <n v="0"/>
    <x v="960"/>
    <x v="142"/>
    <n v="21245"/>
    <x v="2"/>
    <x v="1"/>
    <n v="0"/>
    <n v="5"/>
    <n v="11"/>
  </r>
  <r>
    <x v="1"/>
    <x v="121"/>
    <x v="4"/>
    <x v="1"/>
    <x v="2"/>
    <n v="0"/>
    <n v="0"/>
    <n v="0"/>
    <n v="0"/>
    <n v="0"/>
    <n v="0"/>
    <n v="0"/>
    <n v="0"/>
    <x v="618"/>
    <x v="28"/>
    <n v="0"/>
    <x v="13"/>
    <x v="1"/>
    <n v="0"/>
    <n v="12"/>
    <n v="17"/>
  </r>
  <r>
    <x v="0"/>
    <x v="119"/>
    <x v="5"/>
    <x v="2"/>
    <x v="2"/>
    <n v="0"/>
    <n v="0"/>
    <n v="0"/>
    <n v="0"/>
    <n v="0"/>
    <n v="0"/>
    <n v="0"/>
    <n v="0"/>
    <x v="702"/>
    <x v="638"/>
    <n v="348677"/>
    <x v="2"/>
    <x v="1"/>
    <n v="0"/>
    <n v="30"/>
    <n v="49"/>
  </r>
  <r>
    <x v="0"/>
    <x v="132"/>
    <x v="2"/>
    <x v="2"/>
    <x v="2"/>
    <n v="0"/>
    <n v="0"/>
    <n v="0"/>
    <n v="0"/>
    <n v="0"/>
    <n v="0"/>
    <n v="0"/>
    <n v="0"/>
    <x v="825"/>
    <x v="752"/>
    <n v="0"/>
    <x v="2"/>
    <x v="1"/>
    <n v="0"/>
    <n v="5"/>
    <n v="11"/>
  </r>
  <r>
    <x v="1"/>
    <x v="115"/>
    <x v="1"/>
    <x v="820"/>
    <x v="61"/>
    <n v="3.9"/>
    <n v="5.0999999999999996"/>
    <n v="2.9"/>
    <n v="0"/>
    <n v="0"/>
    <n v="0"/>
    <n v="0"/>
    <n v="0"/>
    <x v="483"/>
    <x v="447"/>
    <n v="231012"/>
    <x v="13"/>
    <x v="39"/>
    <n v="9"/>
    <n v="50"/>
    <n v="64"/>
  </r>
  <r>
    <x v="1"/>
    <x v="99"/>
    <x v="6"/>
    <x v="213"/>
    <x v="277"/>
    <n v="36.299999999999997"/>
    <n v="0.5"/>
    <n v="1.2"/>
    <n v="0"/>
    <n v="0"/>
    <n v="0"/>
    <n v="0"/>
    <n v="0"/>
    <x v="488"/>
    <x v="452"/>
    <n v="41310"/>
    <x v="27"/>
    <x v="38"/>
    <n v="15"/>
    <n v="80"/>
    <n v="200"/>
  </r>
  <r>
    <x v="0"/>
    <x v="50"/>
    <x v="0"/>
    <x v="2"/>
    <x v="82"/>
    <n v="0.2"/>
    <n v="0"/>
    <n v="0"/>
    <n v="0"/>
    <n v="0.2"/>
    <n v="0.1"/>
    <n v="0"/>
    <n v="0"/>
    <x v="1080"/>
    <x v="957"/>
    <n v="984294"/>
    <x v="2"/>
    <x v="11"/>
    <n v="2"/>
    <n v="999"/>
    <n v="999"/>
  </r>
  <r>
    <x v="0"/>
    <x v="41"/>
    <x v="1"/>
    <x v="20"/>
    <x v="1"/>
    <n v="0"/>
    <n v="3.1"/>
    <n v="0"/>
    <n v="0"/>
    <n v="0"/>
    <n v="0"/>
    <n v="0"/>
    <n v="0"/>
    <x v="391"/>
    <x v="366"/>
    <n v="244360"/>
    <x v="1"/>
    <x v="0"/>
    <n v="0"/>
    <n v="50"/>
    <n v="64"/>
  </r>
  <r>
    <x v="0"/>
    <x v="30"/>
    <x v="3"/>
    <x v="2"/>
    <x v="2"/>
    <n v="0"/>
    <n v="0"/>
    <n v="0"/>
    <n v="0"/>
    <n v="0"/>
    <n v="0"/>
    <n v="0"/>
    <n v="0"/>
    <x v="403"/>
    <x v="377"/>
    <n v="161549"/>
    <x v="2"/>
    <x v="1"/>
    <n v="0"/>
    <n v="18"/>
    <n v="29"/>
  </r>
  <r>
    <x v="2"/>
    <x v="128"/>
    <x v="3"/>
    <x v="1144"/>
    <x v="40"/>
    <n v="20.399999999999999"/>
    <n v="4.4000000000000004"/>
    <n v="2.9"/>
    <n v="0"/>
    <n v="0"/>
    <n v="0"/>
    <n v="0"/>
    <n v="0"/>
    <x v="1072"/>
    <x v="950"/>
    <n v="161683"/>
    <x v="117"/>
    <x v="149"/>
    <n v="33"/>
    <n v="18"/>
    <n v="29"/>
  </r>
  <r>
    <x v="0"/>
    <x v="92"/>
    <x v="1"/>
    <x v="2"/>
    <x v="2"/>
    <n v="0.4"/>
    <n v="0"/>
    <n v="0"/>
    <n v="0"/>
    <n v="0"/>
    <n v="0"/>
    <n v="0"/>
    <n v="0"/>
    <x v="456"/>
    <x v="422"/>
    <n v="246895"/>
    <x v="2"/>
    <x v="1"/>
    <n v="1"/>
    <n v="50"/>
    <n v="64"/>
  </r>
  <r>
    <x v="1"/>
    <x v="85"/>
    <x v="2"/>
    <x v="92"/>
    <x v="110"/>
    <n v="0"/>
    <n v="1"/>
    <n v="0"/>
    <n v="0"/>
    <n v="0"/>
    <n v="0"/>
    <n v="0"/>
    <n v="0"/>
    <x v="390"/>
    <x v="365"/>
    <n v="0"/>
    <x v="18"/>
    <x v="11"/>
    <n v="0"/>
    <n v="5"/>
    <n v="11"/>
  </r>
  <r>
    <x v="1"/>
    <x v="41"/>
    <x v="6"/>
    <x v="174"/>
    <x v="797"/>
    <n v="55.7"/>
    <n v="0.4"/>
    <n v="0.7"/>
    <n v="0"/>
    <n v="0"/>
    <n v="0"/>
    <n v="0"/>
    <n v="0"/>
    <x v="1001"/>
    <x v="895"/>
    <n v="46650"/>
    <x v="24"/>
    <x v="7"/>
    <n v="26"/>
    <n v="80"/>
    <n v="200"/>
  </r>
  <r>
    <x v="0"/>
    <x v="111"/>
    <x v="3"/>
    <x v="2"/>
    <x v="2"/>
    <n v="0"/>
    <n v="0"/>
    <n v="0"/>
    <n v="0"/>
    <n v="0"/>
    <n v="0"/>
    <n v="0"/>
    <n v="0"/>
    <x v="583"/>
    <x v="534"/>
    <n v="160838"/>
    <x v="2"/>
    <x v="1"/>
    <n v="0"/>
    <n v="18"/>
    <n v="29"/>
  </r>
  <r>
    <x v="0"/>
    <x v="48"/>
    <x v="6"/>
    <x v="2"/>
    <x v="62"/>
    <n v="0"/>
    <n v="0"/>
    <n v="0"/>
    <n v="0"/>
    <n v="0"/>
    <n v="0"/>
    <n v="0"/>
    <n v="0"/>
    <x v="537"/>
    <x v="492"/>
    <n v="47164"/>
    <x v="2"/>
    <x v="0"/>
    <n v="0"/>
    <n v="80"/>
    <n v="200"/>
  </r>
  <r>
    <x v="1"/>
    <x v="122"/>
    <x v="0"/>
    <x v="39"/>
    <x v="100"/>
    <n v="0"/>
    <n v="4.5999999999999996"/>
    <n v="0"/>
    <n v="24.7"/>
    <n v="2.2999999999999998"/>
    <n v="0"/>
    <n v="10.8"/>
    <n v="0"/>
    <x v="550"/>
    <x v="505"/>
    <n v="0"/>
    <x v="458"/>
    <x v="31"/>
    <n v="0"/>
    <n v="999"/>
    <n v="999"/>
  </r>
  <r>
    <x v="0"/>
    <x v="113"/>
    <x v="6"/>
    <x v="45"/>
    <x v="62"/>
    <n v="4.2"/>
    <n v="1.9"/>
    <n v="3.9"/>
    <n v="0"/>
    <n v="0"/>
    <n v="0"/>
    <n v="0"/>
    <n v="0"/>
    <x v="1055"/>
    <x v="937"/>
    <n v="47144"/>
    <x v="20"/>
    <x v="0"/>
    <n v="2"/>
    <n v="80"/>
    <n v="200"/>
  </r>
  <r>
    <x v="0"/>
    <x v="42"/>
    <x v="2"/>
    <x v="2"/>
    <x v="2"/>
    <n v="0"/>
    <n v="0"/>
    <n v="0"/>
    <n v="0"/>
    <n v="0"/>
    <n v="0"/>
    <n v="0"/>
    <n v="0"/>
    <x v="958"/>
    <x v="860"/>
    <n v="0"/>
    <x v="2"/>
    <x v="1"/>
    <n v="0"/>
    <n v="5"/>
    <n v="11"/>
  </r>
  <r>
    <x v="0"/>
    <x v="53"/>
    <x v="4"/>
    <x v="2"/>
    <x v="2"/>
    <n v="0"/>
    <n v="0"/>
    <n v="0"/>
    <n v="0"/>
    <n v="0"/>
    <n v="0"/>
    <n v="0"/>
    <n v="0"/>
    <x v="1081"/>
    <x v="409"/>
    <n v="44579"/>
    <x v="2"/>
    <x v="1"/>
    <n v="0"/>
    <n v="12"/>
    <n v="17"/>
  </r>
  <r>
    <x v="2"/>
    <x v="86"/>
    <x v="4"/>
    <x v="1056"/>
    <x v="222"/>
    <n v="40.4"/>
    <n v="3"/>
    <n v="1.6"/>
    <n v="0"/>
    <n v="0"/>
    <n v="0"/>
    <n v="0"/>
    <n v="0"/>
    <x v="383"/>
    <x v="359"/>
    <n v="44537"/>
    <x v="37"/>
    <x v="130"/>
    <n v="18"/>
    <n v="12"/>
    <n v="17"/>
  </r>
  <r>
    <x v="0"/>
    <x v="12"/>
    <x v="3"/>
    <x v="2"/>
    <x v="2"/>
    <n v="0"/>
    <n v="0"/>
    <n v="0"/>
    <n v="0"/>
    <n v="0"/>
    <n v="0"/>
    <n v="0"/>
    <n v="0"/>
    <x v="329"/>
    <x v="308"/>
    <n v="0"/>
    <x v="2"/>
    <x v="1"/>
    <n v="0"/>
    <n v="18"/>
    <n v="29"/>
  </r>
  <r>
    <x v="0"/>
    <x v="54"/>
    <x v="5"/>
    <x v="2"/>
    <x v="2"/>
    <n v="0.3"/>
    <n v="0"/>
    <n v="0"/>
    <n v="0"/>
    <n v="0"/>
    <n v="0"/>
    <n v="0"/>
    <n v="0"/>
    <x v="536"/>
    <x v="491"/>
    <n v="348149"/>
    <x v="2"/>
    <x v="1"/>
    <n v="1"/>
    <n v="30"/>
    <n v="49"/>
  </r>
  <r>
    <x v="1"/>
    <x v="22"/>
    <x v="3"/>
    <x v="271"/>
    <x v="4"/>
    <n v="4.3"/>
    <n v="3.3"/>
    <n v="2.9"/>
    <n v="0"/>
    <n v="0"/>
    <n v="0"/>
    <n v="0"/>
    <n v="0"/>
    <x v="977"/>
    <x v="875"/>
    <n v="161589"/>
    <x v="24"/>
    <x v="5"/>
    <n v="7"/>
    <n v="18"/>
    <n v="29"/>
  </r>
  <r>
    <x v="2"/>
    <x v="129"/>
    <x v="5"/>
    <x v="405"/>
    <x v="10"/>
    <n v="8.9"/>
    <n v="1.9"/>
    <n v="1.4"/>
    <n v="0"/>
    <n v="0"/>
    <n v="0"/>
    <n v="0"/>
    <n v="0"/>
    <x v="887"/>
    <x v="799"/>
    <n v="347307"/>
    <x v="35"/>
    <x v="130"/>
    <n v="31"/>
    <n v="30"/>
    <n v="49"/>
  </r>
  <r>
    <x v="0"/>
    <x v="136"/>
    <x v="1"/>
    <x v="287"/>
    <x v="13"/>
    <n v="0"/>
    <n v="5.8"/>
    <n v="0"/>
    <n v="0"/>
    <n v="0"/>
    <n v="0"/>
    <n v="0"/>
    <n v="0"/>
    <x v="510"/>
    <x v="744"/>
    <n v="0"/>
    <x v="45"/>
    <x v="11"/>
    <n v="0"/>
    <n v="50"/>
    <n v="64"/>
  </r>
  <r>
    <x v="2"/>
    <x v="120"/>
    <x v="5"/>
    <x v="793"/>
    <x v="798"/>
    <n v="54.7"/>
    <n v="2.7"/>
    <n v="1.7"/>
    <n v="0"/>
    <n v="0"/>
    <n v="0"/>
    <n v="0"/>
    <n v="0"/>
    <x v="350"/>
    <x v="327"/>
    <n v="347279"/>
    <x v="215"/>
    <x v="2"/>
    <n v="190"/>
    <n v="30"/>
    <n v="49"/>
  </r>
  <r>
    <x v="0"/>
    <x v="42"/>
    <x v="4"/>
    <x v="2"/>
    <x v="2"/>
    <n v="0"/>
    <n v="0"/>
    <n v="0"/>
    <n v="0"/>
    <n v="0"/>
    <n v="0"/>
    <n v="0"/>
    <n v="0"/>
    <x v="726"/>
    <x v="659"/>
    <n v="31203"/>
    <x v="2"/>
    <x v="1"/>
    <n v="0"/>
    <n v="12"/>
    <n v="17"/>
  </r>
  <r>
    <x v="1"/>
    <x v="61"/>
    <x v="2"/>
    <x v="54"/>
    <x v="17"/>
    <n v="0"/>
    <n v="0.9"/>
    <n v="0"/>
    <n v="0"/>
    <n v="0"/>
    <n v="0"/>
    <n v="0"/>
    <n v="0"/>
    <x v="945"/>
    <x v="382"/>
    <n v="21266"/>
    <x v="1"/>
    <x v="0"/>
    <n v="0"/>
    <n v="5"/>
    <n v="11"/>
  </r>
  <r>
    <x v="2"/>
    <x v="130"/>
    <x v="4"/>
    <x v="1145"/>
    <x v="662"/>
    <n v="0"/>
    <n v="7.7"/>
    <n v="0"/>
    <n v="0"/>
    <n v="0"/>
    <n v="0"/>
    <n v="0"/>
    <n v="0"/>
    <x v="1082"/>
    <x v="958"/>
    <n v="0"/>
    <x v="157"/>
    <x v="133"/>
    <n v="0"/>
    <n v="12"/>
    <n v="17"/>
  </r>
  <r>
    <x v="1"/>
    <x v="90"/>
    <x v="4"/>
    <x v="388"/>
    <x v="2"/>
    <n v="0"/>
    <n v="0"/>
    <n v="0"/>
    <n v="0"/>
    <n v="0"/>
    <n v="0"/>
    <n v="0"/>
    <n v="0"/>
    <x v="269"/>
    <x v="257"/>
    <n v="34850"/>
    <x v="0"/>
    <x v="1"/>
    <n v="0"/>
    <n v="12"/>
    <n v="17"/>
  </r>
  <r>
    <x v="2"/>
    <x v="10"/>
    <x v="2"/>
    <x v="613"/>
    <x v="744"/>
    <n v="28.4"/>
    <n v="0.9"/>
    <n v="1.2"/>
    <n v="0"/>
    <n v="0"/>
    <n v="0"/>
    <n v="0"/>
    <n v="0"/>
    <x v="450"/>
    <x v="418"/>
    <n v="21158"/>
    <x v="66"/>
    <x v="149"/>
    <n v="6"/>
    <n v="5"/>
    <n v="11"/>
  </r>
  <r>
    <x v="0"/>
    <x v="68"/>
    <x v="5"/>
    <x v="2"/>
    <x v="2"/>
    <n v="0"/>
    <n v="0"/>
    <n v="0"/>
    <n v="0"/>
    <n v="0"/>
    <n v="0"/>
    <n v="0"/>
    <n v="0"/>
    <x v="769"/>
    <x v="698"/>
    <n v="328103"/>
    <x v="2"/>
    <x v="1"/>
    <n v="0"/>
    <n v="30"/>
    <n v="49"/>
  </r>
  <r>
    <x v="0"/>
    <x v="25"/>
    <x v="7"/>
    <x v="307"/>
    <x v="799"/>
    <n v="6.2"/>
    <n v="1.6"/>
    <n v="6.1"/>
    <n v="0"/>
    <n v="0"/>
    <n v="0"/>
    <n v="0"/>
    <n v="0"/>
    <x v="948"/>
    <x v="851"/>
    <n v="145762"/>
    <x v="34"/>
    <x v="75"/>
    <n v="9"/>
    <n v="65"/>
    <n v="79"/>
  </r>
  <r>
    <x v="0"/>
    <x v="18"/>
    <x v="7"/>
    <x v="99"/>
    <x v="2"/>
    <n v="0"/>
    <n v="0"/>
    <n v="0"/>
    <n v="0"/>
    <n v="0"/>
    <n v="0"/>
    <n v="0"/>
    <n v="0"/>
    <x v="1044"/>
    <x v="927"/>
    <n v="165480"/>
    <x v="1"/>
    <x v="1"/>
    <n v="0"/>
    <n v="65"/>
    <n v="79"/>
  </r>
  <r>
    <x v="1"/>
    <x v="127"/>
    <x v="5"/>
    <x v="1038"/>
    <x v="66"/>
    <n v="12.9"/>
    <n v="3.4"/>
    <n v="4.7"/>
    <n v="0"/>
    <n v="0"/>
    <n v="0"/>
    <n v="0"/>
    <n v="0"/>
    <x v="279"/>
    <x v="264"/>
    <n v="239415"/>
    <x v="187"/>
    <x v="98"/>
    <n v="31"/>
    <n v="30"/>
    <n v="49"/>
  </r>
  <r>
    <x v="0"/>
    <x v="15"/>
    <x v="1"/>
    <x v="2"/>
    <x v="2"/>
    <n v="0.4"/>
    <n v="0"/>
    <n v="0"/>
    <n v="0"/>
    <n v="0"/>
    <n v="0"/>
    <n v="0"/>
    <n v="0"/>
    <x v="15"/>
    <x v="15"/>
    <n v="244938"/>
    <x v="2"/>
    <x v="1"/>
    <n v="1"/>
    <n v="50"/>
    <n v="64"/>
  </r>
  <r>
    <x v="1"/>
    <x v="80"/>
    <x v="2"/>
    <x v="298"/>
    <x v="2"/>
    <n v="0"/>
    <n v="0"/>
    <n v="0"/>
    <n v="0"/>
    <n v="0"/>
    <n v="0"/>
    <n v="0"/>
    <n v="0"/>
    <x v="311"/>
    <x v="293"/>
    <n v="0"/>
    <x v="0"/>
    <x v="1"/>
    <n v="0"/>
    <n v="5"/>
    <n v="11"/>
  </r>
  <r>
    <x v="1"/>
    <x v="57"/>
    <x v="5"/>
    <x v="371"/>
    <x v="1"/>
    <n v="0"/>
    <n v="15.4"/>
    <n v="0"/>
    <n v="0"/>
    <n v="0"/>
    <n v="0"/>
    <n v="0"/>
    <n v="0"/>
    <x v="1048"/>
    <x v="930"/>
    <n v="24199"/>
    <x v="32"/>
    <x v="16"/>
    <n v="0"/>
    <n v="30"/>
    <n v="49"/>
  </r>
  <r>
    <x v="2"/>
    <x v="127"/>
    <x v="3"/>
    <x v="1146"/>
    <x v="800"/>
    <n v="755.3"/>
    <n v="1.7"/>
    <n v="1.7"/>
    <n v="0"/>
    <n v="0"/>
    <n v="0"/>
    <n v="0"/>
    <n v="0"/>
    <x v="637"/>
    <x v="578"/>
    <n v="93335"/>
    <x v="459"/>
    <x v="364"/>
    <n v="705"/>
    <n v="18"/>
    <n v="29"/>
  </r>
  <r>
    <x v="1"/>
    <x v="36"/>
    <x v="5"/>
    <x v="650"/>
    <x v="36"/>
    <n v="1.4"/>
    <n v="2.9"/>
    <n v="5.0999999999999996"/>
    <n v="0"/>
    <n v="0"/>
    <n v="0"/>
    <n v="0"/>
    <n v="0"/>
    <x v="159"/>
    <x v="156"/>
    <n v="347252"/>
    <x v="33"/>
    <x v="26"/>
    <n v="5"/>
    <n v="30"/>
    <n v="49"/>
  </r>
  <r>
    <x v="1"/>
    <x v="135"/>
    <x v="3"/>
    <x v="234"/>
    <x v="19"/>
    <n v="0"/>
    <n v="5.8"/>
    <n v="0"/>
    <n v="0"/>
    <n v="0"/>
    <n v="0"/>
    <n v="0"/>
    <n v="0"/>
    <x v="832"/>
    <x v="756"/>
    <n v="0"/>
    <x v="13"/>
    <x v="0"/>
    <n v="0"/>
    <n v="18"/>
    <n v="29"/>
  </r>
  <r>
    <x v="1"/>
    <x v="17"/>
    <x v="3"/>
    <x v="2"/>
    <x v="2"/>
    <n v="0"/>
    <n v="0"/>
    <n v="0"/>
    <n v="0"/>
    <n v="0"/>
    <n v="0"/>
    <n v="0"/>
    <n v="0"/>
    <x v="260"/>
    <x v="249"/>
    <n v="161703"/>
    <x v="2"/>
    <x v="1"/>
    <n v="0"/>
    <n v="18"/>
    <n v="29"/>
  </r>
  <r>
    <x v="2"/>
    <x v="34"/>
    <x v="1"/>
    <x v="1147"/>
    <x v="801"/>
    <n v="238.8"/>
    <n v="2.7"/>
    <n v="5"/>
    <n v="0"/>
    <n v="0"/>
    <n v="0"/>
    <n v="0"/>
    <n v="0"/>
    <x v="237"/>
    <x v="227"/>
    <n v="110556"/>
    <x v="332"/>
    <x v="365"/>
    <n v="264"/>
    <n v="50"/>
    <n v="64"/>
  </r>
  <r>
    <x v="1"/>
    <x v="49"/>
    <x v="8"/>
    <x v="20"/>
    <x v="2"/>
    <n v="0"/>
    <n v="0"/>
    <n v="0"/>
    <n v="0"/>
    <n v="0"/>
    <n v="0"/>
    <n v="0"/>
    <n v="0"/>
    <x v="28"/>
    <x v="28"/>
    <n v="0"/>
    <x v="20"/>
    <x v="1"/>
    <n v="0"/>
    <n v="0"/>
    <n v="4"/>
  </r>
  <r>
    <x v="1"/>
    <x v="125"/>
    <x v="7"/>
    <x v="1148"/>
    <x v="519"/>
    <n v="0"/>
    <n v="13.1"/>
    <n v="0"/>
    <n v="0"/>
    <n v="0"/>
    <n v="0"/>
    <n v="0"/>
    <n v="0"/>
    <x v="270"/>
    <x v="258"/>
    <n v="0"/>
    <x v="134"/>
    <x v="39"/>
    <n v="0"/>
    <n v="65"/>
    <n v="79"/>
  </r>
  <r>
    <x v="2"/>
    <x v="49"/>
    <x v="0"/>
    <x v="1149"/>
    <x v="222"/>
    <n v="42"/>
    <n v="2.2999999999999998"/>
    <n v="1.2"/>
    <n v="58.3"/>
    <n v="22.8"/>
    <n v="33.299999999999997"/>
    <n v="2.6"/>
    <n v="1.7"/>
    <x v="48"/>
    <x v="48"/>
    <n v="1040794"/>
    <x v="460"/>
    <x v="366"/>
    <n v="437"/>
    <n v="999"/>
    <n v="999"/>
  </r>
  <r>
    <x v="2"/>
    <x v="46"/>
    <x v="2"/>
    <x v="460"/>
    <x v="280"/>
    <n v="13.2"/>
    <n v="1.4"/>
    <n v="1.7"/>
    <n v="0"/>
    <n v="0"/>
    <n v="0"/>
    <n v="0"/>
    <n v="0"/>
    <x v="1083"/>
    <x v="959"/>
    <n v="22651"/>
    <x v="29"/>
    <x v="38"/>
    <n v="3"/>
    <n v="5"/>
    <n v="11"/>
  </r>
  <r>
    <x v="1"/>
    <x v="39"/>
    <x v="6"/>
    <x v="1115"/>
    <x v="802"/>
    <n v="31.9"/>
    <n v="0.4"/>
    <n v="1.3"/>
    <n v="0"/>
    <n v="0"/>
    <n v="0"/>
    <n v="0"/>
    <n v="0"/>
    <x v="215"/>
    <x v="207"/>
    <n v="47058"/>
    <x v="6"/>
    <x v="7"/>
    <n v="15"/>
    <n v="80"/>
    <n v="200"/>
  </r>
  <r>
    <x v="1"/>
    <x v="76"/>
    <x v="3"/>
    <x v="2"/>
    <x v="2"/>
    <n v="0.6"/>
    <n v="0"/>
    <n v="0"/>
    <n v="0"/>
    <n v="0"/>
    <n v="0"/>
    <n v="0"/>
    <n v="0"/>
    <x v="272"/>
    <x v="113"/>
    <n v="161695"/>
    <x v="2"/>
    <x v="1"/>
    <n v="1"/>
    <n v="18"/>
    <n v="29"/>
  </r>
  <r>
    <x v="1"/>
    <x v="71"/>
    <x v="4"/>
    <x v="2"/>
    <x v="2"/>
    <n v="0"/>
    <n v="0"/>
    <n v="0"/>
    <n v="0"/>
    <n v="0"/>
    <n v="0"/>
    <n v="0"/>
    <n v="0"/>
    <x v="255"/>
    <x v="244"/>
    <n v="0"/>
    <x v="2"/>
    <x v="1"/>
    <n v="0"/>
    <n v="12"/>
    <n v="17"/>
  </r>
  <r>
    <x v="0"/>
    <x v="50"/>
    <x v="5"/>
    <x v="2"/>
    <x v="19"/>
    <n v="0"/>
    <n v="0"/>
    <n v="0"/>
    <n v="0"/>
    <n v="0"/>
    <n v="0"/>
    <n v="0"/>
    <n v="0"/>
    <x v="50"/>
    <x v="50"/>
    <n v="338011"/>
    <x v="2"/>
    <x v="0"/>
    <n v="0"/>
    <n v="30"/>
    <n v="49"/>
  </r>
  <r>
    <x v="2"/>
    <x v="116"/>
    <x v="6"/>
    <x v="1150"/>
    <x v="803"/>
    <n v="123.1"/>
    <n v="0.3"/>
    <n v="0.4"/>
    <n v="0"/>
    <n v="0"/>
    <n v="0"/>
    <n v="0"/>
    <n v="0"/>
    <x v="566"/>
    <x v="353"/>
    <n v="47133"/>
    <x v="27"/>
    <x v="130"/>
    <n v="58"/>
    <n v="80"/>
    <n v="200"/>
  </r>
  <r>
    <x v="2"/>
    <x v="129"/>
    <x v="7"/>
    <x v="1151"/>
    <x v="390"/>
    <n v="15.1"/>
    <n v="2"/>
    <n v="1.5"/>
    <n v="0"/>
    <n v="0"/>
    <n v="0"/>
    <n v="0"/>
    <n v="0"/>
    <x v="837"/>
    <x v="760"/>
    <n v="171735"/>
    <x v="51"/>
    <x v="21"/>
    <n v="26"/>
    <n v="65"/>
    <n v="79"/>
  </r>
  <r>
    <x v="2"/>
    <x v="19"/>
    <x v="3"/>
    <x v="1152"/>
    <x v="562"/>
    <n v="103.3"/>
    <n v="3.2"/>
    <n v="2.5"/>
    <n v="0"/>
    <n v="0"/>
    <n v="0"/>
    <n v="0"/>
    <n v="0"/>
    <x v="778"/>
    <x v="707"/>
    <n v="161600"/>
    <x v="86"/>
    <x v="74"/>
    <n v="167"/>
    <n v="18"/>
    <n v="29"/>
  </r>
  <r>
    <x v="2"/>
    <x v="23"/>
    <x v="7"/>
    <x v="1153"/>
    <x v="804"/>
    <n v="203.9"/>
    <n v="1.3"/>
    <n v="1.3"/>
    <n v="0"/>
    <n v="0"/>
    <n v="0"/>
    <n v="0"/>
    <n v="0"/>
    <x v="889"/>
    <x v="801"/>
    <n v="171626"/>
    <x v="239"/>
    <x v="171"/>
    <n v="350"/>
    <n v="65"/>
    <n v="79"/>
  </r>
  <r>
    <x v="0"/>
    <x v="86"/>
    <x v="1"/>
    <x v="372"/>
    <x v="2"/>
    <n v="0"/>
    <n v="0"/>
    <n v="0"/>
    <n v="0"/>
    <n v="0"/>
    <n v="0"/>
    <n v="0"/>
    <n v="0"/>
    <x v="939"/>
    <x v="843"/>
    <n v="246821"/>
    <x v="0"/>
    <x v="1"/>
    <n v="0"/>
    <n v="50"/>
    <n v="64"/>
  </r>
  <r>
    <x v="0"/>
    <x v="35"/>
    <x v="6"/>
    <x v="2"/>
    <x v="2"/>
    <n v="2.1"/>
    <n v="0"/>
    <n v="0"/>
    <n v="0"/>
    <n v="0"/>
    <n v="0"/>
    <n v="0"/>
    <n v="0"/>
    <x v="648"/>
    <x v="589"/>
    <n v="47261"/>
    <x v="2"/>
    <x v="1"/>
    <n v="1"/>
    <n v="80"/>
    <n v="200"/>
  </r>
  <r>
    <x v="1"/>
    <x v="49"/>
    <x v="3"/>
    <x v="388"/>
    <x v="23"/>
    <n v="0"/>
    <n v="10.8"/>
    <n v="0"/>
    <n v="0"/>
    <n v="0"/>
    <n v="0"/>
    <n v="0"/>
    <n v="0"/>
    <x v="1023"/>
    <x v="795"/>
    <n v="161716"/>
    <x v="20"/>
    <x v="0"/>
    <n v="0"/>
    <n v="18"/>
    <n v="29"/>
  </r>
  <r>
    <x v="2"/>
    <x v="22"/>
    <x v="8"/>
    <x v="1154"/>
    <x v="40"/>
    <n v="0"/>
    <n v="7.8"/>
    <n v="0"/>
    <n v="0"/>
    <n v="0"/>
    <n v="0"/>
    <n v="0"/>
    <n v="0"/>
    <x v="28"/>
    <x v="28"/>
    <n v="0"/>
    <x v="227"/>
    <x v="97"/>
    <n v="0"/>
    <n v="0"/>
    <n v="4"/>
  </r>
  <r>
    <x v="1"/>
    <x v="40"/>
    <x v="0"/>
    <x v="512"/>
    <x v="125"/>
    <n v="0"/>
    <n v="3.8"/>
    <n v="0"/>
    <n v="15.4"/>
    <n v="2.2000000000000002"/>
    <n v="0"/>
    <n v="7"/>
    <n v="0"/>
    <x v="79"/>
    <x v="79"/>
    <n v="0"/>
    <x v="461"/>
    <x v="34"/>
    <n v="0"/>
    <n v="999"/>
    <n v="999"/>
  </r>
  <r>
    <x v="0"/>
    <x v="23"/>
    <x v="1"/>
    <x v="2"/>
    <x v="1"/>
    <n v="0"/>
    <n v="0"/>
    <n v="0"/>
    <n v="0"/>
    <n v="0"/>
    <n v="0"/>
    <n v="0"/>
    <n v="0"/>
    <x v="427"/>
    <x v="398"/>
    <n v="246742"/>
    <x v="2"/>
    <x v="0"/>
    <n v="0"/>
    <n v="50"/>
    <n v="64"/>
  </r>
  <r>
    <x v="2"/>
    <x v="52"/>
    <x v="5"/>
    <x v="1155"/>
    <x v="805"/>
    <n v="169.6"/>
    <n v="2.1"/>
    <n v="1.4"/>
    <n v="0"/>
    <n v="0"/>
    <n v="0"/>
    <n v="0"/>
    <n v="0"/>
    <x v="612"/>
    <x v="558"/>
    <n v="345420"/>
    <x v="462"/>
    <x v="287"/>
    <n v="586"/>
    <n v="30"/>
    <n v="49"/>
  </r>
  <r>
    <x v="0"/>
    <x v="114"/>
    <x v="3"/>
    <x v="2"/>
    <x v="2"/>
    <n v="0"/>
    <n v="0"/>
    <n v="0"/>
    <n v="0"/>
    <n v="0"/>
    <n v="0"/>
    <n v="0"/>
    <n v="0"/>
    <x v="1084"/>
    <x v="960"/>
    <n v="161513"/>
    <x v="2"/>
    <x v="1"/>
    <n v="0"/>
    <n v="18"/>
    <n v="29"/>
  </r>
  <r>
    <x v="1"/>
    <x v="14"/>
    <x v="5"/>
    <x v="134"/>
    <x v="87"/>
    <n v="0"/>
    <n v="40.299999999999997"/>
    <n v="0"/>
    <n v="0"/>
    <n v="0"/>
    <n v="0"/>
    <n v="0"/>
    <n v="0"/>
    <x v="695"/>
    <x v="631"/>
    <n v="0"/>
    <x v="42"/>
    <x v="0"/>
    <n v="0"/>
    <n v="30"/>
    <n v="49"/>
  </r>
  <r>
    <x v="0"/>
    <x v="51"/>
    <x v="6"/>
    <x v="210"/>
    <x v="806"/>
    <n v="6.5"/>
    <n v="0.1"/>
    <n v="0.6"/>
    <n v="0"/>
    <n v="0"/>
    <n v="0"/>
    <n v="0"/>
    <n v="0"/>
    <x v="158"/>
    <x v="155"/>
    <n v="46252"/>
    <x v="1"/>
    <x v="21"/>
    <n v="3"/>
    <n v="80"/>
    <n v="200"/>
  </r>
  <r>
    <x v="2"/>
    <x v="1"/>
    <x v="7"/>
    <x v="860"/>
    <x v="319"/>
    <n v="96.7"/>
    <n v="0.8"/>
    <n v="0.8"/>
    <n v="0"/>
    <n v="0"/>
    <n v="0"/>
    <n v="0"/>
    <n v="0"/>
    <x v="268"/>
    <x v="256"/>
    <n v="171692"/>
    <x v="182"/>
    <x v="265"/>
    <n v="166"/>
    <n v="65"/>
    <n v="79"/>
  </r>
  <r>
    <x v="0"/>
    <x v="58"/>
    <x v="4"/>
    <x v="2"/>
    <x v="2"/>
    <n v="0"/>
    <n v="0"/>
    <n v="0"/>
    <n v="0"/>
    <n v="0"/>
    <n v="0"/>
    <n v="0"/>
    <n v="0"/>
    <x v="575"/>
    <x v="528"/>
    <n v="44509"/>
    <x v="2"/>
    <x v="1"/>
    <n v="0"/>
    <n v="12"/>
    <n v="17"/>
  </r>
  <r>
    <x v="2"/>
    <x v="28"/>
    <x v="4"/>
    <x v="1156"/>
    <x v="807"/>
    <n v="71.8"/>
    <n v="2.1"/>
    <n v="1.8"/>
    <n v="0"/>
    <n v="0"/>
    <n v="0"/>
    <n v="0"/>
    <n v="0"/>
    <x v="679"/>
    <x v="616"/>
    <n v="44558"/>
    <x v="255"/>
    <x v="182"/>
    <n v="32"/>
    <n v="12"/>
    <n v="17"/>
  </r>
  <r>
    <x v="1"/>
    <x v="86"/>
    <x v="3"/>
    <x v="91"/>
    <x v="141"/>
    <n v="0.6"/>
    <n v="8.1"/>
    <n v="19"/>
    <n v="0"/>
    <n v="0"/>
    <n v="0"/>
    <n v="0"/>
    <n v="0"/>
    <x v="1014"/>
    <x v="905"/>
    <n v="161629"/>
    <x v="51"/>
    <x v="39"/>
    <n v="1"/>
    <n v="18"/>
    <n v="29"/>
  </r>
  <r>
    <x v="2"/>
    <x v="64"/>
    <x v="4"/>
    <x v="394"/>
    <x v="72"/>
    <n v="13.5"/>
    <n v="2.5"/>
    <n v="3.2"/>
    <n v="0"/>
    <n v="0"/>
    <n v="0"/>
    <n v="0"/>
    <n v="0"/>
    <x v="992"/>
    <x v="785"/>
    <n v="44574"/>
    <x v="35"/>
    <x v="75"/>
    <n v="6"/>
    <n v="12"/>
    <n v="17"/>
  </r>
  <r>
    <x v="1"/>
    <x v="65"/>
    <x v="3"/>
    <x v="431"/>
    <x v="1"/>
    <n v="0"/>
    <n v="2.1"/>
    <n v="0"/>
    <n v="0"/>
    <n v="0"/>
    <n v="0"/>
    <n v="0"/>
    <n v="0"/>
    <x v="134"/>
    <x v="133"/>
    <n v="0"/>
    <x v="20"/>
    <x v="11"/>
    <n v="0"/>
    <n v="18"/>
    <n v="29"/>
  </r>
  <r>
    <x v="0"/>
    <x v="62"/>
    <x v="2"/>
    <x v="2"/>
    <x v="2"/>
    <n v="0"/>
    <n v="0"/>
    <n v="0"/>
    <n v="0"/>
    <n v="0"/>
    <n v="0"/>
    <n v="0"/>
    <n v="0"/>
    <x v="182"/>
    <x v="178"/>
    <n v="21260"/>
    <x v="2"/>
    <x v="1"/>
    <n v="0"/>
    <n v="5"/>
    <n v="11"/>
  </r>
  <r>
    <x v="0"/>
    <x v="115"/>
    <x v="0"/>
    <x v="2"/>
    <x v="0"/>
    <n v="0.1"/>
    <n v="0"/>
    <n v="0"/>
    <n v="0"/>
    <n v="0.2"/>
    <n v="0.1"/>
    <n v="0"/>
    <n v="0"/>
    <x v="805"/>
    <x v="732"/>
    <n v="947960"/>
    <x v="2"/>
    <x v="0"/>
    <n v="1"/>
    <n v="999"/>
    <n v="999"/>
  </r>
  <r>
    <x v="0"/>
    <x v="95"/>
    <x v="2"/>
    <x v="2"/>
    <x v="2"/>
    <n v="0"/>
    <n v="0"/>
    <n v="0"/>
    <n v="0"/>
    <n v="0"/>
    <n v="0"/>
    <n v="0"/>
    <n v="0"/>
    <x v="404"/>
    <x v="378"/>
    <n v="8887"/>
    <x v="2"/>
    <x v="1"/>
    <n v="0"/>
    <n v="5"/>
    <n v="11"/>
  </r>
  <r>
    <x v="2"/>
    <x v="122"/>
    <x v="3"/>
    <x v="1157"/>
    <x v="308"/>
    <n v="0"/>
    <n v="19.3"/>
    <n v="0"/>
    <n v="0"/>
    <n v="0"/>
    <n v="0"/>
    <n v="0"/>
    <n v="0"/>
    <x v="474"/>
    <x v="438"/>
    <n v="0"/>
    <x v="463"/>
    <x v="17"/>
    <n v="0"/>
    <n v="18"/>
    <n v="29"/>
  </r>
  <r>
    <x v="2"/>
    <x v="81"/>
    <x v="0"/>
    <x v="1158"/>
    <x v="808"/>
    <n v="0"/>
    <n v="2.1"/>
    <n v="0"/>
    <n v="172"/>
    <n v="59.1"/>
    <n v="0"/>
    <n v="2.9"/>
    <n v="0"/>
    <x v="920"/>
    <x v="827"/>
    <n v="0"/>
    <x v="464"/>
    <x v="367"/>
    <n v="0"/>
    <n v="999"/>
    <n v="999"/>
  </r>
  <r>
    <x v="0"/>
    <x v="89"/>
    <x v="3"/>
    <x v="2"/>
    <x v="2"/>
    <n v="0"/>
    <n v="0"/>
    <n v="0"/>
    <n v="0"/>
    <n v="0"/>
    <n v="0"/>
    <n v="0"/>
    <n v="0"/>
    <x v="900"/>
    <x v="811"/>
    <n v="0"/>
    <x v="2"/>
    <x v="1"/>
    <n v="0"/>
    <n v="18"/>
    <n v="29"/>
  </r>
  <r>
    <x v="0"/>
    <x v="73"/>
    <x v="0"/>
    <x v="0"/>
    <x v="87"/>
    <n v="0.4"/>
    <n v="1"/>
    <n v="0.8"/>
    <n v="0.5"/>
    <n v="0.6"/>
    <n v="0.2"/>
    <n v="0.8"/>
    <n v="2"/>
    <x v="841"/>
    <x v="761"/>
    <n v="992967"/>
    <x v="0"/>
    <x v="39"/>
    <n v="4"/>
    <n v="999"/>
    <n v="999"/>
  </r>
  <r>
    <x v="2"/>
    <x v="2"/>
    <x v="5"/>
    <x v="1159"/>
    <x v="809"/>
    <n v="133.6"/>
    <n v="2.5"/>
    <n v="1.5"/>
    <n v="0"/>
    <n v="0"/>
    <n v="0"/>
    <n v="0"/>
    <n v="0"/>
    <x v="434"/>
    <x v="405"/>
    <n v="346520"/>
    <x v="465"/>
    <x v="368"/>
    <n v="463"/>
    <n v="30"/>
    <n v="49"/>
  </r>
  <r>
    <x v="1"/>
    <x v="67"/>
    <x v="2"/>
    <x v="54"/>
    <x v="17"/>
    <n v="0"/>
    <n v="0.9"/>
    <n v="0"/>
    <n v="0"/>
    <n v="0"/>
    <n v="0"/>
    <n v="0"/>
    <n v="0"/>
    <x v="346"/>
    <x v="323"/>
    <n v="21200"/>
    <x v="1"/>
    <x v="0"/>
    <n v="0"/>
    <n v="5"/>
    <n v="11"/>
  </r>
  <r>
    <x v="1"/>
    <x v="29"/>
    <x v="5"/>
    <x v="47"/>
    <x v="110"/>
    <n v="3.8"/>
    <n v="2.2000000000000002"/>
    <n v="2.5"/>
    <n v="0"/>
    <n v="0"/>
    <n v="0"/>
    <n v="0"/>
    <n v="0"/>
    <x v="1085"/>
    <x v="961"/>
    <n v="338834"/>
    <x v="27"/>
    <x v="23"/>
    <n v="13"/>
    <n v="30"/>
    <n v="49"/>
  </r>
  <r>
    <x v="0"/>
    <x v="91"/>
    <x v="6"/>
    <x v="2"/>
    <x v="798"/>
    <n v="2.1"/>
    <n v="0"/>
    <n v="0"/>
    <n v="0"/>
    <n v="0"/>
    <n v="0"/>
    <n v="0"/>
    <n v="0"/>
    <x v="606"/>
    <x v="553"/>
    <n v="47077"/>
    <x v="2"/>
    <x v="16"/>
    <n v="1"/>
    <n v="80"/>
    <n v="200"/>
  </r>
  <r>
    <x v="1"/>
    <x v="17"/>
    <x v="6"/>
    <x v="82"/>
    <x v="66"/>
    <n v="8.5"/>
    <n v="0.2"/>
    <n v="0.5"/>
    <n v="0"/>
    <n v="0"/>
    <n v="0"/>
    <n v="0"/>
    <n v="0"/>
    <x v="1078"/>
    <x v="101"/>
    <n v="47130"/>
    <x v="1"/>
    <x v="11"/>
    <n v="4"/>
    <n v="80"/>
    <n v="200"/>
  </r>
  <r>
    <x v="2"/>
    <x v="100"/>
    <x v="5"/>
    <x v="1160"/>
    <x v="810"/>
    <n v="339.2"/>
    <n v="1.9"/>
    <n v="1"/>
    <n v="0"/>
    <n v="0"/>
    <n v="0"/>
    <n v="0"/>
    <n v="0"/>
    <x v="435"/>
    <x v="406"/>
    <n v="337248"/>
    <x v="285"/>
    <x v="359"/>
    <n v="1144"/>
    <n v="30"/>
    <n v="49"/>
  </r>
  <r>
    <x v="2"/>
    <x v="12"/>
    <x v="7"/>
    <x v="734"/>
    <x v="811"/>
    <n v="0"/>
    <n v="2.2999999999999998"/>
    <n v="0"/>
    <n v="0"/>
    <n v="0"/>
    <n v="0"/>
    <n v="0"/>
    <n v="0"/>
    <x v="599"/>
    <x v="548"/>
    <n v="0"/>
    <x v="31"/>
    <x v="168"/>
    <n v="0"/>
    <n v="65"/>
    <n v="79"/>
  </r>
  <r>
    <x v="2"/>
    <x v="91"/>
    <x v="0"/>
    <x v="1161"/>
    <x v="812"/>
    <n v="116.4"/>
    <n v="1.8"/>
    <n v="1.2"/>
    <n v="179.1"/>
    <n v="82.9"/>
    <n v="103.9"/>
    <n v="2.2000000000000002"/>
    <n v="1.7"/>
    <x v="912"/>
    <x v="820"/>
    <n v="1039237"/>
    <x v="466"/>
    <x v="369"/>
    <n v="1210"/>
    <n v="999"/>
    <n v="999"/>
  </r>
  <r>
    <x v="1"/>
    <x v="19"/>
    <x v="0"/>
    <x v="1162"/>
    <x v="384"/>
    <n v="14.2"/>
    <n v="2.2999999999999998"/>
    <n v="1.2"/>
    <n v="21.2"/>
    <n v="12"/>
    <n v="9.8000000000000007"/>
    <n v="1.8"/>
    <n v="2.2000000000000002"/>
    <x v="871"/>
    <x v="789"/>
    <n v="1039974"/>
    <x v="41"/>
    <x v="116"/>
    <n v="148"/>
    <n v="999"/>
    <n v="999"/>
  </r>
  <r>
    <x v="2"/>
    <x v="4"/>
    <x v="7"/>
    <x v="329"/>
    <x v="813"/>
    <n v="72"/>
    <n v="1.1000000000000001"/>
    <n v="0.8"/>
    <n v="0"/>
    <n v="0"/>
    <n v="0"/>
    <n v="0"/>
    <n v="0"/>
    <x v="1071"/>
    <x v="949"/>
    <n v="159712"/>
    <x v="60"/>
    <x v="88"/>
    <n v="115"/>
    <n v="65"/>
    <n v="79"/>
  </r>
  <r>
    <x v="1"/>
    <x v="14"/>
    <x v="1"/>
    <x v="556"/>
    <x v="17"/>
    <n v="0"/>
    <n v="29.8"/>
    <n v="0"/>
    <n v="0"/>
    <n v="0"/>
    <n v="0"/>
    <n v="0"/>
    <n v="0"/>
    <x v="823"/>
    <x v="750"/>
    <n v="0"/>
    <x v="117"/>
    <x v="39"/>
    <n v="0"/>
    <n v="50"/>
    <n v="64"/>
  </r>
  <r>
    <x v="2"/>
    <x v="63"/>
    <x v="3"/>
    <x v="1163"/>
    <x v="674"/>
    <n v="94.7"/>
    <n v="2.9"/>
    <n v="2"/>
    <n v="0"/>
    <n v="0"/>
    <n v="0"/>
    <n v="0"/>
    <n v="0"/>
    <x v="317"/>
    <x v="299"/>
    <n v="161534"/>
    <x v="213"/>
    <x v="370"/>
    <n v="153"/>
    <n v="18"/>
    <n v="29"/>
  </r>
  <r>
    <x v="2"/>
    <x v="85"/>
    <x v="7"/>
    <x v="1164"/>
    <x v="814"/>
    <n v="727.6"/>
    <n v="1.2"/>
    <n v="2.2999999999999998"/>
    <n v="0"/>
    <n v="0"/>
    <n v="0"/>
    <n v="0"/>
    <n v="0"/>
    <x v="658"/>
    <x v="599"/>
    <n v="133598"/>
    <x v="467"/>
    <x v="371"/>
    <n v="972"/>
    <n v="65"/>
    <n v="79"/>
  </r>
  <r>
    <x v="2"/>
    <x v="7"/>
    <x v="7"/>
    <x v="1165"/>
    <x v="815"/>
    <n v="31"/>
    <n v="1.7"/>
    <n v="9.9"/>
    <n v="0"/>
    <n v="0"/>
    <n v="0"/>
    <n v="0"/>
    <n v="0"/>
    <x v="1015"/>
    <x v="906"/>
    <n v="93634"/>
    <x v="306"/>
    <x v="372"/>
    <n v="29"/>
    <n v="65"/>
    <n v="79"/>
  </r>
  <r>
    <x v="2"/>
    <x v="87"/>
    <x v="3"/>
    <x v="774"/>
    <x v="816"/>
    <n v="39.1"/>
    <n v="2.8"/>
    <n v="4.8"/>
    <n v="0"/>
    <n v="0"/>
    <n v="0"/>
    <n v="0"/>
    <n v="0"/>
    <x v="682"/>
    <x v="619"/>
    <n v="10229"/>
    <x v="468"/>
    <x v="373"/>
    <n v="4"/>
    <n v="18"/>
    <n v="29"/>
  </r>
  <r>
    <x v="0"/>
    <x v="116"/>
    <x v="5"/>
    <x v="2"/>
    <x v="2"/>
    <n v="0"/>
    <n v="0"/>
    <n v="0"/>
    <n v="0"/>
    <n v="0"/>
    <n v="0"/>
    <n v="0"/>
    <n v="0"/>
    <x v="914"/>
    <x v="774"/>
    <n v="347321"/>
    <x v="2"/>
    <x v="1"/>
    <n v="0"/>
    <n v="30"/>
    <n v="49"/>
  </r>
  <r>
    <x v="0"/>
    <x v="108"/>
    <x v="0"/>
    <x v="241"/>
    <x v="23"/>
    <n v="0.2"/>
    <n v="1"/>
    <n v="2.5"/>
    <n v="0.5"/>
    <n v="1"/>
    <n v="0.1"/>
    <n v="0.5"/>
    <n v="4.3"/>
    <x v="969"/>
    <x v="869"/>
    <n v="1040368"/>
    <x v="45"/>
    <x v="16"/>
    <n v="2"/>
    <n v="999"/>
    <n v="999"/>
  </r>
  <r>
    <x v="0"/>
    <x v="65"/>
    <x v="5"/>
    <x v="431"/>
    <x v="2"/>
    <n v="0"/>
    <n v="0"/>
    <n v="0"/>
    <n v="0"/>
    <n v="0"/>
    <n v="0"/>
    <n v="0"/>
    <n v="0"/>
    <x v="259"/>
    <x v="248"/>
    <n v="0"/>
    <x v="13"/>
    <x v="1"/>
    <n v="0"/>
    <n v="30"/>
    <n v="49"/>
  </r>
  <r>
    <x v="2"/>
    <x v="46"/>
    <x v="4"/>
    <x v="1166"/>
    <x v="817"/>
    <n v="24.6"/>
    <n v="3.1"/>
    <n v="3.1"/>
    <n v="0"/>
    <n v="0"/>
    <n v="0"/>
    <n v="0"/>
    <n v="0"/>
    <x v="1086"/>
    <x v="962"/>
    <n v="44784"/>
    <x v="56"/>
    <x v="59"/>
    <n v="11"/>
    <n v="12"/>
    <n v="17"/>
  </r>
  <r>
    <x v="2"/>
    <x v="114"/>
    <x v="3"/>
    <x v="1167"/>
    <x v="818"/>
    <n v="82.3"/>
    <n v="3.2"/>
    <n v="1.8"/>
    <n v="0"/>
    <n v="0"/>
    <n v="0"/>
    <n v="0"/>
    <n v="0"/>
    <x v="1084"/>
    <x v="960"/>
    <n v="161513"/>
    <x v="141"/>
    <x v="121"/>
    <n v="133"/>
    <n v="18"/>
    <n v="29"/>
  </r>
  <r>
    <x v="1"/>
    <x v="69"/>
    <x v="6"/>
    <x v="449"/>
    <x v="819"/>
    <n v="21.6"/>
    <n v="0.4"/>
    <n v="1"/>
    <n v="0"/>
    <n v="0"/>
    <n v="0"/>
    <n v="0"/>
    <n v="0"/>
    <x v="836"/>
    <x v="759"/>
    <n v="41699"/>
    <x v="18"/>
    <x v="13"/>
    <n v="9"/>
    <n v="80"/>
    <n v="200"/>
  </r>
  <r>
    <x v="1"/>
    <x v="109"/>
    <x v="2"/>
    <x v="2"/>
    <x v="17"/>
    <n v="0"/>
    <n v="0"/>
    <n v="0"/>
    <n v="0"/>
    <n v="0"/>
    <n v="0"/>
    <n v="0"/>
    <n v="0"/>
    <x v="673"/>
    <x v="611"/>
    <n v="21171"/>
    <x v="2"/>
    <x v="0"/>
    <n v="0"/>
    <n v="5"/>
    <n v="11"/>
  </r>
  <r>
    <x v="2"/>
    <x v="48"/>
    <x v="6"/>
    <x v="254"/>
    <x v="820"/>
    <n v="63.6"/>
    <n v="0.9"/>
    <n v="0.8"/>
    <n v="0"/>
    <n v="0"/>
    <n v="0"/>
    <n v="0"/>
    <n v="0"/>
    <x v="537"/>
    <x v="492"/>
    <n v="47164"/>
    <x v="16"/>
    <x v="26"/>
    <n v="30"/>
    <n v="80"/>
    <n v="200"/>
  </r>
  <r>
    <x v="2"/>
    <x v="44"/>
    <x v="2"/>
    <x v="606"/>
    <x v="622"/>
    <n v="0"/>
    <n v="0.7"/>
    <n v="0"/>
    <n v="0"/>
    <n v="0"/>
    <n v="0"/>
    <n v="0"/>
    <n v="0"/>
    <x v="897"/>
    <x v="808"/>
    <n v="0"/>
    <x v="94"/>
    <x v="24"/>
    <n v="0"/>
    <n v="5"/>
    <n v="11"/>
  </r>
  <r>
    <x v="2"/>
    <x v="23"/>
    <x v="5"/>
    <x v="1168"/>
    <x v="821"/>
    <n v="142.30000000000001"/>
    <n v="2.2000000000000002"/>
    <n v="2"/>
    <n v="0"/>
    <n v="0"/>
    <n v="0"/>
    <n v="0"/>
    <n v="0"/>
    <x v="1061"/>
    <x v="940"/>
    <n v="347113"/>
    <x v="322"/>
    <x v="249"/>
    <n v="494"/>
    <n v="30"/>
    <n v="49"/>
  </r>
  <r>
    <x v="2"/>
    <x v="88"/>
    <x v="3"/>
    <x v="1169"/>
    <x v="822"/>
    <n v="0"/>
    <n v="3"/>
    <n v="0"/>
    <n v="0"/>
    <n v="0"/>
    <n v="0"/>
    <n v="0"/>
    <n v="0"/>
    <x v="627"/>
    <x v="570"/>
    <n v="0"/>
    <x v="469"/>
    <x v="374"/>
    <n v="0"/>
    <n v="18"/>
    <n v="29"/>
  </r>
  <r>
    <x v="0"/>
    <x v="72"/>
    <x v="4"/>
    <x v="2"/>
    <x v="2"/>
    <n v="0"/>
    <n v="0"/>
    <n v="0"/>
    <n v="0"/>
    <n v="0"/>
    <n v="0"/>
    <n v="0"/>
    <n v="0"/>
    <x v="239"/>
    <x v="229"/>
    <n v="44576"/>
    <x v="2"/>
    <x v="1"/>
    <n v="0"/>
    <n v="12"/>
    <n v="17"/>
  </r>
  <r>
    <x v="2"/>
    <x v="11"/>
    <x v="3"/>
    <x v="1170"/>
    <x v="294"/>
    <n v="17.3"/>
    <n v="4.5999999999999996"/>
    <n v="3.5"/>
    <n v="0"/>
    <n v="0"/>
    <n v="0"/>
    <n v="0"/>
    <n v="0"/>
    <x v="882"/>
    <x v="520"/>
    <n v="161688"/>
    <x v="117"/>
    <x v="27"/>
    <n v="28"/>
    <n v="18"/>
    <n v="29"/>
  </r>
  <r>
    <x v="1"/>
    <x v="137"/>
    <x v="0"/>
    <x v="391"/>
    <x v="765"/>
    <n v="7.5"/>
    <n v="2.1"/>
    <n v="1"/>
    <n v="7.4"/>
    <n v="5.9"/>
    <n v="5"/>
    <n v="1.3"/>
    <n v="1.5"/>
    <x v="1079"/>
    <x v="956"/>
    <n v="1048252"/>
    <x v="19"/>
    <x v="167"/>
    <n v="79"/>
    <n v="999"/>
    <n v="999"/>
  </r>
  <r>
    <x v="2"/>
    <x v="107"/>
    <x v="5"/>
    <x v="1080"/>
    <x v="276"/>
    <n v="0"/>
    <n v="7"/>
    <n v="0"/>
    <n v="0"/>
    <n v="0"/>
    <n v="0"/>
    <n v="0"/>
    <n v="0"/>
    <x v="177"/>
    <x v="174"/>
    <n v="0"/>
    <x v="470"/>
    <x v="59"/>
    <n v="0"/>
    <n v="30"/>
    <n v="49"/>
  </r>
  <r>
    <x v="2"/>
    <x v="52"/>
    <x v="0"/>
    <x v="1171"/>
    <x v="823"/>
    <n v="165.5"/>
    <n v="1.8"/>
    <n v="1.2"/>
    <n v="226.7"/>
    <n v="107.1"/>
    <n v="144.4"/>
    <n v="2.1"/>
    <n v="1.6"/>
    <x v="1018"/>
    <x v="908"/>
    <n v="1026640"/>
    <x v="234"/>
    <x v="375"/>
    <n v="1699"/>
    <n v="999"/>
    <n v="999"/>
  </r>
  <r>
    <x v="2"/>
    <x v="16"/>
    <x v="2"/>
    <x v="1172"/>
    <x v="824"/>
    <n v="0"/>
    <n v="1.3"/>
    <n v="0"/>
    <n v="0"/>
    <n v="0"/>
    <n v="0"/>
    <n v="0"/>
    <n v="0"/>
    <x v="136"/>
    <x v="135"/>
    <n v="0"/>
    <x v="471"/>
    <x v="376"/>
    <n v="0"/>
    <n v="5"/>
    <n v="11"/>
  </r>
  <r>
    <x v="2"/>
    <x v="32"/>
    <x v="3"/>
    <x v="1173"/>
    <x v="825"/>
    <n v="68.7"/>
    <n v="3.2"/>
    <n v="2.4"/>
    <n v="0"/>
    <n v="0"/>
    <n v="0"/>
    <n v="0"/>
    <n v="0"/>
    <x v="763"/>
    <x v="692"/>
    <n v="161571"/>
    <x v="188"/>
    <x v="295"/>
    <n v="111"/>
    <n v="18"/>
    <n v="29"/>
  </r>
  <r>
    <x v="1"/>
    <x v="101"/>
    <x v="7"/>
    <x v="42"/>
    <x v="109"/>
    <n v="1.9"/>
    <n v="1.1000000000000001"/>
    <n v="5.4"/>
    <n v="0"/>
    <n v="0"/>
    <n v="0"/>
    <n v="0"/>
    <n v="0"/>
    <x v="470"/>
    <x v="435"/>
    <n v="156028"/>
    <x v="13"/>
    <x v="21"/>
    <n v="3"/>
    <n v="65"/>
    <n v="79"/>
  </r>
  <r>
    <x v="1"/>
    <x v="29"/>
    <x v="7"/>
    <x v="61"/>
    <x v="826"/>
    <n v="15"/>
    <n v="1.5"/>
    <n v="2.2999999999999998"/>
    <n v="0"/>
    <n v="0"/>
    <n v="0"/>
    <n v="0"/>
    <n v="0"/>
    <x v="980"/>
    <x v="878"/>
    <n v="167052"/>
    <x v="91"/>
    <x v="7"/>
    <n v="25"/>
    <n v="65"/>
    <n v="79"/>
  </r>
  <r>
    <x v="2"/>
    <x v="122"/>
    <x v="4"/>
    <x v="1174"/>
    <x v="2"/>
    <n v="0"/>
    <n v="0"/>
    <n v="0"/>
    <n v="0"/>
    <n v="0"/>
    <n v="0"/>
    <n v="0"/>
    <n v="0"/>
    <x v="692"/>
    <x v="28"/>
    <n v="0"/>
    <x v="270"/>
    <x v="1"/>
    <n v="0"/>
    <n v="12"/>
    <n v="17"/>
  </r>
  <r>
    <x v="1"/>
    <x v="136"/>
    <x v="4"/>
    <x v="2"/>
    <x v="2"/>
    <n v="0"/>
    <n v="0"/>
    <n v="0"/>
    <n v="0"/>
    <n v="0"/>
    <n v="0"/>
    <n v="0"/>
    <n v="0"/>
    <x v="1002"/>
    <x v="896"/>
    <n v="0"/>
    <x v="2"/>
    <x v="1"/>
    <n v="0"/>
    <n v="12"/>
    <n v="17"/>
  </r>
  <r>
    <x v="1"/>
    <x v="79"/>
    <x v="7"/>
    <x v="265"/>
    <x v="241"/>
    <n v="8.6999999999999993"/>
    <n v="2.6"/>
    <n v="2"/>
    <n v="0"/>
    <n v="0"/>
    <n v="0"/>
    <n v="0"/>
    <n v="0"/>
    <x v="413"/>
    <x v="367"/>
    <n v="171728"/>
    <x v="64"/>
    <x v="39"/>
    <n v="15"/>
    <n v="65"/>
    <n v="79"/>
  </r>
  <r>
    <x v="1"/>
    <x v="137"/>
    <x v="1"/>
    <x v="570"/>
    <x v="78"/>
    <n v="4.8"/>
    <n v="1.4"/>
    <n v="2.1"/>
    <n v="0"/>
    <n v="0"/>
    <n v="0"/>
    <n v="0"/>
    <n v="0"/>
    <x v="874"/>
    <x v="791"/>
    <n v="248112"/>
    <x v="45"/>
    <x v="13"/>
    <n v="12"/>
    <n v="50"/>
    <n v="64"/>
  </r>
  <r>
    <x v="0"/>
    <x v="75"/>
    <x v="2"/>
    <x v="2"/>
    <x v="2"/>
    <n v="0"/>
    <n v="0"/>
    <n v="0"/>
    <n v="0"/>
    <n v="0"/>
    <n v="0"/>
    <n v="0"/>
    <n v="0"/>
    <x v="633"/>
    <x v="574"/>
    <n v="10832"/>
    <x v="2"/>
    <x v="1"/>
    <n v="0"/>
    <n v="5"/>
    <n v="11"/>
  </r>
  <r>
    <x v="0"/>
    <x v="3"/>
    <x v="4"/>
    <x v="2"/>
    <x v="2"/>
    <n v="0"/>
    <n v="0"/>
    <n v="0"/>
    <n v="0"/>
    <n v="0"/>
    <n v="0"/>
    <n v="0"/>
    <n v="0"/>
    <x v="1065"/>
    <x v="943"/>
    <n v="0"/>
    <x v="2"/>
    <x v="1"/>
    <n v="0"/>
    <n v="12"/>
    <n v="17"/>
  </r>
  <r>
    <x v="2"/>
    <x v="89"/>
    <x v="0"/>
    <x v="137"/>
    <x v="351"/>
    <n v="0"/>
    <n v="2.9"/>
    <n v="0"/>
    <n v="19.600000000000001"/>
    <n v="5"/>
    <n v="0"/>
    <n v="3.9"/>
    <n v="0"/>
    <x v="847"/>
    <x v="768"/>
    <n v="0"/>
    <x v="103"/>
    <x v="58"/>
    <n v="0"/>
    <n v="999"/>
    <n v="999"/>
  </r>
  <r>
    <x v="2"/>
    <x v="41"/>
    <x v="3"/>
    <x v="1175"/>
    <x v="827"/>
    <n v="189.6"/>
    <n v="2.5"/>
    <n v="1.6"/>
    <n v="0"/>
    <n v="0"/>
    <n v="0"/>
    <n v="0"/>
    <n v="0"/>
    <x v="197"/>
    <x v="191"/>
    <n v="159319"/>
    <x v="342"/>
    <x v="176"/>
    <n v="302"/>
    <n v="18"/>
    <n v="29"/>
  </r>
  <r>
    <x v="0"/>
    <x v="37"/>
    <x v="2"/>
    <x v="2"/>
    <x v="2"/>
    <n v="0"/>
    <n v="0"/>
    <n v="0"/>
    <n v="0"/>
    <n v="0"/>
    <n v="0"/>
    <n v="0"/>
    <n v="0"/>
    <x v="505"/>
    <x v="382"/>
    <n v="21260"/>
    <x v="2"/>
    <x v="1"/>
    <n v="0"/>
    <n v="5"/>
    <n v="11"/>
  </r>
  <r>
    <x v="0"/>
    <x v="102"/>
    <x v="4"/>
    <x v="2"/>
    <x v="2"/>
    <n v="0"/>
    <n v="0"/>
    <n v="0"/>
    <n v="0"/>
    <n v="0"/>
    <n v="0"/>
    <n v="0"/>
    <n v="0"/>
    <x v="1076"/>
    <x v="954"/>
    <n v="28723"/>
    <x v="2"/>
    <x v="1"/>
    <n v="0"/>
    <n v="12"/>
    <n v="17"/>
  </r>
  <r>
    <x v="0"/>
    <x v="128"/>
    <x v="6"/>
    <x v="82"/>
    <x v="2"/>
    <n v="2.1"/>
    <n v="0"/>
    <n v="2"/>
    <n v="0"/>
    <n v="0"/>
    <n v="0"/>
    <n v="0"/>
    <n v="0"/>
    <x v="1020"/>
    <x v="97"/>
    <n v="47127"/>
    <x v="1"/>
    <x v="1"/>
    <n v="1"/>
    <n v="80"/>
    <n v="200"/>
  </r>
  <r>
    <x v="0"/>
    <x v="4"/>
    <x v="0"/>
    <x v="113"/>
    <x v="87"/>
    <n v="0.2"/>
    <n v="0.7"/>
    <n v="1"/>
    <n v="0.2"/>
    <n v="0.6"/>
    <n v="0.1"/>
    <n v="0.3"/>
    <n v="1.7"/>
    <x v="813"/>
    <x v="740"/>
    <n v="937807"/>
    <x v="1"/>
    <x v="39"/>
    <n v="2"/>
    <n v="999"/>
    <n v="999"/>
  </r>
  <r>
    <x v="2"/>
    <x v="36"/>
    <x v="2"/>
    <x v="784"/>
    <x v="534"/>
    <n v="193.4"/>
    <n v="1.3"/>
    <n v="0.9"/>
    <n v="0"/>
    <n v="0"/>
    <n v="0"/>
    <n v="0"/>
    <n v="0"/>
    <x v="1066"/>
    <x v="944"/>
    <n v="21197"/>
    <x v="472"/>
    <x v="136"/>
    <n v="41"/>
    <n v="5"/>
    <n v="11"/>
  </r>
  <r>
    <x v="0"/>
    <x v="94"/>
    <x v="7"/>
    <x v="2"/>
    <x v="34"/>
    <n v="0"/>
    <n v="0"/>
    <n v="0"/>
    <n v="0"/>
    <n v="0"/>
    <n v="0"/>
    <n v="0"/>
    <n v="0"/>
    <x v="621"/>
    <x v="565"/>
    <n v="171689"/>
    <x v="2"/>
    <x v="0"/>
    <n v="0"/>
    <n v="65"/>
    <n v="79"/>
  </r>
  <r>
    <x v="2"/>
    <x v="52"/>
    <x v="7"/>
    <x v="1176"/>
    <x v="828"/>
    <n v="150.6"/>
    <n v="1.4"/>
    <n v="1.3"/>
    <n v="0"/>
    <n v="0"/>
    <n v="0"/>
    <n v="0"/>
    <n v="0"/>
    <x v="1006"/>
    <x v="899"/>
    <n v="170603"/>
    <x v="156"/>
    <x v="111"/>
    <n v="257"/>
    <n v="65"/>
    <n v="79"/>
  </r>
  <r>
    <x v="2"/>
    <x v="132"/>
    <x v="0"/>
    <x v="1177"/>
    <x v="829"/>
    <n v="400"/>
    <n v="1.4"/>
    <n v="0.9"/>
    <n v="407.5"/>
    <n v="245.4"/>
    <n v="352.2"/>
    <n v="1.7"/>
    <n v="1.2"/>
    <x v="741"/>
    <x v="673"/>
    <n v="961158"/>
    <x v="473"/>
    <x v="377"/>
    <n v="3845"/>
    <n v="999"/>
    <n v="999"/>
  </r>
  <r>
    <x v="2"/>
    <x v="51"/>
    <x v="3"/>
    <x v="1178"/>
    <x v="830"/>
    <n v="243.2"/>
    <n v="2.7"/>
    <n v="1.5"/>
    <n v="0"/>
    <n v="0"/>
    <n v="0"/>
    <n v="0"/>
    <n v="0"/>
    <x v="105"/>
    <x v="104"/>
    <n v="157475"/>
    <x v="190"/>
    <x v="286"/>
    <n v="383"/>
    <n v="18"/>
    <n v="29"/>
  </r>
  <r>
    <x v="2"/>
    <x v="10"/>
    <x v="3"/>
    <x v="1179"/>
    <x v="409"/>
    <n v="75.5"/>
    <n v="3.4"/>
    <n v="2.5"/>
    <n v="0"/>
    <n v="0"/>
    <n v="0"/>
    <n v="0"/>
    <n v="0"/>
    <x v="321"/>
    <x v="303"/>
    <n v="161619"/>
    <x v="244"/>
    <x v="363"/>
    <n v="122"/>
    <n v="18"/>
    <n v="29"/>
  </r>
  <r>
    <x v="1"/>
    <x v="130"/>
    <x v="3"/>
    <x v="601"/>
    <x v="87"/>
    <n v="0"/>
    <n v="44.7"/>
    <n v="0"/>
    <n v="0"/>
    <n v="0"/>
    <n v="0"/>
    <n v="0"/>
    <n v="0"/>
    <x v="943"/>
    <x v="847"/>
    <n v="0"/>
    <x v="17"/>
    <x v="0"/>
    <n v="0"/>
    <n v="18"/>
    <n v="29"/>
  </r>
  <r>
    <x v="0"/>
    <x v="135"/>
    <x v="1"/>
    <x v="28"/>
    <x v="2"/>
    <n v="0"/>
    <n v="0"/>
    <n v="0"/>
    <n v="0"/>
    <n v="0"/>
    <n v="0"/>
    <n v="0"/>
    <n v="0"/>
    <x v="468"/>
    <x v="434"/>
    <n v="0"/>
    <x v="0"/>
    <x v="1"/>
    <n v="0"/>
    <n v="50"/>
    <n v="64"/>
  </r>
  <r>
    <x v="0"/>
    <x v="31"/>
    <x v="7"/>
    <x v="2"/>
    <x v="2"/>
    <n v="1.8"/>
    <n v="0"/>
    <n v="0"/>
    <n v="0"/>
    <n v="0"/>
    <n v="0"/>
    <n v="0"/>
    <n v="0"/>
    <x v="328"/>
    <x v="307"/>
    <n v="167927"/>
    <x v="2"/>
    <x v="1"/>
    <n v="3"/>
    <n v="65"/>
    <n v="79"/>
  </r>
  <r>
    <x v="1"/>
    <x v="93"/>
    <x v="1"/>
    <x v="1093"/>
    <x v="4"/>
    <n v="0"/>
    <n v="14.8"/>
    <n v="0"/>
    <n v="0"/>
    <n v="0"/>
    <n v="0"/>
    <n v="0"/>
    <n v="0"/>
    <x v="891"/>
    <x v="802"/>
    <n v="0"/>
    <x v="223"/>
    <x v="23"/>
    <n v="0"/>
    <n v="50"/>
    <n v="64"/>
  </r>
  <r>
    <x v="1"/>
    <x v="34"/>
    <x v="1"/>
    <x v="1180"/>
    <x v="222"/>
    <n v="7.2"/>
    <n v="7.7"/>
    <n v="23.6"/>
    <n v="0"/>
    <n v="0"/>
    <n v="0"/>
    <n v="0"/>
    <n v="0"/>
    <x v="237"/>
    <x v="227"/>
    <n v="110556"/>
    <x v="158"/>
    <x v="46"/>
    <n v="8"/>
    <n v="50"/>
    <n v="64"/>
  </r>
  <r>
    <x v="1"/>
    <x v="22"/>
    <x v="4"/>
    <x v="2"/>
    <x v="765"/>
    <n v="0"/>
    <n v="0"/>
    <n v="0"/>
    <n v="0"/>
    <n v="0"/>
    <n v="0"/>
    <n v="0"/>
    <n v="0"/>
    <x v="442"/>
    <x v="413"/>
    <n v="44514"/>
    <x v="2"/>
    <x v="39"/>
    <n v="0"/>
    <n v="12"/>
    <n v="17"/>
  </r>
  <r>
    <x v="2"/>
    <x v="102"/>
    <x v="6"/>
    <x v="175"/>
    <x v="831"/>
    <n v="37.5"/>
    <n v="0.6"/>
    <n v="0.6"/>
    <n v="0"/>
    <n v="0"/>
    <n v="0"/>
    <n v="0"/>
    <n v="0"/>
    <x v="661"/>
    <x v="601"/>
    <n v="42701"/>
    <x v="18"/>
    <x v="21"/>
    <n v="16"/>
    <n v="80"/>
    <n v="200"/>
  </r>
  <r>
    <x v="0"/>
    <x v="17"/>
    <x v="2"/>
    <x v="2"/>
    <x v="2"/>
    <n v="0"/>
    <n v="0"/>
    <n v="0"/>
    <n v="0"/>
    <n v="0"/>
    <n v="0"/>
    <n v="0"/>
    <n v="0"/>
    <x v="927"/>
    <x v="26"/>
    <n v="21253"/>
    <x v="2"/>
    <x v="1"/>
    <n v="0"/>
    <n v="5"/>
    <n v="11"/>
  </r>
  <r>
    <x v="1"/>
    <x v="84"/>
    <x v="6"/>
    <x v="46"/>
    <x v="66"/>
    <n v="29.7"/>
    <n v="1.6"/>
    <n v="1"/>
    <n v="0"/>
    <n v="0"/>
    <n v="0"/>
    <n v="0"/>
    <n v="0"/>
    <x v="384"/>
    <x v="360"/>
    <n v="47134"/>
    <x v="64"/>
    <x v="11"/>
    <n v="14"/>
    <n v="80"/>
    <n v="200"/>
  </r>
  <r>
    <x v="0"/>
    <x v="43"/>
    <x v="7"/>
    <x v="2"/>
    <x v="2"/>
    <n v="0.6"/>
    <n v="0"/>
    <n v="0"/>
    <n v="0"/>
    <n v="0"/>
    <n v="0"/>
    <n v="0"/>
    <n v="0"/>
    <x v="55"/>
    <x v="55"/>
    <n v="171748"/>
    <x v="2"/>
    <x v="1"/>
    <n v="1"/>
    <n v="65"/>
    <n v="79"/>
  </r>
  <r>
    <x v="0"/>
    <x v="72"/>
    <x v="2"/>
    <x v="2"/>
    <x v="2"/>
    <n v="0"/>
    <n v="0"/>
    <n v="0"/>
    <n v="0"/>
    <n v="0"/>
    <n v="0"/>
    <n v="0"/>
    <n v="0"/>
    <x v="85"/>
    <x v="85"/>
    <n v="21241"/>
    <x v="2"/>
    <x v="1"/>
    <n v="0"/>
    <n v="5"/>
    <n v="11"/>
  </r>
  <r>
    <x v="1"/>
    <x v="55"/>
    <x v="5"/>
    <x v="517"/>
    <x v="19"/>
    <n v="1.4"/>
    <n v="21"/>
    <n v="6"/>
    <n v="0"/>
    <n v="0"/>
    <n v="0"/>
    <n v="0"/>
    <n v="0"/>
    <x v="602"/>
    <x v="551"/>
    <n v="347321"/>
    <x v="51"/>
    <x v="0"/>
    <n v="5"/>
    <n v="30"/>
    <n v="49"/>
  </r>
  <r>
    <x v="2"/>
    <x v="63"/>
    <x v="5"/>
    <x v="1181"/>
    <x v="832"/>
    <n v="109.5"/>
    <n v="2.5"/>
    <n v="1.7"/>
    <n v="0"/>
    <n v="0"/>
    <n v="0"/>
    <n v="0"/>
    <n v="0"/>
    <x v="712"/>
    <x v="648"/>
    <n v="347053"/>
    <x v="417"/>
    <x v="378"/>
    <n v="380"/>
    <n v="30"/>
    <n v="49"/>
  </r>
  <r>
    <x v="2"/>
    <x v="48"/>
    <x v="5"/>
    <x v="6"/>
    <x v="833"/>
    <n v="26.8"/>
    <n v="2"/>
    <n v="1.3"/>
    <n v="0"/>
    <n v="0"/>
    <n v="0"/>
    <n v="0"/>
    <n v="0"/>
    <x v="1069"/>
    <x v="947"/>
    <n v="347612"/>
    <x v="194"/>
    <x v="175"/>
    <n v="93"/>
    <n v="30"/>
    <n v="49"/>
  </r>
  <r>
    <x v="2"/>
    <x v="14"/>
    <x v="7"/>
    <x v="932"/>
    <x v="10"/>
    <n v="0"/>
    <n v="10.6"/>
    <n v="0"/>
    <n v="0"/>
    <n v="0"/>
    <n v="0"/>
    <n v="0"/>
    <n v="0"/>
    <x v="764"/>
    <x v="693"/>
    <n v="0"/>
    <x v="15"/>
    <x v="23"/>
    <n v="0"/>
    <n v="65"/>
    <n v="79"/>
  </r>
  <r>
    <x v="1"/>
    <x v="124"/>
    <x v="4"/>
    <x v="1182"/>
    <x v="25"/>
    <n v="0"/>
    <n v="4.2"/>
    <n v="0"/>
    <n v="0"/>
    <n v="0"/>
    <n v="0"/>
    <n v="0"/>
    <n v="0"/>
    <x v="671"/>
    <x v="609"/>
    <n v="799"/>
    <x v="36"/>
    <x v="26"/>
    <n v="0"/>
    <n v="12"/>
    <n v="17"/>
  </r>
  <r>
    <x v="0"/>
    <x v="72"/>
    <x v="6"/>
    <x v="82"/>
    <x v="2"/>
    <n v="0"/>
    <n v="0"/>
    <n v="0"/>
    <n v="0"/>
    <n v="0"/>
    <n v="0"/>
    <n v="0"/>
    <n v="0"/>
    <x v="879"/>
    <x v="97"/>
    <n v="47128"/>
    <x v="1"/>
    <x v="1"/>
    <n v="0"/>
    <n v="80"/>
    <n v="200"/>
  </r>
  <r>
    <x v="1"/>
    <x v="115"/>
    <x v="0"/>
    <x v="976"/>
    <x v="51"/>
    <n v="3.3"/>
    <n v="1.5"/>
    <n v="1.4"/>
    <n v="6"/>
    <n v="3.8"/>
    <n v="2.2000000000000002"/>
    <n v="1.6"/>
    <n v="2.7"/>
    <x v="805"/>
    <x v="732"/>
    <n v="947960"/>
    <x v="71"/>
    <x v="27"/>
    <n v="31"/>
    <n v="999"/>
    <n v="999"/>
  </r>
  <r>
    <x v="0"/>
    <x v="84"/>
    <x v="2"/>
    <x v="2"/>
    <x v="2"/>
    <n v="0"/>
    <n v="0"/>
    <n v="0"/>
    <n v="0"/>
    <n v="0"/>
    <n v="0"/>
    <n v="0"/>
    <n v="0"/>
    <x v="443"/>
    <x v="382"/>
    <n v="21266"/>
    <x v="2"/>
    <x v="1"/>
    <n v="0"/>
    <n v="5"/>
    <n v="11"/>
  </r>
  <r>
    <x v="1"/>
    <x v="76"/>
    <x v="6"/>
    <x v="115"/>
    <x v="62"/>
    <n v="8.5"/>
    <n v="0.9"/>
    <n v="1"/>
    <n v="0"/>
    <n v="0"/>
    <n v="0"/>
    <n v="0"/>
    <n v="0"/>
    <x v="1007"/>
    <x v="97"/>
    <n v="47129"/>
    <x v="0"/>
    <x v="0"/>
    <n v="4"/>
    <n v="80"/>
    <n v="200"/>
  </r>
  <r>
    <x v="2"/>
    <x v="81"/>
    <x v="5"/>
    <x v="1183"/>
    <x v="834"/>
    <n v="0"/>
    <n v="2.6"/>
    <n v="0"/>
    <n v="0"/>
    <n v="0"/>
    <n v="0"/>
    <n v="0"/>
    <n v="0"/>
    <x v="503"/>
    <x v="464"/>
    <n v="0"/>
    <x v="474"/>
    <x v="86"/>
    <n v="0"/>
    <n v="30"/>
    <n v="49"/>
  </r>
  <r>
    <x v="0"/>
    <x v="29"/>
    <x v="5"/>
    <x v="2"/>
    <x v="19"/>
    <n v="0.3"/>
    <n v="0"/>
    <n v="0"/>
    <n v="0"/>
    <n v="0"/>
    <n v="0"/>
    <n v="0"/>
    <n v="0"/>
    <x v="1085"/>
    <x v="961"/>
    <n v="338834"/>
    <x v="2"/>
    <x v="0"/>
    <n v="1"/>
    <n v="30"/>
    <n v="49"/>
  </r>
  <r>
    <x v="0"/>
    <x v="42"/>
    <x v="3"/>
    <x v="2"/>
    <x v="2"/>
    <n v="0"/>
    <n v="0"/>
    <n v="0"/>
    <n v="0"/>
    <n v="0"/>
    <n v="0"/>
    <n v="0"/>
    <n v="0"/>
    <x v="967"/>
    <x v="867"/>
    <n v="146325"/>
    <x v="2"/>
    <x v="1"/>
    <n v="0"/>
    <n v="18"/>
    <n v="29"/>
  </r>
  <r>
    <x v="0"/>
    <x v="55"/>
    <x v="3"/>
    <x v="2"/>
    <x v="2"/>
    <n v="0"/>
    <n v="0"/>
    <n v="0"/>
    <n v="0"/>
    <n v="0"/>
    <n v="0"/>
    <n v="0"/>
    <n v="0"/>
    <x v="567"/>
    <x v="520"/>
    <n v="161720"/>
    <x v="2"/>
    <x v="1"/>
    <n v="0"/>
    <n v="18"/>
    <n v="29"/>
  </r>
  <r>
    <x v="1"/>
    <x v="134"/>
    <x v="4"/>
    <x v="2"/>
    <x v="2"/>
    <n v="0"/>
    <n v="0"/>
    <n v="0"/>
    <n v="0"/>
    <n v="0"/>
    <n v="0"/>
    <n v="0"/>
    <n v="0"/>
    <x v="1042"/>
    <x v="926"/>
    <n v="34462"/>
    <x v="2"/>
    <x v="1"/>
    <n v="0"/>
    <n v="12"/>
    <n v="17"/>
  </r>
  <r>
    <x v="2"/>
    <x v="97"/>
    <x v="2"/>
    <x v="1184"/>
    <x v="2"/>
    <n v="0"/>
    <n v="0"/>
    <n v="0"/>
    <n v="0"/>
    <n v="0"/>
    <n v="0"/>
    <n v="0"/>
    <n v="0"/>
    <x v="656"/>
    <x v="597"/>
    <n v="0"/>
    <x v="475"/>
    <x v="1"/>
    <n v="0"/>
    <n v="5"/>
    <n v="11"/>
  </r>
  <r>
    <x v="0"/>
    <x v="69"/>
    <x v="6"/>
    <x v="449"/>
    <x v="385"/>
    <n v="4.8"/>
    <n v="1.7"/>
    <n v="4.5999999999999996"/>
    <n v="0"/>
    <n v="0"/>
    <n v="0"/>
    <n v="0"/>
    <n v="0"/>
    <x v="836"/>
    <x v="759"/>
    <n v="41699"/>
    <x v="18"/>
    <x v="11"/>
    <n v="2"/>
    <n v="80"/>
    <n v="200"/>
  </r>
  <r>
    <x v="1"/>
    <x v="82"/>
    <x v="4"/>
    <x v="2"/>
    <x v="2"/>
    <n v="0"/>
    <n v="0"/>
    <n v="0"/>
    <n v="0"/>
    <n v="0"/>
    <n v="0"/>
    <n v="0"/>
    <n v="0"/>
    <x v="1058"/>
    <x v="241"/>
    <n v="44590"/>
    <x v="2"/>
    <x v="1"/>
    <n v="0"/>
    <n v="12"/>
    <n v="17"/>
  </r>
  <r>
    <x v="0"/>
    <x v="108"/>
    <x v="5"/>
    <x v="2"/>
    <x v="2"/>
    <n v="0"/>
    <n v="0"/>
    <n v="0"/>
    <n v="0"/>
    <n v="0"/>
    <n v="0"/>
    <n v="0"/>
    <n v="0"/>
    <x v="478"/>
    <x v="442"/>
    <n v="347246"/>
    <x v="2"/>
    <x v="1"/>
    <n v="0"/>
    <n v="30"/>
    <n v="49"/>
  </r>
  <r>
    <x v="0"/>
    <x v="97"/>
    <x v="5"/>
    <x v="698"/>
    <x v="19"/>
    <n v="0"/>
    <n v="16.5"/>
    <n v="0"/>
    <n v="0"/>
    <n v="0"/>
    <n v="0"/>
    <n v="0"/>
    <n v="0"/>
    <x v="372"/>
    <x v="348"/>
    <n v="121631"/>
    <x v="27"/>
    <x v="11"/>
    <n v="0"/>
    <n v="30"/>
    <n v="49"/>
  </r>
  <r>
    <x v="1"/>
    <x v="96"/>
    <x v="5"/>
    <x v="555"/>
    <x v="36"/>
    <n v="2.9"/>
    <n v="4"/>
    <n v="3.4"/>
    <n v="0"/>
    <n v="0"/>
    <n v="0"/>
    <n v="0"/>
    <n v="0"/>
    <x v="856"/>
    <x v="775"/>
    <n v="347264"/>
    <x v="6"/>
    <x v="26"/>
    <n v="10"/>
    <n v="30"/>
    <n v="49"/>
  </r>
  <r>
    <x v="1"/>
    <x v="60"/>
    <x v="7"/>
    <x v="1041"/>
    <x v="292"/>
    <n v="15.4"/>
    <n v="1.4"/>
    <n v="3.3"/>
    <n v="0"/>
    <n v="0"/>
    <n v="0"/>
    <n v="0"/>
    <n v="0"/>
    <x v="444"/>
    <x v="414"/>
    <n v="148949"/>
    <x v="32"/>
    <x v="97"/>
    <n v="23"/>
    <n v="65"/>
    <n v="79"/>
  </r>
  <r>
    <x v="2"/>
    <x v="60"/>
    <x v="5"/>
    <x v="1185"/>
    <x v="835"/>
    <n v="163.1"/>
    <n v="2.1"/>
    <n v="1.4"/>
    <n v="0"/>
    <n v="0"/>
    <n v="0"/>
    <n v="0"/>
    <n v="0"/>
    <x v="446"/>
    <x v="416"/>
    <n v="286318"/>
    <x v="476"/>
    <x v="379"/>
    <n v="467"/>
    <n v="30"/>
    <n v="49"/>
  </r>
  <r>
    <x v="0"/>
    <x v="61"/>
    <x v="1"/>
    <x v="2"/>
    <x v="2"/>
    <n v="0"/>
    <n v="0"/>
    <n v="0"/>
    <n v="0"/>
    <n v="0"/>
    <n v="0"/>
    <n v="0"/>
    <n v="0"/>
    <x v="204"/>
    <x v="196"/>
    <n v="246945"/>
    <x v="2"/>
    <x v="1"/>
    <n v="0"/>
    <n v="50"/>
    <n v="64"/>
  </r>
  <r>
    <x v="0"/>
    <x v="60"/>
    <x v="0"/>
    <x v="650"/>
    <x v="487"/>
    <n v="1.7"/>
    <n v="1.6"/>
    <n v="4.2"/>
    <n v="10.1"/>
    <n v="6.5"/>
    <n v="0.9"/>
    <n v="1.6"/>
    <n v="10.8"/>
    <x v="877"/>
    <x v="792"/>
    <n v="818642"/>
    <x v="67"/>
    <x v="265"/>
    <n v="14"/>
    <n v="999"/>
    <n v="999"/>
  </r>
  <r>
    <x v="2"/>
    <x v="76"/>
    <x v="3"/>
    <x v="1000"/>
    <x v="351"/>
    <n v="9.3000000000000007"/>
    <n v="3.1"/>
    <n v="2"/>
    <n v="0"/>
    <n v="0"/>
    <n v="0"/>
    <n v="0"/>
    <n v="0"/>
    <x v="272"/>
    <x v="113"/>
    <n v="161695"/>
    <x v="35"/>
    <x v="38"/>
    <n v="15"/>
    <n v="18"/>
    <n v="29"/>
  </r>
  <r>
    <x v="2"/>
    <x v="73"/>
    <x v="6"/>
    <x v="1186"/>
    <x v="836"/>
    <n v="228.7"/>
    <n v="0.6"/>
    <n v="0.5"/>
    <n v="0"/>
    <n v="0"/>
    <n v="0"/>
    <n v="0"/>
    <n v="0"/>
    <x v="266"/>
    <x v="255"/>
    <n v="45911"/>
    <x v="71"/>
    <x v="97"/>
    <n v="105"/>
    <n v="80"/>
    <n v="200"/>
  </r>
  <r>
    <x v="0"/>
    <x v="44"/>
    <x v="6"/>
    <x v="146"/>
    <x v="837"/>
    <n v="7.1"/>
    <n v="0.7"/>
    <n v="2.6"/>
    <n v="0"/>
    <n v="0"/>
    <n v="0"/>
    <n v="0"/>
    <n v="0"/>
    <x v="227"/>
    <x v="217"/>
    <n v="42125"/>
    <x v="13"/>
    <x v="16"/>
    <n v="3"/>
    <n v="80"/>
    <n v="200"/>
  </r>
  <r>
    <x v="2"/>
    <x v="50"/>
    <x v="2"/>
    <x v="1187"/>
    <x v="838"/>
    <n v="120.3"/>
    <n v="0.6"/>
    <n v="0.5"/>
    <n v="0"/>
    <n v="0"/>
    <n v="0"/>
    <n v="0"/>
    <n v="0"/>
    <x v="1074"/>
    <x v="952"/>
    <n v="4155"/>
    <x v="125"/>
    <x v="45"/>
    <n v="5"/>
    <n v="5"/>
    <n v="11"/>
  </r>
  <r>
    <x v="1"/>
    <x v="87"/>
    <x v="1"/>
    <x v="467"/>
    <x v="169"/>
    <n v="8"/>
    <n v="8.6999999999999993"/>
    <n v="5.0999999999999996"/>
    <n v="0"/>
    <n v="0"/>
    <n v="0"/>
    <n v="0"/>
    <n v="0"/>
    <x v="924"/>
    <x v="831"/>
    <n v="25135"/>
    <x v="31"/>
    <x v="75"/>
    <n v="2"/>
    <n v="50"/>
    <n v="64"/>
  </r>
  <r>
    <x v="2"/>
    <x v="117"/>
    <x v="4"/>
    <x v="85"/>
    <x v="181"/>
    <n v="76.599999999999994"/>
    <n v="2.6"/>
    <n v="2.2000000000000002"/>
    <n v="0"/>
    <n v="0"/>
    <n v="0"/>
    <n v="0"/>
    <n v="0"/>
    <x v="971"/>
    <x v="870"/>
    <n v="44379"/>
    <x v="76"/>
    <x v="288"/>
    <n v="34"/>
    <n v="12"/>
    <n v="17"/>
  </r>
  <r>
    <x v="0"/>
    <x v="76"/>
    <x v="7"/>
    <x v="2"/>
    <x v="2"/>
    <n v="0"/>
    <n v="0"/>
    <n v="0"/>
    <n v="0"/>
    <n v="0"/>
    <n v="0"/>
    <n v="0"/>
    <n v="0"/>
    <x v="365"/>
    <x v="341"/>
    <n v="171732"/>
    <x v="2"/>
    <x v="1"/>
    <n v="0"/>
    <n v="65"/>
    <n v="79"/>
  </r>
  <r>
    <x v="2"/>
    <x v="115"/>
    <x v="6"/>
    <x v="685"/>
    <x v="839"/>
    <n v="123"/>
    <n v="0.4"/>
    <n v="0.4"/>
    <n v="0"/>
    <n v="0"/>
    <n v="0"/>
    <n v="0"/>
    <n v="0"/>
    <x v="352"/>
    <x v="329"/>
    <n v="43906"/>
    <x v="16"/>
    <x v="75"/>
    <n v="54"/>
    <n v="80"/>
    <n v="200"/>
  </r>
  <r>
    <x v="0"/>
    <x v="138"/>
    <x v="7"/>
    <x v="177"/>
    <x v="73"/>
    <n v="0"/>
    <n v="5.2"/>
    <n v="0"/>
    <n v="0"/>
    <n v="0"/>
    <n v="0"/>
    <n v="0"/>
    <n v="0"/>
    <x v="586"/>
    <x v="536"/>
    <n v="0"/>
    <x v="18"/>
    <x v="0"/>
    <n v="0"/>
    <n v="65"/>
    <n v="79"/>
  </r>
  <r>
    <x v="2"/>
    <x v="0"/>
    <x v="0"/>
    <x v="1188"/>
    <x v="840"/>
    <n v="92.1"/>
    <n v="1.8"/>
    <n v="1.1000000000000001"/>
    <n v="127.4"/>
    <n v="57.9"/>
    <n v="87.4"/>
    <n v="2.2000000000000002"/>
    <n v="1.5"/>
    <x v="0"/>
    <x v="0"/>
    <n v="1037067"/>
    <x v="477"/>
    <x v="208"/>
    <n v="955"/>
    <n v="999"/>
    <n v="999"/>
  </r>
  <r>
    <x v="0"/>
    <x v="139"/>
    <x v="7"/>
    <x v="2"/>
    <x v="2"/>
    <n v="0"/>
    <n v="0"/>
    <n v="0"/>
    <n v="0"/>
    <n v="0"/>
    <n v="0"/>
    <n v="0"/>
    <n v="0"/>
    <x v="941"/>
    <x v="845"/>
    <n v="171739"/>
    <x v="2"/>
    <x v="1"/>
    <n v="0"/>
    <n v="65"/>
    <n v="79"/>
  </r>
  <r>
    <x v="1"/>
    <x v="28"/>
    <x v="0"/>
    <x v="620"/>
    <x v="176"/>
    <n v="7.1"/>
    <n v="1.7"/>
    <n v="1.1000000000000001"/>
    <n v="9.6999999999999993"/>
    <n v="7.2"/>
    <n v="5"/>
    <n v="1.3"/>
    <n v="1.9"/>
    <x v="751"/>
    <x v="681"/>
    <n v="1040439"/>
    <x v="261"/>
    <x v="34"/>
    <n v="74"/>
    <n v="999"/>
    <n v="999"/>
  </r>
  <r>
    <x v="1"/>
    <x v="53"/>
    <x v="4"/>
    <x v="2"/>
    <x v="2"/>
    <n v="0"/>
    <n v="0"/>
    <n v="0"/>
    <n v="0"/>
    <n v="0"/>
    <n v="0"/>
    <n v="0"/>
    <n v="0"/>
    <x v="1081"/>
    <x v="409"/>
    <n v="44579"/>
    <x v="2"/>
    <x v="1"/>
    <n v="0"/>
    <n v="12"/>
    <n v="17"/>
  </r>
  <r>
    <x v="0"/>
    <x v="136"/>
    <x v="3"/>
    <x v="2"/>
    <x v="2"/>
    <n v="0"/>
    <n v="0"/>
    <n v="0"/>
    <n v="0"/>
    <n v="0"/>
    <n v="0"/>
    <n v="0"/>
    <n v="0"/>
    <x v="582"/>
    <x v="533"/>
    <n v="0"/>
    <x v="2"/>
    <x v="1"/>
    <n v="0"/>
    <n v="18"/>
    <n v="29"/>
  </r>
  <r>
    <x v="0"/>
    <x v="11"/>
    <x v="0"/>
    <x v="2"/>
    <x v="0"/>
    <n v="0"/>
    <n v="0"/>
    <n v="0"/>
    <n v="0"/>
    <n v="0.3"/>
    <n v="0"/>
    <n v="0"/>
    <n v="0"/>
    <x v="11"/>
    <x v="11"/>
    <n v="1040639"/>
    <x v="2"/>
    <x v="0"/>
    <n v="0"/>
    <n v="999"/>
    <n v="999"/>
  </r>
  <r>
    <x v="1"/>
    <x v="135"/>
    <x v="7"/>
    <x v="503"/>
    <x v="145"/>
    <n v="0"/>
    <n v="2.6"/>
    <n v="0"/>
    <n v="0"/>
    <n v="0"/>
    <n v="0"/>
    <n v="0"/>
    <n v="0"/>
    <x v="660"/>
    <x v="600"/>
    <n v="0"/>
    <x v="45"/>
    <x v="39"/>
    <n v="0"/>
    <n v="65"/>
    <n v="79"/>
  </r>
  <r>
    <x v="0"/>
    <x v="16"/>
    <x v="3"/>
    <x v="147"/>
    <x v="2"/>
    <n v="0"/>
    <n v="0"/>
    <n v="0"/>
    <n v="0"/>
    <n v="0"/>
    <n v="0"/>
    <n v="0"/>
    <n v="0"/>
    <x v="923"/>
    <x v="830"/>
    <n v="72360"/>
    <x v="1"/>
    <x v="1"/>
    <n v="0"/>
    <n v="18"/>
    <n v="29"/>
  </r>
  <r>
    <x v="0"/>
    <x v="114"/>
    <x v="2"/>
    <x v="2"/>
    <x v="2"/>
    <n v="0"/>
    <n v="0"/>
    <n v="0"/>
    <n v="0"/>
    <n v="0"/>
    <n v="0"/>
    <n v="0"/>
    <n v="0"/>
    <x v="588"/>
    <x v="538"/>
    <n v="20656"/>
    <x v="2"/>
    <x v="1"/>
    <n v="0"/>
    <n v="5"/>
    <n v="11"/>
  </r>
  <r>
    <x v="0"/>
    <x v="118"/>
    <x v="4"/>
    <x v="2"/>
    <x v="2"/>
    <n v="0"/>
    <n v="0"/>
    <n v="0"/>
    <n v="0"/>
    <n v="0"/>
    <n v="0"/>
    <n v="0"/>
    <n v="0"/>
    <x v="916"/>
    <x v="824"/>
    <n v="29614"/>
    <x v="2"/>
    <x v="1"/>
    <n v="0"/>
    <n v="12"/>
    <n v="17"/>
  </r>
  <r>
    <x v="1"/>
    <x v="84"/>
    <x v="5"/>
    <x v="28"/>
    <x v="58"/>
    <n v="0.9"/>
    <n v="1.1000000000000001"/>
    <n v="2.1"/>
    <n v="0"/>
    <n v="0"/>
    <n v="0"/>
    <n v="0"/>
    <n v="0"/>
    <x v="767"/>
    <x v="696"/>
    <n v="347333"/>
    <x v="0"/>
    <x v="21"/>
    <n v="3"/>
    <n v="30"/>
    <n v="49"/>
  </r>
  <r>
    <x v="1"/>
    <x v="64"/>
    <x v="7"/>
    <x v="763"/>
    <x v="273"/>
    <n v="4.7"/>
    <n v="1.4"/>
    <n v="2.7"/>
    <n v="0"/>
    <n v="0"/>
    <n v="0"/>
    <n v="0"/>
    <n v="0"/>
    <x v="392"/>
    <x v="367"/>
    <n v="171725"/>
    <x v="13"/>
    <x v="16"/>
    <n v="8"/>
    <n v="65"/>
    <n v="79"/>
  </r>
  <r>
    <x v="1"/>
    <x v="35"/>
    <x v="1"/>
    <x v="1189"/>
    <x v="145"/>
    <n v="2"/>
    <n v="14.3"/>
    <n v="11.4"/>
    <n v="0"/>
    <n v="0"/>
    <n v="0"/>
    <n v="0"/>
    <n v="0"/>
    <x v="386"/>
    <x v="362"/>
    <n v="247617"/>
    <x v="64"/>
    <x v="11"/>
    <n v="5"/>
    <n v="50"/>
    <n v="64"/>
  </r>
  <r>
    <x v="0"/>
    <x v="125"/>
    <x v="1"/>
    <x v="652"/>
    <x v="2"/>
    <n v="0"/>
    <n v="0"/>
    <n v="0"/>
    <n v="0"/>
    <n v="0"/>
    <n v="0"/>
    <n v="0"/>
    <n v="0"/>
    <x v="610"/>
    <x v="556"/>
    <n v="0"/>
    <x v="16"/>
    <x v="1"/>
    <n v="0"/>
    <n v="50"/>
    <n v="64"/>
  </r>
  <r>
    <x v="2"/>
    <x v="83"/>
    <x v="5"/>
    <x v="1190"/>
    <x v="841"/>
    <n v="457.4"/>
    <n v="1.8"/>
    <n v="0.7"/>
    <n v="0"/>
    <n v="0"/>
    <n v="0"/>
    <n v="0"/>
    <n v="0"/>
    <x v="1037"/>
    <x v="921"/>
    <n v="331646"/>
    <x v="478"/>
    <x v="380"/>
    <n v="1517"/>
    <n v="30"/>
    <n v="49"/>
  </r>
  <r>
    <x v="0"/>
    <x v="105"/>
    <x v="7"/>
    <x v="75"/>
    <x v="2"/>
    <n v="0"/>
    <n v="0"/>
    <n v="0"/>
    <n v="0"/>
    <n v="0"/>
    <n v="0"/>
    <n v="0"/>
    <n v="0"/>
    <x v="528"/>
    <x v="483"/>
    <n v="169587"/>
    <x v="1"/>
    <x v="1"/>
    <n v="0"/>
    <n v="65"/>
    <n v="79"/>
  </r>
  <r>
    <x v="2"/>
    <x v="58"/>
    <x v="3"/>
    <x v="1191"/>
    <x v="577"/>
    <n v="81.099999999999994"/>
    <n v="3.1"/>
    <n v="1.9"/>
    <n v="0"/>
    <n v="0"/>
    <n v="0"/>
    <n v="0"/>
    <n v="0"/>
    <x v="983"/>
    <x v="881"/>
    <n v="161555"/>
    <x v="141"/>
    <x v="295"/>
    <n v="131"/>
    <n v="18"/>
    <n v="29"/>
  </r>
  <r>
    <x v="2"/>
    <x v="128"/>
    <x v="0"/>
    <x v="909"/>
    <x v="817"/>
    <n v="39.6"/>
    <n v="2"/>
    <n v="1.2"/>
    <n v="55.5"/>
    <n v="26.6"/>
    <n v="39.6"/>
    <n v="2.1"/>
    <n v="1.4"/>
    <x v="1026"/>
    <x v="914"/>
    <n v="1040601"/>
    <x v="448"/>
    <x v="267"/>
    <n v="412"/>
    <n v="999"/>
    <n v="999"/>
  </r>
  <r>
    <x v="2"/>
    <x v="91"/>
    <x v="2"/>
    <x v="1192"/>
    <x v="842"/>
    <n v="124.3"/>
    <n v="1.2"/>
    <n v="0.9"/>
    <n v="0"/>
    <n v="0"/>
    <n v="0"/>
    <n v="0"/>
    <n v="0"/>
    <x v="872"/>
    <x v="790"/>
    <n v="20921"/>
    <x v="114"/>
    <x v="166"/>
    <n v="26"/>
    <n v="5"/>
    <n v="11"/>
  </r>
  <r>
    <x v="1"/>
    <x v="138"/>
    <x v="6"/>
    <x v="307"/>
    <x v="4"/>
    <n v="0"/>
    <n v="10"/>
    <n v="0"/>
    <n v="0"/>
    <n v="0"/>
    <n v="0"/>
    <n v="0"/>
    <n v="0"/>
    <x v="514"/>
    <x v="470"/>
    <n v="0"/>
    <x v="91"/>
    <x v="0"/>
    <n v="0"/>
    <n v="80"/>
    <n v="200"/>
  </r>
  <r>
    <x v="0"/>
    <x v="74"/>
    <x v="0"/>
    <x v="113"/>
    <x v="2"/>
    <n v="0.2"/>
    <n v="0"/>
    <n v="1"/>
    <n v="0.1"/>
    <n v="0"/>
    <n v="0.1"/>
    <n v="0"/>
    <n v="1.1000000000000001"/>
    <x v="705"/>
    <x v="641"/>
    <n v="1042471"/>
    <x v="1"/>
    <x v="1"/>
    <n v="2"/>
    <n v="999"/>
    <n v="999"/>
  </r>
  <r>
    <x v="2"/>
    <x v="60"/>
    <x v="1"/>
    <x v="1128"/>
    <x v="843"/>
    <n v="106.2"/>
    <n v="3"/>
    <n v="2.8"/>
    <n v="0"/>
    <n v="0"/>
    <n v="0"/>
    <n v="0"/>
    <n v="0"/>
    <x v="62"/>
    <x v="62"/>
    <n v="201587"/>
    <x v="183"/>
    <x v="161"/>
    <n v="214"/>
    <n v="50"/>
    <n v="64"/>
  </r>
  <r>
    <x v="2"/>
    <x v="103"/>
    <x v="5"/>
    <x v="418"/>
    <x v="222"/>
    <n v="0"/>
    <n v="3.2"/>
    <n v="0"/>
    <n v="0"/>
    <n v="0"/>
    <n v="0"/>
    <n v="0"/>
    <n v="0"/>
    <x v="818"/>
    <x v="745"/>
    <n v="0"/>
    <x v="267"/>
    <x v="295"/>
    <n v="0"/>
    <n v="30"/>
    <n v="49"/>
  </r>
  <r>
    <x v="1"/>
    <x v="58"/>
    <x v="7"/>
    <x v="1193"/>
    <x v="617"/>
    <n v="21"/>
    <n v="1"/>
    <n v="1.5"/>
    <n v="0"/>
    <n v="0"/>
    <n v="0"/>
    <n v="0"/>
    <n v="0"/>
    <x v="1075"/>
    <x v="953"/>
    <n v="171598"/>
    <x v="16"/>
    <x v="52"/>
    <n v="36"/>
    <n v="65"/>
    <n v="79"/>
  </r>
  <r>
    <x v="0"/>
    <x v="49"/>
    <x v="4"/>
    <x v="2"/>
    <x v="2"/>
    <n v="0"/>
    <n v="0"/>
    <n v="0"/>
    <n v="0"/>
    <n v="0"/>
    <n v="0"/>
    <n v="0"/>
    <n v="0"/>
    <x v="1003"/>
    <x v="159"/>
    <n v="44594"/>
    <x v="2"/>
    <x v="1"/>
    <n v="0"/>
    <n v="12"/>
    <n v="17"/>
  </r>
  <r>
    <x v="2"/>
    <x v="120"/>
    <x v="0"/>
    <x v="591"/>
    <x v="706"/>
    <n v="59.7"/>
    <n v="1.8"/>
    <n v="1.3"/>
    <n v="88.5"/>
    <n v="45"/>
    <n v="56"/>
    <n v="2"/>
    <n v="1.6"/>
    <x v="735"/>
    <x v="667"/>
    <n v="1040539"/>
    <x v="285"/>
    <x v="381"/>
    <n v="621"/>
    <n v="999"/>
    <n v="999"/>
  </r>
  <r>
    <x v="1"/>
    <x v="2"/>
    <x v="3"/>
    <x v="311"/>
    <x v="103"/>
    <n v="1.2"/>
    <n v="4"/>
    <n v="11.1"/>
    <n v="0"/>
    <n v="0"/>
    <n v="0"/>
    <n v="0"/>
    <n v="0"/>
    <x v="831"/>
    <x v="755"/>
    <n v="161187"/>
    <x v="27"/>
    <x v="26"/>
    <n v="2"/>
    <n v="18"/>
    <n v="29"/>
  </r>
  <r>
    <x v="2"/>
    <x v="48"/>
    <x v="2"/>
    <x v="64"/>
    <x v="351"/>
    <n v="14.1"/>
    <n v="1.5"/>
    <n v="0.6"/>
    <n v="0"/>
    <n v="0"/>
    <n v="0"/>
    <n v="0"/>
    <n v="0"/>
    <x v="47"/>
    <x v="47"/>
    <n v="21300"/>
    <x v="33"/>
    <x v="21"/>
    <n v="3"/>
    <n v="5"/>
    <n v="11"/>
  </r>
  <r>
    <x v="1"/>
    <x v="138"/>
    <x v="0"/>
    <x v="1194"/>
    <x v="431"/>
    <n v="0"/>
    <n v="5.2"/>
    <n v="0"/>
    <n v="16.7"/>
    <n v="1.6"/>
    <n v="0"/>
    <n v="10.7"/>
    <n v="0"/>
    <x v="860"/>
    <x v="778"/>
    <n v="0"/>
    <x v="313"/>
    <x v="13"/>
    <n v="0"/>
    <n v="999"/>
    <n v="999"/>
  </r>
  <r>
    <x v="0"/>
    <x v="30"/>
    <x v="7"/>
    <x v="2"/>
    <x v="2"/>
    <n v="0.6"/>
    <n v="0"/>
    <n v="0"/>
    <n v="0"/>
    <n v="0"/>
    <n v="0"/>
    <n v="0"/>
    <n v="0"/>
    <x v="600"/>
    <x v="549"/>
    <n v="171584"/>
    <x v="2"/>
    <x v="1"/>
    <n v="1"/>
    <n v="65"/>
    <n v="79"/>
  </r>
  <r>
    <x v="2"/>
    <x v="58"/>
    <x v="8"/>
    <x v="692"/>
    <x v="327"/>
    <n v="0"/>
    <n v="10.199999999999999"/>
    <n v="0"/>
    <n v="0"/>
    <n v="0"/>
    <n v="0"/>
    <n v="0"/>
    <n v="0"/>
    <x v="28"/>
    <x v="28"/>
    <n v="0"/>
    <x v="119"/>
    <x v="52"/>
    <n v="0"/>
    <n v="0"/>
    <n v="4"/>
  </r>
  <r>
    <x v="2"/>
    <x v="22"/>
    <x v="7"/>
    <x v="1195"/>
    <x v="844"/>
    <n v="189.9"/>
    <n v="1.4"/>
    <n v="1.4"/>
    <n v="0"/>
    <n v="0"/>
    <n v="0"/>
    <n v="0"/>
    <n v="0"/>
    <x v="965"/>
    <x v="202"/>
    <n v="171635"/>
    <x v="84"/>
    <x v="118"/>
    <n v="326"/>
    <n v="65"/>
    <n v="79"/>
  </r>
  <r>
    <x v="2"/>
    <x v="122"/>
    <x v="5"/>
    <x v="1196"/>
    <x v="845"/>
    <n v="0"/>
    <n v="10.3"/>
    <n v="0"/>
    <n v="0"/>
    <n v="0"/>
    <n v="0"/>
    <n v="0"/>
    <n v="0"/>
    <x v="611"/>
    <x v="557"/>
    <n v="0"/>
    <x v="479"/>
    <x v="73"/>
    <n v="0"/>
    <n v="30"/>
    <n v="49"/>
  </r>
  <r>
    <x v="1"/>
    <x v="50"/>
    <x v="6"/>
    <x v="1086"/>
    <x v="846"/>
    <n v="52.6"/>
    <n v="0.2"/>
    <n v="0.6"/>
    <n v="0"/>
    <n v="0"/>
    <n v="0"/>
    <n v="0"/>
    <n v="0"/>
    <x v="944"/>
    <x v="848"/>
    <n v="45641"/>
    <x v="33"/>
    <x v="75"/>
    <n v="24"/>
    <n v="80"/>
    <n v="200"/>
  </r>
  <r>
    <x v="2"/>
    <x v="9"/>
    <x v="1"/>
    <x v="1197"/>
    <x v="808"/>
    <n v="0"/>
    <n v="3.3"/>
    <n v="0"/>
    <n v="0"/>
    <n v="0"/>
    <n v="0"/>
    <n v="0"/>
    <n v="0"/>
    <x v="865"/>
    <x v="783"/>
    <n v="0"/>
    <x v="254"/>
    <x v="382"/>
    <n v="0"/>
    <n v="50"/>
    <n v="64"/>
  </r>
  <r>
    <x v="0"/>
    <x v="20"/>
    <x v="6"/>
    <x v="132"/>
    <x v="131"/>
    <n v="0"/>
    <n v="1.6"/>
    <n v="0"/>
    <n v="0"/>
    <n v="0"/>
    <n v="0"/>
    <n v="0"/>
    <n v="0"/>
    <x v="750"/>
    <x v="680"/>
    <n v="0"/>
    <x v="1"/>
    <x v="0"/>
    <n v="0"/>
    <n v="80"/>
    <n v="200"/>
  </r>
  <r>
    <x v="1"/>
    <x v="95"/>
    <x v="5"/>
    <x v="331"/>
    <x v="379"/>
    <n v="5.3"/>
    <n v="3.1"/>
    <n v="2.1"/>
    <n v="0"/>
    <n v="0"/>
    <n v="0"/>
    <n v="0"/>
    <n v="0"/>
    <x v="315"/>
    <x v="297"/>
    <n v="341011"/>
    <x v="35"/>
    <x v="17"/>
    <n v="18"/>
    <n v="30"/>
    <n v="49"/>
  </r>
  <r>
    <x v="0"/>
    <x v="115"/>
    <x v="2"/>
    <x v="2"/>
    <x v="2"/>
    <n v="0"/>
    <n v="0"/>
    <n v="0"/>
    <n v="0"/>
    <n v="0"/>
    <n v="0"/>
    <n v="0"/>
    <n v="0"/>
    <x v="482"/>
    <x v="446"/>
    <n v="0"/>
    <x v="2"/>
    <x v="1"/>
    <n v="0"/>
    <n v="5"/>
    <n v="11"/>
  </r>
  <r>
    <x v="2"/>
    <x v="25"/>
    <x v="6"/>
    <x v="1198"/>
    <x v="847"/>
    <n v="137.69999999999999"/>
    <n v="0.9"/>
    <n v="1.8"/>
    <n v="0"/>
    <n v="0"/>
    <n v="0"/>
    <n v="0"/>
    <n v="0"/>
    <x v="490"/>
    <x v="454"/>
    <n v="39936"/>
    <x v="47"/>
    <x v="73"/>
    <n v="55"/>
    <n v="80"/>
    <n v="200"/>
  </r>
  <r>
    <x v="1"/>
    <x v="50"/>
    <x v="0"/>
    <x v="281"/>
    <x v="791"/>
    <n v="8.3000000000000007"/>
    <n v="1.7"/>
    <n v="1.5"/>
    <n v="17.3"/>
    <n v="9.9"/>
    <n v="5.7"/>
    <n v="1.7"/>
    <n v="3"/>
    <x v="1080"/>
    <x v="957"/>
    <n v="984294"/>
    <x v="218"/>
    <x v="98"/>
    <n v="82"/>
    <n v="999"/>
    <n v="999"/>
  </r>
  <r>
    <x v="1"/>
    <x v="86"/>
    <x v="7"/>
    <x v="1199"/>
    <x v="334"/>
    <n v="28"/>
    <n v="1.7"/>
    <n v="1.8"/>
    <n v="0"/>
    <n v="0"/>
    <n v="0"/>
    <n v="0"/>
    <n v="0"/>
    <x v="593"/>
    <x v="46"/>
    <n v="171679"/>
    <x v="46"/>
    <x v="38"/>
    <n v="48"/>
    <n v="65"/>
    <n v="79"/>
  </r>
  <r>
    <x v="0"/>
    <x v="16"/>
    <x v="2"/>
    <x v="2"/>
    <x v="2"/>
    <n v="0"/>
    <n v="0"/>
    <n v="0"/>
    <n v="0"/>
    <n v="0"/>
    <n v="0"/>
    <n v="0"/>
    <n v="0"/>
    <x v="136"/>
    <x v="135"/>
    <n v="0"/>
    <x v="2"/>
    <x v="1"/>
    <n v="0"/>
    <n v="5"/>
    <n v="11"/>
  </r>
  <r>
    <x v="2"/>
    <x v="21"/>
    <x v="1"/>
    <x v="1200"/>
    <x v="129"/>
    <n v="0"/>
    <n v="3.9"/>
    <n v="0"/>
    <n v="0"/>
    <n v="0"/>
    <n v="0"/>
    <n v="0"/>
    <n v="0"/>
    <x v="909"/>
    <x v="817"/>
    <n v="0"/>
    <x v="233"/>
    <x v="172"/>
    <n v="0"/>
    <n v="50"/>
    <n v="64"/>
  </r>
  <r>
    <x v="0"/>
    <x v="36"/>
    <x v="1"/>
    <x v="2"/>
    <x v="2"/>
    <n v="0"/>
    <n v="0"/>
    <n v="0"/>
    <n v="0"/>
    <n v="0"/>
    <n v="0"/>
    <n v="0"/>
    <n v="0"/>
    <x v="903"/>
    <x v="814"/>
    <n v="246862"/>
    <x v="2"/>
    <x v="1"/>
    <n v="0"/>
    <n v="50"/>
    <n v="64"/>
  </r>
  <r>
    <x v="1"/>
    <x v="55"/>
    <x v="3"/>
    <x v="2"/>
    <x v="48"/>
    <n v="0.6"/>
    <n v="0"/>
    <n v="0"/>
    <n v="0"/>
    <n v="0"/>
    <n v="0"/>
    <n v="0"/>
    <n v="0"/>
    <x v="567"/>
    <x v="520"/>
    <n v="161720"/>
    <x v="2"/>
    <x v="11"/>
    <n v="1"/>
    <n v="18"/>
    <n v="29"/>
  </r>
  <r>
    <x v="2"/>
    <x v="30"/>
    <x v="6"/>
    <x v="890"/>
    <x v="848"/>
    <n v="155"/>
    <n v="0.8"/>
    <n v="1"/>
    <n v="0"/>
    <n v="0"/>
    <n v="0"/>
    <n v="0"/>
    <n v="0"/>
    <x v="340"/>
    <x v="309"/>
    <n v="47090"/>
    <x v="155"/>
    <x v="57"/>
    <n v="73"/>
    <n v="80"/>
    <n v="200"/>
  </r>
  <r>
    <x v="2"/>
    <x v="54"/>
    <x v="0"/>
    <x v="1201"/>
    <x v="849"/>
    <n v="35.6"/>
    <n v="2.2999999999999998"/>
    <n v="1.4"/>
    <n v="56.4"/>
    <n v="23.2"/>
    <n v="28.6"/>
    <n v="2.4"/>
    <n v="2"/>
    <x v="644"/>
    <x v="585"/>
    <n v="1043533"/>
    <x v="437"/>
    <x v="383"/>
    <n v="371"/>
    <n v="999"/>
    <n v="999"/>
  </r>
  <r>
    <x v="1"/>
    <x v="133"/>
    <x v="5"/>
    <x v="1202"/>
    <x v="38"/>
    <n v="0"/>
    <n v="28.1"/>
    <n v="0"/>
    <n v="0"/>
    <n v="0"/>
    <n v="0"/>
    <n v="0"/>
    <n v="0"/>
    <x v="922"/>
    <x v="829"/>
    <n v="0"/>
    <x v="204"/>
    <x v="11"/>
    <n v="0"/>
    <n v="30"/>
    <n v="49"/>
  </r>
  <r>
    <x v="2"/>
    <x v="49"/>
    <x v="1"/>
    <x v="1203"/>
    <x v="447"/>
    <n v="49.4"/>
    <n v="4"/>
    <n v="2.4"/>
    <n v="0"/>
    <n v="0"/>
    <n v="0"/>
    <n v="0"/>
    <n v="0"/>
    <x v="652"/>
    <x v="593"/>
    <n v="246936"/>
    <x v="155"/>
    <x v="60"/>
    <n v="122"/>
    <n v="50"/>
    <n v="64"/>
  </r>
  <r>
    <x v="2"/>
    <x v="57"/>
    <x v="1"/>
    <x v="1204"/>
    <x v="850"/>
    <n v="21.7"/>
    <n v="3.5"/>
    <n v="9.1999999999999993"/>
    <n v="0"/>
    <n v="0"/>
    <n v="0"/>
    <n v="0"/>
    <n v="0"/>
    <x v="824"/>
    <x v="751"/>
    <n v="18445"/>
    <x v="183"/>
    <x v="384"/>
    <n v="4"/>
    <n v="50"/>
    <n v="64"/>
  </r>
  <r>
    <x v="0"/>
    <x v="123"/>
    <x v="2"/>
    <x v="2"/>
    <x v="2"/>
    <n v="0"/>
    <n v="0"/>
    <n v="0"/>
    <n v="0"/>
    <n v="0"/>
    <n v="0"/>
    <n v="0"/>
    <n v="0"/>
    <x v="982"/>
    <x v="880"/>
    <n v="21212"/>
    <x v="2"/>
    <x v="1"/>
    <n v="0"/>
    <n v="5"/>
    <n v="11"/>
  </r>
  <r>
    <x v="2"/>
    <x v="78"/>
    <x v="7"/>
    <x v="1205"/>
    <x v="109"/>
    <n v="0"/>
    <n v="13.8"/>
    <n v="0"/>
    <n v="0"/>
    <n v="0"/>
    <n v="0"/>
    <n v="0"/>
    <n v="0"/>
    <x v="1010"/>
    <x v="901"/>
    <n v="0"/>
    <x v="141"/>
    <x v="17"/>
    <n v="0"/>
    <n v="65"/>
    <n v="79"/>
  </r>
  <r>
    <x v="1"/>
    <x v="67"/>
    <x v="7"/>
    <x v="12"/>
    <x v="388"/>
    <n v="15.7"/>
    <n v="1.9"/>
    <n v="2.2000000000000002"/>
    <n v="0"/>
    <n v="0"/>
    <n v="0"/>
    <n v="0"/>
    <n v="0"/>
    <x v="788"/>
    <x v="715"/>
    <n v="171700"/>
    <x v="35"/>
    <x v="5"/>
    <n v="27"/>
    <n v="65"/>
    <n v="79"/>
  </r>
  <r>
    <x v="0"/>
    <x v="5"/>
    <x v="1"/>
    <x v="391"/>
    <x v="13"/>
    <n v="0"/>
    <n v="12.2"/>
    <n v="0"/>
    <n v="0"/>
    <n v="0"/>
    <n v="0"/>
    <n v="0"/>
    <n v="0"/>
    <x v="722"/>
    <x v="655"/>
    <n v="0"/>
    <x v="18"/>
    <x v="11"/>
    <n v="0"/>
    <n v="50"/>
    <n v="64"/>
  </r>
  <r>
    <x v="2"/>
    <x v="128"/>
    <x v="1"/>
    <x v="1111"/>
    <x v="615"/>
    <n v="38.1"/>
    <n v="4.9000000000000004"/>
    <n v="2.8"/>
    <n v="0"/>
    <n v="0"/>
    <n v="0"/>
    <n v="0"/>
    <n v="0"/>
    <x v="327"/>
    <x v="196"/>
    <n v="246902"/>
    <x v="137"/>
    <x v="43"/>
    <n v="94"/>
    <n v="50"/>
    <n v="64"/>
  </r>
  <r>
    <x v="0"/>
    <x v="118"/>
    <x v="3"/>
    <x v="2"/>
    <x v="2"/>
    <n v="0"/>
    <n v="0"/>
    <n v="0"/>
    <n v="0"/>
    <n v="0"/>
    <n v="0"/>
    <n v="0"/>
    <n v="0"/>
    <x v="929"/>
    <x v="834"/>
    <n v="143769"/>
    <x v="2"/>
    <x v="1"/>
    <n v="0"/>
    <n v="18"/>
    <n v="29"/>
  </r>
  <r>
    <x v="1"/>
    <x v="126"/>
    <x v="7"/>
    <x v="137"/>
    <x v="196"/>
    <n v="16.3"/>
    <n v="0.8"/>
    <n v="1.1000000000000001"/>
    <n v="0"/>
    <n v="0"/>
    <n v="0"/>
    <n v="0"/>
    <n v="0"/>
    <x v="875"/>
    <x v="57"/>
    <n v="171757"/>
    <x v="64"/>
    <x v="17"/>
    <n v="28"/>
    <n v="65"/>
    <n v="79"/>
  </r>
  <r>
    <x v="2"/>
    <x v="44"/>
    <x v="4"/>
    <x v="938"/>
    <x v="851"/>
    <n v="57.5"/>
    <n v="2.2999999999999998"/>
    <n v="1.5"/>
    <n v="0"/>
    <n v="0"/>
    <n v="0"/>
    <n v="0"/>
    <n v="0"/>
    <x v="721"/>
    <x v="654"/>
    <n v="26095"/>
    <x v="137"/>
    <x v="14"/>
    <n v="15"/>
    <n v="12"/>
    <n v="17"/>
  </r>
  <r>
    <x v="0"/>
    <x v="130"/>
    <x v="4"/>
    <x v="2"/>
    <x v="2"/>
    <n v="0"/>
    <n v="0"/>
    <n v="0"/>
    <n v="0"/>
    <n v="0"/>
    <n v="0"/>
    <n v="0"/>
    <n v="0"/>
    <x v="1082"/>
    <x v="958"/>
    <n v="0"/>
    <x v="2"/>
    <x v="1"/>
    <n v="0"/>
    <n v="12"/>
    <n v="17"/>
  </r>
  <r>
    <x v="1"/>
    <x v="77"/>
    <x v="2"/>
    <x v="2"/>
    <x v="2"/>
    <n v="0"/>
    <n v="0"/>
    <n v="0"/>
    <n v="0"/>
    <n v="0"/>
    <n v="0"/>
    <n v="0"/>
    <n v="0"/>
    <x v="416"/>
    <x v="389"/>
    <n v="21217"/>
    <x v="2"/>
    <x v="1"/>
    <n v="0"/>
    <n v="5"/>
    <n v="11"/>
  </r>
  <r>
    <x v="0"/>
    <x v="84"/>
    <x v="4"/>
    <x v="2"/>
    <x v="2"/>
    <n v="0"/>
    <n v="0"/>
    <n v="0"/>
    <n v="0"/>
    <n v="0"/>
    <n v="0"/>
    <n v="0"/>
    <n v="0"/>
    <x v="325"/>
    <x v="306"/>
    <n v="44598"/>
    <x v="2"/>
    <x v="1"/>
    <n v="0"/>
    <n v="12"/>
    <n v="17"/>
  </r>
  <r>
    <x v="0"/>
    <x v="33"/>
    <x v="1"/>
    <x v="2"/>
    <x v="2"/>
    <n v="0"/>
    <n v="0"/>
    <n v="0"/>
    <n v="0"/>
    <n v="0"/>
    <n v="0"/>
    <n v="0"/>
    <n v="0"/>
    <x v="829"/>
    <x v="65"/>
    <n v="246933"/>
    <x v="2"/>
    <x v="1"/>
    <n v="0"/>
    <n v="50"/>
    <n v="64"/>
  </r>
  <r>
    <x v="0"/>
    <x v="96"/>
    <x v="4"/>
    <x v="2"/>
    <x v="2"/>
    <n v="0"/>
    <n v="0"/>
    <n v="0"/>
    <n v="0"/>
    <n v="0"/>
    <n v="0"/>
    <n v="0"/>
    <n v="0"/>
    <x v="439"/>
    <x v="410"/>
    <n v="44562"/>
    <x v="2"/>
    <x v="1"/>
    <n v="0"/>
    <n v="12"/>
    <n v="17"/>
  </r>
  <r>
    <x v="2"/>
    <x v="19"/>
    <x v="2"/>
    <x v="988"/>
    <x v="852"/>
    <n v="302.8"/>
    <n v="1.1000000000000001"/>
    <n v="0.8"/>
    <n v="0"/>
    <n v="0"/>
    <n v="0"/>
    <n v="0"/>
    <n v="0"/>
    <x v="385"/>
    <x v="361"/>
    <n v="21134"/>
    <x v="480"/>
    <x v="385"/>
    <n v="64"/>
    <n v="5"/>
    <n v="11"/>
  </r>
  <r>
    <x v="0"/>
    <x v="17"/>
    <x v="3"/>
    <x v="2"/>
    <x v="2"/>
    <n v="0"/>
    <n v="0"/>
    <n v="0"/>
    <n v="0"/>
    <n v="0"/>
    <n v="0"/>
    <n v="0"/>
    <n v="0"/>
    <x v="260"/>
    <x v="249"/>
    <n v="161703"/>
    <x v="2"/>
    <x v="1"/>
    <n v="0"/>
    <n v="18"/>
    <n v="29"/>
  </r>
  <r>
    <x v="1"/>
    <x v="84"/>
    <x v="7"/>
    <x v="405"/>
    <x v="241"/>
    <n v="7.6"/>
    <n v="1.9"/>
    <n v="1.7"/>
    <n v="0"/>
    <n v="0"/>
    <n v="0"/>
    <n v="0"/>
    <n v="0"/>
    <x v="103"/>
    <x v="102"/>
    <n v="171762"/>
    <x v="13"/>
    <x v="39"/>
    <n v="13"/>
    <n v="65"/>
    <n v="79"/>
  </r>
  <r>
    <x v="0"/>
    <x v="60"/>
    <x v="5"/>
    <x v="41"/>
    <x v="87"/>
    <n v="0.3"/>
    <n v="16.3"/>
    <n v="16.3"/>
    <n v="0"/>
    <n v="0"/>
    <n v="0"/>
    <n v="0"/>
    <n v="0"/>
    <x v="446"/>
    <x v="416"/>
    <n v="286318"/>
    <x v="64"/>
    <x v="0"/>
    <n v="1"/>
    <n v="30"/>
    <n v="49"/>
  </r>
  <r>
    <x v="1"/>
    <x v="2"/>
    <x v="0"/>
    <x v="176"/>
    <x v="152"/>
    <n v="7.5"/>
    <n v="2.7"/>
    <n v="1.9"/>
    <n v="18"/>
    <n v="7.4"/>
    <n v="6.1"/>
    <n v="2.4"/>
    <n v="2.9"/>
    <x v="166"/>
    <x v="163"/>
    <n v="1033881"/>
    <x v="151"/>
    <x v="61"/>
    <n v="78"/>
    <n v="999"/>
    <n v="999"/>
  </r>
  <r>
    <x v="1"/>
    <x v="109"/>
    <x v="0"/>
    <x v="201"/>
    <x v="487"/>
    <n v="7.9"/>
    <n v="2.5"/>
    <n v="1.4"/>
    <n v="15.1"/>
    <n v="6.4"/>
    <n v="5.3"/>
    <n v="2.4"/>
    <n v="2.9"/>
    <x v="881"/>
    <x v="794"/>
    <n v="1040253"/>
    <x v="303"/>
    <x v="60"/>
    <n v="82"/>
    <n v="999"/>
    <n v="999"/>
  </r>
  <r>
    <x v="1"/>
    <x v="66"/>
    <x v="0"/>
    <x v="752"/>
    <x v="110"/>
    <n v="1.8"/>
    <n v="3"/>
    <n v="7.3"/>
    <n v="19.3"/>
    <n v="4"/>
    <n v="0.6"/>
    <n v="4.8"/>
    <n v="30.8"/>
    <x v="1032"/>
    <x v="917"/>
    <n v="169151"/>
    <x v="171"/>
    <x v="111"/>
    <n v="3"/>
    <n v="999"/>
    <n v="999"/>
  </r>
  <r>
    <x v="0"/>
    <x v="115"/>
    <x v="3"/>
    <x v="2"/>
    <x v="2"/>
    <n v="0"/>
    <n v="0"/>
    <n v="0"/>
    <n v="0"/>
    <n v="0"/>
    <n v="0"/>
    <n v="0"/>
    <n v="0"/>
    <x v="305"/>
    <x v="288"/>
    <n v="149251"/>
    <x v="2"/>
    <x v="1"/>
    <n v="0"/>
    <n v="18"/>
    <n v="29"/>
  </r>
  <r>
    <x v="1"/>
    <x v="89"/>
    <x v="4"/>
    <x v="212"/>
    <x v="2"/>
    <n v="0"/>
    <n v="0"/>
    <n v="0"/>
    <n v="0"/>
    <n v="0"/>
    <n v="0"/>
    <n v="0"/>
    <n v="0"/>
    <x v="598"/>
    <x v="547"/>
    <n v="0"/>
    <x v="1"/>
    <x v="1"/>
    <n v="0"/>
    <n v="12"/>
    <n v="17"/>
  </r>
  <r>
    <x v="0"/>
    <x v="90"/>
    <x v="5"/>
    <x v="2"/>
    <x v="2"/>
    <n v="0"/>
    <n v="0"/>
    <n v="0"/>
    <n v="0"/>
    <n v="0"/>
    <n v="0"/>
    <n v="0"/>
    <n v="0"/>
    <x v="622"/>
    <x v="566"/>
    <n v="335115"/>
    <x v="2"/>
    <x v="1"/>
    <n v="0"/>
    <n v="30"/>
    <n v="49"/>
  </r>
  <r>
    <x v="1"/>
    <x v="26"/>
    <x v="6"/>
    <x v="1206"/>
    <x v="114"/>
    <n v="61.5"/>
    <n v="0.7"/>
    <n v="0.8"/>
    <n v="0"/>
    <n v="0"/>
    <n v="0"/>
    <n v="0"/>
    <n v="0"/>
    <x v="862"/>
    <x v="780"/>
    <n v="47117"/>
    <x v="27"/>
    <x v="5"/>
    <n v="29"/>
    <n v="80"/>
    <n v="200"/>
  </r>
  <r>
    <x v="1"/>
    <x v="64"/>
    <x v="6"/>
    <x v="281"/>
    <x v="96"/>
    <n v="29.7"/>
    <n v="0.5"/>
    <n v="0.4"/>
    <n v="0"/>
    <n v="0"/>
    <n v="0"/>
    <n v="0"/>
    <n v="0"/>
    <x v="659"/>
    <x v="97"/>
    <n v="47127"/>
    <x v="45"/>
    <x v="39"/>
    <n v="14"/>
    <n v="80"/>
    <n v="200"/>
  </r>
  <r>
    <x v="0"/>
    <x v="64"/>
    <x v="3"/>
    <x v="2"/>
    <x v="2"/>
    <n v="0"/>
    <n v="0"/>
    <n v="0"/>
    <n v="0"/>
    <n v="0"/>
    <n v="0"/>
    <n v="0"/>
    <n v="0"/>
    <x v="533"/>
    <x v="488"/>
    <n v="161686"/>
    <x v="2"/>
    <x v="1"/>
    <n v="0"/>
    <n v="18"/>
    <n v="29"/>
  </r>
  <r>
    <x v="2"/>
    <x v="97"/>
    <x v="3"/>
    <x v="1207"/>
    <x v="853"/>
    <n v="113.8"/>
    <n v="2.8"/>
    <n v="5.5"/>
    <n v="0"/>
    <n v="0"/>
    <n v="0"/>
    <n v="0"/>
    <n v="0"/>
    <x v="981"/>
    <x v="879"/>
    <n v="37772"/>
    <x v="481"/>
    <x v="386"/>
    <n v="43"/>
    <n v="18"/>
    <n v="29"/>
  </r>
  <r>
    <x v="1"/>
    <x v="58"/>
    <x v="1"/>
    <x v="556"/>
    <x v="56"/>
    <n v="7.7"/>
    <n v="6.4"/>
    <n v="4.5999999999999996"/>
    <n v="0"/>
    <n v="0"/>
    <n v="0"/>
    <n v="0"/>
    <n v="0"/>
    <x v="1041"/>
    <x v="925"/>
    <n v="246713"/>
    <x v="16"/>
    <x v="26"/>
    <n v="19"/>
    <n v="50"/>
    <n v="64"/>
  </r>
  <r>
    <x v="0"/>
    <x v="26"/>
    <x v="0"/>
    <x v="44"/>
    <x v="23"/>
    <n v="0.7"/>
    <n v="2.6"/>
    <n v="1.9"/>
    <n v="1.2"/>
    <n v="1"/>
    <n v="0.5"/>
    <n v="1.2"/>
    <n v="2.7"/>
    <x v="414"/>
    <x v="387"/>
    <n v="1040217"/>
    <x v="64"/>
    <x v="16"/>
    <n v="7"/>
    <n v="999"/>
    <n v="999"/>
  </r>
  <r>
    <x v="0"/>
    <x v="57"/>
    <x v="4"/>
    <x v="2"/>
    <x v="2"/>
    <n v="0"/>
    <n v="0"/>
    <n v="0"/>
    <n v="0"/>
    <n v="0"/>
    <n v="0"/>
    <n v="0"/>
    <n v="0"/>
    <x v="703"/>
    <x v="639"/>
    <n v="0"/>
    <x v="2"/>
    <x v="1"/>
    <n v="0"/>
    <n v="12"/>
    <n v="17"/>
  </r>
  <r>
    <x v="0"/>
    <x v="12"/>
    <x v="1"/>
    <x v="188"/>
    <x v="2"/>
    <n v="0"/>
    <n v="0"/>
    <n v="0"/>
    <n v="0"/>
    <n v="0"/>
    <n v="0"/>
    <n v="0"/>
    <n v="0"/>
    <x v="729"/>
    <x v="662"/>
    <n v="0"/>
    <x v="20"/>
    <x v="1"/>
    <n v="0"/>
    <n v="50"/>
    <n v="64"/>
  </r>
  <r>
    <x v="0"/>
    <x v="103"/>
    <x v="6"/>
    <x v="103"/>
    <x v="2"/>
    <n v="0"/>
    <n v="0"/>
    <n v="0"/>
    <n v="0"/>
    <n v="0"/>
    <n v="0"/>
    <n v="0"/>
    <n v="0"/>
    <x v="165"/>
    <x v="162"/>
    <n v="0"/>
    <x v="1"/>
    <x v="1"/>
    <n v="0"/>
    <n v="80"/>
    <n v="200"/>
  </r>
  <r>
    <x v="1"/>
    <x v="63"/>
    <x v="3"/>
    <x v="351"/>
    <x v="141"/>
    <n v="1.9"/>
    <n v="8.6"/>
    <n v="6.3"/>
    <n v="0"/>
    <n v="0"/>
    <n v="0"/>
    <n v="0"/>
    <n v="0"/>
    <x v="317"/>
    <x v="299"/>
    <n v="161534"/>
    <x v="24"/>
    <x v="39"/>
    <n v="3"/>
    <n v="18"/>
    <n v="29"/>
  </r>
  <r>
    <x v="2"/>
    <x v="54"/>
    <x v="7"/>
    <x v="336"/>
    <x v="854"/>
    <n v="47.6"/>
    <n v="0.8"/>
    <n v="1"/>
    <n v="0"/>
    <n v="0"/>
    <n v="0"/>
    <n v="0"/>
    <n v="0"/>
    <x v="650"/>
    <x v="591"/>
    <n v="172161"/>
    <x v="8"/>
    <x v="25"/>
    <n v="82"/>
    <n v="65"/>
    <n v="79"/>
  </r>
  <r>
    <x v="1"/>
    <x v="24"/>
    <x v="5"/>
    <x v="43"/>
    <x v="58"/>
    <n v="0.6"/>
    <n v="2.1"/>
    <n v="6.2"/>
    <n v="0"/>
    <n v="0"/>
    <n v="0"/>
    <n v="0"/>
    <n v="0"/>
    <x v="205"/>
    <x v="197"/>
    <n v="347314"/>
    <x v="20"/>
    <x v="21"/>
    <n v="2"/>
    <n v="30"/>
    <n v="49"/>
  </r>
  <r>
    <x v="1"/>
    <x v="127"/>
    <x v="0"/>
    <x v="489"/>
    <x v="855"/>
    <n v="24.5"/>
    <n v="2.2999999999999998"/>
    <n v="3.5"/>
    <n v="120"/>
    <n v="45.6"/>
    <n v="15.3"/>
    <n v="2.6"/>
    <n v="7.8"/>
    <x v="964"/>
    <x v="865"/>
    <n v="685691"/>
    <x v="482"/>
    <x v="387"/>
    <n v="168"/>
    <n v="999"/>
    <n v="999"/>
  </r>
  <r>
    <x v="1"/>
    <x v="50"/>
    <x v="2"/>
    <x v="2"/>
    <x v="61"/>
    <n v="0"/>
    <n v="0"/>
    <n v="0"/>
    <n v="0"/>
    <n v="0"/>
    <n v="0"/>
    <n v="0"/>
    <n v="0"/>
    <x v="1074"/>
    <x v="952"/>
    <n v="4155"/>
    <x v="2"/>
    <x v="11"/>
    <n v="0"/>
    <n v="5"/>
    <n v="11"/>
  </r>
  <r>
    <x v="1"/>
    <x v="15"/>
    <x v="6"/>
    <x v="1208"/>
    <x v="856"/>
    <n v="66.3"/>
    <n v="0.9"/>
    <n v="1.3"/>
    <n v="0"/>
    <n v="0"/>
    <n v="0"/>
    <n v="0"/>
    <n v="0"/>
    <x v="112"/>
    <x v="111"/>
    <n v="46759"/>
    <x v="87"/>
    <x v="7"/>
    <n v="31"/>
    <n v="80"/>
    <n v="200"/>
  </r>
  <r>
    <x v="0"/>
    <x v="38"/>
    <x v="5"/>
    <x v="2"/>
    <x v="2"/>
    <n v="0"/>
    <n v="0"/>
    <n v="0"/>
    <n v="0"/>
    <n v="0"/>
    <n v="0"/>
    <n v="0"/>
    <n v="0"/>
    <x v="855"/>
    <x v="774"/>
    <n v="347322"/>
    <x v="2"/>
    <x v="1"/>
    <n v="0"/>
    <n v="30"/>
    <n v="49"/>
  </r>
  <r>
    <x v="1"/>
    <x v="41"/>
    <x v="0"/>
    <x v="176"/>
    <x v="327"/>
    <n v="11.7"/>
    <n v="1.6"/>
    <n v="1.2"/>
    <n v="17.600000000000001"/>
    <n v="11.3"/>
    <n v="7.8"/>
    <n v="1.6"/>
    <n v="2.2999999999999998"/>
    <x v="531"/>
    <x v="486"/>
    <n v="1018396"/>
    <x v="367"/>
    <x v="114"/>
    <n v="119"/>
    <n v="999"/>
    <n v="999"/>
  </r>
  <r>
    <x v="0"/>
    <x v="78"/>
    <x v="4"/>
    <x v="2"/>
    <x v="2"/>
    <n v="0"/>
    <n v="0"/>
    <n v="0"/>
    <n v="0"/>
    <n v="0"/>
    <n v="0"/>
    <n v="0"/>
    <n v="0"/>
    <x v="97"/>
    <x v="28"/>
    <n v="0"/>
    <x v="2"/>
    <x v="1"/>
    <n v="0"/>
    <n v="12"/>
    <n v="17"/>
  </r>
  <r>
    <x v="0"/>
    <x v="100"/>
    <x v="7"/>
    <x v="99"/>
    <x v="110"/>
    <n v="1.2"/>
    <n v="0.5"/>
    <n v="1.8"/>
    <n v="0"/>
    <n v="0"/>
    <n v="0"/>
    <n v="0"/>
    <n v="0"/>
    <x v="775"/>
    <x v="704"/>
    <n v="166138"/>
    <x v="1"/>
    <x v="11"/>
    <n v="2"/>
    <n v="65"/>
    <n v="79"/>
  </r>
  <r>
    <x v="2"/>
    <x v="27"/>
    <x v="2"/>
    <x v="24"/>
    <x v="857"/>
    <n v="9"/>
    <n v="1.6"/>
    <n v="2.1"/>
    <n v="0"/>
    <n v="0"/>
    <n v="0"/>
    <n v="0"/>
    <n v="0"/>
    <x v="850"/>
    <x v="770"/>
    <n v="22205"/>
    <x v="134"/>
    <x v="17"/>
    <n v="2"/>
    <n v="5"/>
    <n v="11"/>
  </r>
  <r>
    <x v="1"/>
    <x v="34"/>
    <x v="2"/>
    <x v="25"/>
    <x v="2"/>
    <n v="0"/>
    <n v="0"/>
    <n v="0"/>
    <n v="0"/>
    <n v="0"/>
    <n v="0"/>
    <n v="0"/>
    <n v="0"/>
    <x v="302"/>
    <x v="285"/>
    <n v="0"/>
    <x v="13"/>
    <x v="1"/>
    <n v="0"/>
    <n v="5"/>
    <n v="11"/>
  </r>
  <r>
    <x v="2"/>
    <x v="15"/>
    <x v="7"/>
    <x v="1209"/>
    <x v="858"/>
    <n v="189.6"/>
    <n v="1.3"/>
    <n v="1.1000000000000001"/>
    <n v="0"/>
    <n v="0"/>
    <n v="0"/>
    <n v="0"/>
    <n v="0"/>
    <x v="1087"/>
    <x v="963"/>
    <n v="170344"/>
    <x v="187"/>
    <x v="188"/>
    <n v="323"/>
    <n v="65"/>
    <n v="79"/>
  </r>
  <r>
    <x v="2"/>
    <x v="45"/>
    <x v="4"/>
    <x v="1210"/>
    <x v="2"/>
    <n v="0"/>
    <n v="0"/>
    <n v="0"/>
    <n v="0"/>
    <n v="0"/>
    <n v="0"/>
    <n v="0"/>
    <n v="0"/>
    <x v="974"/>
    <x v="28"/>
    <n v="0"/>
    <x v="112"/>
    <x v="1"/>
    <n v="0"/>
    <n v="12"/>
    <n v="17"/>
  </r>
  <r>
    <x v="0"/>
    <x v="123"/>
    <x v="3"/>
    <x v="2"/>
    <x v="2"/>
    <n v="0"/>
    <n v="0"/>
    <n v="0"/>
    <n v="0"/>
    <n v="0"/>
    <n v="0"/>
    <n v="0"/>
    <n v="0"/>
    <x v="487"/>
    <x v="451"/>
    <n v="161668"/>
    <x v="2"/>
    <x v="1"/>
    <n v="0"/>
    <n v="18"/>
    <n v="29"/>
  </r>
  <r>
    <x v="1"/>
    <x v="0"/>
    <x v="4"/>
    <x v="1"/>
    <x v="2"/>
    <n v="2.2999999999999998"/>
    <n v="0"/>
    <n v="1.3"/>
    <n v="0"/>
    <n v="0"/>
    <n v="0"/>
    <n v="0"/>
    <n v="0"/>
    <x v="828"/>
    <x v="753"/>
    <n v="44418"/>
    <x v="1"/>
    <x v="1"/>
    <n v="1"/>
    <n v="12"/>
    <n v="17"/>
  </r>
  <r>
    <x v="2"/>
    <x v="31"/>
    <x v="4"/>
    <x v="1211"/>
    <x v="195"/>
    <n v="124"/>
    <n v="2.2000000000000002"/>
    <n v="1.2"/>
    <n v="0"/>
    <n v="0"/>
    <n v="0"/>
    <n v="0"/>
    <n v="0"/>
    <x v="1008"/>
    <x v="900"/>
    <n v="37907"/>
    <x v="223"/>
    <x v="206"/>
    <n v="47"/>
    <n v="12"/>
    <n v="17"/>
  </r>
  <r>
    <x v="2"/>
    <x v="45"/>
    <x v="5"/>
    <x v="90"/>
    <x v="859"/>
    <n v="0"/>
    <n v="10.9"/>
    <n v="0"/>
    <n v="0"/>
    <n v="0"/>
    <n v="0"/>
    <n v="0"/>
    <n v="0"/>
    <x v="307"/>
    <x v="290"/>
    <n v="0"/>
    <x v="483"/>
    <x v="206"/>
    <n v="0"/>
    <n v="30"/>
    <n v="49"/>
  </r>
  <r>
    <x v="1"/>
    <x v="77"/>
    <x v="0"/>
    <x v="117"/>
    <x v="121"/>
    <n v="7"/>
    <n v="1.9"/>
    <n v="1.1000000000000001"/>
    <n v="9.5"/>
    <n v="6"/>
    <n v="5"/>
    <n v="1.6"/>
    <n v="1.9"/>
    <x v="780"/>
    <x v="709"/>
    <n v="1040518"/>
    <x v="211"/>
    <x v="30"/>
    <n v="73"/>
    <n v="999"/>
    <n v="999"/>
  </r>
  <r>
    <x v="0"/>
    <x v="50"/>
    <x v="1"/>
    <x v="2"/>
    <x v="1"/>
    <n v="0"/>
    <n v="0"/>
    <n v="0"/>
    <n v="0"/>
    <n v="0"/>
    <n v="0"/>
    <n v="0"/>
    <n v="0"/>
    <x v="646"/>
    <x v="587"/>
    <n v="238855"/>
    <x v="2"/>
    <x v="0"/>
    <n v="0"/>
    <n v="50"/>
    <n v="64"/>
  </r>
  <r>
    <x v="1"/>
    <x v="26"/>
    <x v="3"/>
    <x v="178"/>
    <x v="34"/>
    <n v="1.2"/>
    <n v="3.9"/>
    <n v="7.4"/>
    <n v="0"/>
    <n v="0"/>
    <n v="0"/>
    <n v="0"/>
    <n v="0"/>
    <x v="1036"/>
    <x v="920"/>
    <n v="161631"/>
    <x v="64"/>
    <x v="21"/>
    <n v="2"/>
    <n v="18"/>
    <n v="29"/>
  </r>
  <r>
    <x v="0"/>
    <x v="8"/>
    <x v="3"/>
    <x v="18"/>
    <x v="2"/>
    <n v="0"/>
    <n v="0"/>
    <n v="0"/>
    <n v="0"/>
    <n v="0"/>
    <n v="0"/>
    <n v="0"/>
    <n v="0"/>
    <x v="753"/>
    <x v="683"/>
    <n v="0"/>
    <x v="1"/>
    <x v="1"/>
    <n v="0"/>
    <n v="18"/>
    <n v="29"/>
  </r>
  <r>
    <x v="2"/>
    <x v="111"/>
    <x v="2"/>
    <x v="187"/>
    <x v="860"/>
    <n v="200.9"/>
    <n v="1"/>
    <n v="1"/>
    <n v="0"/>
    <n v="0"/>
    <n v="0"/>
    <n v="0"/>
    <n v="0"/>
    <x v="186"/>
    <x v="181"/>
    <n v="16920"/>
    <x v="363"/>
    <x v="123"/>
    <n v="34"/>
    <n v="5"/>
    <n v="11"/>
  </r>
  <r>
    <x v="2"/>
    <x v="137"/>
    <x v="6"/>
    <x v="1212"/>
    <x v="717"/>
    <n v="168.9"/>
    <n v="1"/>
    <n v="0.4"/>
    <n v="0"/>
    <n v="0"/>
    <n v="0"/>
    <n v="0"/>
    <n v="0"/>
    <x v="1056"/>
    <x v="938"/>
    <n v="47353"/>
    <x v="8"/>
    <x v="13"/>
    <n v="80"/>
    <n v="80"/>
    <n v="200"/>
  </r>
  <r>
    <x v="0"/>
    <x v="57"/>
    <x v="5"/>
    <x v="241"/>
    <x v="2"/>
    <n v="0"/>
    <n v="0"/>
    <n v="0"/>
    <n v="0"/>
    <n v="0"/>
    <n v="0"/>
    <n v="0"/>
    <n v="0"/>
    <x v="1048"/>
    <x v="930"/>
    <n v="24199"/>
    <x v="1"/>
    <x v="1"/>
    <n v="0"/>
    <n v="30"/>
    <n v="49"/>
  </r>
  <r>
    <x v="2"/>
    <x v="120"/>
    <x v="3"/>
    <x v="1213"/>
    <x v="448"/>
    <n v="38.299999999999997"/>
    <n v="3.6"/>
    <n v="2.2000000000000002"/>
    <n v="0"/>
    <n v="0"/>
    <n v="0"/>
    <n v="0"/>
    <n v="0"/>
    <x v="634"/>
    <x v="575"/>
    <n v="161677"/>
    <x v="125"/>
    <x v="182"/>
    <n v="62"/>
    <n v="18"/>
    <n v="29"/>
  </r>
  <r>
    <x v="1"/>
    <x v="78"/>
    <x v="7"/>
    <x v="486"/>
    <x v="83"/>
    <n v="0"/>
    <n v="14.1"/>
    <n v="0"/>
    <n v="0"/>
    <n v="0"/>
    <n v="0"/>
    <n v="0"/>
    <n v="0"/>
    <x v="1010"/>
    <x v="901"/>
    <n v="0"/>
    <x v="23"/>
    <x v="16"/>
    <n v="0"/>
    <n v="65"/>
    <n v="79"/>
  </r>
  <r>
    <x v="1"/>
    <x v="13"/>
    <x v="1"/>
    <x v="1214"/>
    <x v="339"/>
    <n v="15.3"/>
    <n v="5"/>
    <n v="10.8"/>
    <n v="0"/>
    <n v="0"/>
    <n v="0"/>
    <n v="0"/>
    <n v="0"/>
    <x v="765"/>
    <x v="763"/>
    <n v="182773"/>
    <x v="151"/>
    <x v="42"/>
    <n v="28"/>
    <n v="50"/>
    <n v="64"/>
  </r>
  <r>
    <x v="2"/>
    <x v="7"/>
    <x v="5"/>
    <x v="1215"/>
    <x v="861"/>
    <n v="59.2"/>
    <n v="2.6"/>
    <n v="10"/>
    <n v="0"/>
    <n v="0"/>
    <n v="0"/>
    <n v="0"/>
    <n v="0"/>
    <x v="7"/>
    <x v="7"/>
    <n v="103054"/>
    <x v="484"/>
    <x v="388"/>
    <n v="61"/>
    <n v="30"/>
    <n v="49"/>
  </r>
  <r>
    <x v="0"/>
    <x v="87"/>
    <x v="7"/>
    <x v="499"/>
    <x v="17"/>
    <n v="0"/>
    <n v="5.8"/>
    <n v="0"/>
    <n v="0"/>
    <n v="0"/>
    <n v="0"/>
    <n v="0"/>
    <n v="0"/>
    <x v="294"/>
    <x v="277"/>
    <n v="41816"/>
    <x v="20"/>
    <x v="11"/>
    <n v="0"/>
    <n v="65"/>
    <n v="79"/>
  </r>
  <r>
    <x v="0"/>
    <x v="55"/>
    <x v="6"/>
    <x v="82"/>
    <x v="2"/>
    <n v="2.1"/>
    <n v="0"/>
    <n v="2"/>
    <n v="0"/>
    <n v="0"/>
    <n v="0"/>
    <n v="0"/>
    <n v="0"/>
    <x v="585"/>
    <x v="353"/>
    <n v="47133"/>
    <x v="1"/>
    <x v="1"/>
    <n v="1"/>
    <n v="80"/>
    <n v="200"/>
  </r>
  <r>
    <x v="1"/>
    <x v="61"/>
    <x v="6"/>
    <x v="45"/>
    <x v="290"/>
    <n v="65.8"/>
    <n v="0.3"/>
    <n v="0.2"/>
    <n v="0"/>
    <n v="0"/>
    <n v="0"/>
    <n v="0"/>
    <n v="0"/>
    <x v="904"/>
    <x v="353"/>
    <n v="47134"/>
    <x v="20"/>
    <x v="48"/>
    <n v="31"/>
    <n v="80"/>
    <n v="200"/>
  </r>
  <r>
    <x v="2"/>
    <x v="17"/>
    <x v="6"/>
    <x v="82"/>
    <x v="96"/>
    <n v="23.3"/>
    <n v="0.2"/>
    <n v="0.2"/>
    <n v="0"/>
    <n v="0"/>
    <n v="0"/>
    <n v="0"/>
    <n v="0"/>
    <x v="1078"/>
    <x v="101"/>
    <n v="47130"/>
    <x v="1"/>
    <x v="39"/>
    <n v="11"/>
    <n v="80"/>
    <n v="200"/>
  </r>
  <r>
    <x v="2"/>
    <x v="98"/>
    <x v="0"/>
    <x v="57"/>
    <x v="25"/>
    <n v="11.8"/>
    <n v="2.5"/>
    <n v="1.3"/>
    <n v="18.7"/>
    <n v="6.8"/>
    <n v="9.3000000000000007"/>
    <n v="2.8"/>
    <n v="2"/>
    <x v="374"/>
    <x v="350"/>
    <n v="1040691"/>
    <x v="151"/>
    <x v="18"/>
    <n v="123"/>
    <n v="999"/>
    <n v="999"/>
  </r>
  <r>
    <x v="1"/>
    <x v="77"/>
    <x v="7"/>
    <x v="1216"/>
    <x v="79"/>
    <n v="12.8"/>
    <n v="1.4"/>
    <n v="1.8"/>
    <n v="0"/>
    <n v="0"/>
    <n v="0"/>
    <n v="0"/>
    <n v="0"/>
    <x v="1009"/>
    <x v="518"/>
    <n v="171711"/>
    <x v="51"/>
    <x v="26"/>
    <n v="22"/>
    <n v="65"/>
    <n v="79"/>
  </r>
  <r>
    <x v="0"/>
    <x v="39"/>
    <x v="7"/>
    <x v="2"/>
    <x v="2"/>
    <n v="0"/>
    <n v="0"/>
    <n v="0"/>
    <n v="0"/>
    <n v="0"/>
    <n v="0"/>
    <n v="0"/>
    <n v="0"/>
    <x v="936"/>
    <x v="840"/>
    <n v="171429"/>
    <x v="2"/>
    <x v="1"/>
    <n v="0"/>
    <n v="65"/>
    <n v="79"/>
  </r>
  <r>
    <x v="1"/>
    <x v="106"/>
    <x v="0"/>
    <x v="422"/>
    <x v="51"/>
    <n v="0"/>
    <n v="4.5"/>
    <n v="0"/>
    <n v="19.7"/>
    <n v="2.4"/>
    <n v="0"/>
    <n v="8.1"/>
    <n v="0"/>
    <x v="236"/>
    <x v="226"/>
    <n v="0"/>
    <x v="183"/>
    <x v="78"/>
    <n v="0"/>
    <n v="999"/>
    <n v="999"/>
  </r>
  <r>
    <x v="2"/>
    <x v="91"/>
    <x v="5"/>
    <x v="1217"/>
    <x v="745"/>
    <n v="109.8"/>
    <n v="2.2000000000000002"/>
    <n v="1.5"/>
    <n v="0"/>
    <n v="0"/>
    <n v="0"/>
    <n v="0"/>
    <n v="0"/>
    <x v="1053"/>
    <x v="935"/>
    <n v="347042"/>
    <x v="363"/>
    <x v="258"/>
    <n v="381"/>
    <n v="30"/>
    <n v="49"/>
  </r>
  <r>
    <x v="1"/>
    <x v="11"/>
    <x v="5"/>
    <x v="60"/>
    <x v="38"/>
    <n v="0.6"/>
    <n v="4"/>
    <n v="4.7"/>
    <n v="0"/>
    <n v="0"/>
    <n v="0"/>
    <n v="0"/>
    <n v="0"/>
    <x v="613"/>
    <x v="551"/>
    <n v="347295"/>
    <x v="45"/>
    <x v="11"/>
    <n v="2"/>
    <n v="30"/>
    <n v="49"/>
  </r>
  <r>
    <x v="0"/>
    <x v="128"/>
    <x v="0"/>
    <x v="113"/>
    <x v="2"/>
    <n v="0.1"/>
    <n v="0"/>
    <n v="2"/>
    <n v="0.1"/>
    <n v="0"/>
    <n v="0.1"/>
    <n v="0"/>
    <n v="2"/>
    <x v="1026"/>
    <x v="914"/>
    <n v="1040601"/>
    <x v="1"/>
    <x v="1"/>
    <n v="1"/>
    <n v="999"/>
    <n v="999"/>
  </r>
  <r>
    <x v="2"/>
    <x v="95"/>
    <x v="6"/>
    <x v="1218"/>
    <x v="862"/>
    <n v="268.60000000000002"/>
    <n v="0.6"/>
    <n v="0.6"/>
    <n v="0"/>
    <n v="0"/>
    <n v="0"/>
    <n v="0"/>
    <n v="0"/>
    <x v="776"/>
    <x v="705"/>
    <n v="46163"/>
    <x v="93"/>
    <x v="124"/>
    <n v="124"/>
    <n v="80"/>
    <n v="200"/>
  </r>
  <r>
    <x v="2"/>
    <x v="6"/>
    <x v="6"/>
    <x v="1219"/>
    <x v="863"/>
    <n v="170.1"/>
    <n v="0.4"/>
    <n v="0.5"/>
    <n v="0"/>
    <n v="0"/>
    <n v="0"/>
    <n v="0"/>
    <n v="0"/>
    <x v="32"/>
    <x v="32"/>
    <n v="47028"/>
    <x v="29"/>
    <x v="97"/>
    <n v="80"/>
    <n v="80"/>
    <n v="200"/>
  </r>
  <r>
    <x v="0"/>
    <x v="17"/>
    <x v="5"/>
    <x v="2"/>
    <x v="2"/>
    <n v="0"/>
    <n v="0"/>
    <n v="0"/>
    <n v="0"/>
    <n v="0"/>
    <n v="0"/>
    <n v="0"/>
    <n v="0"/>
    <x v="642"/>
    <x v="583"/>
    <n v="347308"/>
    <x v="2"/>
    <x v="1"/>
    <n v="0"/>
    <n v="30"/>
    <n v="49"/>
  </r>
  <r>
    <x v="0"/>
    <x v="23"/>
    <x v="5"/>
    <x v="2"/>
    <x v="2"/>
    <n v="0"/>
    <n v="0"/>
    <n v="0"/>
    <n v="0"/>
    <n v="0"/>
    <n v="0"/>
    <n v="0"/>
    <n v="0"/>
    <x v="1061"/>
    <x v="940"/>
    <n v="347113"/>
    <x v="2"/>
    <x v="1"/>
    <n v="0"/>
    <n v="30"/>
    <n v="49"/>
  </r>
  <r>
    <x v="0"/>
    <x v="47"/>
    <x v="3"/>
    <x v="2"/>
    <x v="2"/>
    <n v="0"/>
    <n v="0"/>
    <n v="0"/>
    <n v="0"/>
    <n v="0"/>
    <n v="0"/>
    <n v="0"/>
    <n v="0"/>
    <x v="1054"/>
    <x v="936"/>
    <n v="161605"/>
    <x v="2"/>
    <x v="1"/>
    <n v="0"/>
    <n v="18"/>
    <n v="29"/>
  </r>
  <r>
    <x v="2"/>
    <x v="49"/>
    <x v="4"/>
    <x v="1132"/>
    <x v="273"/>
    <n v="13.5"/>
    <n v="1.4"/>
    <n v="0.9"/>
    <n v="0"/>
    <n v="0"/>
    <n v="0"/>
    <n v="0"/>
    <n v="0"/>
    <x v="1003"/>
    <x v="159"/>
    <n v="44594"/>
    <x v="20"/>
    <x v="5"/>
    <n v="6"/>
    <n v="12"/>
    <n v="17"/>
  </r>
  <r>
    <x v="1"/>
    <x v="132"/>
    <x v="3"/>
    <x v="503"/>
    <x v="141"/>
    <n v="4.5999999999999996"/>
    <n v="3"/>
    <n v="0.9"/>
    <n v="0"/>
    <n v="0"/>
    <n v="0"/>
    <n v="0"/>
    <n v="0"/>
    <x v="409"/>
    <x v="383"/>
    <n v="151504"/>
    <x v="20"/>
    <x v="39"/>
    <n v="7"/>
    <n v="18"/>
    <n v="29"/>
  </r>
  <r>
    <x v="0"/>
    <x v="135"/>
    <x v="5"/>
    <x v="18"/>
    <x v="2"/>
    <n v="0"/>
    <n v="0"/>
    <n v="0"/>
    <n v="0"/>
    <n v="0"/>
    <n v="0"/>
    <n v="0"/>
    <n v="0"/>
    <x v="725"/>
    <x v="658"/>
    <n v="0"/>
    <x v="1"/>
    <x v="1"/>
    <n v="0"/>
    <n v="30"/>
    <n v="49"/>
  </r>
  <r>
    <x v="1"/>
    <x v="68"/>
    <x v="6"/>
    <x v="185"/>
    <x v="864"/>
    <n v="18.3"/>
    <n v="0.8"/>
    <n v="0.6"/>
    <n v="0"/>
    <n v="0"/>
    <n v="0"/>
    <n v="0"/>
    <n v="0"/>
    <x v="1039"/>
    <x v="923"/>
    <n v="43669"/>
    <x v="45"/>
    <x v="11"/>
    <n v="8"/>
    <n v="80"/>
    <n v="200"/>
  </r>
  <r>
    <x v="0"/>
    <x v="99"/>
    <x v="3"/>
    <x v="212"/>
    <x v="2"/>
    <n v="0"/>
    <n v="0"/>
    <n v="0"/>
    <n v="0"/>
    <n v="0"/>
    <n v="0"/>
    <n v="0"/>
    <n v="0"/>
    <x v="1030"/>
    <x v="916"/>
    <n v="129112"/>
    <x v="1"/>
    <x v="1"/>
    <n v="0"/>
    <n v="18"/>
    <n v="29"/>
  </r>
  <r>
    <x v="1"/>
    <x v="99"/>
    <x v="0"/>
    <x v="661"/>
    <x v="395"/>
    <n v="5.8"/>
    <n v="1.8"/>
    <n v="2"/>
    <n v="16.100000000000001"/>
    <n v="8.4"/>
    <n v="4.3"/>
    <n v="1.9"/>
    <n v="3.8"/>
    <x v="683"/>
    <x v="620"/>
    <n v="848563"/>
    <x v="21"/>
    <x v="213"/>
    <n v="49"/>
    <n v="999"/>
    <n v="999"/>
  </r>
  <r>
    <x v="0"/>
    <x v="66"/>
    <x v="3"/>
    <x v="2"/>
    <x v="2"/>
    <n v="0"/>
    <n v="0"/>
    <n v="0"/>
    <n v="0"/>
    <n v="0"/>
    <n v="0"/>
    <n v="0"/>
    <n v="0"/>
    <x v="942"/>
    <x v="846"/>
    <n v="14313"/>
    <x v="2"/>
    <x v="1"/>
    <n v="0"/>
    <n v="18"/>
    <n v="29"/>
  </r>
  <r>
    <x v="0"/>
    <x v="27"/>
    <x v="1"/>
    <x v="2"/>
    <x v="2"/>
    <n v="0.4"/>
    <n v="0"/>
    <n v="0"/>
    <n v="0"/>
    <n v="0"/>
    <n v="0"/>
    <n v="0"/>
    <n v="0"/>
    <x v="355"/>
    <x v="332"/>
    <n v="247977"/>
    <x v="2"/>
    <x v="1"/>
    <n v="1"/>
    <n v="50"/>
    <n v="64"/>
  </r>
  <r>
    <x v="2"/>
    <x v="130"/>
    <x v="7"/>
    <x v="209"/>
    <x v="429"/>
    <n v="0"/>
    <n v="2.7"/>
    <n v="0"/>
    <n v="0"/>
    <n v="0"/>
    <n v="0"/>
    <n v="0"/>
    <n v="0"/>
    <x v="913"/>
    <x v="822"/>
    <n v="0"/>
    <x v="326"/>
    <x v="389"/>
    <n v="0"/>
    <n v="65"/>
    <n v="79"/>
  </r>
  <r>
    <x v="2"/>
    <x v="50"/>
    <x v="0"/>
    <x v="1220"/>
    <x v="865"/>
    <n v="226.9"/>
    <n v="1.6"/>
    <n v="0.9"/>
    <n v="252.8"/>
    <n v="124.4"/>
    <n v="199.7"/>
    <n v="2"/>
    <n v="1.3"/>
    <x v="1080"/>
    <x v="957"/>
    <n v="984294"/>
    <x v="485"/>
    <x v="390"/>
    <n v="2233"/>
    <n v="999"/>
    <n v="999"/>
  </r>
  <r>
    <x v="0"/>
    <x v="70"/>
    <x v="6"/>
    <x v="2"/>
    <x v="2"/>
    <n v="0"/>
    <n v="0"/>
    <n v="0"/>
    <n v="0"/>
    <n v="0"/>
    <n v="0"/>
    <n v="0"/>
    <n v="0"/>
    <x v="704"/>
    <x v="640"/>
    <n v="47126"/>
    <x v="2"/>
    <x v="1"/>
    <n v="0"/>
    <n v="80"/>
    <n v="200"/>
  </r>
  <r>
    <x v="2"/>
    <x v="24"/>
    <x v="6"/>
    <x v="369"/>
    <x v="323"/>
    <n v="63.7"/>
    <n v="0.3"/>
    <n v="0.3"/>
    <n v="0"/>
    <n v="0"/>
    <n v="0"/>
    <n v="0"/>
    <n v="0"/>
    <x v="880"/>
    <x v="360"/>
    <n v="47131"/>
    <x v="13"/>
    <x v="26"/>
    <n v="30"/>
    <n v="80"/>
    <n v="200"/>
  </r>
  <r>
    <x v="1"/>
    <x v="120"/>
    <x v="0"/>
    <x v="117"/>
    <x v="221"/>
    <n v="5.9"/>
    <n v="3.2"/>
    <n v="1.3"/>
    <n v="10.199999999999999"/>
    <n v="2.9"/>
    <n v="4.2"/>
    <n v="3.5"/>
    <n v="2.4"/>
    <x v="735"/>
    <x v="667"/>
    <n v="1040539"/>
    <x v="211"/>
    <x v="59"/>
    <n v="61"/>
    <n v="999"/>
    <n v="999"/>
  </r>
  <r>
    <x v="0"/>
    <x v="90"/>
    <x v="3"/>
    <x v="2"/>
    <x v="2"/>
    <n v="0"/>
    <n v="0"/>
    <n v="0"/>
    <n v="0"/>
    <n v="0"/>
    <n v="0"/>
    <n v="0"/>
    <n v="0"/>
    <x v="1040"/>
    <x v="924"/>
    <n v="152861"/>
    <x v="2"/>
    <x v="1"/>
    <n v="0"/>
    <n v="18"/>
    <n v="29"/>
  </r>
  <r>
    <x v="1"/>
    <x v="73"/>
    <x v="4"/>
    <x v="197"/>
    <x v="2"/>
    <n v="0"/>
    <n v="0"/>
    <n v="0"/>
    <n v="0"/>
    <n v="0"/>
    <n v="0"/>
    <n v="0"/>
    <n v="0"/>
    <x v="819"/>
    <x v="746"/>
    <n v="37326"/>
    <x v="1"/>
    <x v="1"/>
    <n v="0"/>
    <n v="12"/>
    <n v="17"/>
  </r>
  <r>
    <x v="0"/>
    <x v="61"/>
    <x v="5"/>
    <x v="2"/>
    <x v="2"/>
    <n v="0"/>
    <n v="0"/>
    <n v="0"/>
    <n v="0"/>
    <n v="0"/>
    <n v="0"/>
    <n v="0"/>
    <n v="0"/>
    <x v="63"/>
    <x v="63"/>
    <n v="347328"/>
    <x v="2"/>
    <x v="1"/>
    <n v="0"/>
    <n v="30"/>
    <n v="49"/>
  </r>
  <r>
    <x v="1"/>
    <x v="22"/>
    <x v="1"/>
    <x v="78"/>
    <x v="402"/>
    <n v="10.1"/>
    <n v="2.5"/>
    <n v="3.6"/>
    <n v="0"/>
    <n v="0"/>
    <n v="0"/>
    <n v="0"/>
    <n v="0"/>
    <x v="1049"/>
    <x v="931"/>
    <n v="246748"/>
    <x v="16"/>
    <x v="3"/>
    <n v="25"/>
    <n v="50"/>
    <n v="64"/>
  </r>
  <r>
    <x v="2"/>
    <x v="60"/>
    <x v="7"/>
    <x v="1221"/>
    <x v="98"/>
    <n v="100.7"/>
    <n v="1.3"/>
    <n v="1.5"/>
    <n v="0"/>
    <n v="0"/>
    <n v="0"/>
    <n v="0"/>
    <n v="0"/>
    <x v="444"/>
    <x v="414"/>
    <n v="148949"/>
    <x v="170"/>
    <x v="188"/>
    <n v="150"/>
    <n v="65"/>
    <n v="79"/>
  </r>
  <r>
    <x v="0"/>
    <x v="36"/>
    <x v="5"/>
    <x v="2"/>
    <x v="2"/>
    <n v="0"/>
    <n v="0"/>
    <n v="0"/>
    <n v="0"/>
    <n v="0"/>
    <n v="0"/>
    <n v="0"/>
    <n v="0"/>
    <x v="159"/>
    <x v="156"/>
    <n v="347252"/>
    <x v="2"/>
    <x v="1"/>
    <n v="0"/>
    <n v="30"/>
    <n v="49"/>
  </r>
  <r>
    <x v="2"/>
    <x v="88"/>
    <x v="1"/>
    <x v="679"/>
    <x v="866"/>
    <n v="0"/>
    <n v="4.3"/>
    <n v="0"/>
    <n v="0"/>
    <n v="0"/>
    <n v="0"/>
    <n v="0"/>
    <n v="0"/>
    <x v="489"/>
    <x v="453"/>
    <n v="0"/>
    <x v="442"/>
    <x v="391"/>
    <n v="0"/>
    <n v="50"/>
    <n v="64"/>
  </r>
  <r>
    <x v="2"/>
    <x v="24"/>
    <x v="2"/>
    <x v="75"/>
    <x v="214"/>
    <n v="28.2"/>
    <n v="0.2"/>
    <n v="0.1"/>
    <n v="0"/>
    <n v="0"/>
    <n v="0"/>
    <n v="0"/>
    <n v="0"/>
    <x v="26"/>
    <x v="26"/>
    <n v="21260"/>
    <x v="0"/>
    <x v="17"/>
    <n v="6"/>
    <n v="5"/>
    <n v="11"/>
  </r>
  <r>
    <x v="0"/>
    <x v="10"/>
    <x v="6"/>
    <x v="620"/>
    <x v="66"/>
    <n v="4.2"/>
    <n v="0.5"/>
    <n v="1.9"/>
    <n v="0"/>
    <n v="0"/>
    <n v="0"/>
    <n v="0"/>
    <n v="0"/>
    <x v="309"/>
    <x v="124"/>
    <n v="47117"/>
    <x v="0"/>
    <x v="11"/>
    <n v="2"/>
    <n v="80"/>
    <n v="200"/>
  </r>
  <r>
    <x v="1"/>
    <x v="82"/>
    <x v="2"/>
    <x v="2"/>
    <x v="2"/>
    <n v="0"/>
    <n v="0"/>
    <n v="0"/>
    <n v="0"/>
    <n v="0"/>
    <n v="0"/>
    <n v="0"/>
    <n v="0"/>
    <x v="277"/>
    <x v="262"/>
    <n v="21257"/>
    <x v="2"/>
    <x v="1"/>
    <n v="0"/>
    <n v="5"/>
    <n v="11"/>
  </r>
  <r>
    <x v="0"/>
    <x v="29"/>
    <x v="7"/>
    <x v="2"/>
    <x v="61"/>
    <n v="0"/>
    <n v="0"/>
    <n v="0"/>
    <n v="0"/>
    <n v="0"/>
    <n v="0"/>
    <n v="0"/>
    <n v="0"/>
    <x v="980"/>
    <x v="878"/>
    <n v="167052"/>
    <x v="2"/>
    <x v="0"/>
    <n v="0"/>
    <n v="65"/>
    <n v="79"/>
  </r>
  <r>
    <x v="1"/>
    <x v="96"/>
    <x v="1"/>
    <x v="762"/>
    <x v="25"/>
    <n v="6.5"/>
    <n v="4.5999999999999996"/>
    <n v="4.5999999999999996"/>
    <n v="0"/>
    <n v="0"/>
    <n v="0"/>
    <n v="0"/>
    <n v="0"/>
    <x v="917"/>
    <x v="825"/>
    <n v="246881"/>
    <x v="24"/>
    <x v="5"/>
    <n v="16"/>
    <n v="50"/>
    <n v="64"/>
  </r>
  <r>
    <x v="2"/>
    <x v="17"/>
    <x v="1"/>
    <x v="146"/>
    <x v="25"/>
    <n v="10.5"/>
    <n v="2.9"/>
    <n v="1.8"/>
    <n v="0"/>
    <n v="0"/>
    <n v="0"/>
    <n v="0"/>
    <n v="0"/>
    <x v="275"/>
    <x v="72"/>
    <n v="246928"/>
    <x v="18"/>
    <x v="5"/>
    <n v="26"/>
    <n v="50"/>
    <n v="64"/>
  </r>
  <r>
    <x v="1"/>
    <x v="17"/>
    <x v="4"/>
    <x v="2"/>
    <x v="2"/>
    <n v="0"/>
    <n v="0"/>
    <n v="0"/>
    <n v="0"/>
    <n v="0"/>
    <n v="0"/>
    <n v="0"/>
    <n v="0"/>
    <x v="984"/>
    <x v="882"/>
    <n v="44588"/>
    <x v="2"/>
    <x v="1"/>
    <n v="0"/>
    <n v="12"/>
    <n v="17"/>
  </r>
  <r>
    <x v="1"/>
    <x v="114"/>
    <x v="3"/>
    <x v="300"/>
    <x v="23"/>
    <n v="3.1"/>
    <n v="11.8"/>
    <n v="1.9"/>
    <n v="0"/>
    <n v="0"/>
    <n v="0"/>
    <n v="0"/>
    <n v="0"/>
    <x v="1084"/>
    <x v="960"/>
    <n v="161513"/>
    <x v="13"/>
    <x v="0"/>
    <n v="5"/>
    <n v="18"/>
    <n v="29"/>
  </r>
  <r>
    <x v="0"/>
    <x v="95"/>
    <x v="7"/>
    <x v="427"/>
    <x v="2"/>
    <n v="0"/>
    <n v="0"/>
    <n v="0"/>
    <n v="0"/>
    <n v="0"/>
    <n v="0"/>
    <n v="0"/>
    <n v="0"/>
    <x v="1045"/>
    <x v="928"/>
    <n v="168311"/>
    <x v="0"/>
    <x v="1"/>
    <n v="0"/>
    <n v="65"/>
    <n v="79"/>
  </r>
  <r>
    <x v="0"/>
    <x v="98"/>
    <x v="2"/>
    <x v="2"/>
    <x v="2"/>
    <n v="0"/>
    <n v="0"/>
    <n v="0"/>
    <n v="0"/>
    <n v="0"/>
    <n v="0"/>
    <n v="0"/>
    <n v="0"/>
    <x v="858"/>
    <x v="142"/>
    <n v="21245"/>
    <x v="2"/>
    <x v="1"/>
    <n v="0"/>
    <n v="5"/>
    <n v="11"/>
  </r>
  <r>
    <x v="2"/>
    <x v="123"/>
    <x v="3"/>
    <x v="1222"/>
    <x v="867"/>
    <n v="45.2"/>
    <n v="3.2"/>
    <n v="2.4"/>
    <n v="0"/>
    <n v="0"/>
    <n v="0"/>
    <n v="0"/>
    <n v="0"/>
    <x v="487"/>
    <x v="451"/>
    <n v="161668"/>
    <x v="151"/>
    <x v="6"/>
    <n v="73"/>
    <n v="18"/>
    <n v="29"/>
  </r>
  <r>
    <x v="2"/>
    <x v="26"/>
    <x v="1"/>
    <x v="1223"/>
    <x v="89"/>
    <n v="112.6"/>
    <n v="2.9"/>
    <n v="2.2000000000000002"/>
    <n v="0"/>
    <n v="0"/>
    <n v="0"/>
    <n v="0"/>
    <n v="0"/>
    <x v="698"/>
    <x v="634"/>
    <n v="246827"/>
    <x v="367"/>
    <x v="164"/>
    <n v="278"/>
    <n v="50"/>
    <n v="64"/>
  </r>
  <r>
    <x v="0"/>
    <x v="83"/>
    <x v="3"/>
    <x v="2"/>
    <x v="2"/>
    <n v="0"/>
    <n v="0"/>
    <n v="0"/>
    <n v="0"/>
    <n v="0"/>
    <n v="0"/>
    <n v="0"/>
    <n v="0"/>
    <x v="910"/>
    <x v="818"/>
    <n v="150759"/>
    <x v="2"/>
    <x v="1"/>
    <n v="0"/>
    <n v="18"/>
    <n v="29"/>
  </r>
  <r>
    <x v="2"/>
    <x v="21"/>
    <x v="4"/>
    <x v="1224"/>
    <x v="302"/>
    <n v="0"/>
    <n v="6.5"/>
    <n v="0"/>
    <n v="0"/>
    <n v="0"/>
    <n v="0"/>
    <n v="0"/>
    <n v="0"/>
    <x v="23"/>
    <x v="23"/>
    <n v="0"/>
    <x v="381"/>
    <x v="167"/>
    <n v="0"/>
    <n v="12"/>
    <n v="17"/>
  </r>
  <r>
    <x v="1"/>
    <x v="75"/>
    <x v="2"/>
    <x v="286"/>
    <x v="34"/>
    <n v="0"/>
    <n v="0.4"/>
    <n v="0"/>
    <n v="0"/>
    <n v="0"/>
    <n v="0"/>
    <n v="0"/>
    <n v="0"/>
    <x v="633"/>
    <x v="574"/>
    <n v="10832"/>
    <x v="1"/>
    <x v="11"/>
    <n v="0"/>
    <n v="5"/>
    <n v="11"/>
  </r>
  <r>
    <x v="2"/>
    <x v="76"/>
    <x v="2"/>
    <x v="511"/>
    <x v="29"/>
    <n v="18.8"/>
    <n v="0.8"/>
    <n v="0.9"/>
    <n v="0"/>
    <n v="0"/>
    <n v="0"/>
    <n v="0"/>
    <n v="0"/>
    <x v="549"/>
    <x v="504"/>
    <n v="21243"/>
    <x v="36"/>
    <x v="28"/>
    <n v="4"/>
    <n v="5"/>
    <n v="11"/>
  </r>
  <r>
    <x v="2"/>
    <x v="11"/>
    <x v="6"/>
    <x v="912"/>
    <x v="290"/>
    <n v="70"/>
    <n v="0.6"/>
    <n v="0.5"/>
    <n v="0"/>
    <n v="0"/>
    <n v="0"/>
    <n v="0"/>
    <n v="0"/>
    <x v="1029"/>
    <x v="640"/>
    <n v="47127"/>
    <x v="33"/>
    <x v="48"/>
    <n v="33"/>
    <n v="80"/>
    <n v="200"/>
  </r>
  <r>
    <x v="1"/>
    <x v="70"/>
    <x v="7"/>
    <x v="996"/>
    <x v="273"/>
    <n v="16.899999999999999"/>
    <n v="2.2000000000000002"/>
    <n v="1.2"/>
    <n v="0"/>
    <n v="0"/>
    <n v="0"/>
    <n v="0"/>
    <n v="0"/>
    <x v="876"/>
    <x v="129"/>
    <n v="171719"/>
    <x v="33"/>
    <x v="16"/>
    <n v="29"/>
    <n v="65"/>
    <n v="79"/>
  </r>
  <r>
    <x v="0"/>
    <x v="11"/>
    <x v="6"/>
    <x v="2"/>
    <x v="62"/>
    <n v="0"/>
    <n v="0"/>
    <n v="0"/>
    <n v="0"/>
    <n v="0"/>
    <n v="0"/>
    <n v="0"/>
    <n v="0"/>
    <x v="1029"/>
    <x v="640"/>
    <n v="47127"/>
    <x v="2"/>
    <x v="0"/>
    <n v="0"/>
    <n v="80"/>
    <n v="200"/>
  </r>
  <r>
    <x v="0"/>
    <x v="68"/>
    <x v="2"/>
    <x v="2"/>
    <x v="2"/>
    <n v="0"/>
    <n v="0"/>
    <n v="0"/>
    <n v="0"/>
    <n v="0"/>
    <n v="0"/>
    <n v="0"/>
    <n v="0"/>
    <x v="169"/>
    <x v="166"/>
    <n v="0"/>
    <x v="2"/>
    <x v="1"/>
    <n v="0"/>
    <n v="5"/>
    <n v="11"/>
  </r>
  <r>
    <x v="2"/>
    <x v="121"/>
    <x v="5"/>
    <x v="325"/>
    <x v="868"/>
    <n v="0"/>
    <n v="9.1999999999999993"/>
    <n v="0"/>
    <n v="0"/>
    <n v="0"/>
    <n v="0"/>
    <n v="0"/>
    <n v="0"/>
    <x v="954"/>
    <x v="857"/>
    <n v="0"/>
    <x v="486"/>
    <x v="206"/>
    <n v="0"/>
    <n v="30"/>
    <n v="49"/>
  </r>
  <r>
    <x v="2"/>
    <x v="68"/>
    <x v="3"/>
    <x v="1225"/>
    <x v="578"/>
    <n v="264.10000000000002"/>
    <n v="2.5"/>
    <n v="0.9"/>
    <n v="0"/>
    <n v="0"/>
    <n v="0"/>
    <n v="0"/>
    <n v="0"/>
    <x v="172"/>
    <x v="169"/>
    <n v="148408"/>
    <x v="271"/>
    <x v="267"/>
    <n v="392"/>
    <n v="18"/>
    <n v="29"/>
  </r>
  <r>
    <x v="1"/>
    <x v="83"/>
    <x v="1"/>
    <x v="363"/>
    <x v="255"/>
    <n v="3.4"/>
    <n v="3.9"/>
    <n v="6"/>
    <n v="0"/>
    <n v="0"/>
    <n v="0"/>
    <n v="0"/>
    <n v="0"/>
    <x v="258"/>
    <x v="247"/>
    <n v="233206"/>
    <x v="51"/>
    <x v="26"/>
    <n v="8"/>
    <n v="50"/>
    <n v="64"/>
  </r>
  <r>
    <x v="1"/>
    <x v="15"/>
    <x v="7"/>
    <x v="634"/>
    <x v="190"/>
    <n v="14.7"/>
    <n v="1.2"/>
    <n v="2.7"/>
    <n v="0"/>
    <n v="0"/>
    <n v="0"/>
    <n v="0"/>
    <n v="0"/>
    <x v="1087"/>
    <x v="963"/>
    <n v="170344"/>
    <x v="8"/>
    <x v="75"/>
    <n v="25"/>
    <n v="65"/>
    <n v="79"/>
  </r>
  <r>
    <x v="2"/>
    <x v="114"/>
    <x v="7"/>
    <x v="1226"/>
    <x v="869"/>
    <n v="135.30000000000001"/>
    <n v="1.2"/>
    <n v="1.1000000000000001"/>
    <n v="0"/>
    <n v="0"/>
    <n v="0"/>
    <n v="0"/>
    <n v="0"/>
    <x v="1073"/>
    <x v="951"/>
    <n v="171472"/>
    <x v="192"/>
    <x v="46"/>
    <n v="232"/>
    <n v="65"/>
    <n v="79"/>
  </r>
  <r>
    <x v="2"/>
    <x v="93"/>
    <x v="5"/>
    <x v="1227"/>
    <x v="870"/>
    <n v="0"/>
    <n v="2.2999999999999998"/>
    <n v="0"/>
    <n v="0"/>
    <n v="0"/>
    <n v="0"/>
    <n v="0"/>
    <n v="0"/>
    <x v="759"/>
    <x v="688"/>
    <n v="0"/>
    <x v="487"/>
    <x v="392"/>
    <n v="0"/>
    <n v="30"/>
    <n v="49"/>
  </r>
  <r>
    <x v="1"/>
    <x v="32"/>
    <x v="5"/>
    <x v="176"/>
    <x v="127"/>
    <n v="4.9000000000000004"/>
    <n v="4.8"/>
    <n v="2.8"/>
    <n v="0"/>
    <n v="0"/>
    <n v="0"/>
    <n v="0"/>
    <n v="0"/>
    <x v="1024"/>
    <x v="912"/>
    <n v="347102"/>
    <x v="91"/>
    <x v="5"/>
    <n v="17"/>
    <n v="30"/>
    <n v="49"/>
  </r>
  <r>
    <x v="0"/>
    <x v="134"/>
    <x v="6"/>
    <x v="2"/>
    <x v="2"/>
    <n v="4.5"/>
    <n v="0"/>
    <n v="0"/>
    <n v="0"/>
    <n v="0"/>
    <n v="0"/>
    <n v="0"/>
    <n v="0"/>
    <x v="399"/>
    <x v="373"/>
    <n v="44830"/>
    <x v="2"/>
    <x v="1"/>
    <n v="2"/>
    <n v="80"/>
    <n v="200"/>
  </r>
  <r>
    <x v="2"/>
    <x v="138"/>
    <x v="3"/>
    <x v="1228"/>
    <x v="223"/>
    <n v="0"/>
    <n v="7.2"/>
    <n v="0"/>
    <n v="0"/>
    <n v="0"/>
    <n v="0"/>
    <n v="0"/>
    <n v="0"/>
    <x v="460"/>
    <x v="426"/>
    <n v="0"/>
    <x v="488"/>
    <x v="59"/>
    <n v="0"/>
    <n v="18"/>
    <n v="29"/>
  </r>
  <r>
    <x v="2"/>
    <x v="67"/>
    <x v="6"/>
    <x v="1186"/>
    <x v="871"/>
    <n v="182.5"/>
    <n v="0.6"/>
    <n v="0.6"/>
    <n v="0"/>
    <n v="0"/>
    <n v="0"/>
    <n v="0"/>
    <n v="0"/>
    <x v="919"/>
    <x v="506"/>
    <n v="47124"/>
    <x v="48"/>
    <x v="97"/>
    <n v="86"/>
    <n v="80"/>
    <n v="200"/>
  </r>
  <r>
    <x v="2"/>
    <x v="60"/>
    <x v="0"/>
    <x v="785"/>
    <x v="872"/>
    <n v="131.6"/>
    <n v="1.7"/>
    <n v="1.6"/>
    <n v="223.4"/>
    <n v="128.30000000000001"/>
    <n v="110.7"/>
    <n v="1.7"/>
    <n v="2"/>
    <x v="877"/>
    <x v="792"/>
    <n v="818642"/>
    <x v="489"/>
    <x v="393"/>
    <n v="1077"/>
    <n v="999"/>
    <n v="999"/>
  </r>
  <r>
    <x v="1"/>
    <x v="52"/>
    <x v="6"/>
    <x v="1229"/>
    <x v="553"/>
    <n v="79"/>
    <n v="0.4"/>
    <n v="0.8"/>
    <n v="0"/>
    <n v="0"/>
    <n v="0"/>
    <n v="0"/>
    <n v="0"/>
    <x v="994"/>
    <x v="888"/>
    <n v="46830"/>
    <x v="91"/>
    <x v="3"/>
    <n v="37"/>
    <n v="80"/>
    <n v="200"/>
  </r>
  <r>
    <x v="1"/>
    <x v="83"/>
    <x v="0"/>
    <x v="499"/>
    <x v="100"/>
    <n v="5.5"/>
    <n v="1.6"/>
    <n v="1.3"/>
    <n v="9.1999999999999993"/>
    <n v="5.6"/>
    <n v="3.8"/>
    <n v="1.6"/>
    <n v="2.4"/>
    <x v="410"/>
    <x v="384"/>
    <n v="956808"/>
    <x v="117"/>
    <x v="299"/>
    <n v="53"/>
    <n v="999"/>
    <n v="999"/>
  </r>
  <r>
    <x v="0"/>
    <x v="113"/>
    <x v="0"/>
    <x v="86"/>
    <x v="0"/>
    <n v="0.5"/>
    <n v="8"/>
    <n v="1.6"/>
    <n v="0.5"/>
    <n v="0.3"/>
    <n v="0.3"/>
    <n v="1.9"/>
    <n v="1.8"/>
    <x v="191"/>
    <x v="185"/>
    <n v="1041205"/>
    <x v="20"/>
    <x v="0"/>
    <n v="5"/>
    <n v="999"/>
    <n v="999"/>
  </r>
  <r>
    <x v="1"/>
    <x v="119"/>
    <x v="0"/>
    <x v="115"/>
    <x v="431"/>
    <n v="6.9"/>
    <n v="3"/>
    <n v="1.2"/>
    <n v="10.199999999999999"/>
    <n v="3.9"/>
    <n v="4.5999999999999996"/>
    <n v="2.6"/>
    <n v="2.2000000000000002"/>
    <x v="542"/>
    <x v="497"/>
    <n v="1045972"/>
    <x v="255"/>
    <x v="57"/>
    <n v="72"/>
    <n v="999"/>
    <n v="999"/>
  </r>
  <r>
    <x v="2"/>
    <x v="82"/>
    <x v="7"/>
    <x v="1189"/>
    <x v="390"/>
    <n v="15.7"/>
    <n v="2"/>
    <n v="1.5"/>
    <n v="0"/>
    <n v="0"/>
    <n v="0"/>
    <n v="0"/>
    <n v="0"/>
    <x v="826"/>
    <x v="635"/>
    <n v="171742"/>
    <x v="51"/>
    <x v="21"/>
    <n v="27"/>
    <n v="65"/>
    <n v="79"/>
  </r>
  <r>
    <x v="0"/>
    <x v="97"/>
    <x v="7"/>
    <x v="152"/>
    <x v="4"/>
    <n v="3"/>
    <n v="6.8"/>
    <n v="8.6"/>
    <n v="0"/>
    <n v="0"/>
    <n v="0"/>
    <n v="0"/>
    <n v="0"/>
    <x v="842"/>
    <x v="762"/>
    <n v="100914"/>
    <x v="35"/>
    <x v="16"/>
    <n v="3"/>
    <n v="65"/>
    <n v="79"/>
  </r>
  <r>
    <x v="2"/>
    <x v="108"/>
    <x v="6"/>
    <x v="1230"/>
    <x v="873"/>
    <n v="180.4"/>
    <n v="0.5"/>
    <n v="0.5"/>
    <n v="0"/>
    <n v="0"/>
    <n v="0"/>
    <n v="0"/>
    <n v="0"/>
    <x v="907"/>
    <x v="325"/>
    <n v="47122"/>
    <x v="87"/>
    <x v="57"/>
    <n v="85"/>
    <n v="80"/>
    <n v="200"/>
  </r>
  <r>
    <x v="2"/>
    <x v="88"/>
    <x v="5"/>
    <x v="1231"/>
    <x v="874"/>
    <n v="0"/>
    <n v="2.9"/>
    <n v="0"/>
    <n v="0"/>
    <n v="0"/>
    <n v="0"/>
    <n v="0"/>
    <n v="0"/>
    <x v="156"/>
    <x v="153"/>
    <n v="0"/>
    <x v="490"/>
    <x v="336"/>
    <n v="0"/>
    <n v="30"/>
    <n v="49"/>
  </r>
  <r>
    <x v="0"/>
    <x v="73"/>
    <x v="2"/>
    <x v="2"/>
    <x v="2"/>
    <n v="0"/>
    <n v="0"/>
    <n v="0"/>
    <n v="0"/>
    <n v="0"/>
    <n v="0"/>
    <n v="0"/>
    <n v="0"/>
    <x v="569"/>
    <x v="522"/>
    <n v="6610"/>
    <x v="2"/>
    <x v="1"/>
    <n v="0"/>
    <n v="5"/>
    <n v="11"/>
  </r>
  <r>
    <x v="1"/>
    <x v="91"/>
    <x v="5"/>
    <x v="117"/>
    <x v="103"/>
    <n v="3.7"/>
    <n v="2.2999999999999998"/>
    <n v="2.1"/>
    <n v="0"/>
    <n v="0"/>
    <n v="0"/>
    <n v="0"/>
    <n v="0"/>
    <x v="1053"/>
    <x v="935"/>
    <n v="347042"/>
    <x v="51"/>
    <x v="13"/>
    <n v="13"/>
    <n v="30"/>
    <n v="49"/>
  </r>
  <r>
    <x v="0"/>
    <x v="99"/>
    <x v="4"/>
    <x v="2"/>
    <x v="2"/>
    <n v="0"/>
    <n v="0"/>
    <n v="0"/>
    <n v="0"/>
    <n v="0"/>
    <n v="0"/>
    <n v="0"/>
    <n v="0"/>
    <x v="146"/>
    <x v="144"/>
    <n v="21795"/>
    <x v="2"/>
    <x v="1"/>
    <n v="0"/>
    <n v="12"/>
    <n v="17"/>
  </r>
  <r>
    <x v="1"/>
    <x v="18"/>
    <x v="0"/>
    <x v="89"/>
    <x v="121"/>
    <n v="9.1999999999999993"/>
    <n v="3.5"/>
    <n v="1.6"/>
    <n v="18"/>
    <n v="5.2"/>
    <n v="6.5"/>
    <n v="3.4"/>
    <n v="2.8"/>
    <x v="777"/>
    <x v="706"/>
    <n v="974045"/>
    <x v="139"/>
    <x v="14"/>
    <n v="90"/>
    <n v="999"/>
    <n v="999"/>
  </r>
  <r>
    <x v="1"/>
    <x v="105"/>
    <x v="6"/>
    <x v="1232"/>
    <x v="875"/>
    <n v="66.599999999999994"/>
    <n v="1.3"/>
    <n v="1"/>
    <n v="0"/>
    <n v="0"/>
    <n v="0"/>
    <n v="0"/>
    <n v="0"/>
    <x v="559"/>
    <x v="513"/>
    <n v="46545"/>
    <x v="134"/>
    <x v="48"/>
    <n v="31"/>
    <n v="80"/>
    <n v="200"/>
  </r>
  <r>
    <x v="1"/>
    <x v="25"/>
    <x v="4"/>
    <x v="472"/>
    <x v="49"/>
    <n v="0"/>
    <n v="6.8"/>
    <n v="0"/>
    <n v="0"/>
    <n v="0"/>
    <n v="0"/>
    <n v="0"/>
    <n v="0"/>
    <x v="687"/>
    <x v="624"/>
    <n v="13613"/>
    <x v="45"/>
    <x v="0"/>
    <n v="0"/>
    <n v="12"/>
    <n v="17"/>
  </r>
  <r>
    <x v="0"/>
    <x v="129"/>
    <x v="5"/>
    <x v="2"/>
    <x v="2"/>
    <n v="0"/>
    <n v="0"/>
    <n v="0"/>
    <n v="0"/>
    <n v="0"/>
    <n v="0"/>
    <n v="0"/>
    <n v="0"/>
    <x v="887"/>
    <x v="799"/>
    <n v="347307"/>
    <x v="2"/>
    <x v="1"/>
    <n v="0"/>
    <n v="30"/>
    <n v="49"/>
  </r>
  <r>
    <x v="2"/>
    <x v="124"/>
    <x v="7"/>
    <x v="1233"/>
    <x v="876"/>
    <n v="339.1"/>
    <n v="1.3"/>
    <n v="2.6"/>
    <n v="0"/>
    <n v="0"/>
    <n v="0"/>
    <n v="0"/>
    <n v="0"/>
    <x v="543"/>
    <x v="498"/>
    <n v="119716"/>
    <x v="491"/>
    <x v="126"/>
    <n v="406"/>
    <n v="65"/>
    <n v="79"/>
  </r>
  <r>
    <x v="2"/>
    <x v="75"/>
    <x v="0"/>
    <x v="1234"/>
    <x v="877"/>
    <n v="235.2"/>
    <n v="1.7"/>
    <n v="1.1000000000000001"/>
    <n v="319.7"/>
    <n v="149.69999999999999"/>
    <n v="197.8"/>
    <n v="2.1"/>
    <n v="1.6"/>
    <x v="635"/>
    <x v="576"/>
    <n v="1009629"/>
    <x v="492"/>
    <x v="394"/>
    <n v="2375"/>
    <n v="999"/>
    <n v="999"/>
  </r>
  <r>
    <x v="0"/>
    <x v="61"/>
    <x v="8"/>
    <x v="2"/>
    <x v="2"/>
    <n v="0"/>
    <n v="0"/>
    <n v="0"/>
    <n v="0"/>
    <n v="0"/>
    <n v="0"/>
    <n v="0"/>
    <n v="0"/>
    <x v="28"/>
    <x v="28"/>
    <n v="0"/>
    <x v="2"/>
    <x v="1"/>
    <n v="0"/>
    <n v="0"/>
    <n v="4"/>
  </r>
  <r>
    <x v="1"/>
    <x v="52"/>
    <x v="5"/>
    <x v="370"/>
    <x v="53"/>
    <n v="4.3"/>
    <n v="1.9"/>
    <n v="2.4"/>
    <n v="0"/>
    <n v="0"/>
    <n v="0"/>
    <n v="0"/>
    <n v="0"/>
    <x v="612"/>
    <x v="558"/>
    <n v="345420"/>
    <x v="16"/>
    <x v="75"/>
    <n v="15"/>
    <n v="30"/>
    <n v="49"/>
  </r>
  <r>
    <x v="2"/>
    <x v="48"/>
    <x v="4"/>
    <x v="175"/>
    <x v="451"/>
    <n v="6.7"/>
    <n v="2.7"/>
    <n v="3.3"/>
    <n v="0"/>
    <n v="0"/>
    <n v="0"/>
    <n v="0"/>
    <n v="0"/>
    <x v="756"/>
    <x v="686"/>
    <n v="44606"/>
    <x v="64"/>
    <x v="26"/>
    <n v="3"/>
    <n v="12"/>
    <n v="17"/>
  </r>
  <r>
    <x v="0"/>
    <x v="58"/>
    <x v="7"/>
    <x v="2"/>
    <x v="2"/>
    <n v="0"/>
    <n v="0"/>
    <n v="0"/>
    <n v="0"/>
    <n v="0"/>
    <n v="0"/>
    <n v="0"/>
    <n v="0"/>
    <x v="1075"/>
    <x v="953"/>
    <n v="171598"/>
    <x v="2"/>
    <x v="1"/>
    <n v="0"/>
    <n v="65"/>
    <n v="79"/>
  </r>
  <r>
    <x v="1"/>
    <x v="100"/>
    <x v="7"/>
    <x v="674"/>
    <x v="198"/>
    <n v="9"/>
    <n v="1.2"/>
    <n v="3.3"/>
    <n v="0"/>
    <n v="0"/>
    <n v="0"/>
    <n v="0"/>
    <n v="0"/>
    <x v="775"/>
    <x v="704"/>
    <n v="166138"/>
    <x v="35"/>
    <x v="23"/>
    <n v="15"/>
    <n v="65"/>
    <n v="79"/>
  </r>
  <r>
    <x v="0"/>
    <x v="91"/>
    <x v="4"/>
    <x v="2"/>
    <x v="2"/>
    <n v="0"/>
    <n v="0"/>
    <n v="0"/>
    <n v="0"/>
    <n v="0"/>
    <n v="0"/>
    <n v="0"/>
    <n v="0"/>
    <x v="968"/>
    <x v="868"/>
    <n v="44479"/>
    <x v="2"/>
    <x v="1"/>
    <n v="0"/>
    <n v="12"/>
    <n v="17"/>
  </r>
  <r>
    <x v="2"/>
    <x v="53"/>
    <x v="4"/>
    <x v="426"/>
    <x v="765"/>
    <n v="15.7"/>
    <n v="4.4000000000000004"/>
    <n v="1"/>
    <n v="0"/>
    <n v="0"/>
    <n v="0"/>
    <n v="0"/>
    <n v="0"/>
    <x v="1081"/>
    <x v="409"/>
    <n v="44579"/>
    <x v="13"/>
    <x v="39"/>
    <n v="7"/>
    <n v="12"/>
    <n v="17"/>
  </r>
  <r>
    <x v="1"/>
    <x v="88"/>
    <x v="0"/>
    <x v="21"/>
    <x v="51"/>
    <n v="0"/>
    <n v="4.0999999999999996"/>
    <n v="0"/>
    <n v="18.399999999999999"/>
    <n v="2.4"/>
    <n v="0"/>
    <n v="7.8"/>
    <n v="0"/>
    <x v="117"/>
    <x v="116"/>
    <n v="0"/>
    <x v="141"/>
    <x v="4"/>
    <n v="0"/>
    <n v="999"/>
    <n v="999"/>
  </r>
  <r>
    <x v="2"/>
    <x v="139"/>
    <x v="7"/>
    <x v="42"/>
    <x v="388"/>
    <n v="21"/>
    <n v="0.6"/>
    <n v="0.5"/>
    <n v="0"/>
    <n v="0"/>
    <n v="0"/>
    <n v="0"/>
    <n v="0"/>
    <x v="941"/>
    <x v="845"/>
    <n v="171739"/>
    <x v="20"/>
    <x v="5"/>
    <n v="36"/>
    <n v="65"/>
    <n v="79"/>
  </r>
  <r>
    <x v="0"/>
    <x v="48"/>
    <x v="5"/>
    <x v="2"/>
    <x v="2"/>
    <n v="0"/>
    <n v="0"/>
    <n v="0"/>
    <n v="0"/>
    <n v="0"/>
    <n v="0"/>
    <n v="0"/>
    <n v="0"/>
    <x v="1069"/>
    <x v="947"/>
    <n v="347612"/>
    <x v="2"/>
    <x v="1"/>
    <n v="0"/>
    <n v="30"/>
    <n v="49"/>
  </r>
  <r>
    <x v="0"/>
    <x v="41"/>
    <x v="5"/>
    <x v="2"/>
    <x v="2"/>
    <n v="0"/>
    <n v="0"/>
    <n v="0"/>
    <n v="0"/>
    <n v="0"/>
    <n v="0"/>
    <n v="0"/>
    <n v="0"/>
    <x v="911"/>
    <x v="819"/>
    <n v="344132"/>
    <x v="2"/>
    <x v="1"/>
    <n v="0"/>
    <n v="30"/>
    <n v="49"/>
  </r>
  <r>
    <x v="0"/>
    <x v="8"/>
    <x v="1"/>
    <x v="650"/>
    <x v="2"/>
    <n v="0"/>
    <n v="0"/>
    <n v="0"/>
    <n v="0"/>
    <n v="0"/>
    <n v="0"/>
    <n v="0"/>
    <n v="0"/>
    <x v="866"/>
    <x v="784"/>
    <n v="0"/>
    <x v="24"/>
    <x v="1"/>
    <n v="0"/>
    <n v="50"/>
    <n v="64"/>
  </r>
  <r>
    <x v="1"/>
    <x v="47"/>
    <x v="0"/>
    <x v="426"/>
    <x v="10"/>
    <n v="13.1"/>
    <n v="2.2999999999999998"/>
    <n v="1.2"/>
    <n v="21.9"/>
    <n v="10.4"/>
    <n v="9.4"/>
    <n v="2.1"/>
    <n v="2.2999999999999998"/>
    <x v="1022"/>
    <x v="911"/>
    <n v="1040060"/>
    <x v="176"/>
    <x v="181"/>
    <n v="136"/>
    <n v="999"/>
    <n v="999"/>
  </r>
  <r>
    <x v="0"/>
    <x v="92"/>
    <x v="2"/>
    <x v="2"/>
    <x v="2"/>
    <n v="0"/>
    <n v="0"/>
    <n v="0"/>
    <n v="0"/>
    <n v="0"/>
    <n v="0"/>
    <n v="0"/>
    <n v="0"/>
    <x v="905"/>
    <x v="815"/>
    <n v="21223"/>
    <x v="2"/>
    <x v="1"/>
    <n v="0"/>
    <n v="5"/>
    <n v="11"/>
  </r>
  <r>
    <x v="0"/>
    <x v="44"/>
    <x v="1"/>
    <x v="17"/>
    <x v="116"/>
    <n v="0.9"/>
    <n v="4.0999999999999996"/>
    <n v="9.6"/>
    <n v="0"/>
    <n v="0"/>
    <n v="0"/>
    <n v="0"/>
    <n v="0"/>
    <x v="43"/>
    <x v="43"/>
    <n v="217214"/>
    <x v="20"/>
    <x v="39"/>
    <n v="2"/>
    <n v="50"/>
    <n v="64"/>
  </r>
  <r>
    <x v="1"/>
    <x v="73"/>
    <x v="0"/>
    <x v="21"/>
    <x v="166"/>
    <n v="9.3000000000000007"/>
    <n v="2.2000000000000002"/>
    <n v="1.4"/>
    <n v="16"/>
    <n v="7.3"/>
    <n v="6.4"/>
    <n v="2.2000000000000002"/>
    <n v="2.5"/>
    <x v="841"/>
    <x v="761"/>
    <n v="992967"/>
    <x v="63"/>
    <x v="94"/>
    <n v="92"/>
    <n v="999"/>
    <n v="999"/>
  </r>
  <r>
    <x v="0"/>
    <x v="78"/>
    <x v="5"/>
    <x v="212"/>
    <x v="2"/>
    <n v="0"/>
    <n v="0"/>
    <n v="0"/>
    <n v="0"/>
    <n v="0"/>
    <n v="0"/>
    <n v="0"/>
    <n v="0"/>
    <x v="234"/>
    <x v="224"/>
    <n v="0"/>
    <x v="20"/>
    <x v="1"/>
    <n v="0"/>
    <n v="30"/>
    <n v="49"/>
  </r>
  <r>
    <x v="1"/>
    <x v="110"/>
    <x v="7"/>
    <x v="472"/>
    <x v="684"/>
    <n v="14.6"/>
    <n v="0.2"/>
    <n v="0.5"/>
    <n v="0"/>
    <n v="0"/>
    <n v="0"/>
    <n v="0"/>
    <n v="0"/>
    <x v="323"/>
    <x v="67"/>
    <n v="171395"/>
    <x v="45"/>
    <x v="23"/>
    <n v="25"/>
    <n v="65"/>
    <n v="79"/>
  </r>
  <r>
    <x v="0"/>
    <x v="37"/>
    <x v="1"/>
    <x v="132"/>
    <x v="2"/>
    <n v="0.4"/>
    <n v="0"/>
    <n v="7.8"/>
    <n v="0"/>
    <n v="0"/>
    <n v="0"/>
    <n v="0"/>
    <n v="0"/>
    <x v="64"/>
    <x v="64"/>
    <n v="246933"/>
    <x v="1"/>
    <x v="1"/>
    <n v="1"/>
    <n v="50"/>
    <n v="64"/>
  </r>
  <r>
    <x v="1"/>
    <x v="16"/>
    <x v="3"/>
    <x v="1235"/>
    <x v="878"/>
    <n v="9.6999999999999993"/>
    <n v="4.8"/>
    <n v="8.9"/>
    <n v="0"/>
    <n v="0"/>
    <n v="0"/>
    <n v="0"/>
    <n v="0"/>
    <x v="923"/>
    <x v="830"/>
    <n v="72360"/>
    <x v="3"/>
    <x v="175"/>
    <n v="7"/>
    <n v="18"/>
    <n v="29"/>
  </r>
  <r>
    <x v="1"/>
    <x v="6"/>
    <x v="2"/>
    <x v="2"/>
    <x v="17"/>
    <n v="0"/>
    <n v="0"/>
    <n v="0"/>
    <n v="0"/>
    <n v="0"/>
    <n v="0"/>
    <n v="0"/>
    <n v="0"/>
    <x v="6"/>
    <x v="6"/>
    <n v="18308"/>
    <x v="2"/>
    <x v="0"/>
    <n v="0"/>
    <n v="5"/>
    <n v="11"/>
  </r>
  <r>
    <x v="2"/>
    <x v="99"/>
    <x v="3"/>
    <x v="1236"/>
    <x v="879"/>
    <n v="126.2"/>
    <n v="2.8"/>
    <n v="1.7"/>
    <n v="0"/>
    <n v="0"/>
    <n v="0"/>
    <n v="0"/>
    <n v="0"/>
    <x v="1030"/>
    <x v="916"/>
    <n v="129112"/>
    <x v="480"/>
    <x v="343"/>
    <n v="163"/>
    <n v="18"/>
    <n v="29"/>
  </r>
  <r>
    <x v="1"/>
    <x v="120"/>
    <x v="7"/>
    <x v="1132"/>
    <x v="390"/>
    <n v="12.2"/>
    <n v="1.1000000000000001"/>
    <n v="1"/>
    <n v="0"/>
    <n v="0"/>
    <n v="0"/>
    <n v="0"/>
    <n v="0"/>
    <x v="951"/>
    <x v="854"/>
    <n v="171712"/>
    <x v="13"/>
    <x v="21"/>
    <n v="21"/>
    <n v="65"/>
    <n v="79"/>
  </r>
  <r>
    <x v="1"/>
    <x v="121"/>
    <x v="0"/>
    <x v="946"/>
    <x v="519"/>
    <n v="0"/>
    <n v="12.7"/>
    <n v="0"/>
    <n v="27.5"/>
    <n v="1"/>
    <n v="0"/>
    <n v="27.1"/>
    <n v="0"/>
    <x v="953"/>
    <x v="856"/>
    <n v="0"/>
    <x v="493"/>
    <x v="17"/>
    <n v="0"/>
    <n v="999"/>
    <n v="999"/>
  </r>
  <r>
    <x v="1"/>
    <x v="71"/>
    <x v="1"/>
    <x v="251"/>
    <x v="49"/>
    <n v="0"/>
    <n v="6.3"/>
    <n v="0"/>
    <n v="0"/>
    <n v="0"/>
    <n v="0"/>
    <n v="0"/>
    <n v="0"/>
    <x v="84"/>
    <x v="84"/>
    <n v="0"/>
    <x v="64"/>
    <x v="39"/>
    <n v="0"/>
    <n v="50"/>
    <n v="64"/>
  </r>
  <r>
    <x v="0"/>
    <x v="94"/>
    <x v="2"/>
    <x v="2"/>
    <x v="2"/>
    <n v="0"/>
    <n v="0"/>
    <n v="0"/>
    <n v="0"/>
    <n v="0"/>
    <n v="0"/>
    <n v="0"/>
    <n v="0"/>
    <x v="1052"/>
    <x v="934"/>
    <n v="21179"/>
    <x v="2"/>
    <x v="1"/>
    <n v="0"/>
    <n v="5"/>
    <n v="11"/>
  </r>
  <r>
    <x v="2"/>
    <x v="102"/>
    <x v="5"/>
    <x v="1237"/>
    <x v="612"/>
    <n v="44"/>
    <n v="3"/>
    <n v="1.1000000000000001"/>
    <n v="0"/>
    <n v="0"/>
    <n v="0"/>
    <n v="0"/>
    <n v="0"/>
    <x v="517"/>
    <x v="473"/>
    <n v="317904"/>
    <x v="47"/>
    <x v="298"/>
    <n v="140"/>
    <n v="30"/>
    <n v="49"/>
  </r>
  <r>
    <x v="1"/>
    <x v="37"/>
    <x v="5"/>
    <x v="28"/>
    <x v="38"/>
    <n v="0.3"/>
    <n v="2.7"/>
    <n v="6.3"/>
    <n v="0"/>
    <n v="0"/>
    <n v="0"/>
    <n v="0"/>
    <n v="0"/>
    <x v="280"/>
    <x v="78"/>
    <n v="347313"/>
    <x v="0"/>
    <x v="11"/>
    <n v="1"/>
    <n v="30"/>
    <n v="49"/>
  </r>
  <r>
    <x v="1"/>
    <x v="111"/>
    <x v="4"/>
    <x v="334"/>
    <x v="2"/>
    <n v="2.2999999999999998"/>
    <n v="0"/>
    <n v="3.7"/>
    <n v="0"/>
    <n v="0"/>
    <n v="0"/>
    <n v="0"/>
    <n v="0"/>
    <x v="787"/>
    <x v="714"/>
    <n v="43599"/>
    <x v="45"/>
    <x v="1"/>
    <n v="1"/>
    <n v="12"/>
    <n v="17"/>
  </r>
  <r>
    <x v="2"/>
    <x v="116"/>
    <x v="7"/>
    <x v="463"/>
    <x v="369"/>
    <n v="48.9"/>
    <n v="1.3"/>
    <n v="1.4"/>
    <n v="0"/>
    <n v="0"/>
    <n v="0"/>
    <n v="0"/>
    <n v="0"/>
    <x v="421"/>
    <x v="57"/>
    <n v="171755"/>
    <x v="17"/>
    <x v="97"/>
    <n v="84"/>
    <n v="65"/>
    <n v="79"/>
  </r>
  <r>
    <x v="1"/>
    <x v="43"/>
    <x v="4"/>
    <x v="2"/>
    <x v="2"/>
    <n v="0"/>
    <n v="0"/>
    <n v="0"/>
    <n v="0"/>
    <n v="0"/>
    <n v="0"/>
    <n v="0"/>
    <n v="0"/>
    <x v="252"/>
    <x v="241"/>
    <n v="44590"/>
    <x v="2"/>
    <x v="1"/>
    <n v="0"/>
    <n v="12"/>
    <n v="17"/>
  </r>
  <r>
    <x v="2"/>
    <x v="139"/>
    <x v="6"/>
    <x v="282"/>
    <x v="2"/>
    <n v="53"/>
    <n v="0"/>
    <n v="0.5"/>
    <n v="0"/>
    <n v="0"/>
    <n v="0"/>
    <n v="0"/>
    <n v="0"/>
    <x v="492"/>
    <x v="101"/>
    <n v="47130"/>
    <x v="18"/>
    <x v="1"/>
    <n v="25"/>
    <n v="80"/>
    <n v="200"/>
  </r>
  <r>
    <x v="2"/>
    <x v="92"/>
    <x v="1"/>
    <x v="1238"/>
    <x v="723"/>
    <n v="45"/>
    <n v="2.2999999999999998"/>
    <n v="1.7"/>
    <n v="0"/>
    <n v="0"/>
    <n v="0"/>
    <n v="0"/>
    <n v="0"/>
    <x v="456"/>
    <x v="422"/>
    <n v="246895"/>
    <x v="17"/>
    <x v="34"/>
    <n v="111"/>
    <n v="50"/>
    <n v="64"/>
  </r>
  <r>
    <x v="1"/>
    <x v="111"/>
    <x v="1"/>
    <x v="1239"/>
    <x v="123"/>
    <n v="8.1"/>
    <n v="5.3"/>
    <n v="5.2"/>
    <n v="0"/>
    <n v="0"/>
    <n v="0"/>
    <n v="0"/>
    <n v="0"/>
    <x v="674"/>
    <x v="612"/>
    <n v="245831"/>
    <x v="134"/>
    <x v="17"/>
    <n v="20"/>
    <n v="50"/>
    <n v="64"/>
  </r>
  <r>
    <x v="1"/>
    <x v="104"/>
    <x v="7"/>
    <x v="1240"/>
    <x v="193"/>
    <n v="4.9000000000000004"/>
    <n v="5.3"/>
    <n v="21.2"/>
    <n v="0"/>
    <n v="0"/>
    <n v="0"/>
    <n v="0"/>
    <n v="0"/>
    <x v="168"/>
    <x v="165"/>
    <n v="81384"/>
    <x v="177"/>
    <x v="133"/>
    <n v="4"/>
    <n v="65"/>
    <n v="79"/>
  </r>
  <r>
    <x v="0"/>
    <x v="36"/>
    <x v="3"/>
    <x v="2"/>
    <x v="2"/>
    <n v="0"/>
    <n v="0"/>
    <n v="0"/>
    <n v="0"/>
    <n v="0"/>
    <n v="0"/>
    <n v="0"/>
    <n v="0"/>
    <x v="734"/>
    <x v="666"/>
    <n v="161646"/>
    <x v="2"/>
    <x v="1"/>
    <n v="0"/>
    <n v="18"/>
    <n v="29"/>
  </r>
  <r>
    <x v="0"/>
    <x v="114"/>
    <x v="7"/>
    <x v="234"/>
    <x v="34"/>
    <n v="0.6"/>
    <n v="1"/>
    <n v="3.8"/>
    <n v="0"/>
    <n v="0"/>
    <n v="0"/>
    <n v="0"/>
    <n v="0"/>
    <x v="1073"/>
    <x v="951"/>
    <n v="171472"/>
    <x v="1"/>
    <x v="0"/>
    <n v="1"/>
    <n v="65"/>
    <n v="79"/>
  </r>
  <r>
    <x v="0"/>
    <x v="135"/>
    <x v="4"/>
    <x v="2"/>
    <x v="2"/>
    <n v="0"/>
    <n v="0"/>
    <n v="0"/>
    <n v="0"/>
    <n v="0"/>
    <n v="0"/>
    <n v="0"/>
    <n v="0"/>
    <x v="979"/>
    <x v="877"/>
    <n v="0"/>
    <x v="2"/>
    <x v="1"/>
    <n v="0"/>
    <n v="12"/>
    <n v="17"/>
  </r>
  <r>
    <x v="2"/>
    <x v="1"/>
    <x v="6"/>
    <x v="1241"/>
    <x v="741"/>
    <n v="97.6"/>
    <n v="0.7"/>
    <n v="0.7"/>
    <n v="0"/>
    <n v="0"/>
    <n v="0"/>
    <n v="0"/>
    <n v="0"/>
    <x v="845"/>
    <x v="766"/>
    <n v="47121"/>
    <x v="134"/>
    <x v="23"/>
    <n v="46"/>
    <n v="80"/>
    <n v="200"/>
  </r>
  <r>
    <x v="0"/>
    <x v="63"/>
    <x v="4"/>
    <x v="2"/>
    <x v="2"/>
    <n v="0"/>
    <n v="0"/>
    <n v="0"/>
    <n v="0"/>
    <n v="0"/>
    <n v="0"/>
    <n v="0"/>
    <n v="0"/>
    <x v="921"/>
    <x v="828"/>
    <n v="44495"/>
    <x v="2"/>
    <x v="1"/>
    <n v="0"/>
    <n v="12"/>
    <n v="17"/>
  </r>
  <r>
    <x v="0"/>
    <x v="65"/>
    <x v="3"/>
    <x v="2"/>
    <x v="2"/>
    <n v="0"/>
    <n v="0"/>
    <n v="0"/>
    <n v="0"/>
    <n v="0"/>
    <n v="0"/>
    <n v="0"/>
    <n v="0"/>
    <x v="134"/>
    <x v="133"/>
    <n v="0"/>
    <x v="2"/>
    <x v="1"/>
    <n v="0"/>
    <n v="18"/>
    <n v="29"/>
  </r>
  <r>
    <x v="1"/>
    <x v="17"/>
    <x v="5"/>
    <x v="212"/>
    <x v="2"/>
    <n v="0"/>
    <n v="0"/>
    <n v="0"/>
    <n v="0"/>
    <n v="0"/>
    <n v="0"/>
    <n v="0"/>
    <n v="0"/>
    <x v="642"/>
    <x v="583"/>
    <n v="347308"/>
    <x v="1"/>
    <x v="1"/>
    <n v="0"/>
    <n v="30"/>
    <n v="49"/>
  </r>
  <r>
    <x v="2"/>
    <x v="126"/>
    <x v="1"/>
    <x v="1242"/>
    <x v="880"/>
    <n v="46.2"/>
    <n v="3.4"/>
    <n v="2.6"/>
    <n v="0"/>
    <n v="0"/>
    <n v="0"/>
    <n v="0"/>
    <n v="0"/>
    <x v="962"/>
    <x v="863"/>
    <n v="246942"/>
    <x v="155"/>
    <x v="73"/>
    <n v="114"/>
    <n v="50"/>
    <n v="64"/>
  </r>
  <r>
    <x v="2"/>
    <x v="139"/>
    <x v="3"/>
    <x v="109"/>
    <x v="152"/>
    <n v="5.6"/>
    <n v="4.2"/>
    <n v="3.8"/>
    <n v="0"/>
    <n v="0"/>
    <n v="0"/>
    <n v="0"/>
    <n v="0"/>
    <x v="1060"/>
    <x v="249"/>
    <n v="161700"/>
    <x v="91"/>
    <x v="7"/>
    <n v="9"/>
    <n v="18"/>
    <n v="29"/>
  </r>
  <r>
    <x v="2"/>
    <x v="33"/>
    <x v="1"/>
    <x v="146"/>
    <x v="56"/>
    <n v="15"/>
    <n v="3.3"/>
    <n v="1.2"/>
    <n v="0"/>
    <n v="0"/>
    <n v="0"/>
    <n v="0"/>
    <n v="0"/>
    <x v="829"/>
    <x v="65"/>
    <n v="246933"/>
    <x v="18"/>
    <x v="26"/>
    <n v="37"/>
    <n v="50"/>
    <n v="64"/>
  </r>
  <r>
    <x v="1"/>
    <x v="95"/>
    <x v="3"/>
    <x v="405"/>
    <x v="103"/>
    <n v="2.5"/>
    <n v="3.9"/>
    <n v="5.2"/>
    <n v="0"/>
    <n v="0"/>
    <n v="0"/>
    <n v="0"/>
    <n v="0"/>
    <x v="1057"/>
    <x v="939"/>
    <n v="156874"/>
    <x v="27"/>
    <x v="26"/>
    <n v="4"/>
    <n v="18"/>
    <n v="29"/>
  </r>
  <r>
    <x v="2"/>
    <x v="32"/>
    <x v="4"/>
    <x v="1088"/>
    <x v="479"/>
    <n v="62.9"/>
    <n v="4.5999999999999996"/>
    <n v="1.4"/>
    <n v="0"/>
    <n v="0"/>
    <n v="0"/>
    <n v="0"/>
    <n v="0"/>
    <x v="198"/>
    <x v="192"/>
    <n v="44511"/>
    <x v="31"/>
    <x v="36"/>
    <n v="28"/>
    <n v="12"/>
    <n v="17"/>
  </r>
  <r>
    <x v="1"/>
    <x v="48"/>
    <x v="0"/>
    <x v="372"/>
    <x v="34"/>
    <n v="4.4000000000000004"/>
    <n v="2.5"/>
    <n v="1.3"/>
    <n v="7.2"/>
    <n v="3.7"/>
    <n v="2.8"/>
    <n v="1.9"/>
    <n v="2.5"/>
    <x v="401"/>
    <x v="375"/>
    <n v="1041683"/>
    <x v="71"/>
    <x v="31"/>
    <n v="46"/>
    <n v="999"/>
    <n v="999"/>
  </r>
  <r>
    <x v="1"/>
    <x v="70"/>
    <x v="5"/>
    <x v="197"/>
    <x v="127"/>
    <n v="1.4"/>
    <n v="0.9"/>
    <n v="1.9"/>
    <n v="0"/>
    <n v="0"/>
    <n v="0"/>
    <n v="0"/>
    <n v="0"/>
    <x v="246"/>
    <x v="235"/>
    <n v="347286"/>
    <x v="45"/>
    <x v="5"/>
    <n v="5"/>
    <n v="30"/>
    <n v="49"/>
  </r>
  <r>
    <x v="0"/>
    <x v="121"/>
    <x v="4"/>
    <x v="2"/>
    <x v="2"/>
    <n v="0"/>
    <n v="0"/>
    <n v="0"/>
    <n v="0"/>
    <n v="0"/>
    <n v="0"/>
    <n v="0"/>
    <n v="0"/>
    <x v="618"/>
    <x v="28"/>
    <n v="0"/>
    <x v="2"/>
    <x v="1"/>
    <n v="0"/>
    <n v="12"/>
    <n v="17"/>
  </r>
  <r>
    <x v="0"/>
    <x v="101"/>
    <x v="2"/>
    <x v="212"/>
    <x v="2"/>
    <n v="0"/>
    <n v="0"/>
    <n v="0"/>
    <n v="0"/>
    <n v="0"/>
    <n v="0"/>
    <n v="0"/>
    <n v="0"/>
    <x v="1070"/>
    <x v="948"/>
    <n v="0"/>
    <x v="1"/>
    <x v="1"/>
    <n v="0"/>
    <n v="5"/>
    <n v="11"/>
  </r>
  <r>
    <x v="0"/>
    <x v="101"/>
    <x v="1"/>
    <x v="75"/>
    <x v="2"/>
    <n v="0"/>
    <n v="0"/>
    <n v="0"/>
    <n v="0"/>
    <n v="0"/>
    <n v="0"/>
    <n v="0"/>
    <n v="0"/>
    <x v="154"/>
    <x v="151"/>
    <n v="219986"/>
    <x v="1"/>
    <x v="1"/>
    <n v="0"/>
    <n v="50"/>
    <n v="64"/>
  </r>
  <r>
    <x v="2"/>
    <x v="113"/>
    <x v="7"/>
    <x v="1199"/>
    <x v="317"/>
    <n v="53"/>
    <n v="1.7"/>
    <n v="1"/>
    <n v="0"/>
    <n v="0"/>
    <n v="0"/>
    <n v="0"/>
    <n v="0"/>
    <x v="628"/>
    <x v="571"/>
    <n v="171823"/>
    <x v="29"/>
    <x v="38"/>
    <n v="91"/>
    <n v="65"/>
    <n v="79"/>
  </r>
  <r>
    <x v="2"/>
    <x v="22"/>
    <x v="5"/>
    <x v="1243"/>
    <x v="209"/>
    <n v="157"/>
    <n v="2.2999999999999998"/>
    <n v="1.8"/>
    <n v="0"/>
    <n v="0"/>
    <n v="0"/>
    <n v="0"/>
    <n v="0"/>
    <x v="896"/>
    <x v="807"/>
    <n v="347125"/>
    <x v="184"/>
    <x v="395"/>
    <n v="545"/>
    <n v="30"/>
    <n v="49"/>
  </r>
  <r>
    <x v="0"/>
    <x v="61"/>
    <x v="2"/>
    <x v="2"/>
    <x v="2"/>
    <n v="0"/>
    <n v="0"/>
    <n v="0"/>
    <n v="0"/>
    <n v="0"/>
    <n v="0"/>
    <n v="0"/>
    <n v="0"/>
    <x v="945"/>
    <x v="382"/>
    <n v="21266"/>
    <x v="2"/>
    <x v="1"/>
    <n v="0"/>
    <n v="5"/>
    <n v="11"/>
  </r>
  <r>
    <x v="2"/>
    <x v="74"/>
    <x v="1"/>
    <x v="1244"/>
    <x v="46"/>
    <n v="34.4"/>
    <n v="2.9"/>
    <n v="2.6"/>
    <n v="0"/>
    <n v="0"/>
    <n v="0"/>
    <n v="0"/>
    <n v="0"/>
    <x v="689"/>
    <x v="626"/>
    <n v="247254"/>
    <x v="48"/>
    <x v="33"/>
    <n v="85"/>
    <n v="50"/>
    <n v="64"/>
  </r>
  <r>
    <x v="0"/>
    <x v="36"/>
    <x v="4"/>
    <x v="2"/>
    <x v="2"/>
    <n v="0"/>
    <n v="0"/>
    <n v="0"/>
    <n v="0"/>
    <n v="0"/>
    <n v="0"/>
    <n v="0"/>
    <n v="0"/>
    <x v="607"/>
    <x v="554"/>
    <n v="44558"/>
    <x v="2"/>
    <x v="1"/>
    <n v="0"/>
    <n v="12"/>
    <n v="17"/>
  </r>
  <r>
    <x v="0"/>
    <x v="17"/>
    <x v="4"/>
    <x v="2"/>
    <x v="2"/>
    <n v="0"/>
    <n v="0"/>
    <n v="0"/>
    <n v="0"/>
    <n v="0"/>
    <n v="0"/>
    <n v="0"/>
    <n v="0"/>
    <x v="984"/>
    <x v="882"/>
    <n v="44588"/>
    <x v="2"/>
    <x v="1"/>
    <n v="0"/>
    <n v="12"/>
    <n v="17"/>
  </r>
  <r>
    <x v="2"/>
    <x v="38"/>
    <x v="1"/>
    <x v="1245"/>
    <x v="483"/>
    <n v="57.5"/>
    <n v="2.2999999999999998"/>
    <n v="1.8"/>
    <n v="0"/>
    <n v="0"/>
    <n v="0"/>
    <n v="0"/>
    <n v="0"/>
    <x v="38"/>
    <x v="38"/>
    <n v="246940"/>
    <x v="75"/>
    <x v="288"/>
    <n v="142"/>
    <n v="50"/>
    <n v="64"/>
  </r>
  <r>
    <x v="2"/>
    <x v="72"/>
    <x v="6"/>
    <x v="398"/>
    <x v="290"/>
    <n v="78.5"/>
    <n v="0.5"/>
    <n v="0.4"/>
    <n v="0"/>
    <n v="0"/>
    <n v="0"/>
    <n v="0"/>
    <n v="0"/>
    <x v="879"/>
    <x v="97"/>
    <n v="47128"/>
    <x v="64"/>
    <x v="48"/>
    <n v="37"/>
    <n v="80"/>
    <n v="200"/>
  </r>
  <r>
    <x v="0"/>
    <x v="121"/>
    <x v="7"/>
    <x v="222"/>
    <x v="2"/>
    <n v="0"/>
    <n v="0"/>
    <n v="0"/>
    <n v="0"/>
    <n v="0"/>
    <n v="0"/>
    <n v="0"/>
    <n v="0"/>
    <x v="526"/>
    <x v="481"/>
    <n v="0"/>
    <x v="16"/>
    <x v="1"/>
    <n v="0"/>
    <n v="65"/>
    <n v="79"/>
  </r>
  <r>
    <x v="2"/>
    <x v="25"/>
    <x v="1"/>
    <x v="1246"/>
    <x v="881"/>
    <n v="175"/>
    <n v="3.2"/>
    <n v="3.1"/>
    <n v="0"/>
    <n v="0"/>
    <n v="0"/>
    <n v="0"/>
    <n v="0"/>
    <x v="394"/>
    <x v="369"/>
    <n v="193153"/>
    <x v="347"/>
    <x v="396"/>
    <n v="338"/>
    <n v="50"/>
    <n v="64"/>
  </r>
  <r>
    <x v="2"/>
    <x v="127"/>
    <x v="6"/>
    <x v="1247"/>
    <x v="882"/>
    <n v="477.3"/>
    <n v="1"/>
    <n v="2.1"/>
    <n v="0"/>
    <n v="0"/>
    <n v="0"/>
    <n v="0"/>
    <n v="0"/>
    <x v="338"/>
    <x v="316"/>
    <n v="38129"/>
    <x v="494"/>
    <x v="366"/>
    <n v="182"/>
    <n v="80"/>
    <n v="200"/>
  </r>
  <r>
    <x v="0"/>
    <x v="119"/>
    <x v="0"/>
    <x v="113"/>
    <x v="2"/>
    <n v="0.3"/>
    <n v="0"/>
    <n v="0.7"/>
    <n v="0.3"/>
    <n v="0"/>
    <n v="0.2"/>
    <n v="0"/>
    <n v="1.3"/>
    <x v="542"/>
    <x v="497"/>
    <n v="1045972"/>
    <x v="1"/>
    <x v="1"/>
    <n v="3"/>
    <n v="999"/>
    <n v="999"/>
  </r>
  <r>
    <x v="2"/>
    <x v="18"/>
    <x v="7"/>
    <x v="1248"/>
    <x v="883"/>
    <n v="194"/>
    <n v="1.5"/>
    <n v="1"/>
    <n v="0"/>
    <n v="0"/>
    <n v="0"/>
    <n v="0"/>
    <n v="0"/>
    <x v="1044"/>
    <x v="927"/>
    <n v="165480"/>
    <x v="187"/>
    <x v="111"/>
    <n v="321"/>
    <n v="65"/>
    <n v="79"/>
  </r>
  <r>
    <x v="0"/>
    <x v="95"/>
    <x v="3"/>
    <x v="2"/>
    <x v="2"/>
    <n v="0"/>
    <n v="0"/>
    <n v="0"/>
    <n v="0"/>
    <n v="0"/>
    <n v="0"/>
    <n v="0"/>
    <n v="0"/>
    <x v="1057"/>
    <x v="939"/>
    <n v="156874"/>
    <x v="2"/>
    <x v="1"/>
    <n v="0"/>
    <n v="18"/>
    <n v="29"/>
  </r>
  <r>
    <x v="2"/>
    <x v="23"/>
    <x v="6"/>
    <x v="1249"/>
    <x v="884"/>
    <n v="246.3"/>
    <n v="0.5"/>
    <n v="0.7"/>
    <n v="0"/>
    <n v="0"/>
    <n v="0"/>
    <n v="0"/>
    <n v="0"/>
    <x v="1063"/>
    <x v="766"/>
    <n v="47102"/>
    <x v="117"/>
    <x v="34"/>
    <n v="116"/>
    <n v="80"/>
    <n v="200"/>
  </r>
  <r>
    <x v="1"/>
    <x v="78"/>
    <x v="1"/>
    <x v="407"/>
    <x v="36"/>
    <n v="0"/>
    <n v="21.2"/>
    <n v="0"/>
    <n v="0"/>
    <n v="0"/>
    <n v="0"/>
    <n v="0"/>
    <n v="0"/>
    <x v="428"/>
    <x v="399"/>
    <n v="0"/>
    <x v="326"/>
    <x v="11"/>
    <n v="0"/>
    <n v="50"/>
    <n v="64"/>
  </r>
  <r>
    <x v="0"/>
    <x v="133"/>
    <x v="5"/>
    <x v="93"/>
    <x v="2"/>
    <n v="0"/>
    <n v="0"/>
    <n v="0"/>
    <n v="0"/>
    <n v="0"/>
    <n v="0"/>
    <n v="0"/>
    <n v="0"/>
    <x v="922"/>
    <x v="829"/>
    <n v="0"/>
    <x v="13"/>
    <x v="1"/>
    <n v="0"/>
    <n v="30"/>
    <n v="49"/>
  </r>
  <r>
    <x v="1"/>
    <x v="82"/>
    <x v="5"/>
    <x v="212"/>
    <x v="19"/>
    <n v="0"/>
    <n v="2.2000000000000002"/>
    <n v="0"/>
    <n v="0"/>
    <n v="0"/>
    <n v="0"/>
    <n v="0"/>
    <n v="0"/>
    <x v="932"/>
    <x v="583"/>
    <n v="347309"/>
    <x v="1"/>
    <x v="0"/>
    <n v="0"/>
    <n v="30"/>
    <n v="49"/>
  </r>
  <r>
    <x v="0"/>
    <x v="40"/>
    <x v="7"/>
    <x v="755"/>
    <x v="2"/>
    <n v="0"/>
    <n v="0"/>
    <n v="0"/>
    <n v="0"/>
    <n v="0"/>
    <n v="0"/>
    <n v="0"/>
    <n v="0"/>
    <x v="40"/>
    <x v="40"/>
    <n v="0"/>
    <x v="24"/>
    <x v="1"/>
    <n v="0"/>
    <n v="65"/>
    <n v="79"/>
  </r>
  <r>
    <x v="2"/>
    <x v="21"/>
    <x v="3"/>
    <x v="1250"/>
    <x v="597"/>
    <n v="0"/>
    <n v="2.6"/>
    <n v="0"/>
    <n v="0"/>
    <n v="0"/>
    <n v="0"/>
    <n v="0"/>
    <n v="0"/>
    <x v="562"/>
    <x v="516"/>
    <n v="0"/>
    <x v="495"/>
    <x v="205"/>
    <n v="0"/>
    <n v="18"/>
    <n v="29"/>
  </r>
  <r>
    <x v="2"/>
    <x v="136"/>
    <x v="0"/>
    <x v="1251"/>
    <x v="885"/>
    <n v="0"/>
    <n v="2.6"/>
    <n v="0"/>
    <n v="215.4"/>
    <n v="61.6"/>
    <n v="0"/>
    <n v="3.5"/>
    <n v="0"/>
    <x v="688"/>
    <x v="625"/>
    <n v="0"/>
    <x v="496"/>
    <x v="397"/>
    <n v="0"/>
    <n v="999"/>
    <n v="999"/>
  </r>
  <r>
    <x v="2"/>
    <x v="29"/>
    <x v="5"/>
    <x v="1252"/>
    <x v="886"/>
    <n v="301.3"/>
    <n v="2.1"/>
    <n v="1.1000000000000001"/>
    <n v="0"/>
    <n v="0"/>
    <n v="0"/>
    <n v="0"/>
    <n v="0"/>
    <x v="1085"/>
    <x v="961"/>
    <n v="338834"/>
    <x v="497"/>
    <x v="398"/>
    <n v="1021"/>
    <n v="30"/>
    <n v="49"/>
  </r>
  <r>
    <x v="0"/>
    <x v="19"/>
    <x v="7"/>
    <x v="2"/>
    <x v="34"/>
    <n v="0"/>
    <n v="0"/>
    <n v="0"/>
    <n v="0"/>
    <n v="0"/>
    <n v="0"/>
    <n v="0"/>
    <n v="0"/>
    <x v="21"/>
    <x v="21"/>
    <n v="171648"/>
    <x v="2"/>
    <x v="0"/>
    <n v="0"/>
    <n v="65"/>
    <n v="79"/>
  </r>
  <r>
    <x v="2"/>
    <x v="87"/>
    <x v="1"/>
    <x v="1253"/>
    <x v="887"/>
    <n v="35.799999999999997"/>
    <n v="4"/>
    <n v="6.7"/>
    <n v="0"/>
    <n v="0"/>
    <n v="0"/>
    <n v="0"/>
    <n v="0"/>
    <x v="924"/>
    <x v="831"/>
    <n v="25135"/>
    <x v="11"/>
    <x v="374"/>
    <n v="9"/>
    <n v="50"/>
    <n v="64"/>
  </r>
  <r>
    <x v="1"/>
    <x v="67"/>
    <x v="1"/>
    <x v="1254"/>
    <x v="888"/>
    <n v="6.1"/>
    <n v="3.5"/>
    <n v="6.3"/>
    <n v="0"/>
    <n v="0"/>
    <n v="0"/>
    <n v="0"/>
    <n v="0"/>
    <x v="956"/>
    <x v="859"/>
    <n v="246869"/>
    <x v="16"/>
    <x v="52"/>
    <n v="15"/>
    <n v="50"/>
    <n v="64"/>
  </r>
  <r>
    <x v="2"/>
    <x v="109"/>
    <x v="1"/>
    <x v="1255"/>
    <x v="889"/>
    <n v="104.1"/>
    <n v="2.9"/>
    <n v="2.2999999999999998"/>
    <n v="0"/>
    <n v="0"/>
    <n v="0"/>
    <n v="0"/>
    <n v="0"/>
    <x v="937"/>
    <x v="841"/>
    <n v="246834"/>
    <x v="21"/>
    <x v="45"/>
    <n v="257"/>
    <n v="50"/>
    <n v="64"/>
  </r>
  <r>
    <x v="2"/>
    <x v="139"/>
    <x v="2"/>
    <x v="698"/>
    <x v="2"/>
    <n v="0"/>
    <n v="0"/>
    <n v="0"/>
    <n v="0"/>
    <n v="0"/>
    <n v="0"/>
    <n v="0"/>
    <n v="0"/>
    <x v="697"/>
    <x v="633"/>
    <n v="21251"/>
    <x v="18"/>
    <x v="1"/>
    <n v="0"/>
    <n v="5"/>
    <n v="11"/>
  </r>
  <r>
    <x v="2"/>
    <x v="6"/>
    <x v="0"/>
    <x v="327"/>
    <x v="890"/>
    <n v="121.7"/>
    <n v="1.8"/>
    <n v="1.1000000000000001"/>
    <n v="156.9"/>
    <n v="79"/>
    <n v="117.5"/>
    <n v="2"/>
    <n v="1.3"/>
    <x v="680"/>
    <x v="617"/>
    <n v="1035714"/>
    <x v="498"/>
    <x v="376"/>
    <n v="1260"/>
    <n v="999"/>
    <n v="999"/>
  </r>
  <r>
    <x v="1"/>
    <x v="56"/>
    <x v="0"/>
    <x v="197"/>
    <x v="519"/>
    <n v="1.6"/>
    <n v="1.6"/>
    <n v="1.7"/>
    <n v="3.5"/>
    <n v="2"/>
    <n v="1"/>
    <n v="1.7"/>
    <n v="3.4"/>
    <x v="354"/>
    <x v="331"/>
    <n v="925908"/>
    <x v="8"/>
    <x v="75"/>
    <n v="15"/>
    <n v="999"/>
    <n v="999"/>
  </r>
  <r>
    <x v="2"/>
    <x v="22"/>
    <x v="3"/>
    <x v="1256"/>
    <x v="891"/>
    <n v="112"/>
    <n v="3.2"/>
    <n v="2.2999999999999998"/>
    <n v="0"/>
    <n v="0"/>
    <n v="0"/>
    <n v="0"/>
    <n v="0"/>
    <x v="977"/>
    <x v="875"/>
    <n v="161589"/>
    <x v="499"/>
    <x v="391"/>
    <n v="181"/>
    <n v="18"/>
    <n v="29"/>
  </r>
  <r>
    <x v="2"/>
    <x v="63"/>
    <x v="0"/>
    <x v="908"/>
    <x v="892"/>
    <n v="115.8"/>
    <n v="2"/>
    <n v="1.4"/>
    <n v="191.9"/>
    <n v="82.4"/>
    <n v="105.3"/>
    <n v="2.2999999999999998"/>
    <n v="1.8"/>
    <x v="501"/>
    <x v="462"/>
    <n v="1039435"/>
    <x v="500"/>
    <x v="346"/>
    <n v="1204"/>
    <n v="999"/>
    <n v="999"/>
  </r>
  <r>
    <x v="1"/>
    <x v="40"/>
    <x v="3"/>
    <x v="372"/>
    <x v="2"/>
    <n v="0"/>
    <n v="0"/>
    <n v="0"/>
    <n v="0"/>
    <n v="0"/>
    <n v="0"/>
    <n v="0"/>
    <n v="0"/>
    <x v="1068"/>
    <x v="946"/>
    <n v="0"/>
    <x v="24"/>
    <x v="1"/>
    <n v="0"/>
    <n v="18"/>
    <n v="29"/>
  </r>
  <r>
    <x v="0"/>
    <x v="122"/>
    <x v="7"/>
    <x v="31"/>
    <x v="2"/>
    <n v="0"/>
    <n v="0"/>
    <n v="0"/>
    <n v="0"/>
    <n v="0"/>
    <n v="0"/>
    <n v="0"/>
    <n v="0"/>
    <x v="254"/>
    <x v="243"/>
    <n v="0"/>
    <x v="64"/>
    <x v="1"/>
    <n v="0"/>
    <n v="65"/>
    <n v="79"/>
  </r>
  <r>
    <x v="2"/>
    <x v="93"/>
    <x v="4"/>
    <x v="1257"/>
    <x v="759"/>
    <n v="0"/>
    <n v="4.4000000000000004"/>
    <n v="0"/>
    <n v="0"/>
    <n v="0"/>
    <n v="0"/>
    <n v="0"/>
    <n v="0"/>
    <x v="320"/>
    <x v="302"/>
    <n v="0"/>
    <x v="228"/>
    <x v="43"/>
    <n v="0"/>
    <n v="12"/>
    <n v="17"/>
  </r>
  <r>
    <x v="0"/>
    <x v="87"/>
    <x v="3"/>
    <x v="2"/>
    <x v="2"/>
    <n v="0"/>
    <n v="0"/>
    <n v="0"/>
    <n v="0"/>
    <n v="0"/>
    <n v="0"/>
    <n v="0"/>
    <n v="0"/>
    <x v="682"/>
    <x v="619"/>
    <n v="10229"/>
    <x v="2"/>
    <x v="1"/>
    <n v="0"/>
    <n v="18"/>
    <n v="29"/>
  </r>
  <r>
    <x v="2"/>
    <x v="8"/>
    <x v="7"/>
    <x v="950"/>
    <x v="402"/>
    <n v="0"/>
    <n v="8.1999999999999993"/>
    <n v="0"/>
    <n v="0"/>
    <n v="0"/>
    <n v="0"/>
    <n v="0"/>
    <n v="0"/>
    <x v="744"/>
    <x v="675"/>
    <n v="0"/>
    <x v="281"/>
    <x v="133"/>
    <n v="0"/>
    <n v="65"/>
    <n v="79"/>
  </r>
  <r>
    <x v="0"/>
    <x v="120"/>
    <x v="7"/>
    <x v="479"/>
    <x v="34"/>
    <n v="0"/>
    <n v="2.2000000000000002"/>
    <n v="0"/>
    <n v="0"/>
    <n v="0"/>
    <n v="0"/>
    <n v="0"/>
    <n v="0"/>
    <x v="951"/>
    <x v="854"/>
    <n v="171712"/>
    <x v="0"/>
    <x v="0"/>
    <n v="0"/>
    <n v="65"/>
    <n v="79"/>
  </r>
  <r>
    <x v="2"/>
    <x v="95"/>
    <x v="1"/>
    <x v="1258"/>
    <x v="863"/>
    <n v="270.39999999999998"/>
    <n v="2.7"/>
    <n v="1.9"/>
    <n v="0"/>
    <n v="0"/>
    <n v="0"/>
    <n v="0"/>
    <n v="0"/>
    <x v="322"/>
    <x v="304"/>
    <n v="241470"/>
    <x v="103"/>
    <x v="247"/>
    <n v="653"/>
    <n v="50"/>
    <n v="64"/>
  </r>
  <r>
    <x v="1"/>
    <x v="90"/>
    <x v="2"/>
    <x v="286"/>
    <x v="2"/>
    <n v="0"/>
    <n v="0"/>
    <n v="0"/>
    <n v="0"/>
    <n v="0"/>
    <n v="0"/>
    <n v="0"/>
    <n v="0"/>
    <x v="127"/>
    <x v="126"/>
    <n v="418"/>
    <x v="1"/>
    <x v="1"/>
    <n v="0"/>
    <n v="5"/>
    <n v="11"/>
  </r>
  <r>
    <x v="1"/>
    <x v="26"/>
    <x v="7"/>
    <x v="1075"/>
    <x v="867"/>
    <n v="25"/>
    <n v="1.6"/>
    <n v="2.2000000000000002"/>
    <n v="0"/>
    <n v="0"/>
    <n v="0"/>
    <n v="0"/>
    <n v="0"/>
    <x v="231"/>
    <x v="221"/>
    <n v="171679"/>
    <x v="37"/>
    <x v="75"/>
    <n v="43"/>
    <n v="65"/>
    <n v="79"/>
  </r>
  <r>
    <x v="2"/>
    <x v="13"/>
    <x v="1"/>
    <x v="1259"/>
    <x v="893"/>
    <n v="333.2"/>
    <n v="2.6"/>
    <n v="3.2"/>
    <n v="0"/>
    <n v="0"/>
    <n v="0"/>
    <n v="0"/>
    <n v="0"/>
    <x v="765"/>
    <x v="763"/>
    <n v="182773"/>
    <x v="501"/>
    <x v="399"/>
    <n v="609"/>
    <n v="50"/>
    <n v="64"/>
  </r>
  <r>
    <x v="0"/>
    <x v="12"/>
    <x v="7"/>
    <x v="427"/>
    <x v="2"/>
    <n v="0"/>
    <n v="0"/>
    <n v="0"/>
    <n v="0"/>
    <n v="0"/>
    <n v="0"/>
    <n v="0"/>
    <n v="0"/>
    <x v="599"/>
    <x v="548"/>
    <n v="0"/>
    <x v="45"/>
    <x v="1"/>
    <n v="0"/>
    <n v="65"/>
    <n v="79"/>
  </r>
  <r>
    <x v="0"/>
    <x v="105"/>
    <x v="6"/>
    <x v="117"/>
    <x v="197"/>
    <n v="2.1"/>
    <n v="0.9"/>
    <n v="3.6"/>
    <n v="0"/>
    <n v="0"/>
    <n v="0"/>
    <n v="0"/>
    <n v="0"/>
    <x v="559"/>
    <x v="513"/>
    <n v="46545"/>
    <x v="0"/>
    <x v="0"/>
    <n v="1"/>
    <n v="80"/>
    <n v="200"/>
  </r>
  <r>
    <x v="1"/>
    <x v="71"/>
    <x v="7"/>
    <x v="37"/>
    <x v="23"/>
    <n v="0"/>
    <n v="11"/>
    <n v="0"/>
    <n v="0"/>
    <n v="0"/>
    <n v="0"/>
    <n v="0"/>
    <n v="0"/>
    <x v="1027"/>
    <x v="915"/>
    <n v="0"/>
    <x v="20"/>
    <x v="0"/>
    <n v="0"/>
    <n v="65"/>
    <n v="79"/>
  </r>
  <r>
    <x v="2"/>
    <x v="42"/>
    <x v="5"/>
    <x v="1260"/>
    <x v="550"/>
    <n v="142.80000000000001"/>
    <n v="1.8"/>
    <n v="0.6"/>
    <n v="0"/>
    <n v="0"/>
    <n v="0"/>
    <n v="0"/>
    <n v="0"/>
    <x v="595"/>
    <x v="544"/>
    <n v="324980"/>
    <x v="221"/>
    <x v="196"/>
    <n v="464"/>
    <n v="30"/>
    <n v="49"/>
  </r>
  <r>
    <x v="2"/>
    <x v="94"/>
    <x v="3"/>
    <x v="1261"/>
    <x v="894"/>
    <n v="58.8"/>
    <n v="2.6"/>
    <n v="2.1"/>
    <n v="0"/>
    <n v="0"/>
    <n v="0"/>
    <n v="0"/>
    <n v="0"/>
    <x v="436"/>
    <x v="407"/>
    <n v="161636"/>
    <x v="41"/>
    <x v="221"/>
    <n v="95"/>
    <n v="18"/>
    <n v="29"/>
  </r>
  <r>
    <x v="1"/>
    <x v="129"/>
    <x v="4"/>
    <x v="2"/>
    <x v="2"/>
    <n v="0"/>
    <n v="0"/>
    <n v="0"/>
    <n v="0"/>
    <n v="0"/>
    <n v="0"/>
    <n v="0"/>
    <n v="0"/>
    <x v="284"/>
    <x v="241"/>
    <n v="44586"/>
    <x v="2"/>
    <x v="1"/>
    <n v="0"/>
    <n v="12"/>
    <n v="17"/>
  </r>
  <r>
    <x v="0"/>
    <x v="118"/>
    <x v="6"/>
    <x v="31"/>
    <x v="531"/>
    <n v="0"/>
    <n v="0.3"/>
    <n v="0"/>
    <n v="0"/>
    <n v="0"/>
    <n v="0"/>
    <n v="0"/>
    <n v="0"/>
    <x v="228"/>
    <x v="218"/>
    <n v="42943"/>
    <x v="0"/>
    <x v="39"/>
    <n v="0"/>
    <n v="80"/>
    <n v="200"/>
  </r>
  <r>
    <x v="0"/>
    <x v="19"/>
    <x v="1"/>
    <x v="2"/>
    <x v="1"/>
    <n v="0"/>
    <n v="0"/>
    <n v="0"/>
    <n v="0"/>
    <n v="0"/>
    <n v="0"/>
    <n v="0"/>
    <n v="0"/>
    <x v="303"/>
    <x v="286"/>
    <n v="246772"/>
    <x v="2"/>
    <x v="0"/>
    <n v="0"/>
    <n v="50"/>
    <n v="64"/>
  </r>
  <r>
    <x v="1"/>
    <x v="14"/>
    <x v="7"/>
    <x v="1262"/>
    <x v="218"/>
    <n v="0"/>
    <n v="8.6999999999999993"/>
    <n v="0"/>
    <n v="0"/>
    <n v="0"/>
    <n v="0"/>
    <n v="0"/>
    <n v="0"/>
    <x v="764"/>
    <x v="693"/>
    <n v="0"/>
    <x v="66"/>
    <x v="5"/>
    <n v="0"/>
    <n v="65"/>
    <n v="79"/>
  </r>
  <r>
    <x v="0"/>
    <x v="40"/>
    <x v="3"/>
    <x v="2"/>
    <x v="2"/>
    <n v="0"/>
    <n v="0"/>
    <n v="0"/>
    <n v="0"/>
    <n v="0"/>
    <n v="0"/>
    <n v="0"/>
    <n v="0"/>
    <x v="1068"/>
    <x v="946"/>
    <n v="0"/>
    <x v="2"/>
    <x v="1"/>
    <n v="0"/>
    <n v="18"/>
    <n v="29"/>
  </r>
  <r>
    <x v="1"/>
    <x v="139"/>
    <x v="4"/>
    <x v="2"/>
    <x v="2"/>
    <n v="0"/>
    <n v="0"/>
    <n v="0"/>
    <n v="0"/>
    <n v="0"/>
    <n v="0"/>
    <n v="0"/>
    <n v="0"/>
    <x v="1035"/>
    <x v="882"/>
    <n v="44587"/>
    <x v="2"/>
    <x v="1"/>
    <n v="0"/>
    <n v="12"/>
    <n v="17"/>
  </r>
  <r>
    <x v="1"/>
    <x v="83"/>
    <x v="4"/>
    <x v="197"/>
    <x v="2"/>
    <n v="0"/>
    <n v="0"/>
    <n v="0"/>
    <n v="0"/>
    <n v="0"/>
    <n v="0"/>
    <n v="0"/>
    <n v="0"/>
    <x v="793"/>
    <x v="720"/>
    <n v="33698"/>
    <x v="1"/>
    <x v="1"/>
    <n v="0"/>
    <n v="12"/>
    <n v="17"/>
  </r>
  <r>
    <x v="0"/>
    <x v="60"/>
    <x v="2"/>
    <x v="2"/>
    <x v="2"/>
    <n v="0"/>
    <n v="0"/>
    <n v="0"/>
    <n v="0"/>
    <n v="0"/>
    <n v="0"/>
    <n v="0"/>
    <n v="0"/>
    <x v="915"/>
    <x v="823"/>
    <n v="0"/>
    <x v="2"/>
    <x v="1"/>
    <n v="0"/>
    <n v="5"/>
    <n v="11"/>
  </r>
  <r>
    <x v="0"/>
    <x v="94"/>
    <x v="6"/>
    <x v="102"/>
    <x v="62"/>
    <n v="2.1"/>
    <n v="0.5"/>
    <n v="1.9"/>
    <n v="0"/>
    <n v="0"/>
    <n v="0"/>
    <n v="0"/>
    <n v="0"/>
    <x v="348"/>
    <x v="325"/>
    <n v="47117"/>
    <x v="1"/>
    <x v="0"/>
    <n v="1"/>
    <n v="80"/>
    <n v="200"/>
  </r>
  <r>
    <x v="2"/>
    <x v="43"/>
    <x v="1"/>
    <x v="1098"/>
    <x v="624"/>
    <n v="16.2"/>
    <n v="6.1"/>
    <n v="3.6"/>
    <n v="0"/>
    <n v="0"/>
    <n v="0"/>
    <n v="0"/>
    <n v="0"/>
    <x v="454"/>
    <x v="64"/>
    <n v="246933"/>
    <x v="34"/>
    <x v="23"/>
    <n v="40"/>
    <n v="50"/>
    <n v="64"/>
  </r>
  <r>
    <x v="1"/>
    <x v="109"/>
    <x v="4"/>
    <x v="2"/>
    <x v="17"/>
    <n v="0"/>
    <n v="0"/>
    <n v="0"/>
    <n v="0"/>
    <n v="0"/>
    <n v="0"/>
    <n v="0"/>
    <n v="0"/>
    <x v="527"/>
    <x v="482"/>
    <n v="44545"/>
    <x v="2"/>
    <x v="0"/>
    <n v="0"/>
    <n v="12"/>
    <n v="17"/>
  </r>
  <r>
    <x v="1"/>
    <x v="75"/>
    <x v="7"/>
    <x v="1263"/>
    <x v="52"/>
    <n v="18.3"/>
    <n v="1.5"/>
    <n v="2.4"/>
    <n v="0"/>
    <n v="0"/>
    <n v="0"/>
    <n v="0"/>
    <n v="0"/>
    <x v="950"/>
    <x v="853"/>
    <n v="169088"/>
    <x v="29"/>
    <x v="38"/>
    <n v="31"/>
    <n v="65"/>
    <n v="79"/>
  </r>
  <r>
    <x v="1"/>
    <x v="40"/>
    <x v="1"/>
    <x v="510"/>
    <x v="221"/>
    <n v="0"/>
    <n v="15.6"/>
    <n v="0"/>
    <n v="0"/>
    <n v="0"/>
    <n v="0"/>
    <n v="0"/>
    <n v="0"/>
    <x v="314"/>
    <x v="296"/>
    <n v="0"/>
    <x v="31"/>
    <x v="5"/>
    <n v="0"/>
    <n v="50"/>
    <n v="64"/>
  </r>
  <r>
    <x v="2"/>
    <x v="131"/>
    <x v="0"/>
    <x v="1264"/>
    <x v="895"/>
    <n v="16.100000000000001"/>
    <n v="2.4"/>
    <n v="7.7"/>
    <n v="139.80000000000001"/>
    <n v="41.5"/>
    <n v="14"/>
    <n v="3.4"/>
    <n v="10"/>
    <x v="560"/>
    <x v="514"/>
    <n v="68441"/>
    <x v="502"/>
    <x v="400"/>
    <n v="11"/>
    <n v="999"/>
    <n v="999"/>
  </r>
  <r>
    <x v="0"/>
    <x v="94"/>
    <x v="1"/>
    <x v="1"/>
    <x v="2"/>
    <n v="0.8"/>
    <n v="0"/>
    <n v="3.6"/>
    <n v="0"/>
    <n v="0"/>
    <n v="0"/>
    <n v="0"/>
    <n v="0"/>
    <x v="1021"/>
    <x v="910"/>
    <n v="246842"/>
    <x v="1"/>
    <x v="1"/>
    <n v="2"/>
    <n v="50"/>
    <n v="64"/>
  </r>
  <r>
    <x v="2"/>
    <x v="53"/>
    <x v="5"/>
    <x v="152"/>
    <x v="312"/>
    <n v="14.7"/>
    <n v="2.9"/>
    <n v="1.8"/>
    <n v="0"/>
    <n v="0"/>
    <n v="0"/>
    <n v="0"/>
    <n v="0"/>
    <x v="1046"/>
    <x v="197"/>
    <n v="347299"/>
    <x v="48"/>
    <x v="25"/>
    <n v="51"/>
    <n v="30"/>
    <n v="49"/>
  </r>
  <r>
    <x v="0"/>
    <x v="81"/>
    <x v="0"/>
    <x v="93"/>
    <x v="82"/>
    <n v="0"/>
    <n v="7"/>
    <n v="0"/>
    <n v="1.8"/>
    <n v="0.2"/>
    <n v="0"/>
    <n v="10.6"/>
    <n v="0"/>
    <x v="920"/>
    <x v="827"/>
    <n v="0"/>
    <x v="91"/>
    <x v="39"/>
    <n v="0"/>
    <n v="999"/>
    <n v="999"/>
  </r>
  <r>
    <x v="2"/>
    <x v="108"/>
    <x v="3"/>
    <x v="1265"/>
    <x v="435"/>
    <n v="72.400000000000006"/>
    <n v="2.8"/>
    <n v="2"/>
    <n v="0"/>
    <n v="0"/>
    <n v="0"/>
    <n v="0"/>
    <n v="0"/>
    <x v="195"/>
    <x v="189"/>
    <n v="161644"/>
    <x v="115"/>
    <x v="194"/>
    <n v="117"/>
    <n v="18"/>
    <n v="29"/>
  </r>
  <r>
    <x v="1"/>
    <x v="109"/>
    <x v="7"/>
    <x v="1266"/>
    <x v="388"/>
    <n v="19.8"/>
    <n v="2.2999999999999998"/>
    <n v="2.1"/>
    <n v="0"/>
    <n v="0"/>
    <n v="0"/>
    <n v="0"/>
    <n v="0"/>
    <x v="184"/>
    <x v="180"/>
    <n v="171682"/>
    <x v="134"/>
    <x v="5"/>
    <n v="34"/>
    <n v="65"/>
    <n v="79"/>
  </r>
  <r>
    <x v="0"/>
    <x v="118"/>
    <x v="1"/>
    <x v="75"/>
    <x v="2"/>
    <n v="0"/>
    <n v="0"/>
    <n v="0"/>
    <n v="0"/>
    <n v="0"/>
    <n v="0"/>
    <n v="0"/>
    <n v="0"/>
    <x v="253"/>
    <x v="242"/>
    <n v="224298"/>
    <x v="1"/>
    <x v="1"/>
    <n v="0"/>
    <n v="50"/>
    <n v="64"/>
  </r>
  <r>
    <x v="2"/>
    <x v="9"/>
    <x v="0"/>
    <x v="1267"/>
    <x v="688"/>
    <n v="0"/>
    <n v="2.1"/>
    <n v="0"/>
    <n v="212.1"/>
    <n v="72.5"/>
    <n v="0"/>
    <n v="2.9"/>
    <n v="0"/>
    <x v="1019"/>
    <x v="909"/>
    <n v="0"/>
    <x v="503"/>
    <x v="401"/>
    <n v="0"/>
    <n v="999"/>
    <n v="999"/>
  </r>
  <r>
    <x v="0"/>
    <x v="96"/>
    <x v="7"/>
    <x v="2"/>
    <x v="2"/>
    <n v="0"/>
    <n v="0"/>
    <n v="0"/>
    <n v="0"/>
    <n v="0"/>
    <n v="0"/>
    <n v="0"/>
    <n v="0"/>
    <x v="986"/>
    <x v="449"/>
    <n v="171704"/>
    <x v="2"/>
    <x v="1"/>
    <n v="0"/>
    <n v="65"/>
    <n v="79"/>
  </r>
  <r>
    <x v="2"/>
    <x v="34"/>
    <x v="2"/>
    <x v="1268"/>
    <x v="896"/>
    <n v="0"/>
    <n v="3.8"/>
    <n v="0"/>
    <n v="0"/>
    <n v="0"/>
    <n v="0"/>
    <n v="0"/>
    <n v="0"/>
    <x v="302"/>
    <x v="285"/>
    <n v="0"/>
    <x v="504"/>
    <x v="73"/>
    <n v="0"/>
    <n v="5"/>
    <n v="11"/>
  </r>
  <r>
    <x v="2"/>
    <x v="18"/>
    <x v="0"/>
    <x v="1243"/>
    <x v="897"/>
    <n v="302.3"/>
    <n v="1.5"/>
    <n v="0.9"/>
    <n v="327.2"/>
    <n v="175.5"/>
    <n v="296.60000000000002"/>
    <n v="1.9"/>
    <n v="1.1000000000000001"/>
    <x v="777"/>
    <x v="706"/>
    <n v="974045"/>
    <x v="505"/>
    <x v="402"/>
    <n v="2945"/>
    <n v="999"/>
    <n v="999"/>
  </r>
  <r>
    <x v="0"/>
    <x v="85"/>
    <x v="5"/>
    <x v="220"/>
    <x v="1"/>
    <n v="0"/>
    <n v="7.8"/>
    <n v="0"/>
    <n v="0"/>
    <n v="0"/>
    <n v="0"/>
    <n v="0"/>
    <n v="0"/>
    <x v="118"/>
    <x v="117"/>
    <n v="223160"/>
    <x v="24"/>
    <x v="39"/>
    <n v="0"/>
    <n v="30"/>
    <n v="49"/>
  </r>
  <r>
    <x v="1"/>
    <x v="94"/>
    <x v="5"/>
    <x v="650"/>
    <x v="36"/>
    <n v="2.6"/>
    <n v="2.9"/>
    <n v="2.8"/>
    <n v="0"/>
    <n v="0"/>
    <n v="0"/>
    <n v="0"/>
    <n v="0"/>
    <x v="257"/>
    <x v="246"/>
    <n v="347231"/>
    <x v="33"/>
    <x v="26"/>
    <n v="9"/>
    <n v="30"/>
    <n v="49"/>
  </r>
  <r>
    <x v="2"/>
    <x v="22"/>
    <x v="6"/>
    <x v="1269"/>
    <x v="898"/>
    <n v="329.1"/>
    <n v="0.6"/>
    <n v="0.7"/>
    <n v="0"/>
    <n v="0"/>
    <n v="0"/>
    <n v="0"/>
    <n v="0"/>
    <x v="242"/>
    <x v="207"/>
    <n v="47104"/>
    <x v="15"/>
    <x v="73"/>
    <n v="155"/>
    <n v="80"/>
    <n v="200"/>
  </r>
  <r>
    <x v="0"/>
    <x v="62"/>
    <x v="6"/>
    <x v="2"/>
    <x v="2"/>
    <n v="0"/>
    <n v="0"/>
    <n v="0"/>
    <n v="0"/>
    <n v="0"/>
    <n v="0"/>
    <n v="0"/>
    <n v="0"/>
    <x v="473"/>
    <x v="360"/>
    <n v="47131"/>
    <x v="2"/>
    <x v="1"/>
    <n v="0"/>
    <n v="80"/>
    <n v="200"/>
  </r>
  <r>
    <x v="0"/>
    <x v="53"/>
    <x v="6"/>
    <x v="2"/>
    <x v="2"/>
    <n v="0"/>
    <n v="0"/>
    <n v="0"/>
    <n v="0"/>
    <n v="0"/>
    <n v="0"/>
    <n v="0"/>
    <n v="0"/>
    <x v="852"/>
    <x v="97"/>
    <n v="47129"/>
    <x v="2"/>
    <x v="1"/>
    <n v="0"/>
    <n v="80"/>
    <n v="200"/>
  </r>
  <r>
    <x v="1"/>
    <x v="110"/>
    <x v="4"/>
    <x v="1"/>
    <x v="2"/>
    <n v="0"/>
    <n v="0"/>
    <n v="0"/>
    <n v="0"/>
    <n v="0"/>
    <n v="0"/>
    <n v="0"/>
    <n v="0"/>
    <x v="999"/>
    <x v="893"/>
    <n v="44443"/>
    <x v="1"/>
    <x v="1"/>
    <n v="0"/>
    <n v="12"/>
    <n v="17"/>
  </r>
  <r>
    <x v="1"/>
    <x v="116"/>
    <x v="3"/>
    <x v="197"/>
    <x v="23"/>
    <n v="0.6"/>
    <n v="5.4"/>
    <n v="4.5"/>
    <n v="0"/>
    <n v="0"/>
    <n v="0"/>
    <n v="0"/>
    <n v="0"/>
    <x v="402"/>
    <x v="376"/>
    <n v="161722"/>
    <x v="0"/>
    <x v="0"/>
    <n v="1"/>
    <n v="18"/>
    <n v="29"/>
  </r>
  <r>
    <x v="0"/>
    <x v="25"/>
    <x v="0"/>
    <x v="14"/>
    <x v="235"/>
    <n v="2.8"/>
    <n v="2.6"/>
    <n v="3.8"/>
    <n v="14"/>
    <n v="5.8"/>
    <n v="1.6"/>
    <n v="2.4"/>
    <n v="8.5"/>
    <x v="1033"/>
    <x v="918"/>
    <n v="779977"/>
    <x v="54"/>
    <x v="60"/>
    <n v="22"/>
    <n v="999"/>
    <n v="999"/>
  </r>
  <r>
    <x v="1"/>
    <x v="106"/>
    <x v="4"/>
    <x v="427"/>
    <x v="2"/>
    <n v="0"/>
    <n v="0"/>
    <n v="0"/>
    <n v="0"/>
    <n v="0"/>
    <n v="0"/>
    <n v="0"/>
    <n v="0"/>
    <x v="1013"/>
    <x v="904"/>
    <n v="0"/>
    <x v="45"/>
    <x v="1"/>
    <n v="0"/>
    <n v="12"/>
    <n v="17"/>
  </r>
  <r>
    <x v="2"/>
    <x v="77"/>
    <x v="6"/>
    <x v="1270"/>
    <x v="899"/>
    <n v="129.4"/>
    <n v="0.5"/>
    <n v="0.4"/>
    <n v="0"/>
    <n v="0"/>
    <n v="0"/>
    <n v="0"/>
    <n v="0"/>
    <x v="500"/>
    <x v="32"/>
    <n v="47126"/>
    <x v="35"/>
    <x v="52"/>
    <n v="61"/>
    <n v="80"/>
    <n v="200"/>
  </r>
  <r>
    <x v="0"/>
    <x v="98"/>
    <x v="4"/>
    <x v="2"/>
    <x v="2"/>
    <n v="0"/>
    <n v="0"/>
    <n v="0"/>
    <n v="0"/>
    <n v="0"/>
    <n v="0"/>
    <n v="0"/>
    <n v="0"/>
    <x v="801"/>
    <x v="728"/>
    <n v="44583"/>
    <x v="2"/>
    <x v="1"/>
    <n v="0"/>
    <n v="12"/>
    <n v="17"/>
  </r>
  <r>
    <x v="2"/>
    <x v="101"/>
    <x v="2"/>
    <x v="127"/>
    <x v="900"/>
    <n v="0"/>
    <n v="0.8"/>
    <n v="0"/>
    <n v="0"/>
    <n v="0"/>
    <n v="0"/>
    <n v="0"/>
    <n v="0"/>
    <x v="1070"/>
    <x v="948"/>
    <n v="0"/>
    <x v="90"/>
    <x v="206"/>
    <n v="0"/>
    <n v="5"/>
    <n v="11"/>
  </r>
  <r>
    <x v="2"/>
    <x v="35"/>
    <x v="3"/>
    <x v="846"/>
    <x v="91"/>
    <n v="17.899999999999999"/>
    <n v="5.4"/>
    <n v="4.5999999999999996"/>
    <n v="0"/>
    <n v="0"/>
    <n v="0"/>
    <n v="0"/>
    <n v="0"/>
    <x v="892"/>
    <x v="803"/>
    <n v="162370"/>
    <x v="26"/>
    <x v="124"/>
    <n v="29"/>
    <n v="18"/>
    <n v="29"/>
  </r>
  <r>
    <x v="2"/>
    <x v="52"/>
    <x v="6"/>
    <x v="1261"/>
    <x v="901"/>
    <n v="241.3"/>
    <n v="0.5"/>
    <n v="0.5"/>
    <n v="0"/>
    <n v="0"/>
    <n v="0"/>
    <n v="0"/>
    <n v="0"/>
    <x v="994"/>
    <x v="888"/>
    <n v="46830"/>
    <x v="75"/>
    <x v="149"/>
    <n v="113"/>
    <n v="80"/>
    <n v="200"/>
  </r>
  <r>
    <x v="0"/>
    <x v="18"/>
    <x v="5"/>
    <x v="2"/>
    <x v="2"/>
    <n v="0"/>
    <n v="0"/>
    <n v="0"/>
    <n v="0"/>
    <n v="0"/>
    <n v="0"/>
    <n v="0"/>
    <n v="0"/>
    <x v="804"/>
    <x v="731"/>
    <n v="336241"/>
    <x v="2"/>
    <x v="1"/>
    <n v="0"/>
    <n v="30"/>
    <n v="49"/>
  </r>
  <r>
    <x v="0"/>
    <x v="90"/>
    <x v="6"/>
    <x v="766"/>
    <x v="600"/>
    <n v="0"/>
    <n v="1"/>
    <n v="0"/>
    <n v="0"/>
    <n v="0"/>
    <n v="0"/>
    <n v="0"/>
    <n v="0"/>
    <x v="987"/>
    <x v="883"/>
    <n v="45035"/>
    <x v="0"/>
    <x v="0"/>
    <n v="0"/>
    <n v="80"/>
    <n v="200"/>
  </r>
  <r>
    <x v="1"/>
    <x v="58"/>
    <x v="6"/>
    <x v="732"/>
    <x v="172"/>
    <n v="65.8"/>
    <n v="0.4"/>
    <n v="0.7"/>
    <n v="0"/>
    <n v="0"/>
    <n v="0"/>
    <n v="0"/>
    <n v="0"/>
    <x v="774"/>
    <x v="703"/>
    <n v="47093"/>
    <x v="27"/>
    <x v="38"/>
    <n v="31"/>
    <n v="80"/>
    <n v="200"/>
  </r>
  <r>
    <x v="1"/>
    <x v="130"/>
    <x v="5"/>
    <x v="356"/>
    <x v="1"/>
    <n v="0"/>
    <n v="26.8"/>
    <n v="0"/>
    <n v="0"/>
    <n v="0"/>
    <n v="0"/>
    <n v="0"/>
    <n v="0"/>
    <x v="755"/>
    <x v="685"/>
    <n v="0"/>
    <x v="23"/>
    <x v="16"/>
    <n v="0"/>
    <n v="30"/>
    <n v="49"/>
  </r>
  <r>
    <x v="0"/>
    <x v="134"/>
    <x v="5"/>
    <x v="2"/>
    <x v="2"/>
    <n v="0"/>
    <n v="0"/>
    <n v="0"/>
    <n v="0"/>
    <n v="0"/>
    <n v="0"/>
    <n v="0"/>
    <n v="0"/>
    <x v="686"/>
    <x v="623"/>
    <n v="334000"/>
    <x v="2"/>
    <x v="1"/>
    <n v="0"/>
    <n v="30"/>
    <n v="49"/>
  </r>
  <r>
    <x v="1"/>
    <x v="39"/>
    <x v="5"/>
    <x v="32"/>
    <x v="235"/>
    <n v="1.7"/>
    <n v="2.1"/>
    <n v="4.9000000000000004"/>
    <n v="0"/>
    <n v="0"/>
    <n v="0"/>
    <n v="0"/>
    <n v="0"/>
    <x v="669"/>
    <x v="607"/>
    <n v="346982"/>
    <x v="24"/>
    <x v="7"/>
    <n v="6"/>
    <n v="30"/>
    <n v="49"/>
  </r>
  <r>
    <x v="2"/>
    <x v="55"/>
    <x v="1"/>
    <x v="1271"/>
    <x v="902"/>
    <n v="52.6"/>
    <n v="2.9"/>
    <n v="2.2000000000000002"/>
    <n v="0"/>
    <n v="0"/>
    <n v="0"/>
    <n v="0"/>
    <n v="0"/>
    <x v="447"/>
    <x v="38"/>
    <n v="246939"/>
    <x v="19"/>
    <x v="298"/>
    <n v="130"/>
    <n v="50"/>
    <n v="64"/>
  </r>
  <r>
    <x v="1"/>
    <x v="129"/>
    <x v="0"/>
    <x v="28"/>
    <x v="23"/>
    <n v="1.2"/>
    <n v="3.8"/>
    <n v="1.6"/>
    <n v="2.2000000000000002"/>
    <n v="0.5"/>
    <n v="0.7"/>
    <n v="4.2"/>
    <n v="3"/>
    <x v="684"/>
    <x v="621"/>
    <n v="1040706"/>
    <x v="24"/>
    <x v="16"/>
    <n v="12"/>
    <n v="999"/>
    <n v="999"/>
  </r>
  <r>
    <x v="0"/>
    <x v="101"/>
    <x v="3"/>
    <x v="2"/>
    <x v="2"/>
    <n v="0"/>
    <n v="0"/>
    <n v="0"/>
    <n v="0"/>
    <n v="0"/>
    <n v="0"/>
    <n v="0"/>
    <n v="0"/>
    <x v="1064"/>
    <x v="942"/>
    <n v="139795"/>
    <x v="2"/>
    <x v="1"/>
    <n v="0"/>
    <n v="18"/>
    <n v="29"/>
  </r>
  <r>
    <x v="2"/>
    <x v="15"/>
    <x v="4"/>
    <x v="1272"/>
    <x v="808"/>
    <n v="71.8"/>
    <n v="1.6"/>
    <n v="1.6"/>
    <n v="0"/>
    <n v="0"/>
    <n v="0"/>
    <n v="0"/>
    <n v="0"/>
    <x v="949"/>
    <x v="852"/>
    <n v="41807"/>
    <x v="211"/>
    <x v="116"/>
    <n v="30"/>
    <n v="12"/>
    <n v="17"/>
  </r>
  <r>
    <x v="2"/>
    <x v="101"/>
    <x v="3"/>
    <x v="163"/>
    <x v="216"/>
    <n v="45.8"/>
    <n v="2.2999999999999998"/>
    <n v="1.1000000000000001"/>
    <n v="0"/>
    <n v="0"/>
    <n v="0"/>
    <n v="0"/>
    <n v="0"/>
    <x v="1064"/>
    <x v="942"/>
    <n v="139795"/>
    <x v="39"/>
    <x v="298"/>
    <n v="64"/>
    <n v="18"/>
    <n v="29"/>
  </r>
  <r>
    <x v="1"/>
    <x v="25"/>
    <x v="0"/>
    <x v="444"/>
    <x v="5"/>
    <n v="10.8"/>
    <n v="2"/>
    <n v="2.6"/>
    <n v="38"/>
    <n v="17.3"/>
    <n v="6.8"/>
    <n v="2.2000000000000002"/>
    <n v="5.6"/>
    <x v="1033"/>
    <x v="918"/>
    <n v="779977"/>
    <x v="126"/>
    <x v="403"/>
    <n v="84"/>
    <n v="999"/>
    <n v="999"/>
  </r>
  <r>
    <x v="1"/>
    <x v="98"/>
    <x v="1"/>
    <x v="278"/>
    <x v="145"/>
    <n v="1.6"/>
    <n v="5.7"/>
    <n v="5.7"/>
    <n v="0"/>
    <n v="0"/>
    <n v="0"/>
    <n v="0"/>
    <n v="0"/>
    <x v="676"/>
    <x v="614"/>
    <n v="246916"/>
    <x v="45"/>
    <x v="11"/>
    <n v="4"/>
    <n v="50"/>
    <n v="64"/>
  </r>
  <r>
    <x v="1"/>
    <x v="130"/>
    <x v="0"/>
    <x v="759"/>
    <x v="33"/>
    <n v="0"/>
    <n v="4.9000000000000004"/>
    <n v="0"/>
    <n v="27"/>
    <n v="2.9"/>
    <n v="0"/>
    <n v="9.4"/>
    <n v="0"/>
    <x v="375"/>
    <x v="351"/>
    <n v="0"/>
    <x v="499"/>
    <x v="288"/>
    <n v="0"/>
    <n v="999"/>
    <n v="999"/>
  </r>
  <r>
    <x v="1"/>
    <x v="116"/>
    <x v="5"/>
    <x v="60"/>
    <x v="73"/>
    <n v="2"/>
    <n v="2.5"/>
    <n v="1.4"/>
    <n v="0"/>
    <n v="0"/>
    <n v="0"/>
    <n v="0"/>
    <n v="0"/>
    <x v="914"/>
    <x v="774"/>
    <n v="347321"/>
    <x v="45"/>
    <x v="39"/>
    <n v="7"/>
    <n v="30"/>
    <n v="49"/>
  </r>
  <r>
    <x v="0"/>
    <x v="75"/>
    <x v="1"/>
    <x v="41"/>
    <x v="2"/>
    <n v="0"/>
    <n v="0"/>
    <n v="0"/>
    <n v="0"/>
    <n v="0"/>
    <n v="0"/>
    <n v="0"/>
    <n v="0"/>
    <x v="400"/>
    <x v="374"/>
    <n v="242873"/>
    <x v="0"/>
    <x v="1"/>
    <n v="0"/>
    <n v="50"/>
    <n v="64"/>
  </r>
  <r>
    <x v="0"/>
    <x v="11"/>
    <x v="1"/>
    <x v="2"/>
    <x v="2"/>
    <n v="0"/>
    <n v="0"/>
    <n v="0"/>
    <n v="0"/>
    <n v="0"/>
    <n v="0"/>
    <n v="0"/>
    <n v="0"/>
    <x v="1031"/>
    <x v="53"/>
    <n v="246908"/>
    <x v="2"/>
    <x v="1"/>
    <n v="0"/>
    <n v="50"/>
    <n v="64"/>
  </r>
  <r>
    <x v="1"/>
    <x v="18"/>
    <x v="2"/>
    <x v="286"/>
    <x v="2"/>
    <n v="0"/>
    <n v="0"/>
    <n v="0"/>
    <n v="0"/>
    <n v="0"/>
    <n v="0"/>
    <n v="0"/>
    <n v="0"/>
    <x v="445"/>
    <x v="415"/>
    <n v="895"/>
    <x v="1"/>
    <x v="1"/>
    <n v="0"/>
    <n v="5"/>
    <n v="11"/>
  </r>
  <r>
    <x v="0"/>
    <x v="92"/>
    <x v="3"/>
    <x v="2"/>
    <x v="2"/>
    <n v="0"/>
    <n v="0"/>
    <n v="0"/>
    <n v="0"/>
    <n v="0"/>
    <n v="0"/>
    <n v="0"/>
    <n v="0"/>
    <x v="411"/>
    <x v="385"/>
    <n v="161680"/>
    <x v="2"/>
    <x v="1"/>
    <n v="0"/>
    <n v="18"/>
    <n v="29"/>
  </r>
  <r>
    <x v="2"/>
    <x v="3"/>
    <x v="4"/>
    <x v="1273"/>
    <x v="903"/>
    <n v="0"/>
    <n v="8.1999999999999993"/>
    <n v="0"/>
    <n v="0"/>
    <n v="0"/>
    <n v="0"/>
    <n v="0"/>
    <n v="0"/>
    <x v="1065"/>
    <x v="943"/>
    <n v="0"/>
    <x v="506"/>
    <x v="18"/>
    <n v="0"/>
    <n v="12"/>
    <n v="17"/>
  </r>
  <r>
    <x v="2"/>
    <x v="7"/>
    <x v="2"/>
    <x v="1274"/>
    <x v="2"/>
    <n v="0"/>
    <n v="0"/>
    <n v="0"/>
    <n v="0"/>
    <n v="0"/>
    <n v="0"/>
    <n v="0"/>
    <n v="0"/>
    <x v="768"/>
    <x v="697"/>
    <n v="0"/>
    <x v="507"/>
    <x v="1"/>
    <n v="0"/>
    <n v="5"/>
    <n v="11"/>
  </r>
  <r>
    <x v="2"/>
    <x v="108"/>
    <x v="4"/>
    <x v="1275"/>
    <x v="904"/>
    <n v="112.2"/>
    <n v="1.9"/>
    <n v="1.8"/>
    <n v="0"/>
    <n v="0"/>
    <n v="0"/>
    <n v="0"/>
    <n v="0"/>
    <x v="180"/>
    <x v="177"/>
    <n v="44556"/>
    <x v="304"/>
    <x v="178"/>
    <n v="50"/>
    <n v="12"/>
    <n v="17"/>
  </r>
  <r>
    <x v="2"/>
    <x v="78"/>
    <x v="0"/>
    <x v="1276"/>
    <x v="905"/>
    <n v="0"/>
    <n v="10.3"/>
    <n v="0"/>
    <n v="252.8"/>
    <n v="21.1"/>
    <n v="0"/>
    <n v="12"/>
    <n v="0"/>
    <x v="274"/>
    <x v="260"/>
    <n v="0"/>
    <x v="508"/>
    <x v="211"/>
    <n v="0"/>
    <n v="999"/>
    <n v="999"/>
  </r>
  <r>
    <x v="1"/>
    <x v="62"/>
    <x v="0"/>
    <x v="103"/>
    <x v="17"/>
    <n v="2.6"/>
    <n v="2.5"/>
    <n v="1.2"/>
    <n v="3.6"/>
    <n v="2.2000000000000002"/>
    <n v="1.8"/>
    <n v="1.6"/>
    <n v="2"/>
    <x v="985"/>
    <x v="37"/>
    <n v="1040778"/>
    <x v="91"/>
    <x v="17"/>
    <n v="27"/>
    <n v="999"/>
    <n v="999"/>
  </r>
  <r>
    <x v="1"/>
    <x v="62"/>
    <x v="5"/>
    <x v="212"/>
    <x v="2"/>
    <n v="1.7"/>
    <n v="0"/>
    <n v="0.5"/>
    <n v="0"/>
    <n v="0"/>
    <n v="0"/>
    <n v="0"/>
    <n v="0"/>
    <x v="78"/>
    <x v="78"/>
    <n v="347313"/>
    <x v="1"/>
    <x v="1"/>
    <n v="6"/>
    <n v="30"/>
    <n v="49"/>
  </r>
  <r>
    <x v="1"/>
    <x v="82"/>
    <x v="1"/>
    <x v="2"/>
    <x v="21"/>
    <n v="0.4"/>
    <n v="0"/>
    <n v="0"/>
    <n v="0"/>
    <n v="0"/>
    <n v="0"/>
    <n v="0"/>
    <n v="0"/>
    <x v="238"/>
    <x v="228"/>
    <n v="246931"/>
    <x v="2"/>
    <x v="16"/>
    <n v="1"/>
    <n v="50"/>
    <n v="64"/>
  </r>
  <r>
    <x v="0"/>
    <x v="2"/>
    <x v="7"/>
    <x v="75"/>
    <x v="218"/>
    <n v="0.6"/>
    <n v="0.5"/>
    <n v="3.7"/>
    <n v="0"/>
    <n v="0"/>
    <n v="0"/>
    <n v="0"/>
    <n v="0"/>
    <x v="333"/>
    <x v="311"/>
    <n v="171141"/>
    <x v="1"/>
    <x v="11"/>
    <n v="1"/>
    <n v="65"/>
    <n v="79"/>
  </r>
  <r>
    <x v="1"/>
    <x v="73"/>
    <x v="6"/>
    <x v="1277"/>
    <x v="906"/>
    <n v="54.5"/>
    <n v="0.9"/>
    <n v="1"/>
    <n v="0"/>
    <n v="0"/>
    <n v="0"/>
    <n v="0"/>
    <n v="0"/>
    <x v="266"/>
    <x v="255"/>
    <n v="45911"/>
    <x v="35"/>
    <x v="26"/>
    <n v="25"/>
    <n v="80"/>
    <n v="200"/>
  </r>
  <r>
    <x v="2"/>
    <x v="131"/>
    <x v="5"/>
    <x v="1191"/>
    <x v="907"/>
    <n v="17.399999999999999"/>
    <n v="2.5"/>
    <n v="9"/>
    <n v="0"/>
    <n v="0"/>
    <n v="0"/>
    <n v="0"/>
    <n v="0"/>
    <x v="886"/>
    <x v="798"/>
    <n v="17244"/>
    <x v="509"/>
    <x v="404"/>
    <n v="3"/>
    <n v="30"/>
    <n v="49"/>
  </r>
  <r>
    <x v="0"/>
    <x v="14"/>
    <x v="4"/>
    <x v="2"/>
    <x v="2"/>
    <n v="0"/>
    <n v="0"/>
    <n v="0"/>
    <n v="0"/>
    <n v="0"/>
    <n v="0"/>
    <n v="0"/>
    <n v="0"/>
    <x v="1077"/>
    <x v="955"/>
    <n v="0"/>
    <x v="2"/>
    <x v="1"/>
    <n v="0"/>
    <n v="12"/>
    <n v="17"/>
  </r>
  <r>
    <x v="1"/>
    <x v="132"/>
    <x v="2"/>
    <x v="286"/>
    <x v="2"/>
    <n v="0"/>
    <n v="0"/>
    <n v="0"/>
    <n v="0"/>
    <n v="0"/>
    <n v="0"/>
    <n v="0"/>
    <n v="0"/>
    <x v="825"/>
    <x v="752"/>
    <n v="0"/>
    <x v="1"/>
    <x v="1"/>
    <n v="0"/>
    <n v="5"/>
    <n v="11"/>
  </r>
  <r>
    <x v="2"/>
    <x v="127"/>
    <x v="0"/>
    <x v="1278"/>
    <x v="908"/>
    <n v="664"/>
    <n v="1.5"/>
    <n v="1.8"/>
    <n v="1352.9"/>
    <n v="808.7"/>
    <n v="575.1"/>
    <n v="1.7"/>
    <n v="2.4"/>
    <x v="964"/>
    <x v="865"/>
    <n v="685691"/>
    <x v="510"/>
    <x v="405"/>
    <n v="4553"/>
    <n v="999"/>
    <n v="999"/>
  </r>
  <r>
    <x v="2"/>
    <x v="100"/>
    <x v="2"/>
    <x v="1279"/>
    <x v="909"/>
    <n v="112.9"/>
    <n v="0.9"/>
    <n v="2.4"/>
    <n v="0"/>
    <n v="0"/>
    <n v="0"/>
    <n v="0"/>
    <n v="0"/>
    <x v="151"/>
    <x v="148"/>
    <n v="2658"/>
    <x v="200"/>
    <x v="406"/>
    <n v="3"/>
    <n v="5"/>
    <n v="11"/>
  </r>
  <r>
    <x v="2"/>
    <x v="113"/>
    <x v="1"/>
    <x v="1014"/>
    <x v="280"/>
    <n v="31.6"/>
    <n v="3.8"/>
    <n v="1.9"/>
    <n v="0"/>
    <n v="0"/>
    <n v="0"/>
    <n v="0"/>
    <n v="0"/>
    <x v="670"/>
    <x v="608"/>
    <n v="247019"/>
    <x v="34"/>
    <x v="31"/>
    <n v="78"/>
    <n v="50"/>
    <n v="64"/>
  </r>
  <r>
    <x v="2"/>
    <x v="116"/>
    <x v="1"/>
    <x v="1121"/>
    <x v="837"/>
    <n v="55.5"/>
    <n v="4.5999999999999996"/>
    <n v="2.2000000000000002"/>
    <n v="0"/>
    <n v="0"/>
    <n v="0"/>
    <n v="0"/>
    <n v="0"/>
    <x v="225"/>
    <x v="216"/>
    <n v="246940"/>
    <x v="93"/>
    <x v="168"/>
    <n v="137"/>
    <n v="50"/>
    <n v="64"/>
  </r>
  <r>
    <x v="1"/>
    <x v="5"/>
    <x v="5"/>
    <x v="449"/>
    <x v="460"/>
    <n v="0"/>
    <n v="14.7"/>
    <n v="0"/>
    <n v="0"/>
    <n v="0"/>
    <n v="0"/>
    <n v="0"/>
    <n v="0"/>
    <x v="762"/>
    <x v="691"/>
    <n v="0"/>
    <x v="67"/>
    <x v="5"/>
    <n v="0"/>
    <n v="30"/>
    <n v="49"/>
  </r>
  <r>
    <x v="1"/>
    <x v="73"/>
    <x v="5"/>
    <x v="542"/>
    <x v="21"/>
    <n v="5.3"/>
    <n v="4.7"/>
    <n v="2.8"/>
    <n v="0"/>
    <n v="0"/>
    <n v="0"/>
    <n v="0"/>
    <n v="0"/>
    <x v="619"/>
    <x v="563"/>
    <n v="339580"/>
    <x v="34"/>
    <x v="13"/>
    <n v="18"/>
    <n v="30"/>
    <n v="49"/>
  </r>
  <r>
    <x v="1"/>
    <x v="2"/>
    <x v="1"/>
    <x v="1280"/>
    <x v="276"/>
    <n v="7.7"/>
    <n v="9.4"/>
    <n v="5.8"/>
    <n v="0"/>
    <n v="0"/>
    <n v="0"/>
    <n v="0"/>
    <n v="0"/>
    <x v="736"/>
    <x v="668"/>
    <n v="246259"/>
    <x v="8"/>
    <x v="48"/>
    <n v="19"/>
    <n v="50"/>
    <n v="64"/>
  </r>
  <r>
    <x v="1"/>
    <x v="123"/>
    <x v="1"/>
    <x v="178"/>
    <x v="25"/>
    <n v="4.5"/>
    <n v="1.4"/>
    <n v="2"/>
    <n v="0"/>
    <n v="0"/>
    <n v="0"/>
    <n v="0"/>
    <n v="0"/>
    <x v="665"/>
    <x v="603"/>
    <n v="246883"/>
    <x v="45"/>
    <x v="5"/>
    <n v="11"/>
    <n v="50"/>
    <n v="64"/>
  </r>
  <r>
    <x v="0"/>
    <x v="15"/>
    <x v="7"/>
    <x v="155"/>
    <x v="2"/>
    <n v="0.6"/>
    <n v="0"/>
    <n v="7.3"/>
    <n v="0"/>
    <n v="0"/>
    <n v="0"/>
    <n v="0"/>
    <n v="0"/>
    <x v="1087"/>
    <x v="963"/>
    <n v="170344"/>
    <x v="0"/>
    <x v="1"/>
    <n v="1"/>
    <n v="65"/>
    <n v="79"/>
  </r>
  <r>
    <x v="0"/>
    <x v="99"/>
    <x v="0"/>
    <x v="348"/>
    <x v="221"/>
    <n v="1.3"/>
    <n v="2.2999999999999998"/>
    <n v="4.3"/>
    <n v="6.9"/>
    <n v="3.3"/>
    <n v="0.8"/>
    <n v="2.1"/>
    <n v="8.5"/>
    <x v="683"/>
    <x v="620"/>
    <n v="848563"/>
    <x v="42"/>
    <x v="97"/>
    <n v="11"/>
    <n v="999"/>
    <n v="999"/>
  </r>
  <r>
    <x v="0"/>
    <x v="25"/>
    <x v="3"/>
    <x v="212"/>
    <x v="2"/>
    <n v="0"/>
    <n v="0"/>
    <n v="0"/>
    <n v="0"/>
    <n v="0"/>
    <n v="0"/>
    <n v="0"/>
    <n v="0"/>
    <x v="820"/>
    <x v="747"/>
    <n v="114102"/>
    <x v="1"/>
    <x v="1"/>
    <n v="0"/>
    <n v="18"/>
    <n v="29"/>
  </r>
  <r>
    <x v="0"/>
    <x v="103"/>
    <x v="1"/>
    <x v="1"/>
    <x v="2"/>
    <n v="0"/>
    <n v="0"/>
    <n v="0"/>
    <n v="0"/>
    <n v="0"/>
    <n v="0"/>
    <n v="0"/>
    <n v="0"/>
    <x v="645"/>
    <x v="586"/>
    <n v="0"/>
    <x v="45"/>
    <x v="1"/>
    <n v="0"/>
    <n v="50"/>
    <n v="64"/>
  </r>
  <r>
    <x v="2"/>
    <x v="114"/>
    <x v="6"/>
    <x v="1281"/>
    <x v="910"/>
    <n v="167.8"/>
    <n v="0.4"/>
    <n v="0.4"/>
    <n v="0"/>
    <n v="0"/>
    <n v="0"/>
    <n v="0"/>
    <n v="0"/>
    <x v="626"/>
    <x v="124"/>
    <n v="47073"/>
    <x v="8"/>
    <x v="59"/>
    <n v="79"/>
    <n v="80"/>
    <n v="200"/>
  </r>
  <r>
    <x v="2"/>
    <x v="48"/>
    <x v="1"/>
    <x v="693"/>
    <x v="911"/>
    <n v="32.799999999999997"/>
    <n v="4.7"/>
    <n v="2.7"/>
    <n v="0"/>
    <n v="0"/>
    <n v="0"/>
    <n v="0"/>
    <n v="0"/>
    <x v="796"/>
    <x v="723"/>
    <n v="247106"/>
    <x v="48"/>
    <x v="133"/>
    <n v="81"/>
    <n v="50"/>
    <n v="64"/>
  </r>
  <r>
    <x v="1"/>
    <x v="130"/>
    <x v="4"/>
    <x v="188"/>
    <x v="2"/>
    <n v="0"/>
    <n v="0"/>
    <n v="0"/>
    <n v="0"/>
    <n v="0"/>
    <n v="0"/>
    <n v="0"/>
    <n v="0"/>
    <x v="1082"/>
    <x v="958"/>
    <n v="0"/>
    <x v="45"/>
    <x v="1"/>
    <n v="0"/>
    <n v="12"/>
    <n v="17"/>
  </r>
  <r>
    <x v="0"/>
    <x v="1"/>
    <x v="4"/>
    <x v="2"/>
    <x v="2"/>
    <n v="0"/>
    <n v="0"/>
    <n v="0"/>
    <n v="0"/>
    <n v="0"/>
    <n v="0"/>
    <n v="0"/>
    <n v="0"/>
    <x v="972"/>
    <x v="871"/>
    <n v="44553"/>
    <x v="2"/>
    <x v="1"/>
    <n v="0"/>
    <n v="12"/>
    <n v="17"/>
  </r>
  <r>
    <x v="0"/>
    <x v="122"/>
    <x v="6"/>
    <x v="475"/>
    <x v="127"/>
    <n v="0"/>
    <n v="7.9"/>
    <n v="0"/>
    <n v="0"/>
    <n v="0"/>
    <n v="0"/>
    <n v="0"/>
    <n v="0"/>
    <x v="714"/>
    <x v="649"/>
    <n v="0"/>
    <x v="51"/>
    <x v="0"/>
    <n v="0"/>
    <n v="80"/>
    <n v="200"/>
  </r>
  <r>
    <x v="0"/>
    <x v="120"/>
    <x v="3"/>
    <x v="2"/>
    <x v="2"/>
    <n v="0"/>
    <n v="0"/>
    <n v="0"/>
    <n v="0"/>
    <n v="0"/>
    <n v="0"/>
    <n v="0"/>
    <n v="0"/>
    <x v="634"/>
    <x v="575"/>
    <n v="161677"/>
    <x v="2"/>
    <x v="1"/>
    <n v="0"/>
    <n v="18"/>
    <n v="29"/>
  </r>
  <r>
    <x v="0"/>
    <x v="40"/>
    <x v="6"/>
    <x v="45"/>
    <x v="4"/>
    <n v="0"/>
    <n v="4.3"/>
    <n v="0"/>
    <n v="0"/>
    <n v="0"/>
    <n v="0"/>
    <n v="0"/>
    <n v="0"/>
    <x v="148"/>
    <x v="146"/>
    <n v="0"/>
    <x v="13"/>
    <x v="11"/>
    <n v="0"/>
    <n v="80"/>
    <n v="200"/>
  </r>
  <r>
    <x v="2"/>
    <x v="4"/>
    <x v="6"/>
    <x v="406"/>
    <x v="912"/>
    <n v="46"/>
    <n v="0.3"/>
    <n v="0.4"/>
    <n v="0"/>
    <n v="0"/>
    <n v="0"/>
    <n v="0"/>
    <n v="0"/>
    <x v="522"/>
    <x v="477"/>
    <n v="43462"/>
    <x v="13"/>
    <x v="13"/>
    <n v="20"/>
    <n v="80"/>
    <n v="200"/>
  </r>
  <r>
    <x v="0"/>
    <x v="49"/>
    <x v="5"/>
    <x v="2"/>
    <x v="2"/>
    <n v="0"/>
    <n v="0"/>
    <n v="0"/>
    <n v="0"/>
    <n v="0"/>
    <n v="0"/>
    <n v="0"/>
    <n v="0"/>
    <x v="1043"/>
    <x v="799"/>
    <n v="347317"/>
    <x v="2"/>
    <x v="1"/>
    <n v="0"/>
    <n v="30"/>
    <n v="49"/>
  </r>
  <r>
    <x v="2"/>
    <x v="45"/>
    <x v="1"/>
    <x v="1282"/>
    <x v="544"/>
    <n v="0"/>
    <n v="15.3"/>
    <n v="0"/>
    <n v="0"/>
    <n v="0"/>
    <n v="0"/>
    <n v="0"/>
    <n v="0"/>
    <x v="398"/>
    <x v="372"/>
    <n v="0"/>
    <x v="511"/>
    <x v="77"/>
    <n v="0"/>
    <n v="50"/>
    <n v="64"/>
  </r>
  <r>
    <x v="2"/>
    <x v="113"/>
    <x v="6"/>
    <x v="767"/>
    <x v="380"/>
    <n v="93.3"/>
    <n v="0.9"/>
    <n v="0.6"/>
    <n v="0"/>
    <n v="0"/>
    <n v="0"/>
    <n v="0"/>
    <n v="0"/>
    <x v="1055"/>
    <x v="937"/>
    <n v="47144"/>
    <x v="16"/>
    <x v="26"/>
    <n v="44"/>
    <n v="80"/>
    <n v="200"/>
  </r>
  <r>
    <x v="0"/>
    <x v="106"/>
    <x v="4"/>
    <x v="2"/>
    <x v="2"/>
    <n v="0"/>
    <n v="0"/>
    <n v="0"/>
    <n v="0"/>
    <n v="0"/>
    <n v="0"/>
    <n v="0"/>
    <n v="0"/>
    <x v="1013"/>
    <x v="904"/>
    <n v="0"/>
    <x v="2"/>
    <x v="1"/>
    <n v="0"/>
    <n v="12"/>
    <n v="17"/>
  </r>
  <r>
    <x v="1"/>
    <x v="136"/>
    <x v="0"/>
    <x v="137"/>
    <x v="379"/>
    <n v="0"/>
    <n v="5"/>
    <n v="0"/>
    <n v="24.9"/>
    <n v="2.8"/>
    <n v="0"/>
    <n v="8.8000000000000007"/>
    <n v="0"/>
    <x v="688"/>
    <x v="625"/>
    <n v="0"/>
    <x v="386"/>
    <x v="46"/>
    <n v="0"/>
    <n v="999"/>
    <n v="999"/>
  </r>
  <r>
    <x v="0"/>
    <x v="90"/>
    <x v="1"/>
    <x v="2"/>
    <x v="460"/>
    <n v="0"/>
    <n v="0"/>
    <n v="0"/>
    <n v="0"/>
    <n v="0"/>
    <n v="0"/>
    <n v="0"/>
    <n v="0"/>
    <x v="276"/>
    <x v="261"/>
    <n v="236190"/>
    <x v="2"/>
    <x v="11"/>
    <n v="0"/>
    <n v="50"/>
    <n v="64"/>
  </r>
  <r>
    <x v="0"/>
    <x v="36"/>
    <x v="2"/>
    <x v="2"/>
    <x v="2"/>
    <n v="0"/>
    <n v="0"/>
    <n v="0"/>
    <n v="0"/>
    <n v="0"/>
    <n v="0"/>
    <n v="0"/>
    <n v="0"/>
    <x v="1066"/>
    <x v="944"/>
    <n v="21197"/>
    <x v="2"/>
    <x v="1"/>
    <n v="0"/>
    <n v="5"/>
    <n v="11"/>
  </r>
  <r>
    <x v="1"/>
    <x v="126"/>
    <x v="6"/>
    <x v="371"/>
    <x v="323"/>
    <n v="44.6"/>
    <n v="0.2"/>
    <n v="0.3"/>
    <n v="0"/>
    <n v="0"/>
    <n v="0"/>
    <n v="0"/>
    <n v="0"/>
    <x v="495"/>
    <x v="353"/>
    <n v="47134"/>
    <x v="45"/>
    <x v="26"/>
    <n v="21"/>
    <n v="80"/>
    <n v="200"/>
  </r>
  <r>
    <x v="2"/>
    <x v="112"/>
    <x v="5"/>
    <x v="1283"/>
    <x v="157"/>
    <n v="0"/>
    <n v="17.7"/>
    <n v="0"/>
    <n v="0"/>
    <n v="0"/>
    <n v="0"/>
    <n v="0"/>
    <n v="0"/>
    <x v="928"/>
    <x v="833"/>
    <n v="0"/>
    <x v="512"/>
    <x v="167"/>
    <n v="0"/>
    <n v="30"/>
    <n v="49"/>
  </r>
  <r>
    <x v="1"/>
    <x v="94"/>
    <x v="4"/>
    <x v="2"/>
    <x v="17"/>
    <n v="2.2000000000000002"/>
    <n v="0"/>
    <n v="0"/>
    <n v="0"/>
    <n v="0"/>
    <n v="0"/>
    <n v="0"/>
    <n v="0"/>
    <x v="861"/>
    <x v="779"/>
    <n v="44551"/>
    <x v="2"/>
    <x v="0"/>
    <n v="1"/>
    <n v="12"/>
    <n v="17"/>
  </r>
  <r>
    <x v="0"/>
    <x v="69"/>
    <x v="3"/>
    <x v="2"/>
    <x v="2"/>
    <n v="0"/>
    <n v="0"/>
    <n v="0"/>
    <n v="0"/>
    <n v="0"/>
    <n v="0"/>
    <n v="0"/>
    <n v="0"/>
    <x v="232"/>
    <x v="222"/>
    <n v="133301"/>
    <x v="2"/>
    <x v="1"/>
    <n v="0"/>
    <n v="18"/>
    <n v="29"/>
  </r>
  <r>
    <x v="1"/>
    <x v="61"/>
    <x v="4"/>
    <x v="2"/>
    <x v="2"/>
    <n v="0"/>
    <n v="0"/>
    <n v="0"/>
    <n v="0"/>
    <n v="0"/>
    <n v="0"/>
    <n v="0"/>
    <n v="0"/>
    <x v="216"/>
    <x v="208"/>
    <n v="44597"/>
    <x v="2"/>
    <x v="1"/>
    <n v="0"/>
    <n v="12"/>
    <n v="17"/>
  </r>
  <r>
    <x v="0"/>
    <x v="33"/>
    <x v="0"/>
    <x v="113"/>
    <x v="2"/>
    <n v="0"/>
    <n v="0"/>
    <n v="0"/>
    <n v="0.3"/>
    <n v="0"/>
    <n v="0"/>
    <n v="0"/>
    <n v="0"/>
    <x v="497"/>
    <x v="459"/>
    <n v="1040757"/>
    <x v="1"/>
    <x v="1"/>
    <n v="0"/>
    <n v="999"/>
    <n v="999"/>
  </r>
  <r>
    <x v="1"/>
    <x v="128"/>
    <x v="6"/>
    <x v="122"/>
    <x v="301"/>
    <n v="27.6"/>
    <n v="0.8"/>
    <n v="1"/>
    <n v="0"/>
    <n v="0"/>
    <n v="0"/>
    <n v="0"/>
    <n v="0"/>
    <x v="1020"/>
    <x v="97"/>
    <n v="47127"/>
    <x v="64"/>
    <x v="16"/>
    <n v="13"/>
    <n v="80"/>
    <n v="200"/>
  </r>
  <r>
    <x v="0"/>
    <x v="83"/>
    <x v="6"/>
    <x v="2"/>
    <x v="2"/>
    <n v="2.2999999999999998"/>
    <n v="0"/>
    <n v="0"/>
    <n v="0"/>
    <n v="0"/>
    <n v="0"/>
    <n v="0"/>
    <n v="0"/>
    <x v="938"/>
    <x v="842"/>
    <n v="44353"/>
    <x v="2"/>
    <x v="1"/>
    <n v="1"/>
    <n v="80"/>
    <n v="200"/>
  </r>
  <r>
    <x v="0"/>
    <x v="55"/>
    <x v="2"/>
    <x v="2"/>
    <x v="2"/>
    <n v="0"/>
    <n v="0"/>
    <n v="0"/>
    <n v="0"/>
    <n v="0"/>
    <n v="0"/>
    <n v="0"/>
    <n v="0"/>
    <x v="718"/>
    <x v="262"/>
    <n v="21264"/>
    <x v="2"/>
    <x v="1"/>
    <n v="0"/>
    <n v="5"/>
    <n v="11"/>
  </r>
  <r>
    <x v="0"/>
    <x v="30"/>
    <x v="2"/>
    <x v="2"/>
    <x v="2"/>
    <n v="0"/>
    <n v="0"/>
    <n v="0"/>
    <n v="0"/>
    <n v="0"/>
    <n v="0"/>
    <n v="0"/>
    <n v="0"/>
    <x v="616"/>
    <x v="561"/>
    <n v="21043"/>
    <x v="2"/>
    <x v="1"/>
    <n v="0"/>
    <n v="5"/>
    <n v="11"/>
  </r>
  <r>
    <x v="2"/>
    <x v="136"/>
    <x v="7"/>
    <x v="1284"/>
    <x v="706"/>
    <n v="0"/>
    <n v="2.5"/>
    <n v="0"/>
    <n v="0"/>
    <n v="0"/>
    <n v="0"/>
    <n v="0"/>
    <n v="0"/>
    <x v="990"/>
    <x v="886"/>
    <n v="0"/>
    <x v="72"/>
    <x v="204"/>
    <n v="0"/>
    <n v="65"/>
    <n v="79"/>
  </r>
  <r>
    <x v="2"/>
    <x v="24"/>
    <x v="1"/>
    <x v="1285"/>
    <x v="416"/>
    <n v="40.1"/>
    <n v="3.1"/>
    <n v="2"/>
    <n v="0"/>
    <n v="0"/>
    <n v="0"/>
    <n v="0"/>
    <n v="0"/>
    <x v="56"/>
    <x v="56"/>
    <n v="246935"/>
    <x v="17"/>
    <x v="124"/>
    <n v="99"/>
    <n v="50"/>
    <n v="64"/>
  </r>
  <r>
    <x v="0"/>
    <x v="30"/>
    <x v="6"/>
    <x v="2"/>
    <x v="66"/>
    <n v="4.2"/>
    <n v="0"/>
    <n v="0"/>
    <n v="0"/>
    <n v="0"/>
    <n v="0"/>
    <n v="0"/>
    <n v="0"/>
    <x v="340"/>
    <x v="309"/>
    <n v="47090"/>
    <x v="2"/>
    <x v="11"/>
    <n v="2"/>
    <n v="80"/>
    <n v="200"/>
  </r>
  <r>
    <x v="2"/>
    <x v="5"/>
    <x v="5"/>
    <x v="80"/>
    <x v="913"/>
    <n v="0"/>
    <n v="3.2"/>
    <n v="0"/>
    <n v="0"/>
    <n v="0"/>
    <n v="0"/>
    <n v="0"/>
    <n v="0"/>
    <x v="762"/>
    <x v="691"/>
    <n v="0"/>
    <x v="89"/>
    <x v="407"/>
    <n v="0"/>
    <n v="30"/>
    <n v="49"/>
  </r>
  <r>
    <x v="0"/>
    <x v="71"/>
    <x v="1"/>
    <x v="97"/>
    <x v="87"/>
    <n v="0"/>
    <n v="6"/>
    <n v="0"/>
    <n v="0"/>
    <n v="0"/>
    <n v="0"/>
    <n v="0"/>
    <n v="0"/>
    <x v="84"/>
    <x v="84"/>
    <n v="0"/>
    <x v="0"/>
    <x v="0"/>
    <n v="0"/>
    <n v="50"/>
    <n v="64"/>
  </r>
  <r>
    <x v="0"/>
    <x v="106"/>
    <x v="3"/>
    <x v="219"/>
    <x v="2"/>
    <n v="0"/>
    <n v="0"/>
    <n v="0"/>
    <n v="0"/>
    <n v="0"/>
    <n v="0"/>
    <n v="0"/>
    <n v="0"/>
    <x v="486"/>
    <x v="450"/>
    <n v="0"/>
    <x v="1"/>
    <x v="1"/>
    <n v="0"/>
    <n v="18"/>
    <n v="29"/>
  </r>
  <r>
    <x v="1"/>
    <x v="4"/>
    <x v="1"/>
    <x v="178"/>
    <x v="152"/>
    <n v="1.8"/>
    <n v="1.7"/>
    <n v="4.9000000000000004"/>
    <n v="0"/>
    <n v="0"/>
    <n v="0"/>
    <n v="0"/>
    <n v="0"/>
    <x v="772"/>
    <x v="701"/>
    <n v="228401"/>
    <x v="20"/>
    <x v="26"/>
    <n v="4"/>
    <n v="50"/>
    <n v="64"/>
  </r>
  <r>
    <x v="1"/>
    <x v="94"/>
    <x v="0"/>
    <x v="114"/>
    <x v="121"/>
    <n v="7.4"/>
    <n v="2.1"/>
    <n v="1.2"/>
    <n v="10.6"/>
    <n v="6.3"/>
    <n v="5.0999999999999996"/>
    <n v="1.7"/>
    <n v="2.1"/>
    <x v="135"/>
    <x v="134"/>
    <n v="1040296"/>
    <x v="259"/>
    <x v="30"/>
    <n v="77"/>
    <n v="999"/>
    <n v="999"/>
  </r>
  <r>
    <x v="2"/>
    <x v="35"/>
    <x v="2"/>
    <x v="759"/>
    <x v="28"/>
    <n v="13.8"/>
    <n v="2"/>
    <n v="1.4"/>
    <n v="1.4"/>
    <n v="1.4"/>
    <n v="0"/>
    <n v="0"/>
    <n v="0"/>
    <x v="149"/>
    <x v="147"/>
    <n v="21744"/>
    <x v="134"/>
    <x v="5"/>
    <n v="3"/>
    <n v="5"/>
    <n v="11"/>
  </r>
  <r>
    <x v="0"/>
    <x v="131"/>
    <x v="3"/>
    <x v="2"/>
    <x v="2"/>
    <n v="0"/>
    <n v="0"/>
    <n v="0"/>
    <n v="0"/>
    <n v="0"/>
    <n v="0"/>
    <n v="0"/>
    <n v="0"/>
    <x v="830"/>
    <x v="754"/>
    <n v="5594"/>
    <x v="2"/>
    <x v="1"/>
    <n v="0"/>
    <n v="18"/>
    <n v="29"/>
  </r>
  <r>
    <x v="0"/>
    <x v="66"/>
    <x v="7"/>
    <x v="114"/>
    <x v="15"/>
    <n v="1.8"/>
    <n v="1.6"/>
    <n v="4.8"/>
    <n v="4.8"/>
    <n v="4.8"/>
    <n v="0"/>
    <n v="0"/>
    <n v="0"/>
    <x v="1067"/>
    <x v="945"/>
    <n v="56482"/>
    <x v="13"/>
    <x v="5"/>
    <n v="1"/>
    <n v="65"/>
    <n v="79"/>
  </r>
  <r>
    <x v="2"/>
    <x v="84"/>
    <x v="3"/>
    <x v="920"/>
    <x v="60"/>
    <n v="19.8"/>
    <n v="2.9"/>
    <n v="2.6"/>
    <n v="2.6"/>
    <n v="2.6"/>
    <n v="0"/>
    <n v="0"/>
    <n v="0"/>
    <x v="839"/>
    <x v="520"/>
    <n v="161728"/>
    <x v="19"/>
    <x v="60"/>
    <n v="32"/>
    <n v="18"/>
    <n v="29"/>
  </r>
  <r>
    <x v="0"/>
    <x v="106"/>
    <x v="6"/>
    <x v="1286"/>
    <x v="131"/>
    <n v="0"/>
    <n v="10.199999999999999"/>
    <n v="0"/>
    <n v="0"/>
    <n v="0"/>
    <n v="0"/>
    <n v="0"/>
    <n v="0"/>
    <x v="739"/>
    <x v="671"/>
    <n v="0"/>
    <x v="18"/>
    <x v="0"/>
    <n v="0"/>
    <n v="80"/>
    <n v="200"/>
  </r>
  <r>
    <x v="2"/>
    <x v="21"/>
    <x v="6"/>
    <x v="577"/>
    <x v="914"/>
    <n v="0"/>
    <n v="0.8"/>
    <n v="0"/>
    <n v="0"/>
    <n v="0"/>
    <n v="0"/>
    <n v="0"/>
    <n v="0"/>
    <x v="717"/>
    <x v="651"/>
    <n v="0"/>
    <x v="24"/>
    <x v="31"/>
    <n v="0"/>
    <n v="80"/>
    <n v="2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BAFBD0-BE74-4CC7-AE0A-8C71BC114D30}" name="PivotTable22"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9">
  <location ref="A190:D204" firstHeaderRow="1" firstDataRow="2" firstDataCol="1"/>
  <pivotFields count="24">
    <pivotField axis="axisCol"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h="1" x="8"/>
        <item h="1" x="4"/>
        <item x="3"/>
        <item h="1" x="5"/>
        <item h="1" x="2"/>
        <item h="1" x="1"/>
        <item h="1" x="7"/>
        <item h="1" x="6"/>
        <item h="1" x="0"/>
        <item t="default"/>
      </items>
    </pivotField>
    <pivotField showAll="0"/>
    <pivotField showAll="0"/>
    <pivotField showAll="0"/>
    <pivotField showAll="0"/>
    <pivotField showAll="0"/>
    <pivotField showAll="0"/>
    <pivotField showAll="0"/>
    <pivotField showAll="0"/>
    <pivotField showAll="0"/>
    <pivotField showAll="0"/>
    <pivotField dataField="1" showAll="0">
      <items count="1089">
        <item x="45"/>
        <item x="1056"/>
        <item x="189"/>
        <item x="812"/>
        <item x="648"/>
        <item x="518"/>
        <item x="89"/>
        <item x="537"/>
        <item x="1055"/>
        <item x="384"/>
        <item x="904"/>
        <item x="495"/>
        <item x="448"/>
        <item x="566"/>
        <item x="585"/>
        <item x="521"/>
        <item x="880"/>
        <item x="473"/>
        <item x="200"/>
        <item x="833"/>
        <item x="758"/>
        <item x="102"/>
        <item x="1078"/>
        <item x="492"/>
        <item x="332"/>
        <item x="141"/>
        <item x="1007"/>
        <item x="852"/>
        <item x="98"/>
        <item x="879"/>
        <item x="1029"/>
        <item x="659"/>
        <item x="1020"/>
        <item x="704"/>
        <item x="150"/>
        <item x="508"/>
        <item x="500"/>
        <item x="417"/>
        <item x="551"/>
        <item x="326"/>
        <item x="919"/>
        <item x="49"/>
        <item x="907"/>
        <item x="845"/>
        <item x="348"/>
        <item x="429"/>
        <item x="862"/>
        <item x="330"/>
        <item x="309"/>
        <item x="816"/>
        <item x="840"/>
        <item x="242"/>
        <item x="1063"/>
        <item x="388"/>
        <item x="774"/>
        <item x="340"/>
        <item x="125"/>
        <item x="606"/>
        <item x="626"/>
        <item x="215"/>
        <item x="185"/>
        <item x="377"/>
        <item x="957"/>
        <item x="32"/>
        <item x="681"/>
        <item x="868"/>
        <item x="994"/>
        <item x="112"/>
        <item x="1001"/>
        <item x="559"/>
        <item x="947"/>
        <item x="158"/>
        <item x="776"/>
        <item x="143"/>
        <item x="266"/>
        <item x="814"/>
        <item x="944"/>
        <item x="539"/>
        <item x="790"/>
        <item x="987"/>
        <item x="399"/>
        <item x="293"/>
        <item x="938"/>
        <item x="707"/>
        <item x="352"/>
        <item x="1039"/>
        <item x="522"/>
        <item x="515"/>
        <item x="58"/>
        <item x="228"/>
        <item x="661"/>
        <item x="178"/>
        <item x="227"/>
        <item x="836"/>
        <item x="488"/>
        <item x="370"/>
        <item x="490"/>
        <item x="273"/>
        <item x="338"/>
        <item x="313"/>
        <item x="256"/>
        <item x="264"/>
        <item x="193"/>
        <item x="464"/>
        <item x="353"/>
        <item x="747"/>
        <item x="131"/>
        <item x="74"/>
        <item x="453"/>
        <item x="854"/>
        <item x="874"/>
        <item x="723"/>
        <item x="355"/>
        <item x="711"/>
        <item x="906"/>
        <item x="717"/>
        <item x="148"/>
        <item x="386"/>
        <item x="737"/>
        <item x="54"/>
        <item x="739"/>
        <item x="689"/>
        <item x="710"/>
        <item x="88"/>
        <item x="796"/>
        <item x="548"/>
        <item x="1086"/>
        <item x="988"/>
        <item x="289"/>
        <item x="240"/>
        <item x="532"/>
        <item x="298"/>
        <item x="672"/>
        <item x="244"/>
        <item x="756"/>
        <item x="867"/>
        <item x="670"/>
        <item x="325"/>
        <item x="216"/>
        <item x="925"/>
        <item x="827"/>
        <item x="9"/>
        <item x="203"/>
        <item x="162"/>
        <item x="1003"/>
        <item x="368"/>
        <item x="991"/>
        <item x="632"/>
        <item x="209"/>
        <item x="504"/>
        <item x="204"/>
        <item x="252"/>
        <item x="873"/>
        <item x="1058"/>
        <item x="962"/>
        <item x="38"/>
        <item x="984"/>
        <item x="733"/>
        <item x="225"/>
        <item x="1035"/>
        <item x="447"/>
        <item x="284"/>
        <item x="652"/>
        <item x="801"/>
        <item x="56"/>
        <item x="843"/>
        <item x="1081"/>
        <item x="65"/>
        <item x="64"/>
        <item x="677"/>
        <item x="750"/>
        <item x="454"/>
        <item x="829"/>
        <item x="239"/>
        <item x="238"/>
        <item x="275"/>
        <item x="438"/>
        <item x="857"/>
        <item x="992"/>
        <item x="864"/>
        <item x="12"/>
        <item x="344"/>
        <item x="676"/>
        <item x="83"/>
        <item x="95"/>
        <item x="157"/>
        <item x="53"/>
        <item x="545"/>
        <item x="580"/>
        <item x="247"/>
        <item x="792"/>
        <item x="664"/>
        <item x="165"/>
        <item x="1031"/>
        <item x="439"/>
        <item x="679"/>
        <item x="281"/>
        <item x="72"/>
        <item x="720"/>
        <item x="607"/>
        <item x="327"/>
        <item x="180"/>
        <item x="93"/>
        <item x="972"/>
        <item x="807"/>
        <item x="456"/>
        <item x="861"/>
        <item x="527"/>
        <item x="509"/>
        <item x="82"/>
        <item x="480"/>
        <item x="126"/>
        <item x="383"/>
        <item x="665"/>
        <item x="69"/>
        <item x="917"/>
        <item x="194"/>
        <item x="306"/>
        <item x="834"/>
        <item x="732"/>
        <item x="956"/>
        <item x="442"/>
        <item x="903"/>
        <item x="25"/>
        <item x="224"/>
        <item x="198"/>
        <item x="738"/>
        <item x="575"/>
        <item x="1"/>
        <item x="933"/>
        <item x="1021"/>
        <item x="921"/>
        <item x="937"/>
        <item x="968"/>
        <item x="590"/>
        <item x="698"/>
        <item x="570"/>
        <item x="939"/>
        <item x="624"/>
        <item x="716"/>
        <item x="999"/>
        <item x="828"/>
        <item x="558"/>
        <item x="971"/>
        <item x="170"/>
        <item x="219"/>
        <item x="806"/>
        <item x="565"/>
        <item x="303"/>
        <item x="787"/>
        <item x="299"/>
        <item x="949"/>
        <item x="1049"/>
        <item x="449"/>
        <item x="601"/>
        <item x="427"/>
        <item x="378"/>
        <item x="451"/>
        <item x="592"/>
        <item x="51"/>
        <item x="137"/>
        <item x="1041"/>
        <item x="395"/>
        <item x="1008"/>
        <item x="819"/>
        <item x="251"/>
        <item x="286"/>
        <item x="662"/>
        <item x="667"/>
        <item x="278"/>
        <item x="789"/>
        <item x="740"/>
        <item x="269"/>
        <item x="1042"/>
        <item x="795"/>
        <item x="822"/>
        <item x="440"/>
        <item x="997"/>
        <item x="617"/>
        <item x="793"/>
        <item x="547"/>
        <item x="623"/>
        <item x="693"/>
        <item x="899"/>
        <item x="35"/>
        <item x="76"/>
        <item x="650"/>
        <item x="748"/>
        <item x="966"/>
        <item x="893"/>
        <item x="940"/>
        <item x="726"/>
        <item x="129"/>
        <item x="1050"/>
        <item x="916"/>
        <item x="885"/>
        <item x="628"/>
        <item x="103"/>
        <item x="1076"/>
        <item x="31"/>
        <item x="553"/>
        <item x="714"/>
        <item x="875"/>
        <item x="502"/>
        <item x="421"/>
        <item x="57"/>
        <item x="152"/>
        <item x="561"/>
        <item x="485"/>
        <item x="743"/>
        <item x="709"/>
        <item x="55"/>
        <item x="564"/>
        <item x="826"/>
        <item x="699"/>
        <item x="941"/>
        <item x="574"/>
        <item x="837"/>
        <item x="452"/>
        <item x="365"/>
        <item x="931"/>
        <item x="413"/>
        <item x="1028"/>
        <item x="511"/>
        <item x="721"/>
        <item x="392"/>
        <item x="1059"/>
        <item x="1016"/>
        <item x="876"/>
        <item x="130"/>
        <item x="951"/>
        <item x="1009"/>
        <item x="261"/>
        <item x="986"/>
        <item x="67"/>
        <item x="788"/>
        <item x="736"/>
        <item x="36"/>
        <item x="636"/>
        <item x="268"/>
        <item x="674"/>
        <item x="621"/>
        <item x="757"/>
        <item x="367"/>
        <item x="184"/>
        <item x="742"/>
        <item x="231"/>
        <item x="15"/>
        <item x="593"/>
        <item x="341"/>
        <item x="391"/>
        <item x="46"/>
        <item x="573"/>
        <item x="21"/>
        <item x="400"/>
        <item x="965"/>
        <item x="146"/>
        <item x="675"/>
        <item x="889"/>
        <item x="322"/>
        <item x="210"/>
        <item x="1075"/>
        <item x="808"/>
        <item x="86"/>
        <item x="600"/>
        <item x="171"/>
        <item x="514"/>
        <item x="101"/>
        <item x="646"/>
        <item x="235"/>
        <item x="643"/>
        <item x="496"/>
        <item x="20"/>
        <item x="276"/>
        <item x="1073"/>
        <item x="520"/>
        <item x="936"/>
        <item x="556"/>
        <item x="258"/>
        <item x="323"/>
        <item x="687"/>
        <item x="525"/>
        <item x="483"/>
        <item x="890"/>
        <item x="113"/>
        <item x="728"/>
        <item x="772"/>
        <item x="426"/>
        <item x="467"/>
        <item x="694"/>
        <item x="333"/>
        <item x="343"/>
        <item x="1006"/>
        <item x="253"/>
        <item x="1087"/>
        <item x="430"/>
        <item x="528"/>
        <item x="950"/>
        <item x="437"/>
        <item x="206"/>
        <item x="91"/>
        <item x="1045"/>
        <item x="154"/>
        <item x="328"/>
        <item x="902"/>
        <item x="980"/>
        <item x="821"/>
        <item x="43"/>
        <item x="775"/>
        <item x="1044"/>
        <item x="120"/>
        <item x="785"/>
        <item x="1011"/>
        <item x="295"/>
        <item x="121"/>
        <item x="160"/>
        <item x="700"/>
        <item x="878"/>
        <item x="802"/>
        <item x="1071"/>
        <item x="708"/>
        <item x="41"/>
        <item x="424"/>
        <item x="1038"/>
        <item x="62"/>
        <item x="484"/>
        <item x="470"/>
        <item x="335"/>
        <item x="773"/>
        <item x="546"/>
        <item x="394"/>
        <item x="444"/>
        <item x="948"/>
        <item x="13"/>
        <item x="362"/>
        <item x="765"/>
        <item x="658"/>
        <item x="475"/>
        <item x="498"/>
        <item x="543"/>
        <item x="18"/>
        <item x="262"/>
        <item x="842"/>
        <item x="122"/>
        <item x="1015"/>
        <item x="671"/>
        <item x="168"/>
        <item x="296"/>
        <item x="301"/>
        <item x="310"/>
        <item x="1067"/>
        <item x="140"/>
        <item x="294"/>
        <item x="288"/>
        <item x="419"/>
        <item x="706"/>
        <item x="760"/>
        <item x="955"/>
        <item x="1065"/>
        <item x="237"/>
        <item x="188"/>
        <item x="690"/>
        <item x="40"/>
        <item x="596"/>
        <item x="572"/>
        <item x="638"/>
        <item x="458"/>
        <item x="587"/>
        <item x="703"/>
        <item x="68"/>
        <item x="176"/>
        <item x="431"/>
        <item x="990"/>
        <item x="913"/>
        <item x="23"/>
        <item x="846"/>
        <item x="666"/>
        <item x="90"/>
        <item x="691"/>
        <item x="211"/>
        <item x="1000"/>
        <item x="853"/>
        <item x="961"/>
        <item x="869"/>
        <item x="324"/>
        <item x="249"/>
        <item x="973"/>
        <item x="892"/>
        <item x="22"/>
        <item x="1013"/>
        <item x="859"/>
        <item x="599"/>
        <item x="901"/>
        <item x="924"/>
        <item x="462"/>
        <item x="494"/>
        <item x="5"/>
        <item x="660"/>
        <item x="389"/>
        <item x="824"/>
        <item x="839"/>
        <item x="380"/>
        <item x="223"/>
        <item x="491"/>
        <item x="713"/>
        <item x="402"/>
        <item x="1027"/>
        <item x="567"/>
        <item x="1023"/>
        <item x="883"/>
        <item x="655"/>
        <item x="114"/>
        <item x="603"/>
        <item x="87"/>
        <item x="998"/>
        <item x="291"/>
        <item x="523"/>
        <item x="260"/>
        <item x="499"/>
        <item x="1060"/>
        <item x="396"/>
        <item x="715"/>
        <item x="272"/>
        <item x="604"/>
        <item x="639"/>
        <item x="267"/>
        <item x="882"/>
        <item x="620"/>
        <item x="1002"/>
        <item x="533"/>
        <item x="1072"/>
        <item x="909"/>
        <item x="535"/>
        <item x="411"/>
        <item x="634"/>
        <item x="96"/>
        <item x="487"/>
        <item x="530"/>
        <item x="270"/>
        <item x="641"/>
        <item x="75"/>
        <item x="734"/>
        <item x="195"/>
        <item x="314"/>
        <item x="963"/>
        <item x="1082"/>
        <item x="764"/>
        <item x="436"/>
        <item x="214"/>
        <item x="1036"/>
        <item x="1014"/>
        <item x="489"/>
        <item x="321"/>
        <item x="993"/>
        <item x="1054"/>
        <item x="778"/>
        <item x="977"/>
        <item x="245"/>
        <item x="568"/>
        <item x="763"/>
        <item x="163"/>
        <item x="744"/>
        <item x="983"/>
        <item x="722"/>
        <item x="403"/>
        <item x="317"/>
        <item x="544"/>
        <item x="124"/>
        <item x="412"/>
        <item x="1084"/>
        <item x="320"/>
        <item x="1005"/>
        <item x="510"/>
        <item x="870"/>
        <item x="331"/>
        <item x="1083"/>
        <item x="554"/>
        <item x="850"/>
        <item x="555"/>
        <item x="149"/>
        <item x="373"/>
        <item x="420"/>
        <item x="382"/>
        <item x="47"/>
        <item x="285"/>
        <item x="731"/>
        <item x="443"/>
        <item x="945"/>
        <item x="746"/>
        <item x="630"/>
        <item x="408"/>
        <item x="718"/>
        <item x="469"/>
        <item x="577"/>
        <item x="26"/>
        <item x="265"/>
        <item x="182"/>
        <item x="505"/>
        <item x="42"/>
        <item x="838"/>
        <item x="277"/>
        <item x="927"/>
        <item x="697"/>
        <item x="526"/>
        <item x="960"/>
        <item x="858"/>
        <item x="831"/>
        <item x="549"/>
        <item x="144"/>
        <item x="361"/>
        <item x="85"/>
        <item x="461"/>
        <item x="229"/>
        <item x="583"/>
        <item x="935"/>
        <item x="761"/>
        <item x="905"/>
        <item x="243"/>
        <item x="749"/>
        <item x="416"/>
        <item x="982"/>
        <item x="213"/>
        <item x="1047"/>
        <item x="615"/>
        <item x="346"/>
        <item x="1066"/>
        <item x="212"/>
        <item x="865"/>
        <item x="197"/>
        <item x="529"/>
        <item x="1052"/>
        <item x="673"/>
        <item x="597"/>
        <item x="366"/>
        <item x="363"/>
        <item x="450"/>
        <item x="312"/>
        <item x="657"/>
        <item x="385"/>
        <item x="105"/>
        <item x="576"/>
        <item x="516"/>
        <item x="33"/>
        <item x="1057"/>
        <item x="107"/>
        <item x="616"/>
        <item x="563"/>
        <item x="70"/>
        <item x="164"/>
        <item x="872"/>
        <item x="463"/>
        <item x="588"/>
        <item x="221"/>
        <item x="891"/>
        <item x="39"/>
        <item x="318"/>
        <item x="254"/>
        <item x="477"/>
        <item x="167"/>
        <item x="115"/>
        <item x="888"/>
        <item x="173"/>
        <item x="6"/>
        <item x="1040"/>
        <item x="2"/>
        <item x="186"/>
        <item x="371"/>
        <item x="52"/>
        <item x="376"/>
        <item x="409"/>
        <item x="910"/>
        <item x="94"/>
        <item x="222"/>
        <item x="161"/>
        <item x="174"/>
        <item x="305"/>
        <item x="633"/>
        <item x="172"/>
        <item x="145"/>
        <item x="4"/>
        <item x="404"/>
        <item x="754"/>
        <item x="967"/>
        <item x="138"/>
        <item x="817"/>
        <item x="569"/>
        <item x="1010"/>
        <item x="696"/>
        <item x="557"/>
        <item x="471"/>
        <item x="745"/>
        <item x="929"/>
        <item x="1074"/>
        <item x="784"/>
        <item x="151"/>
        <item x="445"/>
        <item x="155"/>
        <item x="127"/>
        <item x="702"/>
        <item x="405"/>
        <item x="1064"/>
        <item x="825"/>
        <item x="895"/>
        <item x="345"/>
        <item x="311"/>
        <item x="844"/>
        <item x="482"/>
        <item x="729"/>
        <item x="536"/>
        <item x="169"/>
        <item x="393"/>
        <item x="123"/>
        <item x="958"/>
        <item x="232"/>
        <item x="534"/>
        <item x="1069"/>
        <item x="230"/>
        <item x="202"/>
        <item x="304"/>
        <item x="645"/>
        <item x="979"/>
        <item x="1030"/>
        <item x="1070"/>
        <item x="767"/>
        <item x="586"/>
        <item x="63"/>
        <item x="897"/>
        <item x="271"/>
        <item x="855"/>
        <item x="914"/>
        <item x="468"/>
        <item x="602"/>
        <item x="1043"/>
        <item x="205"/>
        <item x="78"/>
        <item x="280"/>
        <item x="579"/>
        <item x="217"/>
        <item x="932"/>
        <item x="598"/>
        <item x="455"/>
        <item x="642"/>
        <item x="513"/>
        <item x="887"/>
        <item x="898"/>
        <item x="128"/>
        <item x="1017"/>
        <item x="1046"/>
        <item x="663"/>
        <item x="970"/>
        <item x="613"/>
        <item x="119"/>
        <item x="815"/>
        <item x="282"/>
        <item x="246"/>
        <item x="493"/>
        <item x="799"/>
        <item x="350"/>
        <item x="614"/>
        <item x="1034"/>
        <item x="856"/>
        <item x="29"/>
        <item x="810"/>
        <item x="159"/>
        <item x="255"/>
        <item x="478"/>
        <item x="797"/>
        <item x="820"/>
        <item x="84"/>
        <item x="257"/>
        <item x="1051"/>
        <item x="342"/>
        <item x="915"/>
        <item x="109"/>
        <item x="337"/>
        <item x="552"/>
        <item x="358"/>
        <item x="896"/>
        <item x="835"/>
        <item x="73"/>
        <item x="1061"/>
        <item x="524"/>
        <item x="1024"/>
        <item x="60"/>
        <item x="649"/>
        <item x="187"/>
        <item x="712"/>
        <item x="766"/>
        <item x="1053"/>
        <item x="507"/>
        <item x="506"/>
        <item x="724"/>
        <item x="669"/>
        <item x="976"/>
        <item x="610"/>
        <item x="637"/>
        <item x="946"/>
        <item x="779"/>
        <item x="1025"/>
        <item x="104"/>
        <item x="434"/>
        <item x="418"/>
        <item x="578"/>
        <item x="612"/>
        <item x="823"/>
        <item x="220"/>
        <item x="911"/>
        <item x="248"/>
        <item x="92"/>
        <item x="316"/>
        <item x="315"/>
        <item x="640"/>
        <item x="619"/>
        <item x="1085"/>
        <item x="1077"/>
        <item x="50"/>
        <item x="106"/>
        <item x="435"/>
        <item x="804"/>
        <item x="622"/>
        <item x="686"/>
        <item x="300"/>
        <item x="1037"/>
        <item x="99"/>
        <item x="952"/>
        <item x="201"/>
        <item x="769"/>
        <item x="81"/>
        <item x="390"/>
        <item x="595"/>
        <item x="71"/>
        <item x="512"/>
        <item x="517"/>
        <item x="923"/>
        <item x="407"/>
        <item x="908"/>
        <item x="190"/>
        <item x="647"/>
        <item x="136"/>
        <item x="866"/>
        <item x="975"/>
        <item x="519"/>
        <item x="446"/>
        <item x="66"/>
        <item x="594"/>
        <item x="27"/>
        <item x="809"/>
        <item x="302"/>
        <item x="981"/>
        <item x="17"/>
        <item x="581"/>
        <item x="656"/>
        <item x="181"/>
        <item x="279"/>
        <item x="422"/>
        <item x="398"/>
        <item x="768"/>
        <item x="423"/>
        <item x="942"/>
        <item x="791"/>
        <item x="118"/>
        <item x="28"/>
        <item x="682"/>
        <item x="192"/>
        <item x="781"/>
        <item x="3"/>
        <item x="974"/>
        <item x="830"/>
        <item x="978"/>
        <item x="379"/>
        <item x="562"/>
        <item x="618"/>
        <item x="800"/>
        <item x="1068"/>
        <item x="692"/>
        <item x="627"/>
        <item x="34"/>
        <item x="97"/>
        <item x="486"/>
        <item x="609"/>
        <item x="226"/>
        <item x="372"/>
        <item x="584"/>
        <item x="61"/>
        <item x="7"/>
        <item x="798"/>
        <item x="582"/>
        <item x="541"/>
        <item x="466"/>
        <item x="943"/>
        <item x="803"/>
        <item x="110"/>
        <item x="116"/>
        <item x="132"/>
        <item x="1048"/>
        <item x="730"/>
        <item x="100"/>
        <item x="886"/>
        <item x="428"/>
        <item x="996"/>
        <item x="356"/>
        <item x="719"/>
        <item x="701"/>
        <item x="329"/>
        <item x="339"/>
        <item x="156"/>
        <item x="832"/>
        <item x="175"/>
        <item x="900"/>
        <item x="762"/>
        <item x="290"/>
        <item x="134"/>
        <item x="183"/>
        <item x="481"/>
        <item x="397"/>
        <item x="415"/>
        <item x="654"/>
        <item x="755"/>
        <item x="625"/>
        <item x="1012"/>
        <item x="538"/>
        <item x="759"/>
        <item x="503"/>
        <item x="753"/>
        <item x="786"/>
        <item x="930"/>
        <item x="351"/>
        <item x="818"/>
        <item x="725"/>
        <item x="142"/>
        <item x="631"/>
        <item x="153"/>
        <item x="259"/>
        <item x="177"/>
        <item x="250"/>
        <item x="811"/>
        <item x="695"/>
        <item x="928"/>
        <item x="474"/>
        <item x="8"/>
        <item x="922"/>
        <item x="668"/>
        <item x="307"/>
        <item x="460"/>
        <item x="954"/>
        <item x="611"/>
        <item x="234"/>
        <item x="1062"/>
        <item x="1079"/>
        <item x="884"/>
        <item x="432"/>
        <item x="542"/>
        <item x="571"/>
        <item x="644"/>
        <item x="705"/>
        <item x="401"/>
        <item x="191"/>
        <item x="319"/>
        <item x="111"/>
        <item x="472"/>
        <item x="208"/>
        <item x="989"/>
        <item x="479"/>
        <item x="48"/>
        <item x="783"/>
        <item x="985"/>
        <item x="37"/>
        <item x="794"/>
        <item x="497"/>
        <item x="347"/>
        <item x="19"/>
        <item x="540"/>
        <item x="684"/>
        <item x="374"/>
        <item x="334"/>
        <item x="782"/>
        <item x="934"/>
        <item x="848"/>
        <item x="11"/>
        <item x="364"/>
        <item x="1026"/>
        <item x="179"/>
        <item x="336"/>
        <item x="735"/>
        <item x="780"/>
        <item x="608"/>
        <item x="139"/>
        <item x="751"/>
        <item x="727"/>
        <item x="425"/>
        <item x="969"/>
        <item x="863"/>
        <item x="135"/>
        <item x="881"/>
        <item x="414"/>
        <item x="349"/>
        <item x="10"/>
        <item x="1022"/>
        <item x="871"/>
        <item x="24"/>
        <item x="752"/>
        <item x="108"/>
        <item x="918"/>
        <item x="651"/>
        <item x="501"/>
        <item x="912"/>
        <item x="199"/>
        <item x="653"/>
        <item x="359"/>
        <item x="0"/>
        <item x="218"/>
        <item x="680"/>
        <item x="166"/>
        <item x="459"/>
        <item x="1018"/>
        <item x="196"/>
        <item x="531"/>
        <item x="297"/>
        <item x="635"/>
        <item x="308"/>
        <item x="357"/>
        <item x="207"/>
        <item x="841"/>
        <item x="30"/>
        <item x="1080"/>
        <item x="465"/>
        <item x="777"/>
        <item x="263"/>
        <item x="476"/>
        <item x="741"/>
        <item x="410"/>
        <item x="591"/>
        <item x="805"/>
        <item x="360"/>
        <item x="813"/>
        <item x="241"/>
        <item x="354"/>
        <item x="283"/>
        <item x="433"/>
        <item x="629"/>
        <item x="80"/>
        <item x="77"/>
        <item x="683"/>
        <item x="877"/>
        <item x="1033"/>
        <item x="770"/>
        <item x="964"/>
        <item x="287"/>
        <item x="995"/>
        <item x="926"/>
        <item x="849"/>
        <item x="147"/>
        <item x="16"/>
        <item x="959"/>
        <item x="292"/>
        <item x="1032"/>
        <item x="233"/>
        <item x="59"/>
        <item x="560"/>
        <item x="381"/>
        <item x="79"/>
        <item x="117"/>
        <item x="236"/>
        <item x="894"/>
        <item x="589"/>
        <item x="688"/>
        <item x="375"/>
        <item x="1019"/>
        <item x="1004"/>
        <item x="920"/>
        <item x="441"/>
        <item x="678"/>
        <item x="605"/>
        <item x="406"/>
        <item x="847"/>
        <item x="771"/>
        <item x="133"/>
        <item x="387"/>
        <item x="369"/>
        <item x="14"/>
        <item x="851"/>
        <item x="685"/>
        <item x="457"/>
        <item x="44"/>
        <item x="953"/>
        <item x="550"/>
        <item x="274"/>
        <item x="860"/>
        <item t="default"/>
      </items>
    </pivotField>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h="1" x="0"/>
        <item h="1" x="1"/>
        <item h="1" x="2"/>
        <item x="3"/>
        <item h="1" x="4"/>
        <item t="default"/>
      </items>
    </pivotField>
  </pivotFields>
  <rowFields count="1">
    <field x="21"/>
  </rowFields>
  <rowItems count="13">
    <i>
      <x v="1"/>
    </i>
    <i>
      <x v="2"/>
    </i>
    <i>
      <x v="3"/>
    </i>
    <i>
      <x v="4"/>
    </i>
    <i>
      <x v="5"/>
    </i>
    <i>
      <x v="6"/>
    </i>
    <i>
      <x v="7"/>
    </i>
    <i>
      <x v="8"/>
    </i>
    <i>
      <x v="9"/>
    </i>
    <i>
      <x v="10"/>
    </i>
    <i>
      <x v="11"/>
    </i>
    <i>
      <x v="12"/>
    </i>
    <i t="grand">
      <x/>
    </i>
  </rowItems>
  <colFields count="1">
    <field x="0"/>
  </colFields>
  <colItems count="3">
    <i>
      <x/>
    </i>
    <i>
      <x v="1"/>
    </i>
    <i>
      <x v="2"/>
    </i>
  </colItems>
  <dataFields count="1">
    <dataField name="Sum of Population Unvaccinated" fld="13" baseField="0" baseItem="0"/>
  </dataFields>
  <chartFormats count="8">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8" format="12" series="1">
      <pivotArea type="data" outline="0" fieldPosition="0">
        <references count="2">
          <reference field="4294967294" count="1" selected="0">
            <x v="0"/>
          </reference>
          <reference field="0" count="1" selected="0">
            <x v="0"/>
          </reference>
        </references>
      </pivotArea>
    </chartFormat>
    <chartFormat chart="8" format="13" series="1">
      <pivotArea type="data" outline="0" fieldPosition="0">
        <references count="2">
          <reference field="4294967294" count="1" selected="0">
            <x v="0"/>
          </reference>
          <reference field="0" count="1" selected="0">
            <x v="1"/>
          </reference>
        </references>
      </pivotArea>
    </chartFormat>
    <chartFormat chart="8" format="14" series="1">
      <pivotArea type="data" outline="0" fieldPosition="0">
        <references count="2">
          <reference field="4294967294" count="1" selected="0">
            <x v="0"/>
          </reference>
          <reference field="0" count="1" selected="0">
            <x v="2"/>
          </reference>
        </references>
      </pivotArea>
    </chartFormat>
    <chartFormat chart="8" format="15"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B6D9E1-B9C7-4D8B-8FE1-58F9DF87D1AD}" name="PivotTable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0">
  <location ref="A19:D21"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Row" showAll="0">
      <items count="10">
        <item h="1" x="8"/>
        <item h="1" x="4"/>
        <item x="3"/>
        <item h="1" x="5"/>
        <item h="1" x="2"/>
        <item h="1" x="1"/>
        <item h="1" x="7"/>
        <item h="1" x="6"/>
        <item h="1" x="0"/>
        <item t="default"/>
      </items>
    </pivotField>
    <pivotField dataField="1"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dataField="1" showAll="0">
      <items count="916">
        <item x="2"/>
        <item x="0"/>
        <item x="82"/>
        <item x="87"/>
        <item x="19"/>
        <item x="23"/>
        <item x="13"/>
        <item x="38"/>
        <item x="1"/>
        <item x="48"/>
        <item x="49"/>
        <item x="73"/>
        <item x="17"/>
        <item x="8"/>
        <item x="141"/>
        <item x="460"/>
        <item x="145"/>
        <item x="519"/>
        <item x="58"/>
        <item x="131"/>
        <item x="77"/>
        <item x="116"/>
        <item x="61"/>
        <item x="34"/>
        <item x="221"/>
        <item x="36"/>
        <item x="257"/>
        <item x="431"/>
        <item x="125"/>
        <item x="127"/>
        <item x="162"/>
        <item x="51"/>
        <item x="21"/>
        <item x="103"/>
        <item x="656"/>
        <item x="765"/>
        <item x="379"/>
        <item x="83"/>
        <item x="4"/>
        <item x="33"/>
        <item x="235"/>
        <item x="121"/>
        <item x="100"/>
        <item x="110"/>
        <item x="487"/>
        <item x="358"/>
        <item x="218"/>
        <item x="169"/>
        <item x="276"/>
        <item x="176"/>
        <item x="95"/>
        <item x="152"/>
        <item x="255"/>
        <item x="288"/>
        <item x="53"/>
        <item x="15"/>
        <item x="56"/>
        <item x="37"/>
        <item x="166"/>
        <item x="475"/>
        <item x="351"/>
        <item x="70"/>
        <item x="357"/>
        <item x="25"/>
        <item x="395"/>
        <item x="265"/>
        <item x="159"/>
        <item x="10"/>
        <item x="241"/>
        <item x="791"/>
        <item x="350"/>
        <item x="78"/>
        <item x="20"/>
        <item x="142"/>
        <item x="384"/>
        <item x="609"/>
        <item x="387"/>
        <item x="600"/>
        <item x="120"/>
        <item x="123"/>
        <item x="451"/>
        <item x="157"/>
        <item x="88"/>
        <item x="610"/>
        <item x="197"/>
        <item x="327"/>
        <item x="7"/>
        <item x="62"/>
        <item x="342"/>
        <item x="312"/>
        <item x="488"/>
        <item x="273"/>
        <item x="109"/>
        <item x="230"/>
        <item x="624"/>
        <item x="12"/>
        <item x="28"/>
        <item x="289"/>
        <item x="47"/>
        <item x="55"/>
        <item x="133"/>
        <item x="721"/>
        <item x="90"/>
        <item x="132"/>
        <item x="163"/>
        <item x="411"/>
        <item x="569"/>
        <item x="189"/>
        <item x="888"/>
        <item x="397"/>
        <item x="18"/>
        <item x="677"/>
        <item x="390"/>
        <item x="549"/>
        <item x="224"/>
        <item x="322"/>
        <item x="404"/>
        <item x="214"/>
        <item x="857"/>
        <item x="374"/>
        <item x="135"/>
        <item x="556"/>
        <item x="331"/>
        <item x="303"/>
        <item x="490"/>
        <item x="43"/>
        <item x="667"/>
        <item x="294"/>
        <item x="385"/>
        <item x="592"/>
        <item x="40"/>
        <item x="228"/>
        <item x="646"/>
        <item x="237"/>
        <item x="208"/>
        <item x="278"/>
        <item x="5"/>
        <item x="35"/>
        <item x="545"/>
        <item x="402"/>
        <item x="391"/>
        <item x="386"/>
        <item x="864"/>
        <item x="333"/>
        <item x="6"/>
        <item x="400"/>
        <item x="91"/>
        <item x="308"/>
        <item x="227"/>
        <item x="225"/>
        <item x="280"/>
        <item x="392"/>
        <item x="79"/>
        <item x="634"/>
        <item x="231"/>
        <item x="283"/>
        <item x="124"/>
        <item x="589"/>
        <item x="612"/>
        <item x="591"/>
        <item x="833"/>
        <item x="72"/>
        <item x="356"/>
        <item x="66"/>
        <item x="60"/>
        <item x="811"/>
        <item x="446"/>
        <item x="878"/>
        <item x="786"/>
        <item x="246"/>
        <item x="388"/>
        <item x="547"/>
        <item x="479"/>
        <item x="178"/>
        <item x="382"/>
        <item x="911"/>
        <item x="544"/>
        <item x="97"/>
        <item x="193"/>
        <item x="639"/>
        <item x="663"/>
        <item x="381"/>
        <item x="436"/>
        <item x="149"/>
        <item x="564"/>
        <item x="29"/>
        <item x="262"/>
        <item x="147"/>
        <item x="150"/>
        <item x="305"/>
        <item x="849"/>
        <item x="531"/>
        <item x="86"/>
        <item x="615"/>
        <item x="767"/>
        <item x="291"/>
        <item x="94"/>
        <item x="222"/>
        <item x="216"/>
        <item x="39"/>
        <item x="300"/>
        <item x="295"/>
        <item x="57"/>
        <item x="248"/>
        <item x="217"/>
        <item x="196"/>
        <item x="205"/>
        <item x="44"/>
        <item x="630"/>
        <item x="826"/>
        <item x="448"/>
        <item x="799"/>
        <item x="560"/>
        <item x="307"/>
        <item x="817"/>
        <item x="309"/>
        <item x="905"/>
        <item x="478"/>
        <item x="538"/>
        <item x="588"/>
        <item x="540"/>
        <item x="859"/>
        <item x="284"/>
        <item x="92"/>
        <item x="198"/>
        <item x="716"/>
        <item x="455"/>
        <item x="410"/>
        <item x="416"/>
        <item x="96"/>
        <item x="457"/>
        <item x="755"/>
        <item x="837"/>
        <item x="690"/>
        <item x="504"/>
        <item x="269"/>
        <item x="684"/>
        <item x="285"/>
        <item x="469"/>
        <item x="138"/>
        <item x="401"/>
        <item x="554"/>
        <item x="360"/>
        <item x="561"/>
        <item x="618"/>
        <item x="52"/>
        <item x="160"/>
        <item x="555"/>
        <item x="724"/>
        <item x="551"/>
        <item x="317"/>
        <item x="334"/>
        <item x="253"/>
        <item x="447"/>
        <item x="845"/>
        <item x="702"/>
        <item x="302"/>
        <item x="46"/>
        <item x="868"/>
        <item x="508"/>
        <item x="662"/>
        <item x="313"/>
        <item x="653"/>
        <item x="633"/>
        <item x="441"/>
        <item x="617"/>
        <item x="339"/>
        <item x="772"/>
        <item x="527"/>
        <item x="757"/>
        <item x="723"/>
        <item x="247"/>
        <item x="190"/>
        <item x="661"/>
        <item x="408"/>
        <item x="867"/>
        <item x="212"/>
        <item x="831"/>
        <item x="301"/>
        <item x="798"/>
        <item x="155"/>
        <item x="335"/>
        <item x="744"/>
        <item x="625"/>
        <item x="880"/>
        <item x="481"/>
        <item x="672"/>
        <item x="422"/>
        <item x="749"/>
        <item x="788"/>
        <item x="292"/>
        <item x="414"/>
        <item x="122"/>
        <item x="54"/>
        <item x="851"/>
        <item x="507"/>
        <item x="855"/>
        <item x="393"/>
        <item x="484"/>
        <item x="566"/>
        <item x="376"/>
        <item x="472"/>
        <item x="759"/>
        <item x="139"/>
        <item x="559"/>
        <item x="902"/>
        <item x="282"/>
        <item x="281"/>
        <item x="437"/>
        <item x="465"/>
        <item x="689"/>
        <item x="914"/>
        <item x="699"/>
        <item x="697"/>
        <item x="115"/>
        <item x="27"/>
        <item x="170"/>
        <item x="16"/>
        <item x="362"/>
        <item x="367"/>
        <item x="806"/>
        <item x="348"/>
        <item x="758"/>
        <item x="729"/>
        <item x="407"/>
        <item x="623"/>
        <item x="595"/>
        <item x="378"/>
        <item x="733"/>
        <item x="418"/>
        <item x="627"/>
        <item x="706"/>
        <item x="353"/>
        <item x="665"/>
        <item x="530"/>
        <item x="344"/>
        <item x="223"/>
        <item x="590"/>
        <item x="491"/>
        <item x="45"/>
        <item x="483"/>
        <item x="213"/>
        <item x="602"/>
        <item x="182"/>
        <item x="364"/>
        <item x="521"/>
        <item x="129"/>
        <item x="780"/>
        <item x="818"/>
        <item x="599"/>
        <item x="494"/>
        <item x="137"/>
        <item x="403"/>
        <item x="128"/>
        <item x="171"/>
        <item x="485"/>
        <item x="420"/>
        <item x="261"/>
        <item x="352"/>
        <item x="740"/>
        <item x="894"/>
        <item x="426"/>
        <item x="440"/>
        <item x="778"/>
        <item x="635"/>
        <item x="681"/>
        <item x="550"/>
        <item x="573"/>
        <item x="825"/>
        <item x="577"/>
        <item x="211"/>
        <item x="866"/>
        <item x="369"/>
        <item x="355"/>
        <item x="813"/>
        <item x="191"/>
        <item x="875"/>
        <item x="713"/>
        <item x="895"/>
        <item x="619"/>
        <item x="435"/>
        <item x="50"/>
        <item x="366"/>
        <item x="715"/>
        <item x="290"/>
        <item x="187"/>
        <item x="903"/>
        <item x="156"/>
        <item x="676"/>
        <item x="509"/>
        <item x="524"/>
        <item x="394"/>
        <item x="363"/>
        <item x="304"/>
        <item x="638"/>
        <item x="660"/>
        <item x="790"/>
        <item x="536"/>
        <item x="597"/>
        <item x="117"/>
        <item x="738"/>
        <item x="558"/>
        <item x="74"/>
        <item x="409"/>
        <item x="840"/>
        <item x="854"/>
        <item x="850"/>
        <item x="906"/>
        <item x="632"/>
        <item x="267"/>
        <item x="466"/>
        <item x="173"/>
        <item x="503"/>
        <item x="694"/>
        <item x="525"/>
        <item x="480"/>
        <item x="807"/>
        <item x="819"/>
        <item x="462"/>
        <item x="497"/>
        <item x="256"/>
        <item x="449"/>
        <item x="784"/>
        <item x="887"/>
        <item x="489"/>
        <item x="445"/>
        <item x="820"/>
        <item x="380"/>
        <item x="323"/>
        <item x="201"/>
        <item x="511"/>
        <item x="67"/>
        <item x="99"/>
        <item x="648"/>
        <item x="249"/>
        <item x="429"/>
        <item x="822"/>
        <item x="383"/>
        <item x="514"/>
        <item x="907"/>
        <item x="707"/>
        <item x="762"/>
        <item x="766"/>
        <item x="274"/>
        <item x="782"/>
        <item x="674"/>
        <item x="725"/>
        <item x="181"/>
        <item x="912"/>
        <item x="251"/>
        <item x="68"/>
        <item x="463"/>
        <item x="195"/>
        <item x="675"/>
        <item x="649"/>
        <item x="693"/>
        <item x="210"/>
        <item x="816"/>
        <item x="321"/>
        <item x="616"/>
        <item x="773"/>
        <item x="326"/>
        <item x="513"/>
        <item x="874"/>
        <item x="643"/>
        <item x="572"/>
        <item x="582"/>
        <item x="520"/>
        <item x="598"/>
        <item x="199"/>
        <item x="701"/>
        <item x="59"/>
        <item x="456"/>
        <item x="203"/>
        <item x="336"/>
        <item x="655"/>
        <item x="114"/>
        <item x="498"/>
        <item x="537"/>
        <item x="453"/>
        <item x="642"/>
        <item x="742"/>
        <item x="585"/>
        <item x="502"/>
        <item x="900"/>
        <item x="244"/>
        <item x="515"/>
        <item x="669"/>
        <item x="808"/>
        <item x="258"/>
        <item x="522"/>
        <item x="666"/>
        <item x="143"/>
        <item x="686"/>
        <item x="747"/>
        <item x="389"/>
        <item x="84"/>
        <item x="745"/>
        <item x="324"/>
        <item x="794"/>
        <item x="714"/>
        <item x="119"/>
        <item x="885"/>
        <item x="687"/>
        <item x="236"/>
        <item x="750"/>
        <item x="879"/>
        <item x="179"/>
        <item x="419"/>
        <item x="728"/>
        <item x="832"/>
        <item x="717"/>
        <item x="890"/>
        <item x="413"/>
        <item x="696"/>
        <item x="499"/>
        <item x="272"/>
        <item x="594"/>
        <item x="286"/>
        <item x="891"/>
        <item x="111"/>
        <item x="812"/>
        <item x="337"/>
        <item x="593"/>
        <item x="913"/>
        <item x="220"/>
        <item x="748"/>
        <item x="315"/>
        <item x="118"/>
        <item x="26"/>
        <item x="517"/>
        <item x="770"/>
        <item x="809"/>
        <item x="628"/>
        <item x="892"/>
        <item x="298"/>
        <item x="771"/>
        <item x="889"/>
        <item x="562"/>
        <item x="144"/>
        <item x="398"/>
        <item x="542"/>
        <item x="320"/>
        <item x="177"/>
        <item x="277"/>
        <item x="579"/>
        <item x="793"/>
        <item x="89"/>
        <item x="372"/>
        <item x="622"/>
        <item x="464"/>
        <item x="263"/>
        <item x="516"/>
        <item x="329"/>
        <item x="495"/>
        <item x="22"/>
        <item x="842"/>
        <item x="101"/>
        <item x="575"/>
        <item x="682"/>
        <item x="688"/>
        <item x="80"/>
        <item x="164"/>
        <item x="834"/>
        <item x="626"/>
        <item x="703"/>
        <item x="651"/>
        <item x="328"/>
        <item x="726"/>
        <item x="528"/>
        <item x="238"/>
        <item x="650"/>
        <item x="245"/>
        <item x="797"/>
        <item x="614"/>
        <item x="319"/>
        <item x="856"/>
        <item x="578"/>
        <item x="581"/>
        <item x="673"/>
        <item x="505"/>
        <item x="93"/>
        <item x="802"/>
        <item x="711"/>
        <item x="239"/>
        <item x="695"/>
        <item x="563"/>
        <item x="548"/>
        <item x="760"/>
        <item x="439"/>
        <item x="843"/>
        <item x="424"/>
        <item x="678"/>
        <item x="775"/>
        <item x="432"/>
        <item x="64"/>
        <item x="30"/>
        <item x="904"/>
        <item x="167"/>
        <item x="325"/>
        <item x="113"/>
        <item x="492"/>
        <item x="607"/>
        <item x="345"/>
        <item x="252"/>
        <item x="71"/>
        <item x="240"/>
        <item x="741"/>
        <item x="732"/>
        <item x="523"/>
        <item x="718"/>
        <item x="85"/>
        <item x="476"/>
        <item x="568"/>
        <item x="42"/>
        <item x="789"/>
        <item x="186"/>
        <item x="823"/>
        <item x="180"/>
        <item x="835"/>
        <item x="134"/>
        <item x="839"/>
        <item x="838"/>
        <item x="640"/>
        <item x="645"/>
        <item x="311"/>
        <item x="543"/>
        <item x="172"/>
        <item x="243"/>
        <item x="500"/>
        <item x="730"/>
        <item x="444"/>
        <item x="805"/>
        <item x="359"/>
        <item x="450"/>
        <item x="98"/>
        <item x="768"/>
        <item x="779"/>
        <item x="720"/>
        <item x="535"/>
        <item x="306"/>
        <item x="338"/>
        <item x="3"/>
        <item x="870"/>
        <item x="207"/>
        <item x="188"/>
        <item x="154"/>
        <item x="846"/>
        <item x="637"/>
        <item x="259"/>
        <item x="869"/>
        <item x="232"/>
        <item x="275"/>
        <item x="493"/>
        <item x="774"/>
        <item x="899"/>
        <item x="209"/>
        <item x="785"/>
        <item x="821"/>
        <item x="368"/>
        <item x="104"/>
        <item x="140"/>
        <item x="872"/>
        <item x="827"/>
        <item x="346"/>
        <item x="664"/>
        <item x="24"/>
        <item x="865"/>
        <item x="69"/>
        <item x="349"/>
        <item x="112"/>
        <item x="299"/>
        <item x="526"/>
        <item x="428"/>
        <item x="532"/>
        <item x="883"/>
        <item x="534"/>
        <item x="65"/>
        <item x="270"/>
        <item x="692"/>
        <item x="795"/>
        <item x="712"/>
        <item x="361"/>
        <item x="341"/>
        <item x="287"/>
        <item x="63"/>
        <item x="473"/>
        <item x="467"/>
        <item x="776"/>
        <item x="671"/>
        <item x="405"/>
        <item x="430"/>
        <item x="565"/>
        <item x="735"/>
        <item x="204"/>
        <item x="102"/>
        <item x="830"/>
        <item x="260"/>
        <item x="828"/>
        <item x="781"/>
        <item x="427"/>
        <item x="506"/>
        <item x="354"/>
        <item x="719"/>
        <item x="107"/>
        <item x="316"/>
        <item x="423"/>
        <item x="576"/>
        <item x="496"/>
        <item x="596"/>
        <item x="185"/>
        <item x="754"/>
        <item x="796"/>
        <item x="417"/>
        <item x="705"/>
        <item x="452"/>
        <item x="242"/>
        <item x="533"/>
        <item x="11"/>
        <item x="279"/>
        <item x="266"/>
        <item x="206"/>
        <item x="194"/>
        <item x="580"/>
        <item x="146"/>
        <item x="877"/>
        <item x="553"/>
        <item x="31"/>
        <item x="606"/>
        <item x="539"/>
        <item x="743"/>
        <item x="174"/>
        <item x="468"/>
        <item x="377"/>
        <item x="858"/>
        <item x="764"/>
        <item x="106"/>
        <item x="704"/>
        <item x="756"/>
        <item x="763"/>
        <item x="148"/>
        <item x="886"/>
        <item x="722"/>
        <item x="470"/>
        <item x="501"/>
        <item x="803"/>
        <item x="330"/>
        <item x="130"/>
        <item x="442"/>
        <item x="751"/>
        <item x="412"/>
        <item x="318"/>
        <item x="841"/>
        <item x="552"/>
        <item x="881"/>
        <item x="433"/>
        <item x="571"/>
        <item x="810"/>
        <item x="746"/>
        <item x="680"/>
        <item x="709"/>
        <item x="264"/>
        <item x="787"/>
        <item x="736"/>
        <item x="529"/>
        <item x="399"/>
        <item x="81"/>
        <item x="659"/>
        <item x="836"/>
        <item x="708"/>
        <item x="76"/>
        <item x="471"/>
        <item x="710"/>
        <item x="815"/>
        <item x="192"/>
        <item x="406"/>
        <item x="658"/>
        <item x="910"/>
        <item x="297"/>
        <item x="229"/>
        <item x="896"/>
        <item x="897"/>
        <item x="443"/>
        <item x="458"/>
        <item x="583"/>
        <item x="202"/>
        <item x="844"/>
        <item x="863"/>
        <item x="871"/>
        <item x="734"/>
        <item x="698"/>
        <item x="375"/>
        <item x="731"/>
        <item x="347"/>
        <item x="700"/>
        <item x="739"/>
        <item x="234"/>
        <item x="425"/>
        <item x="584"/>
        <item x="860"/>
        <item x="873"/>
        <item x="848"/>
        <item x="753"/>
        <item x="296"/>
        <item x="512"/>
        <item x="608"/>
        <item x="804"/>
        <item x="486"/>
        <item x="340"/>
        <item x="620"/>
        <item x="641"/>
        <item x="541"/>
        <item x="314"/>
        <item x="604"/>
        <item x="438"/>
        <item x="153"/>
        <item x="613"/>
        <item x="853"/>
        <item x="32"/>
        <item x="769"/>
        <item x="250"/>
        <item x="434"/>
        <item x="126"/>
        <item x="567"/>
        <item x="683"/>
        <item x="861"/>
        <item x="852"/>
        <item x="679"/>
        <item x="226"/>
        <item x="601"/>
        <item x="587"/>
        <item x="219"/>
        <item x="482"/>
        <item x="586"/>
        <item x="370"/>
        <item x="454"/>
        <item x="901"/>
        <item x="691"/>
        <item x="158"/>
        <item x="792"/>
        <item x="271"/>
        <item x="657"/>
        <item x="829"/>
        <item x="652"/>
        <item x="168"/>
        <item x="847"/>
        <item x="603"/>
        <item x="631"/>
        <item x="862"/>
        <item x="161"/>
        <item x="371"/>
        <item x="909"/>
        <item x="752"/>
        <item x="647"/>
        <item x="611"/>
        <item x="783"/>
        <item x="474"/>
        <item x="884"/>
        <item x="574"/>
        <item x="183"/>
        <item x="254"/>
        <item x="898"/>
        <item x="893"/>
        <item x="9"/>
        <item x="105"/>
        <item x="343"/>
        <item x="200"/>
        <item x="801"/>
        <item x="165"/>
        <item x="644"/>
        <item x="570"/>
        <item x="365"/>
        <item x="233"/>
        <item x="175"/>
        <item x="518"/>
        <item x="293"/>
        <item x="373"/>
        <item x="777"/>
        <item x="421"/>
        <item x="461"/>
        <item x="477"/>
        <item x="876"/>
        <item x="800"/>
        <item x="510"/>
        <item x="332"/>
        <item x="459"/>
        <item x="268"/>
        <item x="908"/>
        <item x="396"/>
        <item x="215"/>
        <item x="685"/>
        <item x="41"/>
        <item x="654"/>
        <item x="882"/>
        <item x="737"/>
        <item x="727"/>
        <item x="621"/>
        <item x="814"/>
        <item x="668"/>
        <item x="824"/>
        <item x="415"/>
        <item x="136"/>
        <item x="108"/>
        <item x="629"/>
        <item x="557"/>
        <item x="761"/>
        <item x="151"/>
        <item x="184"/>
        <item x="75"/>
        <item x="605"/>
        <item x="14"/>
        <item x="636"/>
        <item x="310"/>
        <item x="546"/>
        <item x="67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items count="409">
        <item x="1"/>
        <item x="0"/>
        <item x="11"/>
        <item x="39"/>
        <item x="16"/>
        <item x="21"/>
        <item x="48"/>
        <item x="26"/>
        <item x="5"/>
        <item x="13"/>
        <item x="17"/>
        <item x="7"/>
        <item x="23"/>
        <item x="38"/>
        <item x="52"/>
        <item x="75"/>
        <item x="36"/>
        <item x="28"/>
        <item x="3"/>
        <item x="130"/>
        <item x="31"/>
        <item x="59"/>
        <item x="97"/>
        <item x="57"/>
        <item x="133"/>
        <item x="25"/>
        <item x="88"/>
        <item x="43"/>
        <item x="27"/>
        <item x="149"/>
        <item x="167"/>
        <item x="37"/>
        <item x="77"/>
        <item x="124"/>
        <item x="168"/>
        <item x="30"/>
        <item x="14"/>
        <item x="299"/>
        <item x="60"/>
        <item x="33"/>
        <item x="165"/>
        <item x="265"/>
        <item x="34"/>
        <item x="61"/>
        <item x="87"/>
        <item x="73"/>
        <item x="78"/>
        <item x="4"/>
        <item x="175"/>
        <item x="298"/>
        <item x="94"/>
        <item x="182"/>
        <item x="100"/>
        <item x="46"/>
        <item x="82"/>
        <item x="18"/>
        <item x="288"/>
        <item x="42"/>
        <item x="181"/>
        <item x="213"/>
        <item x="206"/>
        <item x="98"/>
        <item x="111"/>
        <item x="15"/>
        <item x="116"/>
        <item x="19"/>
        <item x="54"/>
        <item x="76"/>
        <item x="24"/>
        <item x="179"/>
        <item x="188"/>
        <item x="166"/>
        <item x="279"/>
        <item x="114"/>
        <item x="6"/>
        <item x="53"/>
        <item x="146"/>
        <item x="104"/>
        <item x="117"/>
        <item x="20"/>
        <item x="91"/>
        <item x="58"/>
        <item x="107"/>
        <item x="118"/>
        <item x="204"/>
        <item x="234"/>
        <item x="240"/>
        <item x="51"/>
        <item x="128"/>
        <item x="178"/>
        <item x="150"/>
        <item x="171"/>
        <item x="96"/>
        <item x="103"/>
        <item x="155"/>
        <item x="195"/>
        <item x="56"/>
        <item x="211"/>
        <item x="2"/>
        <item x="121"/>
        <item x="173"/>
        <item x="69"/>
        <item x="197"/>
        <item x="45"/>
        <item x="285"/>
        <item x="221"/>
        <item x="164"/>
        <item x="295"/>
        <item x="136"/>
        <item x="99"/>
        <item x="253"/>
        <item x="194"/>
        <item x="92"/>
        <item x="95"/>
        <item x="201"/>
        <item x="65"/>
        <item x="209"/>
        <item x="138"/>
        <item x="169"/>
        <item x="217"/>
        <item x="363"/>
        <item x="389"/>
        <item x="10"/>
        <item x="310"/>
        <item x="283"/>
        <item x="320"/>
        <item x="32"/>
        <item x="241"/>
        <item x="134"/>
        <item x="239"/>
        <item x="403"/>
        <item x="370"/>
        <item x="79"/>
        <item x="229"/>
        <item x="135"/>
        <item x="189"/>
        <item x="289"/>
        <item x="196"/>
        <item x="22"/>
        <item x="278"/>
        <item x="329"/>
        <item x="106"/>
        <item x="187"/>
        <item x="172"/>
        <item x="325"/>
        <item x="358"/>
        <item x="101"/>
        <item x="161"/>
        <item x="337"/>
        <item x="153"/>
        <item x="348"/>
        <item x="324"/>
        <item x="232"/>
        <item x="123"/>
        <item x="391"/>
        <item x="317"/>
        <item x="259"/>
        <item x="343"/>
        <item x="250"/>
        <item x="251"/>
        <item x="62"/>
        <item x="205"/>
        <item x="74"/>
        <item x="281"/>
        <item x="207"/>
        <item x="362"/>
        <item x="44"/>
        <item x="383"/>
        <item x="180"/>
        <item x="184"/>
        <item x="384"/>
        <item x="275"/>
        <item x="385"/>
        <item x="366"/>
        <item x="9"/>
        <item x="255"/>
        <item x="120"/>
        <item x="374"/>
        <item x="119"/>
        <item x="193"/>
        <item x="127"/>
        <item x="264"/>
        <item x="316"/>
        <item x="157"/>
        <item x="220"/>
        <item x="372"/>
        <item x="85"/>
        <item x="258"/>
        <item x="147"/>
        <item x="67"/>
        <item x="267"/>
        <item x="373"/>
        <item x="256"/>
        <item x="113"/>
        <item x="378"/>
        <item x="132"/>
        <item x="291"/>
        <item x="115"/>
        <item x="219"/>
        <item x="368"/>
        <item x="270"/>
        <item x="84"/>
        <item x="340"/>
        <item x="233"/>
        <item x="382"/>
        <item x="296"/>
        <item x="160"/>
        <item x="93"/>
        <item x="163"/>
        <item x="307"/>
        <item x="269"/>
        <item x="247"/>
        <item x="162"/>
        <item x="198"/>
        <item x="109"/>
        <item x="302"/>
        <item x="327"/>
        <item x="176"/>
        <item x="290"/>
        <item x="183"/>
        <item x="8"/>
        <item x="334"/>
        <item x="199"/>
        <item x="396"/>
        <item x="406"/>
        <item x="41"/>
        <item x="110"/>
        <item x="345"/>
        <item x="314"/>
        <item x="318"/>
        <item x="286"/>
        <item x="64"/>
        <item x="47"/>
        <item x="308"/>
        <item x="357"/>
        <item x="80"/>
        <item x="333"/>
        <item x="294"/>
        <item x="68"/>
        <item x="292"/>
        <item x="177"/>
        <item x="268"/>
        <item x="287"/>
        <item x="191"/>
        <item x="170"/>
        <item x="260"/>
        <item x="203"/>
        <item x="404"/>
        <item x="379"/>
        <item x="395"/>
        <item x="249"/>
        <item x="89"/>
        <item x="143"/>
        <item x="336"/>
        <item x="72"/>
        <item x="344"/>
        <item x="151"/>
        <item x="326"/>
        <item x="381"/>
        <item x="225"/>
        <item x="235"/>
        <item x="387"/>
        <item x="210"/>
        <item x="40"/>
        <item x="190"/>
        <item x="125"/>
        <item x="71"/>
        <item x="407"/>
        <item x="216"/>
        <item x="139"/>
        <item x="300"/>
        <item x="242"/>
        <item x="226"/>
        <item x="350"/>
        <item x="86"/>
        <item x="349"/>
        <item x="398"/>
        <item x="330"/>
        <item x="185"/>
        <item x="137"/>
        <item x="222"/>
        <item x="208"/>
        <item x="141"/>
        <item x="230"/>
        <item x="380"/>
        <item x="248"/>
        <item x="359"/>
        <item x="112"/>
        <item x="262"/>
        <item x="254"/>
        <item x="276"/>
        <item x="144"/>
        <item x="152"/>
        <item x="352"/>
        <item x="223"/>
        <item x="105"/>
        <item x="355"/>
        <item x="202"/>
        <item x="192"/>
        <item x="323"/>
        <item x="122"/>
        <item x="261"/>
        <item x="274"/>
        <item x="303"/>
        <item x="360"/>
        <item x="305"/>
        <item x="282"/>
        <item x="356"/>
        <item x="214"/>
        <item x="392"/>
        <item x="126"/>
        <item x="246"/>
        <item x="145"/>
        <item x="228"/>
        <item x="312"/>
        <item x="335"/>
        <item x="55"/>
        <item x="321"/>
        <item x="386"/>
        <item x="140"/>
        <item x="376"/>
        <item x="338"/>
        <item x="369"/>
        <item x="346"/>
        <item x="148"/>
        <item x="399"/>
        <item x="331"/>
        <item x="351"/>
        <item x="271"/>
        <item x="244"/>
        <item x="63"/>
        <item x="131"/>
        <item x="400"/>
        <item x="200"/>
        <item x="35"/>
        <item x="49"/>
        <item x="158"/>
        <item x="236"/>
        <item x="257"/>
        <item x="237"/>
        <item x="332"/>
        <item x="375"/>
        <item x="252"/>
        <item x="322"/>
        <item x="154"/>
        <item x="367"/>
        <item x="224"/>
        <item x="371"/>
        <item x="353"/>
        <item x="243"/>
        <item x="342"/>
        <item x="365"/>
        <item x="309"/>
        <item x="388"/>
        <item x="83"/>
        <item x="174"/>
        <item x="397"/>
        <item x="390"/>
        <item x="311"/>
        <item x="129"/>
        <item x="393"/>
        <item x="361"/>
        <item x="272"/>
        <item x="231"/>
        <item x="339"/>
        <item x="218"/>
        <item x="142"/>
        <item x="401"/>
        <item x="280"/>
        <item x="328"/>
        <item x="394"/>
        <item x="263"/>
        <item x="354"/>
        <item x="315"/>
        <item x="66"/>
        <item x="245"/>
        <item x="186"/>
        <item x="156"/>
        <item x="102"/>
        <item x="212"/>
        <item x="402"/>
        <item x="277"/>
        <item x="364"/>
        <item x="90"/>
        <item x="273"/>
        <item x="12"/>
        <item x="319"/>
        <item x="341"/>
        <item x="377"/>
        <item x="215"/>
        <item x="304"/>
        <item x="29"/>
        <item x="227"/>
        <item x="70"/>
        <item x="108"/>
        <item x="159"/>
        <item x="81"/>
        <item x="306"/>
        <item x="284"/>
        <item x="266"/>
        <item x="50"/>
        <item x="347"/>
        <item x="313"/>
        <item x="238"/>
        <item x="405"/>
        <item x="293"/>
        <item x="297"/>
        <item x="301"/>
        <item t="default"/>
      </items>
    </pivotField>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h="1" sd="0" x="0"/>
        <item h="1" sd="0" x="1"/>
        <item h="1" sd="0" x="2"/>
        <item sd="0" x="3"/>
        <item h="1" sd="0" x="4"/>
        <item t="default"/>
      </items>
    </pivotField>
  </pivotFields>
  <rowFields count="1">
    <field x="2"/>
  </rowFields>
  <rowItems count="2">
    <i>
      <x v="2"/>
    </i>
    <i t="grand">
      <x/>
    </i>
  </rowItems>
  <colFields count="1">
    <field x="-2"/>
  </colFields>
  <colItems count="3">
    <i>
      <x/>
    </i>
    <i i="1">
      <x v="1"/>
    </i>
    <i i="2">
      <x v="2"/>
    </i>
  </colItems>
  <dataFields count="3">
    <dataField name="Average of Vaccinated Rate" fld="4" subtotal="average" baseField="2" baseItem="0"/>
    <dataField name="Average of Unvaccinated Rate" fld="3" subtotal="average" baseField="2" baseItem="0"/>
    <dataField name="Average of Boosted Rate" fld="5" subtotal="average" baseField="2" baseItem="0"/>
  </dataFields>
  <chartFormats count="3">
    <chartFormat chart="36"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1"/>
          </reference>
        </references>
      </pivotArea>
    </chartFormat>
    <chartFormat chart="36"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41D578-6D1E-409E-A54D-76ACFFB48190}" name="PivotTable1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3">
  <location ref="A128:C141"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h="1" x="8"/>
        <item h="1" x="4"/>
        <item x="3"/>
        <item h="1" x="5"/>
        <item h="1" x="2"/>
        <item h="1" x="1"/>
        <item h="1" x="7"/>
        <item h="1" x="6"/>
        <item h="1" x="0"/>
        <item t="default"/>
      </items>
    </pivotField>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h="1" x="0"/>
        <item h="1" x="1"/>
        <item h="1" x="2"/>
        <item x="3"/>
        <item h="1"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2">
    <i>
      <x/>
    </i>
    <i i="1">
      <x v="1"/>
    </i>
  </colItems>
  <dataFields count="2">
    <dataField name="Average of Crude Vaccinated Ratio" fld="6" subtotal="average" baseField="2" baseItem="0"/>
    <dataField name="Average of Crude Boosted Ratio" fld="7" subtotal="average" baseField="2"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DEB800E-44C4-451B-80F1-2A748D4E2AA1}" name="PivotTable7"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57">
  <location ref="A32:D45"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h="1" x="8"/>
        <item h="1" x="4"/>
        <item x="3"/>
        <item h="1" x="5"/>
        <item h="1" x="2"/>
        <item h="1" x="1"/>
        <item h="1" x="7"/>
        <item h="1" x="6"/>
        <item h="1" x="0"/>
        <item t="default"/>
      </items>
    </pivotField>
    <pivotField dataField="1"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dataField="1" showAll="0">
      <items count="916">
        <item x="2"/>
        <item x="0"/>
        <item x="82"/>
        <item x="87"/>
        <item x="19"/>
        <item x="23"/>
        <item x="13"/>
        <item x="38"/>
        <item x="1"/>
        <item x="48"/>
        <item x="49"/>
        <item x="73"/>
        <item x="17"/>
        <item x="8"/>
        <item x="141"/>
        <item x="460"/>
        <item x="145"/>
        <item x="519"/>
        <item x="58"/>
        <item x="131"/>
        <item x="77"/>
        <item x="116"/>
        <item x="61"/>
        <item x="34"/>
        <item x="221"/>
        <item x="36"/>
        <item x="257"/>
        <item x="431"/>
        <item x="125"/>
        <item x="127"/>
        <item x="162"/>
        <item x="51"/>
        <item x="21"/>
        <item x="103"/>
        <item x="656"/>
        <item x="765"/>
        <item x="379"/>
        <item x="83"/>
        <item x="4"/>
        <item x="33"/>
        <item x="235"/>
        <item x="121"/>
        <item x="100"/>
        <item x="110"/>
        <item x="487"/>
        <item x="358"/>
        <item x="218"/>
        <item x="169"/>
        <item x="276"/>
        <item x="176"/>
        <item x="95"/>
        <item x="152"/>
        <item x="255"/>
        <item x="288"/>
        <item x="53"/>
        <item x="15"/>
        <item x="56"/>
        <item x="37"/>
        <item x="166"/>
        <item x="475"/>
        <item x="351"/>
        <item x="70"/>
        <item x="357"/>
        <item x="25"/>
        <item x="395"/>
        <item x="265"/>
        <item x="159"/>
        <item x="10"/>
        <item x="241"/>
        <item x="791"/>
        <item x="350"/>
        <item x="78"/>
        <item x="20"/>
        <item x="142"/>
        <item x="384"/>
        <item x="609"/>
        <item x="387"/>
        <item x="600"/>
        <item x="120"/>
        <item x="123"/>
        <item x="451"/>
        <item x="157"/>
        <item x="88"/>
        <item x="610"/>
        <item x="197"/>
        <item x="327"/>
        <item x="7"/>
        <item x="62"/>
        <item x="342"/>
        <item x="312"/>
        <item x="488"/>
        <item x="273"/>
        <item x="109"/>
        <item x="230"/>
        <item x="624"/>
        <item x="12"/>
        <item x="28"/>
        <item x="289"/>
        <item x="47"/>
        <item x="55"/>
        <item x="133"/>
        <item x="721"/>
        <item x="90"/>
        <item x="132"/>
        <item x="163"/>
        <item x="411"/>
        <item x="569"/>
        <item x="189"/>
        <item x="888"/>
        <item x="397"/>
        <item x="18"/>
        <item x="677"/>
        <item x="390"/>
        <item x="549"/>
        <item x="224"/>
        <item x="322"/>
        <item x="404"/>
        <item x="214"/>
        <item x="857"/>
        <item x="374"/>
        <item x="135"/>
        <item x="556"/>
        <item x="331"/>
        <item x="303"/>
        <item x="490"/>
        <item x="43"/>
        <item x="667"/>
        <item x="294"/>
        <item x="385"/>
        <item x="592"/>
        <item x="40"/>
        <item x="228"/>
        <item x="646"/>
        <item x="237"/>
        <item x="208"/>
        <item x="278"/>
        <item x="5"/>
        <item x="35"/>
        <item x="545"/>
        <item x="402"/>
        <item x="391"/>
        <item x="386"/>
        <item x="864"/>
        <item x="333"/>
        <item x="6"/>
        <item x="400"/>
        <item x="91"/>
        <item x="308"/>
        <item x="227"/>
        <item x="225"/>
        <item x="280"/>
        <item x="392"/>
        <item x="79"/>
        <item x="634"/>
        <item x="231"/>
        <item x="283"/>
        <item x="124"/>
        <item x="589"/>
        <item x="612"/>
        <item x="591"/>
        <item x="833"/>
        <item x="72"/>
        <item x="356"/>
        <item x="66"/>
        <item x="60"/>
        <item x="811"/>
        <item x="446"/>
        <item x="878"/>
        <item x="786"/>
        <item x="246"/>
        <item x="388"/>
        <item x="547"/>
        <item x="479"/>
        <item x="178"/>
        <item x="382"/>
        <item x="911"/>
        <item x="544"/>
        <item x="97"/>
        <item x="193"/>
        <item x="639"/>
        <item x="663"/>
        <item x="381"/>
        <item x="436"/>
        <item x="149"/>
        <item x="564"/>
        <item x="29"/>
        <item x="262"/>
        <item x="147"/>
        <item x="150"/>
        <item x="305"/>
        <item x="849"/>
        <item x="531"/>
        <item x="86"/>
        <item x="615"/>
        <item x="767"/>
        <item x="291"/>
        <item x="94"/>
        <item x="222"/>
        <item x="216"/>
        <item x="39"/>
        <item x="300"/>
        <item x="295"/>
        <item x="57"/>
        <item x="248"/>
        <item x="217"/>
        <item x="196"/>
        <item x="205"/>
        <item x="44"/>
        <item x="630"/>
        <item x="826"/>
        <item x="448"/>
        <item x="799"/>
        <item x="560"/>
        <item x="307"/>
        <item x="817"/>
        <item x="309"/>
        <item x="905"/>
        <item x="478"/>
        <item x="538"/>
        <item x="588"/>
        <item x="540"/>
        <item x="859"/>
        <item x="284"/>
        <item x="92"/>
        <item x="198"/>
        <item x="716"/>
        <item x="455"/>
        <item x="410"/>
        <item x="416"/>
        <item x="96"/>
        <item x="457"/>
        <item x="755"/>
        <item x="837"/>
        <item x="690"/>
        <item x="504"/>
        <item x="269"/>
        <item x="684"/>
        <item x="285"/>
        <item x="469"/>
        <item x="138"/>
        <item x="401"/>
        <item x="554"/>
        <item x="360"/>
        <item x="561"/>
        <item x="618"/>
        <item x="52"/>
        <item x="160"/>
        <item x="555"/>
        <item x="724"/>
        <item x="551"/>
        <item x="317"/>
        <item x="334"/>
        <item x="253"/>
        <item x="447"/>
        <item x="845"/>
        <item x="702"/>
        <item x="302"/>
        <item x="46"/>
        <item x="868"/>
        <item x="508"/>
        <item x="662"/>
        <item x="313"/>
        <item x="653"/>
        <item x="633"/>
        <item x="441"/>
        <item x="617"/>
        <item x="339"/>
        <item x="772"/>
        <item x="527"/>
        <item x="757"/>
        <item x="723"/>
        <item x="247"/>
        <item x="190"/>
        <item x="661"/>
        <item x="408"/>
        <item x="867"/>
        <item x="212"/>
        <item x="831"/>
        <item x="301"/>
        <item x="798"/>
        <item x="155"/>
        <item x="335"/>
        <item x="744"/>
        <item x="625"/>
        <item x="880"/>
        <item x="481"/>
        <item x="672"/>
        <item x="422"/>
        <item x="749"/>
        <item x="788"/>
        <item x="292"/>
        <item x="414"/>
        <item x="122"/>
        <item x="54"/>
        <item x="851"/>
        <item x="507"/>
        <item x="855"/>
        <item x="393"/>
        <item x="484"/>
        <item x="566"/>
        <item x="376"/>
        <item x="472"/>
        <item x="759"/>
        <item x="139"/>
        <item x="559"/>
        <item x="902"/>
        <item x="282"/>
        <item x="281"/>
        <item x="437"/>
        <item x="465"/>
        <item x="689"/>
        <item x="914"/>
        <item x="699"/>
        <item x="697"/>
        <item x="115"/>
        <item x="27"/>
        <item x="170"/>
        <item x="16"/>
        <item x="362"/>
        <item x="367"/>
        <item x="806"/>
        <item x="348"/>
        <item x="758"/>
        <item x="729"/>
        <item x="407"/>
        <item x="623"/>
        <item x="595"/>
        <item x="378"/>
        <item x="733"/>
        <item x="418"/>
        <item x="627"/>
        <item x="706"/>
        <item x="353"/>
        <item x="665"/>
        <item x="530"/>
        <item x="344"/>
        <item x="223"/>
        <item x="590"/>
        <item x="491"/>
        <item x="45"/>
        <item x="483"/>
        <item x="213"/>
        <item x="602"/>
        <item x="182"/>
        <item x="364"/>
        <item x="521"/>
        <item x="129"/>
        <item x="780"/>
        <item x="818"/>
        <item x="599"/>
        <item x="494"/>
        <item x="137"/>
        <item x="403"/>
        <item x="128"/>
        <item x="171"/>
        <item x="485"/>
        <item x="420"/>
        <item x="261"/>
        <item x="352"/>
        <item x="740"/>
        <item x="894"/>
        <item x="426"/>
        <item x="440"/>
        <item x="778"/>
        <item x="635"/>
        <item x="681"/>
        <item x="550"/>
        <item x="573"/>
        <item x="825"/>
        <item x="577"/>
        <item x="211"/>
        <item x="866"/>
        <item x="369"/>
        <item x="355"/>
        <item x="813"/>
        <item x="191"/>
        <item x="875"/>
        <item x="713"/>
        <item x="895"/>
        <item x="619"/>
        <item x="435"/>
        <item x="50"/>
        <item x="366"/>
        <item x="715"/>
        <item x="290"/>
        <item x="187"/>
        <item x="903"/>
        <item x="156"/>
        <item x="676"/>
        <item x="509"/>
        <item x="524"/>
        <item x="394"/>
        <item x="363"/>
        <item x="304"/>
        <item x="638"/>
        <item x="660"/>
        <item x="790"/>
        <item x="536"/>
        <item x="597"/>
        <item x="117"/>
        <item x="738"/>
        <item x="558"/>
        <item x="74"/>
        <item x="409"/>
        <item x="840"/>
        <item x="854"/>
        <item x="850"/>
        <item x="906"/>
        <item x="632"/>
        <item x="267"/>
        <item x="466"/>
        <item x="173"/>
        <item x="503"/>
        <item x="694"/>
        <item x="525"/>
        <item x="480"/>
        <item x="807"/>
        <item x="819"/>
        <item x="462"/>
        <item x="497"/>
        <item x="256"/>
        <item x="449"/>
        <item x="784"/>
        <item x="887"/>
        <item x="489"/>
        <item x="445"/>
        <item x="820"/>
        <item x="380"/>
        <item x="323"/>
        <item x="201"/>
        <item x="511"/>
        <item x="67"/>
        <item x="99"/>
        <item x="648"/>
        <item x="249"/>
        <item x="429"/>
        <item x="822"/>
        <item x="383"/>
        <item x="514"/>
        <item x="907"/>
        <item x="707"/>
        <item x="762"/>
        <item x="766"/>
        <item x="274"/>
        <item x="782"/>
        <item x="674"/>
        <item x="725"/>
        <item x="181"/>
        <item x="912"/>
        <item x="251"/>
        <item x="68"/>
        <item x="463"/>
        <item x="195"/>
        <item x="675"/>
        <item x="649"/>
        <item x="693"/>
        <item x="210"/>
        <item x="816"/>
        <item x="321"/>
        <item x="616"/>
        <item x="773"/>
        <item x="326"/>
        <item x="513"/>
        <item x="874"/>
        <item x="643"/>
        <item x="572"/>
        <item x="582"/>
        <item x="520"/>
        <item x="598"/>
        <item x="199"/>
        <item x="701"/>
        <item x="59"/>
        <item x="456"/>
        <item x="203"/>
        <item x="336"/>
        <item x="655"/>
        <item x="114"/>
        <item x="498"/>
        <item x="537"/>
        <item x="453"/>
        <item x="642"/>
        <item x="742"/>
        <item x="585"/>
        <item x="502"/>
        <item x="900"/>
        <item x="244"/>
        <item x="515"/>
        <item x="669"/>
        <item x="808"/>
        <item x="258"/>
        <item x="522"/>
        <item x="666"/>
        <item x="143"/>
        <item x="686"/>
        <item x="747"/>
        <item x="389"/>
        <item x="84"/>
        <item x="745"/>
        <item x="324"/>
        <item x="794"/>
        <item x="714"/>
        <item x="119"/>
        <item x="885"/>
        <item x="687"/>
        <item x="236"/>
        <item x="750"/>
        <item x="879"/>
        <item x="179"/>
        <item x="419"/>
        <item x="728"/>
        <item x="832"/>
        <item x="717"/>
        <item x="890"/>
        <item x="413"/>
        <item x="696"/>
        <item x="499"/>
        <item x="272"/>
        <item x="594"/>
        <item x="286"/>
        <item x="891"/>
        <item x="111"/>
        <item x="812"/>
        <item x="337"/>
        <item x="593"/>
        <item x="913"/>
        <item x="220"/>
        <item x="748"/>
        <item x="315"/>
        <item x="118"/>
        <item x="26"/>
        <item x="517"/>
        <item x="770"/>
        <item x="809"/>
        <item x="628"/>
        <item x="892"/>
        <item x="298"/>
        <item x="771"/>
        <item x="889"/>
        <item x="562"/>
        <item x="144"/>
        <item x="398"/>
        <item x="542"/>
        <item x="320"/>
        <item x="177"/>
        <item x="277"/>
        <item x="579"/>
        <item x="793"/>
        <item x="89"/>
        <item x="372"/>
        <item x="622"/>
        <item x="464"/>
        <item x="263"/>
        <item x="516"/>
        <item x="329"/>
        <item x="495"/>
        <item x="22"/>
        <item x="842"/>
        <item x="101"/>
        <item x="575"/>
        <item x="682"/>
        <item x="688"/>
        <item x="80"/>
        <item x="164"/>
        <item x="834"/>
        <item x="626"/>
        <item x="703"/>
        <item x="651"/>
        <item x="328"/>
        <item x="726"/>
        <item x="528"/>
        <item x="238"/>
        <item x="650"/>
        <item x="245"/>
        <item x="797"/>
        <item x="614"/>
        <item x="319"/>
        <item x="856"/>
        <item x="578"/>
        <item x="581"/>
        <item x="673"/>
        <item x="505"/>
        <item x="93"/>
        <item x="802"/>
        <item x="711"/>
        <item x="239"/>
        <item x="695"/>
        <item x="563"/>
        <item x="548"/>
        <item x="760"/>
        <item x="439"/>
        <item x="843"/>
        <item x="424"/>
        <item x="678"/>
        <item x="775"/>
        <item x="432"/>
        <item x="64"/>
        <item x="30"/>
        <item x="904"/>
        <item x="167"/>
        <item x="325"/>
        <item x="113"/>
        <item x="492"/>
        <item x="607"/>
        <item x="345"/>
        <item x="252"/>
        <item x="71"/>
        <item x="240"/>
        <item x="741"/>
        <item x="732"/>
        <item x="523"/>
        <item x="718"/>
        <item x="85"/>
        <item x="476"/>
        <item x="568"/>
        <item x="42"/>
        <item x="789"/>
        <item x="186"/>
        <item x="823"/>
        <item x="180"/>
        <item x="835"/>
        <item x="134"/>
        <item x="839"/>
        <item x="838"/>
        <item x="640"/>
        <item x="645"/>
        <item x="311"/>
        <item x="543"/>
        <item x="172"/>
        <item x="243"/>
        <item x="500"/>
        <item x="730"/>
        <item x="444"/>
        <item x="805"/>
        <item x="359"/>
        <item x="450"/>
        <item x="98"/>
        <item x="768"/>
        <item x="779"/>
        <item x="720"/>
        <item x="535"/>
        <item x="306"/>
        <item x="338"/>
        <item x="3"/>
        <item x="870"/>
        <item x="207"/>
        <item x="188"/>
        <item x="154"/>
        <item x="846"/>
        <item x="637"/>
        <item x="259"/>
        <item x="869"/>
        <item x="232"/>
        <item x="275"/>
        <item x="493"/>
        <item x="774"/>
        <item x="899"/>
        <item x="209"/>
        <item x="785"/>
        <item x="821"/>
        <item x="368"/>
        <item x="104"/>
        <item x="140"/>
        <item x="872"/>
        <item x="827"/>
        <item x="346"/>
        <item x="664"/>
        <item x="24"/>
        <item x="865"/>
        <item x="69"/>
        <item x="349"/>
        <item x="112"/>
        <item x="299"/>
        <item x="526"/>
        <item x="428"/>
        <item x="532"/>
        <item x="883"/>
        <item x="534"/>
        <item x="65"/>
        <item x="270"/>
        <item x="692"/>
        <item x="795"/>
        <item x="712"/>
        <item x="361"/>
        <item x="341"/>
        <item x="287"/>
        <item x="63"/>
        <item x="473"/>
        <item x="467"/>
        <item x="776"/>
        <item x="671"/>
        <item x="405"/>
        <item x="430"/>
        <item x="565"/>
        <item x="735"/>
        <item x="204"/>
        <item x="102"/>
        <item x="830"/>
        <item x="260"/>
        <item x="828"/>
        <item x="781"/>
        <item x="427"/>
        <item x="506"/>
        <item x="354"/>
        <item x="719"/>
        <item x="107"/>
        <item x="316"/>
        <item x="423"/>
        <item x="576"/>
        <item x="496"/>
        <item x="596"/>
        <item x="185"/>
        <item x="754"/>
        <item x="796"/>
        <item x="417"/>
        <item x="705"/>
        <item x="452"/>
        <item x="242"/>
        <item x="533"/>
        <item x="11"/>
        <item x="279"/>
        <item x="266"/>
        <item x="206"/>
        <item x="194"/>
        <item x="580"/>
        <item x="146"/>
        <item x="877"/>
        <item x="553"/>
        <item x="31"/>
        <item x="606"/>
        <item x="539"/>
        <item x="743"/>
        <item x="174"/>
        <item x="468"/>
        <item x="377"/>
        <item x="858"/>
        <item x="764"/>
        <item x="106"/>
        <item x="704"/>
        <item x="756"/>
        <item x="763"/>
        <item x="148"/>
        <item x="886"/>
        <item x="722"/>
        <item x="470"/>
        <item x="501"/>
        <item x="803"/>
        <item x="330"/>
        <item x="130"/>
        <item x="442"/>
        <item x="751"/>
        <item x="412"/>
        <item x="318"/>
        <item x="841"/>
        <item x="552"/>
        <item x="881"/>
        <item x="433"/>
        <item x="571"/>
        <item x="810"/>
        <item x="746"/>
        <item x="680"/>
        <item x="709"/>
        <item x="264"/>
        <item x="787"/>
        <item x="736"/>
        <item x="529"/>
        <item x="399"/>
        <item x="81"/>
        <item x="659"/>
        <item x="836"/>
        <item x="708"/>
        <item x="76"/>
        <item x="471"/>
        <item x="710"/>
        <item x="815"/>
        <item x="192"/>
        <item x="406"/>
        <item x="658"/>
        <item x="910"/>
        <item x="297"/>
        <item x="229"/>
        <item x="896"/>
        <item x="897"/>
        <item x="443"/>
        <item x="458"/>
        <item x="583"/>
        <item x="202"/>
        <item x="844"/>
        <item x="863"/>
        <item x="871"/>
        <item x="734"/>
        <item x="698"/>
        <item x="375"/>
        <item x="731"/>
        <item x="347"/>
        <item x="700"/>
        <item x="739"/>
        <item x="234"/>
        <item x="425"/>
        <item x="584"/>
        <item x="860"/>
        <item x="873"/>
        <item x="848"/>
        <item x="753"/>
        <item x="296"/>
        <item x="512"/>
        <item x="608"/>
        <item x="804"/>
        <item x="486"/>
        <item x="340"/>
        <item x="620"/>
        <item x="641"/>
        <item x="541"/>
        <item x="314"/>
        <item x="604"/>
        <item x="438"/>
        <item x="153"/>
        <item x="613"/>
        <item x="853"/>
        <item x="32"/>
        <item x="769"/>
        <item x="250"/>
        <item x="434"/>
        <item x="126"/>
        <item x="567"/>
        <item x="683"/>
        <item x="861"/>
        <item x="852"/>
        <item x="679"/>
        <item x="226"/>
        <item x="601"/>
        <item x="587"/>
        <item x="219"/>
        <item x="482"/>
        <item x="586"/>
        <item x="370"/>
        <item x="454"/>
        <item x="901"/>
        <item x="691"/>
        <item x="158"/>
        <item x="792"/>
        <item x="271"/>
        <item x="657"/>
        <item x="829"/>
        <item x="652"/>
        <item x="168"/>
        <item x="847"/>
        <item x="603"/>
        <item x="631"/>
        <item x="862"/>
        <item x="161"/>
        <item x="371"/>
        <item x="909"/>
        <item x="752"/>
        <item x="647"/>
        <item x="611"/>
        <item x="783"/>
        <item x="474"/>
        <item x="884"/>
        <item x="574"/>
        <item x="183"/>
        <item x="254"/>
        <item x="898"/>
        <item x="893"/>
        <item x="9"/>
        <item x="105"/>
        <item x="343"/>
        <item x="200"/>
        <item x="801"/>
        <item x="165"/>
        <item x="644"/>
        <item x="570"/>
        <item x="365"/>
        <item x="233"/>
        <item x="175"/>
        <item x="518"/>
        <item x="293"/>
        <item x="373"/>
        <item x="777"/>
        <item x="421"/>
        <item x="461"/>
        <item x="477"/>
        <item x="876"/>
        <item x="800"/>
        <item x="510"/>
        <item x="332"/>
        <item x="459"/>
        <item x="268"/>
        <item x="908"/>
        <item x="396"/>
        <item x="215"/>
        <item x="685"/>
        <item x="41"/>
        <item x="654"/>
        <item x="882"/>
        <item x="737"/>
        <item x="727"/>
        <item x="621"/>
        <item x="814"/>
        <item x="668"/>
        <item x="824"/>
        <item x="415"/>
        <item x="136"/>
        <item x="108"/>
        <item x="629"/>
        <item x="557"/>
        <item x="761"/>
        <item x="151"/>
        <item x="184"/>
        <item x="75"/>
        <item x="605"/>
        <item x="14"/>
        <item x="636"/>
        <item x="310"/>
        <item x="546"/>
        <item x="67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items count="409">
        <item x="1"/>
        <item x="0"/>
        <item x="11"/>
        <item x="39"/>
        <item x="16"/>
        <item x="21"/>
        <item x="48"/>
        <item x="26"/>
        <item x="5"/>
        <item x="13"/>
        <item x="17"/>
        <item x="7"/>
        <item x="23"/>
        <item x="38"/>
        <item x="52"/>
        <item x="75"/>
        <item x="36"/>
        <item x="28"/>
        <item x="3"/>
        <item x="130"/>
        <item x="31"/>
        <item x="59"/>
        <item x="97"/>
        <item x="57"/>
        <item x="133"/>
        <item x="25"/>
        <item x="88"/>
        <item x="43"/>
        <item x="27"/>
        <item x="149"/>
        <item x="167"/>
        <item x="37"/>
        <item x="77"/>
        <item x="124"/>
        <item x="168"/>
        <item x="30"/>
        <item x="14"/>
        <item x="299"/>
        <item x="60"/>
        <item x="33"/>
        <item x="165"/>
        <item x="265"/>
        <item x="34"/>
        <item x="61"/>
        <item x="87"/>
        <item x="73"/>
        <item x="78"/>
        <item x="4"/>
        <item x="175"/>
        <item x="298"/>
        <item x="94"/>
        <item x="182"/>
        <item x="100"/>
        <item x="46"/>
        <item x="82"/>
        <item x="18"/>
        <item x="288"/>
        <item x="42"/>
        <item x="181"/>
        <item x="213"/>
        <item x="206"/>
        <item x="98"/>
        <item x="111"/>
        <item x="15"/>
        <item x="116"/>
        <item x="19"/>
        <item x="54"/>
        <item x="76"/>
        <item x="24"/>
        <item x="179"/>
        <item x="188"/>
        <item x="166"/>
        <item x="279"/>
        <item x="114"/>
        <item x="6"/>
        <item x="53"/>
        <item x="146"/>
        <item x="104"/>
        <item x="117"/>
        <item x="20"/>
        <item x="91"/>
        <item x="58"/>
        <item x="107"/>
        <item x="118"/>
        <item x="204"/>
        <item x="234"/>
        <item x="240"/>
        <item x="51"/>
        <item x="128"/>
        <item x="178"/>
        <item x="150"/>
        <item x="171"/>
        <item x="96"/>
        <item x="103"/>
        <item x="155"/>
        <item x="195"/>
        <item x="56"/>
        <item x="211"/>
        <item x="2"/>
        <item x="121"/>
        <item x="173"/>
        <item x="69"/>
        <item x="197"/>
        <item x="45"/>
        <item x="285"/>
        <item x="221"/>
        <item x="164"/>
        <item x="295"/>
        <item x="136"/>
        <item x="99"/>
        <item x="253"/>
        <item x="194"/>
        <item x="92"/>
        <item x="95"/>
        <item x="201"/>
        <item x="65"/>
        <item x="209"/>
        <item x="138"/>
        <item x="169"/>
        <item x="217"/>
        <item x="363"/>
        <item x="389"/>
        <item x="10"/>
        <item x="310"/>
        <item x="283"/>
        <item x="320"/>
        <item x="32"/>
        <item x="241"/>
        <item x="134"/>
        <item x="239"/>
        <item x="403"/>
        <item x="370"/>
        <item x="79"/>
        <item x="229"/>
        <item x="135"/>
        <item x="189"/>
        <item x="289"/>
        <item x="196"/>
        <item x="22"/>
        <item x="278"/>
        <item x="329"/>
        <item x="106"/>
        <item x="187"/>
        <item x="172"/>
        <item x="325"/>
        <item x="358"/>
        <item x="101"/>
        <item x="161"/>
        <item x="337"/>
        <item x="153"/>
        <item x="348"/>
        <item x="324"/>
        <item x="232"/>
        <item x="123"/>
        <item x="391"/>
        <item x="317"/>
        <item x="259"/>
        <item x="343"/>
        <item x="250"/>
        <item x="251"/>
        <item x="62"/>
        <item x="205"/>
        <item x="74"/>
        <item x="281"/>
        <item x="207"/>
        <item x="362"/>
        <item x="44"/>
        <item x="383"/>
        <item x="180"/>
        <item x="184"/>
        <item x="384"/>
        <item x="275"/>
        <item x="385"/>
        <item x="366"/>
        <item x="9"/>
        <item x="255"/>
        <item x="120"/>
        <item x="374"/>
        <item x="119"/>
        <item x="193"/>
        <item x="127"/>
        <item x="264"/>
        <item x="316"/>
        <item x="157"/>
        <item x="220"/>
        <item x="372"/>
        <item x="85"/>
        <item x="258"/>
        <item x="147"/>
        <item x="67"/>
        <item x="267"/>
        <item x="373"/>
        <item x="256"/>
        <item x="113"/>
        <item x="378"/>
        <item x="132"/>
        <item x="291"/>
        <item x="115"/>
        <item x="219"/>
        <item x="368"/>
        <item x="270"/>
        <item x="84"/>
        <item x="340"/>
        <item x="233"/>
        <item x="382"/>
        <item x="296"/>
        <item x="160"/>
        <item x="93"/>
        <item x="163"/>
        <item x="307"/>
        <item x="269"/>
        <item x="247"/>
        <item x="162"/>
        <item x="198"/>
        <item x="109"/>
        <item x="302"/>
        <item x="327"/>
        <item x="176"/>
        <item x="290"/>
        <item x="183"/>
        <item x="8"/>
        <item x="334"/>
        <item x="199"/>
        <item x="396"/>
        <item x="406"/>
        <item x="41"/>
        <item x="110"/>
        <item x="345"/>
        <item x="314"/>
        <item x="318"/>
        <item x="286"/>
        <item x="64"/>
        <item x="47"/>
        <item x="308"/>
        <item x="357"/>
        <item x="80"/>
        <item x="333"/>
        <item x="294"/>
        <item x="68"/>
        <item x="292"/>
        <item x="177"/>
        <item x="268"/>
        <item x="287"/>
        <item x="191"/>
        <item x="170"/>
        <item x="260"/>
        <item x="203"/>
        <item x="404"/>
        <item x="379"/>
        <item x="395"/>
        <item x="249"/>
        <item x="89"/>
        <item x="143"/>
        <item x="336"/>
        <item x="72"/>
        <item x="344"/>
        <item x="151"/>
        <item x="326"/>
        <item x="381"/>
        <item x="225"/>
        <item x="235"/>
        <item x="387"/>
        <item x="210"/>
        <item x="40"/>
        <item x="190"/>
        <item x="125"/>
        <item x="71"/>
        <item x="407"/>
        <item x="216"/>
        <item x="139"/>
        <item x="300"/>
        <item x="242"/>
        <item x="226"/>
        <item x="350"/>
        <item x="86"/>
        <item x="349"/>
        <item x="398"/>
        <item x="330"/>
        <item x="185"/>
        <item x="137"/>
        <item x="222"/>
        <item x="208"/>
        <item x="141"/>
        <item x="230"/>
        <item x="380"/>
        <item x="248"/>
        <item x="359"/>
        <item x="112"/>
        <item x="262"/>
        <item x="254"/>
        <item x="276"/>
        <item x="144"/>
        <item x="152"/>
        <item x="352"/>
        <item x="223"/>
        <item x="105"/>
        <item x="355"/>
        <item x="202"/>
        <item x="192"/>
        <item x="323"/>
        <item x="122"/>
        <item x="261"/>
        <item x="274"/>
        <item x="303"/>
        <item x="360"/>
        <item x="305"/>
        <item x="282"/>
        <item x="356"/>
        <item x="214"/>
        <item x="392"/>
        <item x="126"/>
        <item x="246"/>
        <item x="145"/>
        <item x="228"/>
        <item x="312"/>
        <item x="335"/>
        <item x="55"/>
        <item x="321"/>
        <item x="386"/>
        <item x="140"/>
        <item x="376"/>
        <item x="338"/>
        <item x="369"/>
        <item x="346"/>
        <item x="148"/>
        <item x="399"/>
        <item x="331"/>
        <item x="351"/>
        <item x="271"/>
        <item x="244"/>
        <item x="63"/>
        <item x="131"/>
        <item x="400"/>
        <item x="200"/>
        <item x="35"/>
        <item x="49"/>
        <item x="158"/>
        <item x="236"/>
        <item x="257"/>
        <item x="237"/>
        <item x="332"/>
        <item x="375"/>
        <item x="252"/>
        <item x="322"/>
        <item x="154"/>
        <item x="367"/>
        <item x="224"/>
        <item x="371"/>
        <item x="353"/>
        <item x="243"/>
        <item x="342"/>
        <item x="365"/>
        <item x="309"/>
        <item x="388"/>
        <item x="83"/>
        <item x="174"/>
        <item x="397"/>
        <item x="390"/>
        <item x="311"/>
        <item x="129"/>
        <item x="393"/>
        <item x="361"/>
        <item x="272"/>
        <item x="231"/>
        <item x="339"/>
        <item x="218"/>
        <item x="142"/>
        <item x="401"/>
        <item x="280"/>
        <item x="328"/>
        <item x="394"/>
        <item x="263"/>
        <item x="354"/>
        <item x="315"/>
        <item x="66"/>
        <item x="245"/>
        <item x="186"/>
        <item x="156"/>
        <item x="102"/>
        <item x="212"/>
        <item x="402"/>
        <item x="277"/>
        <item x="364"/>
        <item x="90"/>
        <item x="273"/>
        <item x="12"/>
        <item x="319"/>
        <item x="341"/>
        <item x="377"/>
        <item x="215"/>
        <item x="304"/>
        <item x="29"/>
        <item x="227"/>
        <item x="70"/>
        <item x="108"/>
        <item x="159"/>
        <item x="81"/>
        <item x="306"/>
        <item x="284"/>
        <item x="266"/>
        <item x="50"/>
        <item x="347"/>
        <item x="313"/>
        <item x="238"/>
        <item x="405"/>
        <item x="293"/>
        <item x="297"/>
        <item x="301"/>
        <item t="default"/>
      </items>
    </pivotField>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h="1" sd="0" x="0"/>
        <item h="1" sd="0" x="1"/>
        <item h="1" sd="0" x="2"/>
        <item sd="0" x="3"/>
        <item h="1" sd="0"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Average of Vaccinated Rate" fld="4" subtotal="average" baseField="2" baseItem="0"/>
    <dataField name="Average of Boosted Rate" fld="5" subtotal="average" baseField="2" baseItem="0"/>
    <dataField name="Average of Unvaccinated Rate" fld="3" subtotal="average" baseField="2" baseItem="0"/>
  </dataFields>
  <chartFormats count="11">
    <chartFormat chart="28" format="0" series="1">
      <pivotArea type="data" outline="0" fieldPosition="0">
        <references count="1">
          <reference field="4294967294" count="1" selected="0">
            <x v="0"/>
          </reference>
        </references>
      </pivotArea>
    </chartFormat>
    <chartFormat chart="28" format="1" series="1">
      <pivotArea type="data" outline="0" fieldPosition="0">
        <references count="1">
          <reference field="4294967294" count="1" selected="0">
            <x v="2"/>
          </reference>
        </references>
      </pivotArea>
    </chartFormat>
    <chartFormat chart="36" format="0" series="1">
      <pivotArea type="data" outline="0" fieldPosition="0">
        <references count="1">
          <reference field="4294967294" count="1" selected="0">
            <x v="0"/>
          </reference>
        </references>
      </pivotArea>
    </chartFormat>
    <chartFormat chart="36" format="1" series="1">
      <pivotArea type="data" outline="0" fieldPosition="0">
        <references count="1">
          <reference field="4294967294" count="1" selected="0">
            <x v="1"/>
          </reference>
        </references>
      </pivotArea>
    </chartFormat>
    <chartFormat chart="36" format="2" series="1">
      <pivotArea type="data" outline="0" fieldPosition="0">
        <references count="1">
          <reference field="4294967294" count="1" selected="0">
            <x v="2"/>
          </reference>
        </references>
      </pivotArea>
    </chartFormat>
    <chartFormat chart="38" format="0" series="1">
      <pivotArea type="data" outline="0" fieldPosition="0">
        <references count="1">
          <reference field="4294967294" count="1" selected="0">
            <x v="0"/>
          </reference>
        </references>
      </pivotArea>
    </chartFormat>
    <chartFormat chart="38" format="1" series="1">
      <pivotArea type="data" outline="0" fieldPosition="0">
        <references count="1">
          <reference field="4294967294" count="1" selected="0">
            <x v="1"/>
          </reference>
        </references>
      </pivotArea>
    </chartFormat>
    <chartFormat chart="38" format="2" series="1">
      <pivotArea type="data" outline="0" fieldPosition="0">
        <references count="1">
          <reference field="4294967294" count="1" selected="0">
            <x v="2"/>
          </reference>
        </references>
      </pivotArea>
    </chartFormat>
    <chartFormat chart="56" format="12" series="1">
      <pivotArea type="data" outline="0" fieldPosition="0">
        <references count="1">
          <reference field="4294967294" count="1" selected="0">
            <x v="0"/>
          </reference>
        </references>
      </pivotArea>
    </chartFormat>
    <chartFormat chart="56" format="13" series="1">
      <pivotArea type="data" outline="0" fieldPosition="0">
        <references count="1">
          <reference field="4294967294" count="1" selected="0">
            <x v="1"/>
          </reference>
        </references>
      </pivotArea>
    </chartFormat>
    <chartFormat chart="56" format="14"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75B0609-4350-46FC-94BD-D3DF85B7EE0C}" name="PivotTable26"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chartFormat="9">
  <location ref="A233:B238" firstHeaderRow="1" firstDataRow="2" firstDataCol="1"/>
  <pivotFields count="24">
    <pivotField axis="axisRow"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Col" showAll="0">
      <items count="10">
        <item h="1" x="8"/>
        <item h="1" x="4"/>
        <item x="3"/>
        <item h="1" x="5"/>
        <item h="1" x="2"/>
        <item h="1" x="1"/>
        <item h="1" x="7"/>
        <item h="1" x="6"/>
        <item h="1" x="0"/>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h="1" x="0"/>
        <item h="1" x="1"/>
        <item h="1" x="2"/>
        <item x="3"/>
        <item h="1" x="4"/>
        <item t="default"/>
      </items>
    </pivotField>
  </pivotFields>
  <rowFields count="1">
    <field x="0"/>
  </rowFields>
  <rowItems count="4">
    <i>
      <x/>
    </i>
    <i>
      <x v="1"/>
    </i>
    <i>
      <x v="2"/>
    </i>
    <i t="grand">
      <x/>
    </i>
  </rowItems>
  <colFields count="1">
    <field x="2"/>
  </colFields>
  <colItems count="1">
    <i>
      <x v="2"/>
    </i>
  </colItems>
  <dataFields count="1">
    <dataField name="Max of Unvaccinated Rate" fld="3" subtotal="max" baseField="0" baseItem="0"/>
  </dataFields>
  <chartFormats count="28">
    <chartFormat chart="2" format="0" series="1">
      <pivotArea type="data" outline="0" fieldPosition="0">
        <references count="2">
          <reference field="4294967294" count="1" selected="0">
            <x v="0"/>
          </reference>
          <reference field="2" count="1" selected="0">
            <x v="0"/>
          </reference>
        </references>
      </pivotArea>
    </chartFormat>
    <chartFormat chart="2" format="1" series="1">
      <pivotArea type="data" outline="0" fieldPosition="0">
        <references count="2">
          <reference field="4294967294" count="1" selected="0">
            <x v="0"/>
          </reference>
          <reference field="2" count="1" selected="0">
            <x v="1"/>
          </reference>
        </references>
      </pivotArea>
    </chartFormat>
    <chartFormat chart="2" format="2" series="1">
      <pivotArea type="data" outline="0" fieldPosition="0">
        <references count="2">
          <reference field="4294967294" count="1" selected="0">
            <x v="0"/>
          </reference>
          <reference field="2" count="1" selected="0">
            <x v="2"/>
          </reference>
        </references>
      </pivotArea>
    </chartFormat>
    <chartFormat chart="2" format="3" series="1">
      <pivotArea type="data" outline="0" fieldPosition="0">
        <references count="2">
          <reference field="4294967294" count="1" selected="0">
            <x v="0"/>
          </reference>
          <reference field="2" count="1" selected="0">
            <x v="3"/>
          </reference>
        </references>
      </pivotArea>
    </chartFormat>
    <chartFormat chart="2" format="4" series="1">
      <pivotArea type="data" outline="0" fieldPosition="0">
        <references count="2">
          <reference field="4294967294" count="1" selected="0">
            <x v="0"/>
          </reference>
          <reference field="2" count="1" selected="0">
            <x v="4"/>
          </reference>
        </references>
      </pivotArea>
    </chartFormat>
    <chartFormat chart="2" format="5" series="1">
      <pivotArea type="data" outline="0" fieldPosition="0">
        <references count="2">
          <reference field="4294967294" count="1" selected="0">
            <x v="0"/>
          </reference>
          <reference field="2" count="1" selected="0">
            <x v="5"/>
          </reference>
        </references>
      </pivotArea>
    </chartFormat>
    <chartFormat chart="2" format="6" series="1">
      <pivotArea type="data" outline="0" fieldPosition="0">
        <references count="2">
          <reference field="4294967294" count="1" selected="0">
            <x v="0"/>
          </reference>
          <reference field="2" count="1" selected="0">
            <x v="6"/>
          </reference>
        </references>
      </pivotArea>
    </chartFormat>
    <chartFormat chart="2" format="7" series="1">
      <pivotArea type="data" outline="0" fieldPosition="0">
        <references count="2">
          <reference field="4294967294" count="1" selected="0">
            <x v="0"/>
          </reference>
          <reference field="2" count="1" selected="0">
            <x v="7"/>
          </reference>
        </references>
      </pivotArea>
    </chartFormat>
    <chartFormat chart="2" format="8" series="1">
      <pivotArea type="data" outline="0" fieldPosition="0">
        <references count="2">
          <reference field="4294967294" count="1" selected="0">
            <x v="0"/>
          </reference>
          <reference field="2" count="1" selected="0">
            <x v="8"/>
          </reference>
        </references>
      </pivotArea>
    </chartFormat>
    <chartFormat chart="4" format="0" series="1">
      <pivotArea type="data" outline="0" fieldPosition="0">
        <references count="2">
          <reference field="4294967294" count="1" selected="0">
            <x v="0"/>
          </reference>
          <reference field="2" count="1" selected="0">
            <x v="0"/>
          </reference>
        </references>
      </pivotArea>
    </chartFormat>
    <chartFormat chart="4" format="1" series="1">
      <pivotArea type="data" outline="0" fieldPosition="0">
        <references count="2">
          <reference field="4294967294" count="1" selected="0">
            <x v="0"/>
          </reference>
          <reference field="2" count="1" selected="0">
            <x v="1"/>
          </reference>
        </references>
      </pivotArea>
    </chartFormat>
    <chartFormat chart="4" format="2" series="1">
      <pivotArea type="data" outline="0" fieldPosition="0">
        <references count="2">
          <reference field="4294967294" count="1" selected="0">
            <x v="0"/>
          </reference>
          <reference field="2" count="1" selected="0">
            <x v="2"/>
          </reference>
        </references>
      </pivotArea>
    </chartFormat>
    <chartFormat chart="4" format="3" series="1">
      <pivotArea type="data" outline="0" fieldPosition="0">
        <references count="2">
          <reference field="4294967294" count="1" selected="0">
            <x v="0"/>
          </reference>
          <reference field="2" count="1" selected="0">
            <x v="3"/>
          </reference>
        </references>
      </pivotArea>
    </chartFormat>
    <chartFormat chart="4" format="4" series="1">
      <pivotArea type="data" outline="0" fieldPosition="0">
        <references count="2">
          <reference field="4294967294" count="1" selected="0">
            <x v="0"/>
          </reference>
          <reference field="2" count="1" selected="0">
            <x v="4"/>
          </reference>
        </references>
      </pivotArea>
    </chartFormat>
    <chartFormat chart="4" format="5" series="1">
      <pivotArea type="data" outline="0" fieldPosition="0">
        <references count="2">
          <reference field="4294967294" count="1" selected="0">
            <x v="0"/>
          </reference>
          <reference field="2" count="1" selected="0">
            <x v="5"/>
          </reference>
        </references>
      </pivotArea>
    </chartFormat>
    <chartFormat chart="4" format="6" series="1">
      <pivotArea type="data" outline="0" fieldPosition="0">
        <references count="2">
          <reference field="4294967294" count="1" selected="0">
            <x v="0"/>
          </reference>
          <reference field="2" count="1" selected="0">
            <x v="6"/>
          </reference>
        </references>
      </pivotArea>
    </chartFormat>
    <chartFormat chart="4" format="7" series="1">
      <pivotArea type="data" outline="0" fieldPosition="0">
        <references count="2">
          <reference field="4294967294" count="1" selected="0">
            <x v="0"/>
          </reference>
          <reference field="2" count="1" selected="0">
            <x v="7"/>
          </reference>
        </references>
      </pivotArea>
    </chartFormat>
    <chartFormat chart="4" format="8" series="1">
      <pivotArea type="data" outline="0" fieldPosition="0">
        <references count="2">
          <reference field="4294967294" count="1" selected="0">
            <x v="0"/>
          </reference>
          <reference field="2" count="1" selected="0">
            <x v="8"/>
          </reference>
        </references>
      </pivotArea>
    </chartFormat>
    <chartFormat chart="8" format="18" series="1">
      <pivotArea type="data" outline="0" fieldPosition="0">
        <references count="2">
          <reference field="4294967294" count="1" selected="0">
            <x v="0"/>
          </reference>
          <reference field="2" count="1" selected="0">
            <x v="0"/>
          </reference>
        </references>
      </pivotArea>
    </chartFormat>
    <chartFormat chart="8" format="19" series="1">
      <pivotArea type="data" outline="0" fieldPosition="0">
        <references count="2">
          <reference field="4294967294" count="1" selected="0">
            <x v="0"/>
          </reference>
          <reference field="2" count="1" selected="0">
            <x v="1"/>
          </reference>
        </references>
      </pivotArea>
    </chartFormat>
    <chartFormat chart="8" format="20" series="1">
      <pivotArea type="data" outline="0" fieldPosition="0">
        <references count="2">
          <reference field="4294967294" count="1" selected="0">
            <x v="0"/>
          </reference>
          <reference field="2" count="1" selected="0">
            <x v="2"/>
          </reference>
        </references>
      </pivotArea>
    </chartFormat>
    <chartFormat chart="8" format="21" series="1">
      <pivotArea type="data" outline="0" fieldPosition="0">
        <references count="2">
          <reference field="4294967294" count="1" selected="0">
            <x v="0"/>
          </reference>
          <reference field="2" count="1" selected="0">
            <x v="3"/>
          </reference>
        </references>
      </pivotArea>
    </chartFormat>
    <chartFormat chart="8" format="22" series="1">
      <pivotArea type="data" outline="0" fieldPosition="0">
        <references count="2">
          <reference field="4294967294" count="1" selected="0">
            <x v="0"/>
          </reference>
          <reference field="2" count="1" selected="0">
            <x v="4"/>
          </reference>
        </references>
      </pivotArea>
    </chartFormat>
    <chartFormat chart="8" format="23" series="1">
      <pivotArea type="data" outline="0" fieldPosition="0">
        <references count="2">
          <reference field="4294967294" count="1" selected="0">
            <x v="0"/>
          </reference>
          <reference field="2" count="1" selected="0">
            <x v="5"/>
          </reference>
        </references>
      </pivotArea>
    </chartFormat>
    <chartFormat chart="8" format="24" series="1">
      <pivotArea type="data" outline="0" fieldPosition="0">
        <references count="2">
          <reference field="4294967294" count="1" selected="0">
            <x v="0"/>
          </reference>
          <reference field="2" count="1" selected="0">
            <x v="6"/>
          </reference>
        </references>
      </pivotArea>
    </chartFormat>
    <chartFormat chart="8" format="25" series="1">
      <pivotArea type="data" outline="0" fieldPosition="0">
        <references count="2">
          <reference field="4294967294" count="1" selected="0">
            <x v="0"/>
          </reference>
          <reference field="2" count="1" selected="0">
            <x v="7"/>
          </reference>
        </references>
      </pivotArea>
    </chartFormat>
    <chartFormat chart="8" format="26" series="1">
      <pivotArea type="data" outline="0" fieldPosition="0">
        <references count="2">
          <reference field="4294967294" count="1" selected="0">
            <x v="0"/>
          </reference>
          <reference field="2" count="1" selected="0">
            <x v="8"/>
          </reference>
        </references>
      </pivotArea>
    </chartFormat>
    <chartFormat chart="4" format="9"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C4AE764-2F8B-4915-AD9B-0781F3CD3940}" name="PivotTable2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4">
  <location ref="A216:C220" firstHeaderRow="0" firstDataRow="1" firstDataCol="1"/>
  <pivotFields count="24">
    <pivotField axis="axisRow" dataFiel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h="1" x="8"/>
        <item h="1" x="4"/>
        <item x="3"/>
        <item h="1" x="5"/>
        <item h="1" x="2"/>
        <item h="1" x="1"/>
        <item h="1" x="7"/>
        <item h="1" x="6"/>
        <item h="1" x="0"/>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h="1" x="0"/>
        <item h="1" x="1"/>
        <item h="1" x="2"/>
        <item x="3"/>
        <item h="1" x="4"/>
        <item t="default"/>
      </items>
    </pivotField>
  </pivotFields>
  <rowFields count="1">
    <field x="0"/>
  </rowFields>
  <rowItems count="4">
    <i>
      <x/>
    </i>
    <i>
      <x v="1"/>
    </i>
    <i>
      <x v="2"/>
    </i>
    <i t="grand">
      <x/>
    </i>
  </rowItems>
  <colFields count="1">
    <field x="-2"/>
  </colFields>
  <colItems count="2">
    <i>
      <x/>
    </i>
    <i i="1">
      <x v="1"/>
    </i>
  </colItems>
  <dataFields count="2">
    <dataField name="Average of Vaccinated Rate" fld="4" subtotal="average" baseField="0" baseItem="0"/>
    <dataField name="Count of Outcome" fld="0" subtotal="count"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DB7689B-968D-41CC-8544-011E7058D1B0}" name="PivotTable18"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
  <location ref="A150:C152"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Row" showAll="0">
      <items count="10">
        <item h="1" x="8"/>
        <item h="1" x="4"/>
        <item x="3"/>
        <item h="1" x="5"/>
        <item h="1" x="2"/>
        <item h="1" x="1"/>
        <item h="1" x="7"/>
        <item h="1" x="6"/>
        <item h="1" x="0"/>
        <item t="default"/>
      </items>
    </pivotField>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6">
        <item h="1" x="0"/>
        <item h="1" x="1"/>
        <item h="1" x="2"/>
        <item x="3"/>
        <item h="1" x="4"/>
        <item t="default"/>
      </items>
    </pivotField>
  </pivotFields>
  <rowFields count="1">
    <field x="2"/>
  </rowFields>
  <rowItems count="2">
    <i>
      <x v="2"/>
    </i>
    <i t="grand">
      <x/>
    </i>
  </rowItems>
  <colFields count="1">
    <field x="-2"/>
  </colFields>
  <colItems count="2">
    <i>
      <x/>
    </i>
    <i i="1">
      <x v="1"/>
    </i>
  </colItems>
  <dataFields count="2">
    <dataField name="Average of Age-Adjusted Vaccinated Rate" fld="9" subtotal="average" baseField="2" baseItem="0"/>
    <dataField name="Average of Age-Adjusted Boosted Rate" fld="10" subtotal="average" baseField="2"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E6295BD-3A19-46F3-BDE5-17FFBBDF7A96}" name="PivotTable4"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74:E76" firstHeaderRow="1" firstDataRow="2" firstDataCol="1"/>
  <pivotFields count="24">
    <pivotField axis="axisCol" dataFiel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h="1" x="8"/>
        <item h="1" x="4"/>
        <item x="3"/>
        <item h="1" x="5"/>
        <item h="1" x="2"/>
        <item h="1" x="1"/>
        <item h="1" x="7"/>
        <item h="1" x="6"/>
        <item h="1"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showAll="0">
      <items count="965">
        <item x="28"/>
        <item x="3"/>
        <item x="718"/>
        <item x="697"/>
        <item x="597"/>
        <item x="955"/>
        <item x="124"/>
        <item x="703"/>
        <item x="309"/>
        <item x="553"/>
        <item x="780"/>
        <item x="207"/>
        <item x="400"/>
        <item x="766"/>
        <item x="325"/>
        <item x="49"/>
        <item x="506"/>
        <item x="353"/>
        <item x="32"/>
        <item x="360"/>
        <item x="101"/>
        <item x="97"/>
        <item x="640"/>
        <item x="937"/>
        <item x="618"/>
        <item x="492"/>
        <item x="786"/>
        <item x="89"/>
        <item x="474"/>
        <item x="888"/>
        <item x="589"/>
        <item x="111"/>
        <item x="739"/>
        <item x="184"/>
        <item x="938"/>
        <item x="45"/>
        <item x="895"/>
        <item x="513"/>
        <item x="850"/>
        <item x="708"/>
        <item x="155"/>
        <item x="705"/>
        <item x="141"/>
        <item x="255"/>
        <item x="741"/>
        <item x="848"/>
        <item x="494"/>
        <item x="717"/>
        <item x="883"/>
        <item x="373"/>
        <item x="276"/>
        <item x="842"/>
        <item x="643"/>
        <item x="329"/>
        <item x="923"/>
        <item x="477"/>
        <item x="471"/>
        <item x="466"/>
        <item x="58"/>
        <item x="218"/>
        <item x="601"/>
        <item x="175"/>
        <item x="217"/>
        <item x="759"/>
        <item x="452"/>
        <item x="346"/>
        <item x="454"/>
        <item x="259"/>
        <item x="316"/>
        <item x="295"/>
        <item x="245"/>
        <item x="253"/>
        <item x="285"/>
        <item x="73"/>
        <item x="187"/>
        <item x="470"/>
        <item x="430"/>
        <item x="330"/>
        <item x="674"/>
        <item x="677"/>
        <item x="649"/>
        <item x="130"/>
        <item x="543"/>
        <item x="678"/>
        <item x="244"/>
        <item x="74"/>
        <item x="672"/>
        <item x="100"/>
        <item x="549"/>
        <item x="953"/>
        <item x="801"/>
        <item x="202"/>
        <item x="458"/>
        <item x="318"/>
        <item x="21"/>
        <item x="46"/>
        <item x="221"/>
        <item x="951"/>
        <item x="180"/>
        <item x="565"/>
        <item x="256"/>
        <item x="577"/>
        <item x="135"/>
        <item x="840"/>
        <item x="36"/>
        <item x="715"/>
        <item x="661"/>
        <item x="67"/>
        <item x="102"/>
        <item x="57"/>
        <item x="463"/>
        <item x="250"/>
        <item x="515"/>
        <item x="449"/>
        <item x="397"/>
        <item x="645"/>
        <item x="55"/>
        <item x="518"/>
        <item x="635"/>
        <item x="845"/>
        <item x="854"/>
        <item x="129"/>
        <item x="760"/>
        <item x="341"/>
        <item x="836"/>
        <item x="367"/>
        <item x="571"/>
        <item x="128"/>
        <item x="311"/>
        <item x="844"/>
        <item x="320"/>
        <item x="420"/>
        <item x="591"/>
        <item x="899"/>
        <item x="35"/>
        <item x="567"/>
        <item x="963"/>
        <item x="562"/>
        <item x="370"/>
        <item x="411"/>
        <item x="722"/>
        <item x="401"/>
        <item x="483"/>
        <item x="853"/>
        <item x="91"/>
        <item x="928"/>
        <item x="550"/>
        <item x="307"/>
        <item x="656"/>
        <item x="813"/>
        <item x="878"/>
        <item x="365"/>
        <item x="748"/>
        <item x="704"/>
        <item x="733"/>
        <item x="927"/>
        <item x="426"/>
        <item x="647"/>
        <item x="119"/>
        <item x="547"/>
        <item x="650"/>
        <item x="902"/>
        <item x="278"/>
        <item x="540"/>
        <item x="120"/>
        <item x="157"/>
        <item x="670"/>
        <item x="651"/>
        <item x="390"/>
        <item x="793"/>
        <item x="664"/>
        <item x="729"/>
        <item x="125"/>
        <item x="949"/>
        <item x="734"/>
        <item x="41"/>
        <item x="653"/>
        <item x="162"/>
        <item x="395"/>
        <item x="12"/>
        <item x="146"/>
        <item x="680"/>
        <item x="922"/>
        <item x="665"/>
        <item x="669"/>
        <item x="201"/>
        <item x="671"/>
        <item x="646"/>
        <item x="9"/>
        <item x="88"/>
        <item x="503"/>
        <item x="487"/>
        <item x="448"/>
        <item x="877"/>
        <item x="435"/>
        <item x="606"/>
        <item x="657"/>
        <item x="313"/>
        <item x="702"/>
        <item x="501"/>
        <item x="821"/>
        <item x="479"/>
        <item x="414"/>
        <item x="684"/>
        <item x="851"/>
        <item x="823"/>
        <item x="212"/>
        <item x="438"/>
        <item x="13"/>
        <item x="445"/>
        <item x="530"/>
        <item x="456"/>
        <item x="338"/>
        <item x="302"/>
        <item x="160"/>
        <item x="599"/>
        <item x="421"/>
        <item x="958"/>
        <item x="439"/>
        <item x="808"/>
        <item x="896"/>
        <item x="399"/>
        <item x="790"/>
        <item x="538"/>
        <item x="70"/>
        <item x="561"/>
        <item x="39"/>
        <item x="106"/>
        <item x="33"/>
        <item x="441"/>
        <item x="472"/>
        <item x="529"/>
        <item x="361"/>
        <item x="598"/>
        <item x="114"/>
        <item x="418"/>
        <item x="339"/>
        <item x="800"/>
        <item x="959"/>
        <item x="342"/>
        <item x="611"/>
        <item x="6"/>
        <item x="508"/>
        <item x="934"/>
        <item x="484"/>
        <item x="770"/>
        <item x="204"/>
        <item x="944"/>
        <item x="2"/>
        <item x="509"/>
        <item x="323"/>
        <item x="560"/>
        <item x="205"/>
        <item x="147"/>
        <item x="880"/>
        <item x="389"/>
        <item x="679"/>
        <item x="349"/>
        <item x="815"/>
        <item x="690"/>
        <item x="181"/>
        <item x="358"/>
        <item x="839"/>
        <item x="47"/>
        <item x="219"/>
        <item x="663"/>
        <item x="42"/>
        <item x="382"/>
        <item x="262"/>
        <item x="178"/>
        <item x="26"/>
        <item x="633"/>
        <item x="427"/>
        <item x="337"/>
        <item x="85"/>
        <item x="142"/>
        <item x="504"/>
        <item x="948"/>
        <item x="52"/>
        <item x="596"/>
        <item x="352"/>
        <item x="94"/>
        <item x="239"/>
        <item x="210"/>
        <item x="870"/>
        <item x="753"/>
        <item x="893"/>
        <item x="568"/>
        <item x="523"/>
        <item x="519"/>
        <item x="868"/>
        <item x="828"/>
        <item x="837"/>
        <item x="528"/>
        <item x="192"/>
        <item x="25"/>
        <item x="413"/>
        <item x="757"/>
        <item x="188"/>
        <item x="171"/>
        <item x="69"/>
        <item x="359"/>
        <item x="82"/>
        <item x="482"/>
        <item x="779"/>
        <item x="871"/>
        <item x="177"/>
        <item x="714"/>
        <item x="554"/>
        <item x="265"/>
        <item x="195"/>
        <item x="616"/>
        <item x="410"/>
        <item x="962"/>
        <item x="719"/>
        <item x="884"/>
        <item x="236"/>
        <item x="500"/>
        <item x="272"/>
        <item x="154"/>
        <item x="230"/>
        <item x="83"/>
        <item x="281"/>
        <item x="321"/>
        <item x="610"/>
        <item x="233"/>
        <item x="686"/>
        <item x="785"/>
        <item x="306"/>
        <item x="208"/>
        <item x="159"/>
        <item x="241"/>
        <item x="882"/>
        <item x="728"/>
        <item x="764"/>
        <item x="409"/>
        <item x="229"/>
        <item x="498"/>
        <item x="574"/>
        <item x="5"/>
        <item x="282"/>
        <item x="143"/>
        <item x="852"/>
        <item x="378"/>
        <item x="220"/>
        <item x="417"/>
        <item x="137"/>
        <item x="354"/>
        <item x="419"/>
        <item x="489"/>
        <item x="522"/>
        <item x="904"/>
        <item x="51"/>
        <item x="136"/>
        <item x="860"/>
        <item x="436"/>
        <item x="900"/>
        <item x="746"/>
        <item x="368"/>
        <item x="952"/>
        <item x="536"/>
        <item x="269"/>
        <item x="602"/>
        <item x="166"/>
        <item x="605"/>
        <item x="446"/>
        <item x="716"/>
        <item x="148"/>
        <item x="293"/>
        <item x="257"/>
        <item x="787"/>
        <item x="806"/>
        <item x="926"/>
        <item x="891"/>
        <item x="752"/>
        <item x="720"/>
        <item x="379"/>
        <item x="502"/>
        <item x="415"/>
        <item x="126"/>
        <item x="251"/>
        <item x="810"/>
        <item x="76"/>
        <item x="866"/>
        <item x="659"/>
        <item x="654"/>
        <item x="343"/>
        <item x="90"/>
        <item x="932"/>
        <item x="144"/>
        <item x="149"/>
        <item x="954"/>
        <item x="824"/>
        <item x="23"/>
        <item x="584"/>
        <item x="402"/>
        <item x="639"/>
        <item x="624"/>
        <item x="725"/>
        <item x="424"/>
        <item x="627"/>
        <item x="943"/>
        <item x="762"/>
        <item x="408"/>
        <item x="689"/>
        <item x="271"/>
        <item x="796"/>
        <item x="139"/>
        <item x="644"/>
        <item x="901"/>
        <item x="694"/>
        <item x="279"/>
        <item x="140"/>
        <item x="18"/>
        <item x="609"/>
        <item x="906"/>
        <item x="165"/>
        <item x="224"/>
        <item x="243"/>
        <item x="907"/>
        <item x="527"/>
        <item x="31"/>
        <item x="797"/>
        <item x="804"/>
        <item x="629"/>
        <item x="749"/>
        <item x="263"/>
        <item x="668"/>
        <item x="240"/>
        <item x="925"/>
        <item x="542"/>
        <item x="398"/>
        <item x="931"/>
        <item x="286"/>
        <item x="167"/>
        <item x="512"/>
        <item x="843"/>
        <item x="634"/>
        <item x="841"/>
        <item x="910"/>
        <item x="1"/>
        <item x="215"/>
        <item x="814"/>
        <item x="859"/>
        <item x="612"/>
        <item x="289"/>
        <item x="825"/>
        <item x="773"/>
        <item x="603"/>
        <item x="444"/>
        <item x="467"/>
        <item x="422"/>
        <item x="791"/>
        <item x="332"/>
        <item x="93"/>
        <item x="344"/>
        <item x="196"/>
        <item x="863"/>
        <item x="216"/>
        <item x="38"/>
        <item x="593"/>
        <item x="56"/>
        <item x="65"/>
        <item x="64"/>
        <item x="228"/>
        <item x="608"/>
        <item x="72"/>
        <item x="776"/>
        <item x="782"/>
        <item x="723"/>
        <item x="53"/>
        <item x="614"/>
        <item x="95"/>
        <item x="362"/>
        <item x="626"/>
        <item x="54"/>
        <item x="687"/>
        <item x="15"/>
        <item x="366"/>
        <item x="526"/>
        <item x="374"/>
        <item x="613"/>
        <item x="304"/>
        <item x="735"/>
        <item x="86"/>
        <item x="168"/>
        <item x="587"/>
        <item x="225"/>
        <item x="20"/>
        <item x="261"/>
        <item x="328"/>
        <item x="476"/>
        <item x="284"/>
        <item x="510"/>
        <item x="355"/>
        <item x="247"/>
        <item x="480"/>
        <item x="447"/>
        <item x="112"/>
        <item x="701"/>
        <item x="433"/>
        <item x="630"/>
        <item x="242"/>
        <item x="481"/>
        <item x="198"/>
        <item x="151"/>
        <item x="43"/>
        <item x="945"/>
        <item x="557"/>
        <item x="712"/>
        <item x="636"/>
        <item x="468"/>
        <item x="62"/>
        <item x="683"/>
        <item x="277"/>
        <item x="499"/>
        <item x="369"/>
        <item x="675"/>
        <item x="372"/>
        <item x="642"/>
        <item x="887"/>
        <item x="763"/>
        <item x="858"/>
        <item x="693"/>
        <item x="258"/>
        <item x="564"/>
        <item x="493"/>
        <item x="183"/>
        <item x="461"/>
        <item x="460"/>
        <item x="915"/>
        <item x="356"/>
        <item x="600"/>
        <item x="428"/>
        <item x="548"/>
        <item x="40"/>
        <item x="22"/>
        <item x="305"/>
        <item x="857"/>
        <item x="545"/>
        <item x="579"/>
        <item x="203"/>
        <item x="537"/>
        <item x="173"/>
        <item x="604"/>
        <item x="121"/>
        <item x="886"/>
        <item x="822"/>
        <item x="736"/>
        <item x="292"/>
        <item x="569"/>
        <item x="254"/>
        <item x="755"/>
        <item x="392"/>
        <item x="534"/>
        <item x="310"/>
        <item x="788"/>
        <item x="232"/>
        <item x="898"/>
        <item x="960"/>
        <item x="123"/>
        <item x="929"/>
        <item x="299"/>
        <item x="377"/>
        <item x="881"/>
        <item x="191"/>
        <item x="692"/>
        <item x="521"/>
        <item x="875"/>
        <item x="707"/>
        <item x="546"/>
        <item x="936"/>
        <item x="303"/>
        <item x="905"/>
        <item x="920"/>
        <item x="206"/>
        <item x="294"/>
        <item x="407"/>
        <item x="864"/>
        <item x="189"/>
        <item x="666"/>
        <item x="75"/>
        <item x="582"/>
        <item x="485"/>
        <item x="104"/>
        <item x="451"/>
        <item x="96"/>
        <item x="575"/>
        <item x="385"/>
        <item x="490"/>
        <item x="950"/>
        <item x="939"/>
        <item x="488"/>
        <item x="214"/>
        <item x="455"/>
        <item x="376"/>
        <item x="520"/>
        <item x="795"/>
        <item x="113"/>
        <item x="87"/>
        <item x="580"/>
        <item x="249"/>
        <item x="892"/>
        <item x="478"/>
        <item x="364"/>
        <item x="517"/>
        <item x="457"/>
        <item x="161"/>
        <item x="812"/>
        <item x="429"/>
        <item x="777"/>
        <item x="803"/>
        <item x="300"/>
        <item x="238"/>
        <item x="862"/>
        <item x="772"/>
        <item x="164"/>
        <item x="894"/>
        <item x="170"/>
        <item x="924"/>
        <item x="347"/>
        <item x="383"/>
        <item x="818"/>
        <item x="158"/>
        <item x="288"/>
        <item x="784"/>
        <item x="169"/>
        <item x="4"/>
        <item x="867"/>
        <item x="743"/>
        <item x="834"/>
        <item x="765"/>
        <item x="152"/>
        <item x="222"/>
        <item x="942"/>
        <item x="916"/>
        <item x="391"/>
        <item x="595"/>
        <item x="127"/>
        <item x="747"/>
        <item x="371"/>
        <item x="855"/>
        <item x="290"/>
        <item x="590"/>
        <item x="227"/>
        <item x="133"/>
        <item x="578"/>
        <item x="273"/>
        <item x="750"/>
        <item x="105"/>
        <item x="525"/>
        <item x="811"/>
        <item x="830"/>
        <item x="756"/>
        <item x="556"/>
        <item x="68"/>
        <item x="317"/>
        <item x="103"/>
        <item x="308"/>
        <item x="913"/>
        <item x="405"/>
        <item x="849"/>
        <item x="874"/>
        <item x="607"/>
        <item x="465"/>
        <item x="531"/>
        <item x="935"/>
        <item x="648"/>
        <item x="182"/>
        <item x="60"/>
        <item x="558"/>
        <item x="912"/>
        <item x="940"/>
        <item x="807"/>
        <item x="334"/>
        <item x="507"/>
        <item x="211"/>
        <item x="315"/>
        <item x="108"/>
        <item x="319"/>
        <item x="933"/>
        <item x="246"/>
        <item x="724"/>
        <item x="819"/>
        <item x="442"/>
        <item x="156"/>
        <item x="737"/>
        <item x="29"/>
        <item x="775"/>
        <item x="873"/>
        <item x="919"/>
        <item x="559"/>
        <item x="327"/>
        <item x="237"/>
        <item x="726"/>
        <item x="235"/>
        <item x="266"/>
        <item x="742"/>
        <item x="696"/>
        <item x="63"/>
        <item x="551"/>
        <item x="774"/>
        <item x="809"/>
        <item x="799"/>
        <item x="197"/>
        <item x="78"/>
        <item x="583"/>
        <item x="287"/>
        <item x="947"/>
        <item x="92"/>
        <item x="122"/>
        <item x="491"/>
        <item x="322"/>
        <item x="638"/>
        <item x="711"/>
        <item x="511"/>
        <item x="298"/>
        <item x="632"/>
        <item x="652"/>
        <item x="297"/>
        <item x="695"/>
        <item x="581"/>
        <item x="563"/>
        <item x="961"/>
        <item x="50"/>
        <item x="406"/>
        <item x="99"/>
        <item x="731"/>
        <item x="566"/>
        <item x="623"/>
        <item x="767"/>
        <item x="283"/>
        <item x="131"/>
        <item x="921"/>
        <item x="98"/>
        <item x="829"/>
        <item x="758"/>
        <item x="194"/>
        <item x="66"/>
        <item x="109"/>
        <item x="698"/>
        <item x="81"/>
        <item x="544"/>
        <item x="847"/>
        <item x="71"/>
        <item x="469"/>
        <item x="473"/>
        <item x="533"/>
        <item x="84"/>
        <item x="381"/>
        <item x="879"/>
        <item x="816"/>
        <item x="628"/>
        <item x="61"/>
        <item x="588"/>
        <item x="118"/>
        <item x="532"/>
        <item x="535"/>
        <item x="475"/>
        <item x="450"/>
        <item x="434"/>
        <item x="393"/>
        <item x="570"/>
        <item x="586"/>
        <item x="872"/>
        <item x="416"/>
        <item x="394"/>
        <item x="662"/>
        <item x="946"/>
        <item x="846"/>
        <item x="516"/>
        <item x="754"/>
        <item x="186"/>
        <item x="676"/>
        <item x="619"/>
        <item x="213"/>
        <item x="802"/>
        <item x="831"/>
        <item x="27"/>
        <item x="783"/>
        <item x="268"/>
        <item x="751"/>
        <item x="744"/>
        <item x="386"/>
        <item x="274"/>
        <item x="655"/>
        <item x="234"/>
        <item x="817"/>
        <item x="453"/>
        <item x="296"/>
        <item x="17"/>
        <item x="8"/>
        <item x="778"/>
        <item x="264"/>
        <item x="117"/>
        <item x="833"/>
        <item x="876"/>
        <item x="260"/>
        <item x="631"/>
        <item x="727"/>
        <item x="738"/>
        <item x="34"/>
        <item x="174"/>
        <item x="248"/>
        <item x="348"/>
        <item x="150"/>
        <item x="7"/>
        <item x="573"/>
        <item x="505"/>
        <item x="658"/>
        <item x="745"/>
        <item x="496"/>
        <item x="835"/>
        <item x="713"/>
        <item x="464"/>
        <item x="432"/>
        <item x="688"/>
        <item x="903"/>
        <item x="685"/>
        <item x="388"/>
        <item x="730"/>
        <item x="179"/>
        <item x="691"/>
        <item x="115"/>
        <item x="172"/>
        <item x="930"/>
        <item x="153"/>
        <item x="798"/>
        <item x="890"/>
        <item x="637"/>
        <item x="856"/>
        <item x="44"/>
        <item x="423"/>
        <item x="617"/>
        <item x="163"/>
        <item x="209"/>
        <item x="425"/>
        <item x="0"/>
        <item x="335"/>
        <item x="594"/>
        <item x="908"/>
        <item x="193"/>
        <item x="820"/>
        <item x="190"/>
        <item x="462"/>
        <item x="592"/>
        <item x="486"/>
        <item x="826"/>
        <item x="107"/>
        <item x="280"/>
        <item x="682"/>
        <item x="24"/>
        <item x="789"/>
        <item x="576"/>
        <item x="911"/>
        <item x="10"/>
        <item x="326"/>
        <item x="387"/>
        <item x="794"/>
        <item x="134"/>
        <item x="781"/>
        <item x="869"/>
        <item x="291"/>
        <item x="396"/>
        <item x="660"/>
        <item x="681"/>
        <item x="138"/>
        <item x="555"/>
        <item x="709"/>
        <item x="667"/>
        <item x="333"/>
        <item x="314"/>
        <item x="176"/>
        <item x="914"/>
        <item x="340"/>
        <item x="110"/>
        <item x="301"/>
        <item x="437"/>
        <item x="885"/>
        <item x="443"/>
        <item x="200"/>
        <item x="48"/>
        <item x="710"/>
        <item x="721"/>
        <item x="37"/>
        <item x="459"/>
        <item x="324"/>
        <item x="19"/>
        <item x="495"/>
        <item x="11"/>
        <item x="621"/>
        <item x="350"/>
        <item x="838"/>
        <item x="312"/>
        <item x="185"/>
        <item x="375"/>
        <item x="641"/>
        <item x="199"/>
        <item x="585"/>
        <item x="524"/>
        <item x="956"/>
        <item x="497"/>
        <item x="941"/>
        <item x="403"/>
        <item x="761"/>
        <item x="30"/>
        <item x="957"/>
        <item x="431"/>
        <item x="706"/>
        <item x="252"/>
        <item x="440"/>
        <item x="673"/>
        <item x="384"/>
        <item x="541"/>
        <item x="732"/>
        <item x="336"/>
        <item x="740"/>
        <item x="231"/>
        <item x="331"/>
        <item x="267"/>
        <item x="404"/>
        <item x="80"/>
        <item x="572"/>
        <item x="77"/>
        <item x="620"/>
        <item x="622"/>
        <item x="792"/>
        <item x="918"/>
        <item x="699"/>
        <item x="771"/>
        <item x="865"/>
        <item x="270"/>
        <item x="14"/>
        <item x="889"/>
        <item x="345"/>
        <item x="832"/>
        <item x="363"/>
        <item x="769"/>
        <item x="132"/>
        <item x="145"/>
        <item x="16"/>
        <item x="700"/>
        <item x="768"/>
        <item x="861"/>
        <item x="380"/>
        <item x="552"/>
        <item x="275"/>
        <item x="615"/>
        <item x="412"/>
        <item x="827"/>
        <item x="897"/>
        <item x="917"/>
        <item x="909"/>
        <item x="351"/>
        <item x="625"/>
        <item x="223"/>
        <item x="539"/>
        <item x="59"/>
        <item x="805"/>
        <item x="514"/>
        <item x="226"/>
        <item x="357"/>
        <item x="116"/>
        <item x="79"/>
        <item t="default"/>
      </items>
    </pivotField>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h="1" x="0"/>
        <item h="1" x="1"/>
        <item h="1" x="2"/>
        <item x="3"/>
        <item h="1" x="4"/>
        <item t="default"/>
      </items>
    </pivotField>
  </pivotFields>
  <rowItems count="1">
    <i/>
  </rowItems>
  <colFields count="1">
    <field x="0"/>
  </colFields>
  <colItems count="4">
    <i>
      <x/>
    </i>
    <i>
      <x v="1"/>
    </i>
    <i>
      <x v="2"/>
    </i>
    <i t="grand">
      <x/>
    </i>
  </colItems>
  <dataFields count="1">
    <dataField name="Count of Outcome" fld="0" subtotal="count" baseField="0" baseItem="0"/>
  </dataFields>
  <chartFormats count="19">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2">
          <reference field="4294967294" count="1" selected="0">
            <x v="0"/>
          </reference>
          <reference field="0" count="1" selected="0">
            <x v="1"/>
          </reference>
        </references>
      </pivotArea>
    </chartFormat>
    <chartFormat chart="1" format="3" series="1">
      <pivotArea type="data" outline="0" fieldPosition="0">
        <references count="2">
          <reference field="4294967294" count="1" selected="0">
            <x v="0"/>
          </reference>
          <reference field="0" count="1" selected="0">
            <x v="2"/>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1"/>
          </reference>
        </references>
      </pivotArea>
    </chartFormat>
    <chartFormat chart="2" format="3">
      <pivotArea type="data" outline="0" fieldPosition="0">
        <references count="2">
          <reference field="4294967294" count="1" selected="0">
            <x v="0"/>
          </reference>
          <reference field="0" count="1" selected="0">
            <x v="2"/>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0" count="1" selected="0">
            <x v="0"/>
          </reference>
        </references>
      </pivotArea>
    </chartFormat>
    <chartFormat chart="4" format="6">
      <pivotArea type="data" outline="0" fieldPosition="0">
        <references count="2">
          <reference field="4294967294" count="1" selected="0">
            <x v="0"/>
          </reference>
          <reference field="0" count="1" selected="0">
            <x v="1"/>
          </reference>
        </references>
      </pivotArea>
    </chartFormat>
    <chartFormat chart="4" format="7">
      <pivotArea type="data" outline="0" fieldPosition="0">
        <references count="2">
          <reference field="4294967294" count="1" selected="0">
            <x v="0"/>
          </reference>
          <reference field="0" count="1" selected="0">
            <x v="2"/>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0" count="1" selected="0">
            <x v="0"/>
          </reference>
        </references>
      </pivotArea>
    </chartFormat>
    <chartFormat chart="5" format="10">
      <pivotArea type="data" outline="0" fieldPosition="0">
        <references count="2">
          <reference field="4294967294" count="1" selected="0">
            <x v="0"/>
          </reference>
          <reference field="0" count="1" selected="0">
            <x v="1"/>
          </reference>
        </references>
      </pivotArea>
    </chartFormat>
    <chartFormat chart="5" format="11">
      <pivotArea type="data" outline="0" fieldPosition="0">
        <references count="2">
          <reference field="4294967294" count="1" selected="0">
            <x v="0"/>
          </reference>
          <reference field="0" count="1" selected="0">
            <x v="2"/>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0" count="1" selected="0">
            <x v="0"/>
          </reference>
        </references>
      </pivotArea>
    </chartFormat>
    <chartFormat chart="9" format="18">
      <pivotArea type="data" outline="0" fieldPosition="0">
        <references count="2">
          <reference field="4294967294" count="1" selected="0">
            <x v="0"/>
          </reference>
          <reference field="0" count="1" selected="0">
            <x v="1"/>
          </reference>
        </references>
      </pivotArea>
    </chartFormat>
    <chartFormat chart="9" format="19">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88A151D-F3EE-4C73-B509-800510648CF5}" name="PivotTable19"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location ref="A170:E175" firstHeaderRow="1" firstDataRow="2" firstDataCol="1"/>
  <pivotFields count="24">
    <pivotField axis="axisRow" dataField="1" multipleItemSelectionAllowe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h="1" x="8"/>
        <item h="1" x="4"/>
        <item x="3"/>
        <item h="1" x="5"/>
        <item h="1" x="2"/>
        <item h="1" x="1"/>
        <item h="1" x="7"/>
        <item h="1" x="6"/>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5">
        <item sd="0" x="0"/>
        <item sd="0" x="1"/>
        <item sd="0" x="2"/>
        <item sd="0" x="3"/>
        <item sd="0" x="4"/>
        <item sd="0" x="5"/>
        <item sd="0" x="6"/>
        <item sd="0" x="7"/>
        <item sd="0" x="8"/>
        <item sd="0" x="9"/>
        <item sd="0" x="10"/>
        <item sd="0" x="11"/>
        <item sd="0" x="12"/>
        <item sd="0" x="13"/>
        <item t="default"/>
      </items>
    </pivotField>
    <pivotField axis="axisCol" showAll="0">
      <items count="7">
        <item sd="0" x="0"/>
        <item sd="0" x="1"/>
        <item sd="0" x="2"/>
        <item sd="0" x="3"/>
        <item sd="0" x="4"/>
        <item sd="0" x="5"/>
        <item t="default"/>
      </items>
    </pivotField>
    <pivotField showAll="0">
      <items count="6">
        <item h="1" sd="0" x="0"/>
        <item h="1" sd="0" x="1"/>
        <item h="1" sd="0" x="2"/>
        <item sd="0" x="3"/>
        <item h="1" sd="0" x="4"/>
        <item t="default"/>
      </items>
    </pivotField>
  </pivotFields>
  <rowFields count="1">
    <field x="0"/>
  </rowFields>
  <rowItems count="4">
    <i>
      <x/>
    </i>
    <i>
      <x v="1"/>
    </i>
    <i>
      <x v="2"/>
    </i>
    <i t="grand">
      <x/>
    </i>
  </rowItems>
  <colFields count="1">
    <field x="22"/>
  </colFields>
  <colItems count="4">
    <i>
      <x v="1"/>
    </i>
    <i>
      <x v="2"/>
    </i>
    <i>
      <x v="3"/>
    </i>
    <i>
      <x v="4"/>
    </i>
  </colItems>
  <dataFields count="1">
    <dataField name="Count of Outco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FC523093-4891-4DE4-87BE-FB8FDA704006}" name="PivotTable13" cacheId="0" applyNumberFormats="0" applyBorderFormats="0" applyFontFormats="0" applyPatternFormats="0" applyAlignmentFormats="0" applyWidthHeightFormats="1" dataCaption="Values" updatedVersion="8" minRefreshableVersion="3" useAutoFormatting="1" colGrandTotals="0" itemPrintTitles="1" createdVersion="8" indent="0" multipleFieldFilters="0">
  <location ref="A80:M85" firstHeaderRow="1" firstDataRow="2" firstDataCol="1"/>
  <pivotFields count="24">
    <pivotField axis="axisRow"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h="1" x="8"/>
        <item h="1" x="4"/>
        <item x="3"/>
        <item h="1" x="5"/>
        <item h="1" x="2"/>
        <item h="1" x="1"/>
        <item h="1" x="7"/>
        <item h="1" x="6"/>
        <item h="1"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items count="916">
        <item x="2"/>
        <item x="0"/>
        <item x="82"/>
        <item x="87"/>
        <item x="19"/>
        <item x="23"/>
        <item x="13"/>
        <item x="38"/>
        <item x="1"/>
        <item x="48"/>
        <item x="49"/>
        <item x="73"/>
        <item x="17"/>
        <item x="8"/>
        <item x="141"/>
        <item x="460"/>
        <item x="145"/>
        <item x="519"/>
        <item x="58"/>
        <item x="131"/>
        <item x="77"/>
        <item x="116"/>
        <item x="61"/>
        <item x="34"/>
        <item x="221"/>
        <item x="36"/>
        <item x="257"/>
        <item x="431"/>
        <item x="125"/>
        <item x="127"/>
        <item x="162"/>
        <item x="51"/>
        <item x="21"/>
        <item x="103"/>
        <item x="656"/>
        <item x="765"/>
        <item x="379"/>
        <item x="83"/>
        <item x="4"/>
        <item x="33"/>
        <item x="235"/>
        <item x="121"/>
        <item x="100"/>
        <item x="110"/>
        <item x="487"/>
        <item x="358"/>
        <item x="218"/>
        <item x="169"/>
        <item x="276"/>
        <item x="176"/>
        <item x="95"/>
        <item x="152"/>
        <item x="255"/>
        <item x="288"/>
        <item x="53"/>
        <item x="15"/>
        <item x="56"/>
        <item x="37"/>
        <item x="166"/>
        <item x="475"/>
        <item x="351"/>
        <item x="70"/>
        <item x="357"/>
        <item x="25"/>
        <item x="395"/>
        <item x="265"/>
        <item x="159"/>
        <item x="10"/>
        <item x="241"/>
        <item x="791"/>
        <item x="350"/>
        <item x="78"/>
        <item x="20"/>
        <item x="142"/>
        <item x="384"/>
        <item x="609"/>
        <item x="387"/>
        <item x="600"/>
        <item x="120"/>
        <item x="123"/>
        <item x="451"/>
        <item x="157"/>
        <item x="88"/>
        <item x="610"/>
        <item x="197"/>
        <item x="327"/>
        <item x="7"/>
        <item x="62"/>
        <item x="342"/>
        <item x="312"/>
        <item x="488"/>
        <item x="273"/>
        <item x="109"/>
        <item x="230"/>
        <item x="624"/>
        <item x="12"/>
        <item x="28"/>
        <item x="289"/>
        <item x="47"/>
        <item x="55"/>
        <item x="133"/>
        <item x="721"/>
        <item x="90"/>
        <item x="132"/>
        <item x="163"/>
        <item x="411"/>
        <item x="569"/>
        <item x="189"/>
        <item x="888"/>
        <item x="397"/>
        <item x="18"/>
        <item x="677"/>
        <item x="390"/>
        <item x="549"/>
        <item x="224"/>
        <item x="322"/>
        <item x="404"/>
        <item x="214"/>
        <item x="857"/>
        <item x="374"/>
        <item x="135"/>
        <item x="556"/>
        <item x="331"/>
        <item x="303"/>
        <item x="490"/>
        <item x="43"/>
        <item x="667"/>
        <item x="294"/>
        <item x="385"/>
        <item x="592"/>
        <item x="40"/>
        <item x="228"/>
        <item x="646"/>
        <item x="237"/>
        <item x="208"/>
        <item x="278"/>
        <item x="5"/>
        <item x="35"/>
        <item x="545"/>
        <item x="402"/>
        <item x="391"/>
        <item x="386"/>
        <item x="864"/>
        <item x="333"/>
        <item x="6"/>
        <item x="400"/>
        <item x="91"/>
        <item x="308"/>
        <item x="227"/>
        <item x="225"/>
        <item x="280"/>
        <item x="392"/>
        <item x="79"/>
        <item x="634"/>
        <item x="231"/>
        <item x="283"/>
        <item x="124"/>
        <item x="589"/>
        <item x="612"/>
        <item x="591"/>
        <item x="833"/>
        <item x="72"/>
        <item x="356"/>
        <item x="66"/>
        <item x="60"/>
        <item x="811"/>
        <item x="446"/>
        <item x="878"/>
        <item x="786"/>
        <item x="246"/>
        <item x="388"/>
        <item x="547"/>
        <item x="479"/>
        <item x="178"/>
        <item x="382"/>
        <item x="911"/>
        <item x="544"/>
        <item x="97"/>
        <item x="193"/>
        <item x="639"/>
        <item x="663"/>
        <item x="381"/>
        <item x="436"/>
        <item x="149"/>
        <item x="564"/>
        <item x="29"/>
        <item x="262"/>
        <item x="147"/>
        <item x="150"/>
        <item x="305"/>
        <item x="849"/>
        <item x="531"/>
        <item x="86"/>
        <item x="615"/>
        <item x="767"/>
        <item x="291"/>
        <item x="94"/>
        <item x="222"/>
        <item x="216"/>
        <item x="39"/>
        <item x="300"/>
        <item x="295"/>
        <item x="57"/>
        <item x="248"/>
        <item x="217"/>
        <item x="196"/>
        <item x="205"/>
        <item x="44"/>
        <item x="630"/>
        <item x="826"/>
        <item x="448"/>
        <item x="799"/>
        <item x="560"/>
        <item x="307"/>
        <item x="817"/>
        <item x="309"/>
        <item x="905"/>
        <item x="478"/>
        <item x="538"/>
        <item x="588"/>
        <item x="540"/>
        <item x="859"/>
        <item x="284"/>
        <item x="92"/>
        <item x="198"/>
        <item x="716"/>
        <item x="455"/>
        <item x="410"/>
        <item x="416"/>
        <item x="96"/>
        <item x="457"/>
        <item x="755"/>
        <item x="837"/>
        <item x="690"/>
        <item x="504"/>
        <item x="269"/>
        <item x="684"/>
        <item x="285"/>
        <item x="469"/>
        <item x="138"/>
        <item x="401"/>
        <item x="554"/>
        <item x="360"/>
        <item x="561"/>
        <item x="618"/>
        <item x="52"/>
        <item x="160"/>
        <item x="555"/>
        <item x="724"/>
        <item x="551"/>
        <item x="317"/>
        <item x="334"/>
        <item x="253"/>
        <item x="447"/>
        <item x="845"/>
        <item x="702"/>
        <item x="302"/>
        <item x="46"/>
        <item x="868"/>
        <item x="508"/>
        <item x="662"/>
        <item x="313"/>
        <item x="653"/>
        <item x="633"/>
        <item x="441"/>
        <item x="617"/>
        <item x="339"/>
        <item x="772"/>
        <item x="527"/>
        <item x="757"/>
        <item x="723"/>
        <item x="247"/>
        <item x="190"/>
        <item x="661"/>
        <item x="408"/>
        <item x="867"/>
        <item x="212"/>
        <item x="831"/>
        <item x="301"/>
        <item x="798"/>
        <item x="155"/>
        <item x="335"/>
        <item x="744"/>
        <item x="625"/>
        <item x="880"/>
        <item x="481"/>
        <item x="672"/>
        <item x="422"/>
        <item x="749"/>
        <item x="788"/>
        <item x="292"/>
        <item x="414"/>
        <item x="122"/>
        <item x="54"/>
        <item x="851"/>
        <item x="507"/>
        <item x="855"/>
        <item x="393"/>
        <item x="484"/>
        <item x="566"/>
        <item x="376"/>
        <item x="472"/>
        <item x="759"/>
        <item x="139"/>
        <item x="559"/>
        <item x="902"/>
        <item x="282"/>
        <item x="281"/>
        <item x="437"/>
        <item x="465"/>
        <item x="689"/>
        <item x="914"/>
        <item x="699"/>
        <item x="697"/>
        <item x="115"/>
        <item x="27"/>
        <item x="170"/>
        <item x="16"/>
        <item x="362"/>
        <item x="367"/>
        <item x="806"/>
        <item x="348"/>
        <item x="758"/>
        <item x="729"/>
        <item x="407"/>
        <item x="623"/>
        <item x="595"/>
        <item x="378"/>
        <item x="733"/>
        <item x="418"/>
        <item x="627"/>
        <item x="706"/>
        <item x="353"/>
        <item x="665"/>
        <item x="530"/>
        <item x="344"/>
        <item x="223"/>
        <item x="590"/>
        <item x="491"/>
        <item x="45"/>
        <item x="483"/>
        <item x="213"/>
        <item x="602"/>
        <item x="182"/>
        <item x="364"/>
        <item x="521"/>
        <item x="129"/>
        <item x="780"/>
        <item x="818"/>
        <item x="599"/>
        <item x="494"/>
        <item x="137"/>
        <item x="403"/>
        <item x="128"/>
        <item x="171"/>
        <item x="485"/>
        <item x="420"/>
        <item x="261"/>
        <item x="352"/>
        <item x="740"/>
        <item x="894"/>
        <item x="426"/>
        <item x="440"/>
        <item x="778"/>
        <item x="635"/>
        <item x="681"/>
        <item x="550"/>
        <item x="573"/>
        <item x="825"/>
        <item x="577"/>
        <item x="211"/>
        <item x="866"/>
        <item x="369"/>
        <item x="355"/>
        <item x="813"/>
        <item x="191"/>
        <item x="875"/>
        <item x="713"/>
        <item x="895"/>
        <item x="619"/>
        <item x="435"/>
        <item x="50"/>
        <item x="366"/>
        <item x="715"/>
        <item x="290"/>
        <item x="187"/>
        <item x="903"/>
        <item x="156"/>
        <item x="676"/>
        <item x="509"/>
        <item x="524"/>
        <item x="394"/>
        <item x="363"/>
        <item x="304"/>
        <item x="638"/>
        <item x="660"/>
        <item x="790"/>
        <item x="536"/>
        <item x="597"/>
        <item x="117"/>
        <item x="738"/>
        <item x="558"/>
        <item x="74"/>
        <item x="409"/>
        <item x="840"/>
        <item x="854"/>
        <item x="850"/>
        <item x="906"/>
        <item x="632"/>
        <item x="267"/>
        <item x="466"/>
        <item x="173"/>
        <item x="503"/>
        <item x="694"/>
        <item x="525"/>
        <item x="480"/>
        <item x="807"/>
        <item x="819"/>
        <item x="462"/>
        <item x="497"/>
        <item x="256"/>
        <item x="449"/>
        <item x="784"/>
        <item x="887"/>
        <item x="489"/>
        <item x="445"/>
        <item x="820"/>
        <item x="380"/>
        <item x="323"/>
        <item x="201"/>
        <item x="511"/>
        <item x="67"/>
        <item x="99"/>
        <item x="648"/>
        <item x="249"/>
        <item x="429"/>
        <item x="822"/>
        <item x="383"/>
        <item x="514"/>
        <item x="907"/>
        <item x="707"/>
        <item x="762"/>
        <item x="766"/>
        <item x="274"/>
        <item x="782"/>
        <item x="674"/>
        <item x="725"/>
        <item x="181"/>
        <item x="912"/>
        <item x="251"/>
        <item x="68"/>
        <item x="463"/>
        <item x="195"/>
        <item x="675"/>
        <item x="649"/>
        <item x="693"/>
        <item x="210"/>
        <item x="816"/>
        <item x="321"/>
        <item x="616"/>
        <item x="773"/>
        <item x="326"/>
        <item x="513"/>
        <item x="874"/>
        <item x="643"/>
        <item x="572"/>
        <item x="582"/>
        <item x="520"/>
        <item x="598"/>
        <item x="199"/>
        <item x="701"/>
        <item x="59"/>
        <item x="456"/>
        <item x="203"/>
        <item x="336"/>
        <item x="655"/>
        <item x="114"/>
        <item x="498"/>
        <item x="537"/>
        <item x="453"/>
        <item x="642"/>
        <item x="742"/>
        <item x="585"/>
        <item x="502"/>
        <item x="900"/>
        <item x="244"/>
        <item x="515"/>
        <item x="669"/>
        <item x="808"/>
        <item x="258"/>
        <item x="522"/>
        <item x="666"/>
        <item x="143"/>
        <item x="686"/>
        <item x="747"/>
        <item x="389"/>
        <item x="84"/>
        <item x="745"/>
        <item x="324"/>
        <item x="794"/>
        <item x="714"/>
        <item x="119"/>
        <item x="885"/>
        <item x="687"/>
        <item x="236"/>
        <item x="750"/>
        <item x="879"/>
        <item x="179"/>
        <item x="419"/>
        <item x="728"/>
        <item x="832"/>
        <item x="717"/>
        <item x="890"/>
        <item x="413"/>
        <item x="696"/>
        <item x="499"/>
        <item x="272"/>
        <item x="594"/>
        <item x="286"/>
        <item x="891"/>
        <item x="111"/>
        <item x="812"/>
        <item x="337"/>
        <item x="593"/>
        <item x="913"/>
        <item x="220"/>
        <item x="748"/>
        <item x="315"/>
        <item x="118"/>
        <item x="26"/>
        <item x="517"/>
        <item x="770"/>
        <item x="809"/>
        <item x="628"/>
        <item x="892"/>
        <item x="298"/>
        <item x="771"/>
        <item x="889"/>
        <item x="562"/>
        <item x="144"/>
        <item x="398"/>
        <item x="542"/>
        <item x="320"/>
        <item x="177"/>
        <item x="277"/>
        <item x="579"/>
        <item x="793"/>
        <item x="89"/>
        <item x="372"/>
        <item x="622"/>
        <item x="464"/>
        <item x="263"/>
        <item x="516"/>
        <item x="329"/>
        <item x="495"/>
        <item x="22"/>
        <item x="842"/>
        <item x="101"/>
        <item x="575"/>
        <item x="682"/>
        <item x="688"/>
        <item x="80"/>
        <item x="164"/>
        <item x="834"/>
        <item x="626"/>
        <item x="703"/>
        <item x="651"/>
        <item x="328"/>
        <item x="726"/>
        <item x="528"/>
        <item x="238"/>
        <item x="650"/>
        <item x="245"/>
        <item x="797"/>
        <item x="614"/>
        <item x="319"/>
        <item x="856"/>
        <item x="578"/>
        <item x="581"/>
        <item x="673"/>
        <item x="505"/>
        <item x="93"/>
        <item x="802"/>
        <item x="711"/>
        <item x="239"/>
        <item x="695"/>
        <item x="563"/>
        <item x="548"/>
        <item x="760"/>
        <item x="439"/>
        <item x="843"/>
        <item x="424"/>
        <item x="678"/>
        <item x="775"/>
        <item x="432"/>
        <item x="64"/>
        <item x="30"/>
        <item x="904"/>
        <item x="167"/>
        <item x="325"/>
        <item x="113"/>
        <item x="492"/>
        <item x="607"/>
        <item x="345"/>
        <item x="252"/>
        <item x="71"/>
        <item x="240"/>
        <item x="741"/>
        <item x="732"/>
        <item x="523"/>
        <item x="718"/>
        <item x="85"/>
        <item x="476"/>
        <item x="568"/>
        <item x="42"/>
        <item x="789"/>
        <item x="186"/>
        <item x="823"/>
        <item x="180"/>
        <item x="835"/>
        <item x="134"/>
        <item x="839"/>
        <item x="838"/>
        <item x="640"/>
        <item x="645"/>
        <item x="311"/>
        <item x="543"/>
        <item x="172"/>
        <item x="243"/>
        <item x="500"/>
        <item x="730"/>
        <item x="444"/>
        <item x="805"/>
        <item x="359"/>
        <item x="450"/>
        <item x="98"/>
        <item x="768"/>
        <item x="779"/>
        <item x="720"/>
        <item x="535"/>
        <item x="306"/>
        <item x="338"/>
        <item x="3"/>
        <item x="870"/>
        <item x="207"/>
        <item x="188"/>
        <item x="154"/>
        <item x="846"/>
        <item x="637"/>
        <item x="259"/>
        <item x="869"/>
        <item x="232"/>
        <item x="275"/>
        <item x="493"/>
        <item x="774"/>
        <item x="899"/>
        <item x="209"/>
        <item x="785"/>
        <item x="821"/>
        <item x="368"/>
        <item x="104"/>
        <item x="140"/>
        <item x="872"/>
        <item x="827"/>
        <item x="346"/>
        <item x="664"/>
        <item x="24"/>
        <item x="865"/>
        <item x="69"/>
        <item x="349"/>
        <item x="112"/>
        <item x="299"/>
        <item x="526"/>
        <item x="428"/>
        <item x="532"/>
        <item x="883"/>
        <item x="534"/>
        <item x="65"/>
        <item x="270"/>
        <item x="692"/>
        <item x="795"/>
        <item x="712"/>
        <item x="361"/>
        <item x="341"/>
        <item x="287"/>
        <item x="63"/>
        <item x="473"/>
        <item x="467"/>
        <item x="776"/>
        <item x="671"/>
        <item x="405"/>
        <item x="430"/>
        <item x="565"/>
        <item x="735"/>
        <item x="204"/>
        <item x="102"/>
        <item x="830"/>
        <item x="260"/>
        <item x="828"/>
        <item x="781"/>
        <item x="427"/>
        <item x="506"/>
        <item x="354"/>
        <item x="719"/>
        <item x="107"/>
        <item x="316"/>
        <item x="423"/>
        <item x="576"/>
        <item x="496"/>
        <item x="596"/>
        <item x="185"/>
        <item x="754"/>
        <item x="796"/>
        <item x="417"/>
        <item x="705"/>
        <item x="452"/>
        <item x="242"/>
        <item x="533"/>
        <item x="11"/>
        <item x="279"/>
        <item x="266"/>
        <item x="206"/>
        <item x="194"/>
        <item x="580"/>
        <item x="146"/>
        <item x="877"/>
        <item x="553"/>
        <item x="31"/>
        <item x="606"/>
        <item x="539"/>
        <item x="743"/>
        <item x="174"/>
        <item x="468"/>
        <item x="377"/>
        <item x="858"/>
        <item x="764"/>
        <item x="106"/>
        <item x="704"/>
        <item x="756"/>
        <item x="763"/>
        <item x="148"/>
        <item x="886"/>
        <item x="722"/>
        <item x="470"/>
        <item x="501"/>
        <item x="803"/>
        <item x="330"/>
        <item x="130"/>
        <item x="442"/>
        <item x="751"/>
        <item x="412"/>
        <item x="318"/>
        <item x="841"/>
        <item x="552"/>
        <item x="881"/>
        <item x="433"/>
        <item x="571"/>
        <item x="810"/>
        <item x="746"/>
        <item x="680"/>
        <item x="709"/>
        <item x="264"/>
        <item x="787"/>
        <item x="736"/>
        <item x="529"/>
        <item x="399"/>
        <item x="81"/>
        <item x="659"/>
        <item x="836"/>
        <item x="708"/>
        <item x="76"/>
        <item x="471"/>
        <item x="710"/>
        <item x="815"/>
        <item x="192"/>
        <item x="406"/>
        <item x="658"/>
        <item x="910"/>
        <item x="297"/>
        <item x="229"/>
        <item x="896"/>
        <item x="897"/>
        <item x="443"/>
        <item x="458"/>
        <item x="583"/>
        <item x="202"/>
        <item x="844"/>
        <item x="863"/>
        <item x="871"/>
        <item x="734"/>
        <item x="698"/>
        <item x="375"/>
        <item x="731"/>
        <item x="347"/>
        <item x="700"/>
        <item x="739"/>
        <item x="234"/>
        <item x="425"/>
        <item x="584"/>
        <item x="860"/>
        <item x="873"/>
        <item x="848"/>
        <item x="753"/>
        <item x="296"/>
        <item x="512"/>
        <item x="608"/>
        <item x="804"/>
        <item x="486"/>
        <item x="340"/>
        <item x="620"/>
        <item x="641"/>
        <item x="541"/>
        <item x="314"/>
        <item x="604"/>
        <item x="438"/>
        <item x="153"/>
        <item x="613"/>
        <item x="853"/>
        <item x="32"/>
        <item x="769"/>
        <item x="250"/>
        <item x="434"/>
        <item x="126"/>
        <item x="567"/>
        <item x="683"/>
        <item x="861"/>
        <item x="852"/>
        <item x="679"/>
        <item x="226"/>
        <item x="601"/>
        <item x="587"/>
        <item x="219"/>
        <item x="482"/>
        <item x="586"/>
        <item x="370"/>
        <item x="454"/>
        <item x="901"/>
        <item x="691"/>
        <item x="158"/>
        <item x="792"/>
        <item x="271"/>
        <item x="657"/>
        <item x="829"/>
        <item x="652"/>
        <item x="168"/>
        <item x="847"/>
        <item x="603"/>
        <item x="631"/>
        <item x="862"/>
        <item x="161"/>
        <item x="371"/>
        <item x="909"/>
        <item x="752"/>
        <item x="647"/>
        <item x="611"/>
        <item x="783"/>
        <item x="474"/>
        <item x="884"/>
        <item x="574"/>
        <item x="183"/>
        <item x="254"/>
        <item x="898"/>
        <item x="893"/>
        <item x="9"/>
        <item x="105"/>
        <item x="343"/>
        <item x="200"/>
        <item x="801"/>
        <item x="165"/>
        <item x="644"/>
        <item x="570"/>
        <item x="365"/>
        <item x="233"/>
        <item x="175"/>
        <item x="518"/>
        <item x="293"/>
        <item x="373"/>
        <item x="777"/>
        <item x="421"/>
        <item x="461"/>
        <item x="477"/>
        <item x="876"/>
        <item x="800"/>
        <item x="510"/>
        <item x="332"/>
        <item x="459"/>
        <item x="268"/>
        <item x="908"/>
        <item x="396"/>
        <item x="215"/>
        <item x="685"/>
        <item x="41"/>
        <item x="654"/>
        <item x="882"/>
        <item x="737"/>
        <item x="727"/>
        <item x="621"/>
        <item x="814"/>
        <item x="668"/>
        <item x="824"/>
        <item x="415"/>
        <item x="136"/>
        <item x="108"/>
        <item x="629"/>
        <item x="557"/>
        <item x="761"/>
        <item x="151"/>
        <item x="184"/>
        <item x="75"/>
        <item x="605"/>
        <item x="14"/>
        <item x="636"/>
        <item x="310"/>
        <item x="546"/>
        <item x="67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items count="409">
        <item x="1"/>
        <item x="0"/>
        <item x="11"/>
        <item x="39"/>
        <item x="16"/>
        <item x="21"/>
        <item x="48"/>
        <item x="26"/>
        <item x="5"/>
        <item x="13"/>
        <item x="17"/>
        <item x="7"/>
        <item x="23"/>
        <item x="38"/>
        <item x="52"/>
        <item x="75"/>
        <item x="36"/>
        <item x="28"/>
        <item x="3"/>
        <item x="130"/>
        <item x="31"/>
        <item x="59"/>
        <item x="97"/>
        <item x="57"/>
        <item x="133"/>
        <item x="25"/>
        <item x="88"/>
        <item x="43"/>
        <item x="27"/>
        <item x="149"/>
        <item x="167"/>
        <item x="37"/>
        <item x="77"/>
        <item x="124"/>
        <item x="168"/>
        <item x="30"/>
        <item x="14"/>
        <item x="299"/>
        <item x="60"/>
        <item x="33"/>
        <item x="165"/>
        <item x="265"/>
        <item x="34"/>
        <item x="61"/>
        <item x="87"/>
        <item x="73"/>
        <item x="78"/>
        <item x="4"/>
        <item x="175"/>
        <item x="298"/>
        <item x="94"/>
        <item x="182"/>
        <item x="100"/>
        <item x="46"/>
        <item x="82"/>
        <item x="18"/>
        <item x="288"/>
        <item x="42"/>
        <item x="181"/>
        <item x="213"/>
        <item x="206"/>
        <item x="98"/>
        <item x="111"/>
        <item x="15"/>
        <item x="116"/>
        <item x="19"/>
        <item x="54"/>
        <item x="76"/>
        <item x="24"/>
        <item x="179"/>
        <item x="188"/>
        <item x="166"/>
        <item x="279"/>
        <item x="114"/>
        <item x="6"/>
        <item x="53"/>
        <item x="146"/>
        <item x="104"/>
        <item x="117"/>
        <item x="20"/>
        <item x="91"/>
        <item x="58"/>
        <item x="107"/>
        <item x="118"/>
        <item x="204"/>
        <item x="234"/>
        <item x="240"/>
        <item x="51"/>
        <item x="128"/>
        <item x="178"/>
        <item x="150"/>
        <item x="171"/>
        <item x="96"/>
        <item x="103"/>
        <item x="155"/>
        <item x="195"/>
        <item x="56"/>
        <item x="211"/>
        <item x="2"/>
        <item x="121"/>
        <item x="173"/>
        <item x="69"/>
        <item x="197"/>
        <item x="45"/>
        <item x="285"/>
        <item x="221"/>
        <item x="164"/>
        <item x="295"/>
        <item x="136"/>
        <item x="99"/>
        <item x="253"/>
        <item x="194"/>
        <item x="92"/>
        <item x="95"/>
        <item x="201"/>
        <item x="65"/>
        <item x="209"/>
        <item x="138"/>
        <item x="169"/>
        <item x="217"/>
        <item x="363"/>
        <item x="389"/>
        <item x="10"/>
        <item x="310"/>
        <item x="283"/>
        <item x="320"/>
        <item x="32"/>
        <item x="241"/>
        <item x="134"/>
        <item x="239"/>
        <item x="403"/>
        <item x="370"/>
        <item x="79"/>
        <item x="229"/>
        <item x="135"/>
        <item x="189"/>
        <item x="289"/>
        <item x="196"/>
        <item x="22"/>
        <item x="278"/>
        <item x="329"/>
        <item x="106"/>
        <item x="187"/>
        <item x="172"/>
        <item x="325"/>
        <item x="358"/>
        <item x="101"/>
        <item x="161"/>
        <item x="337"/>
        <item x="153"/>
        <item x="348"/>
        <item x="324"/>
        <item x="232"/>
        <item x="123"/>
        <item x="391"/>
        <item x="317"/>
        <item x="259"/>
        <item x="343"/>
        <item x="250"/>
        <item x="251"/>
        <item x="62"/>
        <item x="205"/>
        <item x="74"/>
        <item x="281"/>
        <item x="207"/>
        <item x="362"/>
        <item x="44"/>
        <item x="383"/>
        <item x="180"/>
        <item x="184"/>
        <item x="384"/>
        <item x="275"/>
        <item x="385"/>
        <item x="366"/>
        <item x="9"/>
        <item x="255"/>
        <item x="120"/>
        <item x="374"/>
        <item x="119"/>
        <item x="193"/>
        <item x="127"/>
        <item x="264"/>
        <item x="316"/>
        <item x="157"/>
        <item x="220"/>
        <item x="372"/>
        <item x="85"/>
        <item x="258"/>
        <item x="147"/>
        <item x="67"/>
        <item x="267"/>
        <item x="373"/>
        <item x="256"/>
        <item x="113"/>
        <item x="378"/>
        <item x="132"/>
        <item x="291"/>
        <item x="115"/>
        <item x="219"/>
        <item x="368"/>
        <item x="270"/>
        <item x="84"/>
        <item x="340"/>
        <item x="233"/>
        <item x="382"/>
        <item x="296"/>
        <item x="160"/>
        <item x="93"/>
        <item x="163"/>
        <item x="307"/>
        <item x="269"/>
        <item x="247"/>
        <item x="162"/>
        <item x="198"/>
        <item x="109"/>
        <item x="302"/>
        <item x="327"/>
        <item x="176"/>
        <item x="290"/>
        <item x="183"/>
        <item x="8"/>
        <item x="334"/>
        <item x="199"/>
        <item x="396"/>
        <item x="406"/>
        <item x="41"/>
        <item x="110"/>
        <item x="345"/>
        <item x="314"/>
        <item x="318"/>
        <item x="286"/>
        <item x="64"/>
        <item x="47"/>
        <item x="308"/>
        <item x="357"/>
        <item x="80"/>
        <item x="333"/>
        <item x="294"/>
        <item x="68"/>
        <item x="292"/>
        <item x="177"/>
        <item x="268"/>
        <item x="287"/>
        <item x="191"/>
        <item x="170"/>
        <item x="260"/>
        <item x="203"/>
        <item x="404"/>
        <item x="379"/>
        <item x="395"/>
        <item x="249"/>
        <item x="89"/>
        <item x="143"/>
        <item x="336"/>
        <item x="72"/>
        <item x="344"/>
        <item x="151"/>
        <item x="326"/>
        <item x="381"/>
        <item x="225"/>
        <item x="235"/>
        <item x="387"/>
        <item x="210"/>
        <item x="40"/>
        <item x="190"/>
        <item x="125"/>
        <item x="71"/>
        <item x="407"/>
        <item x="216"/>
        <item x="139"/>
        <item x="300"/>
        <item x="242"/>
        <item x="226"/>
        <item x="350"/>
        <item x="86"/>
        <item x="349"/>
        <item x="398"/>
        <item x="330"/>
        <item x="185"/>
        <item x="137"/>
        <item x="222"/>
        <item x="208"/>
        <item x="141"/>
        <item x="230"/>
        <item x="380"/>
        <item x="248"/>
        <item x="359"/>
        <item x="112"/>
        <item x="262"/>
        <item x="254"/>
        <item x="276"/>
        <item x="144"/>
        <item x="152"/>
        <item x="352"/>
        <item x="223"/>
        <item x="105"/>
        <item x="355"/>
        <item x="202"/>
        <item x="192"/>
        <item x="323"/>
        <item x="122"/>
        <item x="261"/>
        <item x="274"/>
        <item x="303"/>
        <item x="360"/>
        <item x="305"/>
        <item x="282"/>
        <item x="356"/>
        <item x="214"/>
        <item x="392"/>
        <item x="126"/>
        <item x="246"/>
        <item x="145"/>
        <item x="228"/>
        <item x="312"/>
        <item x="335"/>
        <item x="55"/>
        <item x="321"/>
        <item x="386"/>
        <item x="140"/>
        <item x="376"/>
        <item x="338"/>
        <item x="369"/>
        <item x="346"/>
        <item x="148"/>
        <item x="399"/>
        <item x="331"/>
        <item x="351"/>
        <item x="271"/>
        <item x="244"/>
        <item x="63"/>
        <item x="131"/>
        <item x="400"/>
        <item x="200"/>
        <item x="35"/>
        <item x="49"/>
        <item x="158"/>
        <item x="236"/>
        <item x="257"/>
        <item x="237"/>
        <item x="332"/>
        <item x="375"/>
        <item x="252"/>
        <item x="322"/>
        <item x="154"/>
        <item x="367"/>
        <item x="224"/>
        <item x="371"/>
        <item x="353"/>
        <item x="243"/>
        <item x="342"/>
        <item x="365"/>
        <item x="309"/>
        <item x="388"/>
        <item x="83"/>
        <item x="174"/>
        <item x="397"/>
        <item x="390"/>
        <item x="311"/>
        <item x="129"/>
        <item x="393"/>
        <item x="361"/>
        <item x="272"/>
        <item x="231"/>
        <item x="339"/>
        <item x="218"/>
        <item x="142"/>
        <item x="401"/>
        <item x="280"/>
        <item x="328"/>
        <item x="394"/>
        <item x="263"/>
        <item x="354"/>
        <item x="315"/>
        <item x="66"/>
        <item x="245"/>
        <item x="186"/>
        <item x="156"/>
        <item x="102"/>
        <item x="212"/>
        <item x="402"/>
        <item x="277"/>
        <item x="364"/>
        <item x="90"/>
        <item x="273"/>
        <item x="12"/>
        <item x="319"/>
        <item x="341"/>
        <item x="377"/>
        <item x="215"/>
        <item x="304"/>
        <item x="29"/>
        <item x="227"/>
        <item x="70"/>
        <item x="108"/>
        <item x="159"/>
        <item x="81"/>
        <item x="306"/>
        <item x="284"/>
        <item x="266"/>
        <item x="50"/>
        <item x="347"/>
        <item x="313"/>
        <item x="238"/>
        <item x="405"/>
        <item x="293"/>
        <item x="297"/>
        <item x="301"/>
        <item t="default"/>
      </items>
    </pivotField>
    <pivotField showAll="0"/>
    <pivotField showAll="0"/>
    <pivotField showAll="0"/>
    <pivotField axis="axisCol" showAll="0">
      <items count="15">
        <item x="0"/>
        <item x="1"/>
        <item x="2"/>
        <item x="3"/>
        <item x="4"/>
        <item x="5"/>
        <item x="6"/>
        <item x="7"/>
        <item x="8"/>
        <item x="9"/>
        <item x="10"/>
        <item x="11"/>
        <item x="12"/>
        <item x="13"/>
        <item t="default"/>
      </items>
    </pivotField>
    <pivotField showAll="0"/>
    <pivotField showAll="0">
      <items count="6">
        <item h="1" x="0"/>
        <item h="1" x="1"/>
        <item h="1" x="2"/>
        <item x="3"/>
        <item h="1" x="4"/>
        <item t="default"/>
      </items>
    </pivotField>
  </pivotFields>
  <rowFields count="1">
    <field x="0"/>
  </rowFields>
  <rowItems count="4">
    <i>
      <x/>
    </i>
    <i>
      <x v="1"/>
    </i>
    <i>
      <x v="2"/>
    </i>
    <i t="grand">
      <x/>
    </i>
  </rowItems>
  <colFields count="1">
    <field x="21"/>
  </colFields>
  <colItems count="12">
    <i>
      <x v="1"/>
    </i>
    <i>
      <x v="2"/>
    </i>
    <i>
      <x v="3"/>
    </i>
    <i>
      <x v="4"/>
    </i>
    <i>
      <x v="5"/>
    </i>
    <i>
      <x v="6"/>
    </i>
    <i>
      <x v="7"/>
    </i>
    <i>
      <x v="8"/>
    </i>
    <i>
      <x v="9"/>
    </i>
    <i>
      <x v="10"/>
    </i>
    <i>
      <x v="11"/>
    </i>
    <i>
      <x v="12"/>
    </i>
  </colItems>
  <dataFields count="1">
    <dataField name="Sum of Outcome Vaccinated" fld="1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A62FEAA-4B3F-4D74-9365-6BB5E3845867}" name="PivotTable1"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6">
  <location ref="A2:C15"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h="1" x="8"/>
        <item h="1" x="4"/>
        <item x="3"/>
        <item h="1" x="5"/>
        <item h="1" x="2"/>
        <item h="1" x="1"/>
        <item h="1" x="7"/>
        <item h="1" x="6"/>
        <item h="1" x="0"/>
        <item t="default"/>
      </items>
    </pivotField>
    <pivotField showAll="0"/>
    <pivotField showAll="0"/>
    <pivotField showAll="0"/>
    <pivotField showAll="0"/>
    <pivotField showAll="0"/>
    <pivotField showAll="0"/>
    <pivotField showAll="0"/>
    <pivotField showAll="0"/>
    <pivotField showAll="0"/>
    <pivotField showAll="0"/>
    <pivotField dataField="1" showAll="0">
      <items count="1089">
        <item x="45"/>
        <item x="1056"/>
        <item x="189"/>
        <item x="812"/>
        <item x="648"/>
        <item x="518"/>
        <item x="89"/>
        <item x="537"/>
        <item x="1055"/>
        <item x="384"/>
        <item x="904"/>
        <item x="495"/>
        <item x="448"/>
        <item x="566"/>
        <item x="585"/>
        <item x="521"/>
        <item x="880"/>
        <item x="473"/>
        <item x="200"/>
        <item x="833"/>
        <item x="758"/>
        <item x="102"/>
        <item x="1078"/>
        <item x="492"/>
        <item x="332"/>
        <item x="141"/>
        <item x="1007"/>
        <item x="852"/>
        <item x="98"/>
        <item x="879"/>
        <item x="1029"/>
        <item x="659"/>
        <item x="1020"/>
        <item x="704"/>
        <item x="150"/>
        <item x="508"/>
        <item x="500"/>
        <item x="417"/>
        <item x="551"/>
        <item x="326"/>
        <item x="919"/>
        <item x="49"/>
        <item x="907"/>
        <item x="845"/>
        <item x="348"/>
        <item x="429"/>
        <item x="862"/>
        <item x="330"/>
        <item x="309"/>
        <item x="816"/>
        <item x="840"/>
        <item x="242"/>
        <item x="1063"/>
        <item x="388"/>
        <item x="774"/>
        <item x="340"/>
        <item x="125"/>
        <item x="606"/>
        <item x="626"/>
        <item x="215"/>
        <item x="185"/>
        <item x="377"/>
        <item x="957"/>
        <item x="32"/>
        <item x="681"/>
        <item x="868"/>
        <item x="994"/>
        <item x="112"/>
        <item x="1001"/>
        <item x="559"/>
        <item x="947"/>
        <item x="158"/>
        <item x="776"/>
        <item x="143"/>
        <item x="266"/>
        <item x="814"/>
        <item x="944"/>
        <item x="539"/>
        <item x="790"/>
        <item x="987"/>
        <item x="399"/>
        <item x="293"/>
        <item x="938"/>
        <item x="707"/>
        <item x="352"/>
        <item x="1039"/>
        <item x="522"/>
        <item x="515"/>
        <item x="58"/>
        <item x="228"/>
        <item x="661"/>
        <item x="178"/>
        <item x="227"/>
        <item x="836"/>
        <item x="488"/>
        <item x="370"/>
        <item x="490"/>
        <item x="273"/>
        <item x="338"/>
        <item x="313"/>
        <item x="256"/>
        <item x="264"/>
        <item x="193"/>
        <item x="464"/>
        <item x="353"/>
        <item x="747"/>
        <item x="131"/>
        <item x="74"/>
        <item x="453"/>
        <item x="854"/>
        <item x="874"/>
        <item x="723"/>
        <item x="355"/>
        <item x="711"/>
        <item x="906"/>
        <item x="717"/>
        <item x="148"/>
        <item x="386"/>
        <item x="737"/>
        <item x="54"/>
        <item x="739"/>
        <item x="689"/>
        <item x="710"/>
        <item x="88"/>
        <item x="796"/>
        <item x="548"/>
        <item x="1086"/>
        <item x="988"/>
        <item x="289"/>
        <item x="240"/>
        <item x="532"/>
        <item x="298"/>
        <item x="672"/>
        <item x="244"/>
        <item x="756"/>
        <item x="867"/>
        <item x="670"/>
        <item x="325"/>
        <item x="216"/>
        <item x="925"/>
        <item x="827"/>
        <item x="9"/>
        <item x="203"/>
        <item x="162"/>
        <item x="1003"/>
        <item x="368"/>
        <item x="991"/>
        <item x="632"/>
        <item x="209"/>
        <item x="504"/>
        <item x="204"/>
        <item x="252"/>
        <item x="873"/>
        <item x="1058"/>
        <item x="962"/>
        <item x="38"/>
        <item x="984"/>
        <item x="733"/>
        <item x="225"/>
        <item x="1035"/>
        <item x="447"/>
        <item x="284"/>
        <item x="652"/>
        <item x="801"/>
        <item x="56"/>
        <item x="843"/>
        <item x="1081"/>
        <item x="65"/>
        <item x="64"/>
        <item x="677"/>
        <item x="750"/>
        <item x="454"/>
        <item x="829"/>
        <item x="239"/>
        <item x="238"/>
        <item x="275"/>
        <item x="438"/>
        <item x="857"/>
        <item x="992"/>
        <item x="864"/>
        <item x="12"/>
        <item x="344"/>
        <item x="676"/>
        <item x="83"/>
        <item x="95"/>
        <item x="157"/>
        <item x="53"/>
        <item x="545"/>
        <item x="580"/>
        <item x="247"/>
        <item x="792"/>
        <item x="664"/>
        <item x="165"/>
        <item x="1031"/>
        <item x="439"/>
        <item x="679"/>
        <item x="281"/>
        <item x="72"/>
        <item x="720"/>
        <item x="607"/>
        <item x="327"/>
        <item x="180"/>
        <item x="93"/>
        <item x="972"/>
        <item x="807"/>
        <item x="456"/>
        <item x="861"/>
        <item x="527"/>
        <item x="509"/>
        <item x="82"/>
        <item x="480"/>
        <item x="126"/>
        <item x="383"/>
        <item x="665"/>
        <item x="69"/>
        <item x="917"/>
        <item x="194"/>
        <item x="306"/>
        <item x="834"/>
        <item x="732"/>
        <item x="956"/>
        <item x="442"/>
        <item x="903"/>
        <item x="25"/>
        <item x="224"/>
        <item x="198"/>
        <item x="738"/>
        <item x="575"/>
        <item x="1"/>
        <item x="933"/>
        <item x="1021"/>
        <item x="921"/>
        <item x="937"/>
        <item x="968"/>
        <item x="590"/>
        <item x="698"/>
        <item x="570"/>
        <item x="939"/>
        <item x="624"/>
        <item x="716"/>
        <item x="999"/>
        <item x="828"/>
        <item x="558"/>
        <item x="971"/>
        <item x="170"/>
        <item x="219"/>
        <item x="806"/>
        <item x="565"/>
        <item x="303"/>
        <item x="787"/>
        <item x="299"/>
        <item x="949"/>
        <item x="1049"/>
        <item x="449"/>
        <item x="601"/>
        <item x="427"/>
        <item x="378"/>
        <item x="451"/>
        <item x="592"/>
        <item x="51"/>
        <item x="137"/>
        <item x="1041"/>
        <item x="395"/>
        <item x="1008"/>
        <item x="819"/>
        <item x="251"/>
        <item x="286"/>
        <item x="662"/>
        <item x="667"/>
        <item x="278"/>
        <item x="789"/>
        <item x="740"/>
        <item x="269"/>
        <item x="1042"/>
        <item x="795"/>
        <item x="822"/>
        <item x="440"/>
        <item x="997"/>
        <item x="617"/>
        <item x="793"/>
        <item x="547"/>
        <item x="623"/>
        <item x="693"/>
        <item x="899"/>
        <item x="35"/>
        <item x="76"/>
        <item x="650"/>
        <item x="748"/>
        <item x="966"/>
        <item x="893"/>
        <item x="940"/>
        <item x="726"/>
        <item x="129"/>
        <item x="1050"/>
        <item x="916"/>
        <item x="885"/>
        <item x="628"/>
        <item x="103"/>
        <item x="1076"/>
        <item x="31"/>
        <item x="553"/>
        <item x="714"/>
        <item x="875"/>
        <item x="502"/>
        <item x="421"/>
        <item x="57"/>
        <item x="152"/>
        <item x="561"/>
        <item x="485"/>
        <item x="743"/>
        <item x="709"/>
        <item x="55"/>
        <item x="564"/>
        <item x="826"/>
        <item x="699"/>
        <item x="941"/>
        <item x="574"/>
        <item x="837"/>
        <item x="452"/>
        <item x="365"/>
        <item x="931"/>
        <item x="413"/>
        <item x="1028"/>
        <item x="511"/>
        <item x="721"/>
        <item x="392"/>
        <item x="1059"/>
        <item x="1016"/>
        <item x="876"/>
        <item x="130"/>
        <item x="951"/>
        <item x="1009"/>
        <item x="261"/>
        <item x="986"/>
        <item x="67"/>
        <item x="788"/>
        <item x="736"/>
        <item x="36"/>
        <item x="636"/>
        <item x="268"/>
        <item x="674"/>
        <item x="621"/>
        <item x="757"/>
        <item x="367"/>
        <item x="184"/>
        <item x="742"/>
        <item x="231"/>
        <item x="15"/>
        <item x="593"/>
        <item x="341"/>
        <item x="391"/>
        <item x="46"/>
        <item x="573"/>
        <item x="21"/>
        <item x="400"/>
        <item x="965"/>
        <item x="146"/>
        <item x="675"/>
        <item x="889"/>
        <item x="322"/>
        <item x="210"/>
        <item x="1075"/>
        <item x="808"/>
        <item x="86"/>
        <item x="600"/>
        <item x="171"/>
        <item x="514"/>
        <item x="101"/>
        <item x="646"/>
        <item x="235"/>
        <item x="643"/>
        <item x="496"/>
        <item x="20"/>
        <item x="276"/>
        <item x="1073"/>
        <item x="520"/>
        <item x="936"/>
        <item x="556"/>
        <item x="258"/>
        <item x="323"/>
        <item x="687"/>
        <item x="525"/>
        <item x="483"/>
        <item x="890"/>
        <item x="113"/>
        <item x="728"/>
        <item x="772"/>
        <item x="426"/>
        <item x="467"/>
        <item x="694"/>
        <item x="333"/>
        <item x="343"/>
        <item x="1006"/>
        <item x="253"/>
        <item x="1087"/>
        <item x="430"/>
        <item x="528"/>
        <item x="950"/>
        <item x="437"/>
        <item x="206"/>
        <item x="91"/>
        <item x="1045"/>
        <item x="154"/>
        <item x="328"/>
        <item x="902"/>
        <item x="980"/>
        <item x="821"/>
        <item x="43"/>
        <item x="775"/>
        <item x="1044"/>
        <item x="120"/>
        <item x="785"/>
        <item x="1011"/>
        <item x="295"/>
        <item x="121"/>
        <item x="160"/>
        <item x="700"/>
        <item x="878"/>
        <item x="802"/>
        <item x="1071"/>
        <item x="708"/>
        <item x="41"/>
        <item x="424"/>
        <item x="1038"/>
        <item x="62"/>
        <item x="484"/>
        <item x="470"/>
        <item x="335"/>
        <item x="773"/>
        <item x="546"/>
        <item x="394"/>
        <item x="444"/>
        <item x="948"/>
        <item x="13"/>
        <item x="362"/>
        <item x="765"/>
        <item x="658"/>
        <item x="475"/>
        <item x="498"/>
        <item x="543"/>
        <item x="18"/>
        <item x="262"/>
        <item x="842"/>
        <item x="122"/>
        <item x="1015"/>
        <item x="671"/>
        <item x="168"/>
        <item x="296"/>
        <item x="301"/>
        <item x="310"/>
        <item x="1067"/>
        <item x="140"/>
        <item x="294"/>
        <item x="288"/>
        <item x="419"/>
        <item x="706"/>
        <item x="760"/>
        <item x="955"/>
        <item x="1065"/>
        <item x="237"/>
        <item x="188"/>
        <item x="690"/>
        <item x="40"/>
        <item x="596"/>
        <item x="572"/>
        <item x="638"/>
        <item x="458"/>
        <item x="587"/>
        <item x="703"/>
        <item x="68"/>
        <item x="176"/>
        <item x="431"/>
        <item x="990"/>
        <item x="913"/>
        <item x="23"/>
        <item x="846"/>
        <item x="666"/>
        <item x="90"/>
        <item x="691"/>
        <item x="211"/>
        <item x="1000"/>
        <item x="853"/>
        <item x="961"/>
        <item x="869"/>
        <item x="324"/>
        <item x="249"/>
        <item x="973"/>
        <item x="892"/>
        <item x="22"/>
        <item x="1013"/>
        <item x="859"/>
        <item x="599"/>
        <item x="901"/>
        <item x="924"/>
        <item x="462"/>
        <item x="494"/>
        <item x="5"/>
        <item x="660"/>
        <item x="389"/>
        <item x="824"/>
        <item x="839"/>
        <item x="380"/>
        <item x="223"/>
        <item x="491"/>
        <item x="713"/>
        <item x="402"/>
        <item x="1027"/>
        <item x="567"/>
        <item x="1023"/>
        <item x="883"/>
        <item x="655"/>
        <item x="114"/>
        <item x="603"/>
        <item x="87"/>
        <item x="998"/>
        <item x="291"/>
        <item x="523"/>
        <item x="260"/>
        <item x="499"/>
        <item x="1060"/>
        <item x="396"/>
        <item x="715"/>
        <item x="272"/>
        <item x="604"/>
        <item x="639"/>
        <item x="267"/>
        <item x="882"/>
        <item x="620"/>
        <item x="1002"/>
        <item x="533"/>
        <item x="1072"/>
        <item x="909"/>
        <item x="535"/>
        <item x="411"/>
        <item x="634"/>
        <item x="96"/>
        <item x="487"/>
        <item x="530"/>
        <item x="270"/>
        <item x="641"/>
        <item x="75"/>
        <item x="734"/>
        <item x="195"/>
        <item x="314"/>
        <item x="963"/>
        <item x="1082"/>
        <item x="764"/>
        <item x="436"/>
        <item x="214"/>
        <item x="1036"/>
        <item x="1014"/>
        <item x="489"/>
        <item x="321"/>
        <item x="993"/>
        <item x="1054"/>
        <item x="778"/>
        <item x="977"/>
        <item x="245"/>
        <item x="568"/>
        <item x="763"/>
        <item x="163"/>
        <item x="744"/>
        <item x="983"/>
        <item x="722"/>
        <item x="403"/>
        <item x="317"/>
        <item x="544"/>
        <item x="124"/>
        <item x="412"/>
        <item x="1084"/>
        <item x="320"/>
        <item x="1005"/>
        <item x="510"/>
        <item x="870"/>
        <item x="331"/>
        <item x="1083"/>
        <item x="554"/>
        <item x="850"/>
        <item x="555"/>
        <item x="149"/>
        <item x="373"/>
        <item x="420"/>
        <item x="382"/>
        <item x="47"/>
        <item x="285"/>
        <item x="731"/>
        <item x="443"/>
        <item x="945"/>
        <item x="746"/>
        <item x="630"/>
        <item x="408"/>
        <item x="718"/>
        <item x="469"/>
        <item x="577"/>
        <item x="26"/>
        <item x="265"/>
        <item x="182"/>
        <item x="505"/>
        <item x="42"/>
        <item x="838"/>
        <item x="277"/>
        <item x="927"/>
        <item x="697"/>
        <item x="526"/>
        <item x="960"/>
        <item x="858"/>
        <item x="831"/>
        <item x="549"/>
        <item x="144"/>
        <item x="361"/>
        <item x="85"/>
        <item x="461"/>
        <item x="229"/>
        <item x="583"/>
        <item x="935"/>
        <item x="761"/>
        <item x="905"/>
        <item x="243"/>
        <item x="749"/>
        <item x="416"/>
        <item x="982"/>
        <item x="213"/>
        <item x="1047"/>
        <item x="615"/>
        <item x="346"/>
        <item x="1066"/>
        <item x="212"/>
        <item x="865"/>
        <item x="197"/>
        <item x="529"/>
        <item x="1052"/>
        <item x="673"/>
        <item x="597"/>
        <item x="366"/>
        <item x="363"/>
        <item x="450"/>
        <item x="312"/>
        <item x="657"/>
        <item x="385"/>
        <item x="105"/>
        <item x="576"/>
        <item x="516"/>
        <item x="33"/>
        <item x="1057"/>
        <item x="107"/>
        <item x="616"/>
        <item x="563"/>
        <item x="70"/>
        <item x="164"/>
        <item x="872"/>
        <item x="463"/>
        <item x="588"/>
        <item x="221"/>
        <item x="891"/>
        <item x="39"/>
        <item x="318"/>
        <item x="254"/>
        <item x="477"/>
        <item x="167"/>
        <item x="115"/>
        <item x="888"/>
        <item x="173"/>
        <item x="6"/>
        <item x="1040"/>
        <item x="2"/>
        <item x="186"/>
        <item x="371"/>
        <item x="52"/>
        <item x="376"/>
        <item x="409"/>
        <item x="910"/>
        <item x="94"/>
        <item x="222"/>
        <item x="161"/>
        <item x="174"/>
        <item x="305"/>
        <item x="633"/>
        <item x="172"/>
        <item x="145"/>
        <item x="4"/>
        <item x="404"/>
        <item x="754"/>
        <item x="967"/>
        <item x="138"/>
        <item x="817"/>
        <item x="569"/>
        <item x="1010"/>
        <item x="696"/>
        <item x="557"/>
        <item x="471"/>
        <item x="745"/>
        <item x="929"/>
        <item x="1074"/>
        <item x="784"/>
        <item x="151"/>
        <item x="445"/>
        <item x="155"/>
        <item x="127"/>
        <item x="702"/>
        <item x="405"/>
        <item x="1064"/>
        <item x="825"/>
        <item x="895"/>
        <item x="345"/>
        <item x="311"/>
        <item x="844"/>
        <item x="482"/>
        <item x="729"/>
        <item x="536"/>
        <item x="169"/>
        <item x="393"/>
        <item x="123"/>
        <item x="958"/>
        <item x="232"/>
        <item x="534"/>
        <item x="1069"/>
        <item x="230"/>
        <item x="202"/>
        <item x="304"/>
        <item x="645"/>
        <item x="979"/>
        <item x="1030"/>
        <item x="1070"/>
        <item x="767"/>
        <item x="586"/>
        <item x="63"/>
        <item x="897"/>
        <item x="271"/>
        <item x="855"/>
        <item x="914"/>
        <item x="468"/>
        <item x="602"/>
        <item x="1043"/>
        <item x="205"/>
        <item x="78"/>
        <item x="280"/>
        <item x="579"/>
        <item x="217"/>
        <item x="932"/>
        <item x="598"/>
        <item x="455"/>
        <item x="642"/>
        <item x="513"/>
        <item x="887"/>
        <item x="898"/>
        <item x="128"/>
        <item x="1017"/>
        <item x="1046"/>
        <item x="663"/>
        <item x="970"/>
        <item x="613"/>
        <item x="119"/>
        <item x="815"/>
        <item x="282"/>
        <item x="246"/>
        <item x="493"/>
        <item x="799"/>
        <item x="350"/>
        <item x="614"/>
        <item x="1034"/>
        <item x="856"/>
        <item x="29"/>
        <item x="810"/>
        <item x="159"/>
        <item x="255"/>
        <item x="478"/>
        <item x="797"/>
        <item x="820"/>
        <item x="84"/>
        <item x="257"/>
        <item x="1051"/>
        <item x="342"/>
        <item x="915"/>
        <item x="109"/>
        <item x="337"/>
        <item x="552"/>
        <item x="358"/>
        <item x="896"/>
        <item x="835"/>
        <item x="73"/>
        <item x="1061"/>
        <item x="524"/>
        <item x="1024"/>
        <item x="60"/>
        <item x="649"/>
        <item x="187"/>
        <item x="712"/>
        <item x="766"/>
        <item x="1053"/>
        <item x="507"/>
        <item x="506"/>
        <item x="724"/>
        <item x="669"/>
        <item x="976"/>
        <item x="610"/>
        <item x="637"/>
        <item x="946"/>
        <item x="779"/>
        <item x="1025"/>
        <item x="104"/>
        <item x="434"/>
        <item x="418"/>
        <item x="578"/>
        <item x="612"/>
        <item x="823"/>
        <item x="220"/>
        <item x="911"/>
        <item x="248"/>
        <item x="92"/>
        <item x="316"/>
        <item x="315"/>
        <item x="640"/>
        <item x="619"/>
        <item x="1085"/>
        <item x="1077"/>
        <item x="50"/>
        <item x="106"/>
        <item x="435"/>
        <item x="804"/>
        <item x="622"/>
        <item x="686"/>
        <item x="300"/>
        <item x="1037"/>
        <item x="99"/>
        <item x="952"/>
        <item x="201"/>
        <item x="769"/>
        <item x="81"/>
        <item x="390"/>
        <item x="595"/>
        <item x="71"/>
        <item x="512"/>
        <item x="517"/>
        <item x="923"/>
        <item x="407"/>
        <item x="908"/>
        <item x="190"/>
        <item x="647"/>
        <item x="136"/>
        <item x="866"/>
        <item x="975"/>
        <item x="519"/>
        <item x="446"/>
        <item x="66"/>
        <item x="594"/>
        <item x="27"/>
        <item x="809"/>
        <item x="302"/>
        <item x="981"/>
        <item x="17"/>
        <item x="581"/>
        <item x="656"/>
        <item x="181"/>
        <item x="279"/>
        <item x="422"/>
        <item x="398"/>
        <item x="768"/>
        <item x="423"/>
        <item x="942"/>
        <item x="791"/>
        <item x="118"/>
        <item x="28"/>
        <item x="682"/>
        <item x="192"/>
        <item x="781"/>
        <item x="3"/>
        <item x="974"/>
        <item x="830"/>
        <item x="978"/>
        <item x="379"/>
        <item x="562"/>
        <item x="618"/>
        <item x="800"/>
        <item x="1068"/>
        <item x="692"/>
        <item x="627"/>
        <item x="34"/>
        <item x="97"/>
        <item x="486"/>
        <item x="609"/>
        <item x="226"/>
        <item x="372"/>
        <item x="584"/>
        <item x="61"/>
        <item x="7"/>
        <item x="798"/>
        <item x="582"/>
        <item x="541"/>
        <item x="466"/>
        <item x="943"/>
        <item x="803"/>
        <item x="110"/>
        <item x="116"/>
        <item x="132"/>
        <item x="1048"/>
        <item x="730"/>
        <item x="100"/>
        <item x="886"/>
        <item x="428"/>
        <item x="996"/>
        <item x="356"/>
        <item x="719"/>
        <item x="701"/>
        <item x="329"/>
        <item x="339"/>
        <item x="156"/>
        <item x="832"/>
        <item x="175"/>
        <item x="900"/>
        <item x="762"/>
        <item x="290"/>
        <item x="134"/>
        <item x="183"/>
        <item x="481"/>
        <item x="397"/>
        <item x="415"/>
        <item x="654"/>
        <item x="755"/>
        <item x="625"/>
        <item x="1012"/>
        <item x="538"/>
        <item x="759"/>
        <item x="503"/>
        <item x="753"/>
        <item x="786"/>
        <item x="930"/>
        <item x="351"/>
        <item x="818"/>
        <item x="725"/>
        <item x="142"/>
        <item x="631"/>
        <item x="153"/>
        <item x="259"/>
        <item x="177"/>
        <item x="250"/>
        <item x="811"/>
        <item x="695"/>
        <item x="928"/>
        <item x="474"/>
        <item x="8"/>
        <item x="922"/>
        <item x="668"/>
        <item x="307"/>
        <item x="460"/>
        <item x="954"/>
        <item x="611"/>
        <item x="234"/>
        <item x="1062"/>
        <item x="1079"/>
        <item x="884"/>
        <item x="432"/>
        <item x="542"/>
        <item x="571"/>
        <item x="644"/>
        <item x="705"/>
        <item x="401"/>
        <item x="191"/>
        <item x="319"/>
        <item x="111"/>
        <item x="472"/>
        <item x="208"/>
        <item x="989"/>
        <item x="479"/>
        <item x="48"/>
        <item x="783"/>
        <item x="985"/>
        <item x="37"/>
        <item x="794"/>
        <item x="497"/>
        <item x="347"/>
        <item x="19"/>
        <item x="540"/>
        <item x="684"/>
        <item x="374"/>
        <item x="334"/>
        <item x="782"/>
        <item x="934"/>
        <item x="848"/>
        <item x="11"/>
        <item x="364"/>
        <item x="1026"/>
        <item x="179"/>
        <item x="336"/>
        <item x="735"/>
        <item x="780"/>
        <item x="608"/>
        <item x="139"/>
        <item x="751"/>
        <item x="727"/>
        <item x="425"/>
        <item x="969"/>
        <item x="863"/>
        <item x="135"/>
        <item x="881"/>
        <item x="414"/>
        <item x="349"/>
        <item x="10"/>
        <item x="1022"/>
        <item x="871"/>
        <item x="24"/>
        <item x="752"/>
        <item x="108"/>
        <item x="918"/>
        <item x="651"/>
        <item x="501"/>
        <item x="912"/>
        <item x="199"/>
        <item x="653"/>
        <item x="359"/>
        <item x="0"/>
        <item x="218"/>
        <item x="680"/>
        <item x="166"/>
        <item x="459"/>
        <item x="1018"/>
        <item x="196"/>
        <item x="531"/>
        <item x="297"/>
        <item x="635"/>
        <item x="308"/>
        <item x="357"/>
        <item x="207"/>
        <item x="841"/>
        <item x="30"/>
        <item x="1080"/>
        <item x="465"/>
        <item x="777"/>
        <item x="263"/>
        <item x="476"/>
        <item x="741"/>
        <item x="410"/>
        <item x="591"/>
        <item x="805"/>
        <item x="360"/>
        <item x="813"/>
        <item x="241"/>
        <item x="354"/>
        <item x="283"/>
        <item x="433"/>
        <item x="629"/>
        <item x="80"/>
        <item x="77"/>
        <item x="683"/>
        <item x="877"/>
        <item x="1033"/>
        <item x="770"/>
        <item x="964"/>
        <item x="287"/>
        <item x="995"/>
        <item x="926"/>
        <item x="849"/>
        <item x="147"/>
        <item x="16"/>
        <item x="959"/>
        <item x="292"/>
        <item x="1032"/>
        <item x="233"/>
        <item x="59"/>
        <item x="560"/>
        <item x="381"/>
        <item x="79"/>
        <item x="117"/>
        <item x="236"/>
        <item x="894"/>
        <item x="589"/>
        <item x="688"/>
        <item x="375"/>
        <item x="1019"/>
        <item x="1004"/>
        <item x="920"/>
        <item x="441"/>
        <item x="678"/>
        <item x="605"/>
        <item x="406"/>
        <item x="847"/>
        <item x="771"/>
        <item x="133"/>
        <item x="387"/>
        <item x="369"/>
        <item x="14"/>
        <item x="851"/>
        <item x="685"/>
        <item x="457"/>
        <item x="44"/>
        <item x="953"/>
        <item x="550"/>
        <item x="274"/>
        <item x="860"/>
        <item t="default"/>
      </items>
    </pivotField>
    <pivotField dataField="1" showAll="0">
      <items count="965">
        <item x="28"/>
        <item x="3"/>
        <item x="718"/>
        <item x="697"/>
        <item x="597"/>
        <item x="955"/>
        <item x="124"/>
        <item x="703"/>
        <item x="309"/>
        <item x="553"/>
        <item x="780"/>
        <item x="207"/>
        <item x="400"/>
        <item x="766"/>
        <item x="325"/>
        <item x="49"/>
        <item x="506"/>
        <item x="353"/>
        <item x="32"/>
        <item x="360"/>
        <item x="101"/>
        <item x="97"/>
        <item x="640"/>
        <item x="937"/>
        <item x="618"/>
        <item x="492"/>
        <item x="786"/>
        <item x="89"/>
        <item x="474"/>
        <item x="888"/>
        <item x="589"/>
        <item x="111"/>
        <item x="739"/>
        <item x="184"/>
        <item x="938"/>
        <item x="45"/>
        <item x="895"/>
        <item x="513"/>
        <item x="850"/>
        <item x="708"/>
        <item x="155"/>
        <item x="705"/>
        <item x="141"/>
        <item x="255"/>
        <item x="741"/>
        <item x="848"/>
        <item x="494"/>
        <item x="717"/>
        <item x="883"/>
        <item x="373"/>
        <item x="276"/>
        <item x="842"/>
        <item x="643"/>
        <item x="329"/>
        <item x="923"/>
        <item x="477"/>
        <item x="471"/>
        <item x="466"/>
        <item x="58"/>
        <item x="218"/>
        <item x="601"/>
        <item x="175"/>
        <item x="217"/>
        <item x="759"/>
        <item x="452"/>
        <item x="346"/>
        <item x="454"/>
        <item x="259"/>
        <item x="316"/>
        <item x="295"/>
        <item x="245"/>
        <item x="253"/>
        <item x="285"/>
        <item x="73"/>
        <item x="187"/>
        <item x="470"/>
        <item x="430"/>
        <item x="330"/>
        <item x="674"/>
        <item x="677"/>
        <item x="649"/>
        <item x="130"/>
        <item x="543"/>
        <item x="678"/>
        <item x="244"/>
        <item x="74"/>
        <item x="672"/>
        <item x="100"/>
        <item x="549"/>
        <item x="953"/>
        <item x="801"/>
        <item x="202"/>
        <item x="458"/>
        <item x="318"/>
        <item x="21"/>
        <item x="46"/>
        <item x="221"/>
        <item x="951"/>
        <item x="180"/>
        <item x="565"/>
        <item x="256"/>
        <item x="577"/>
        <item x="135"/>
        <item x="840"/>
        <item x="36"/>
        <item x="715"/>
        <item x="661"/>
        <item x="67"/>
        <item x="102"/>
        <item x="57"/>
        <item x="463"/>
        <item x="250"/>
        <item x="515"/>
        <item x="449"/>
        <item x="397"/>
        <item x="645"/>
        <item x="55"/>
        <item x="518"/>
        <item x="635"/>
        <item x="845"/>
        <item x="854"/>
        <item x="129"/>
        <item x="760"/>
        <item x="341"/>
        <item x="836"/>
        <item x="367"/>
        <item x="571"/>
        <item x="128"/>
        <item x="311"/>
        <item x="844"/>
        <item x="320"/>
        <item x="420"/>
        <item x="591"/>
        <item x="899"/>
        <item x="35"/>
        <item x="567"/>
        <item x="963"/>
        <item x="562"/>
        <item x="370"/>
        <item x="411"/>
        <item x="722"/>
        <item x="401"/>
        <item x="483"/>
        <item x="853"/>
        <item x="91"/>
        <item x="928"/>
        <item x="550"/>
        <item x="307"/>
        <item x="656"/>
        <item x="813"/>
        <item x="878"/>
        <item x="365"/>
        <item x="748"/>
        <item x="704"/>
        <item x="733"/>
        <item x="927"/>
        <item x="426"/>
        <item x="647"/>
        <item x="119"/>
        <item x="547"/>
        <item x="650"/>
        <item x="902"/>
        <item x="278"/>
        <item x="540"/>
        <item x="120"/>
        <item x="157"/>
        <item x="670"/>
        <item x="651"/>
        <item x="390"/>
        <item x="793"/>
        <item x="664"/>
        <item x="729"/>
        <item x="125"/>
        <item x="949"/>
        <item x="734"/>
        <item x="41"/>
        <item x="653"/>
        <item x="162"/>
        <item x="395"/>
        <item x="12"/>
        <item x="146"/>
        <item x="680"/>
        <item x="922"/>
        <item x="665"/>
        <item x="669"/>
        <item x="201"/>
        <item x="671"/>
        <item x="646"/>
        <item x="9"/>
        <item x="88"/>
        <item x="503"/>
        <item x="487"/>
        <item x="448"/>
        <item x="877"/>
        <item x="435"/>
        <item x="606"/>
        <item x="657"/>
        <item x="313"/>
        <item x="702"/>
        <item x="501"/>
        <item x="821"/>
        <item x="479"/>
        <item x="414"/>
        <item x="684"/>
        <item x="851"/>
        <item x="823"/>
        <item x="212"/>
        <item x="438"/>
        <item x="13"/>
        <item x="445"/>
        <item x="530"/>
        <item x="456"/>
        <item x="338"/>
        <item x="302"/>
        <item x="160"/>
        <item x="599"/>
        <item x="421"/>
        <item x="958"/>
        <item x="439"/>
        <item x="808"/>
        <item x="896"/>
        <item x="399"/>
        <item x="790"/>
        <item x="538"/>
        <item x="70"/>
        <item x="561"/>
        <item x="39"/>
        <item x="106"/>
        <item x="33"/>
        <item x="441"/>
        <item x="472"/>
        <item x="529"/>
        <item x="361"/>
        <item x="598"/>
        <item x="114"/>
        <item x="418"/>
        <item x="339"/>
        <item x="800"/>
        <item x="959"/>
        <item x="342"/>
        <item x="611"/>
        <item x="6"/>
        <item x="508"/>
        <item x="934"/>
        <item x="484"/>
        <item x="770"/>
        <item x="204"/>
        <item x="944"/>
        <item x="2"/>
        <item x="509"/>
        <item x="323"/>
        <item x="560"/>
        <item x="205"/>
        <item x="147"/>
        <item x="880"/>
        <item x="389"/>
        <item x="679"/>
        <item x="349"/>
        <item x="815"/>
        <item x="690"/>
        <item x="181"/>
        <item x="358"/>
        <item x="839"/>
        <item x="47"/>
        <item x="219"/>
        <item x="663"/>
        <item x="42"/>
        <item x="382"/>
        <item x="262"/>
        <item x="178"/>
        <item x="26"/>
        <item x="633"/>
        <item x="427"/>
        <item x="337"/>
        <item x="85"/>
        <item x="142"/>
        <item x="504"/>
        <item x="948"/>
        <item x="52"/>
        <item x="596"/>
        <item x="352"/>
        <item x="94"/>
        <item x="239"/>
        <item x="210"/>
        <item x="870"/>
        <item x="753"/>
        <item x="893"/>
        <item x="568"/>
        <item x="523"/>
        <item x="519"/>
        <item x="868"/>
        <item x="828"/>
        <item x="837"/>
        <item x="528"/>
        <item x="192"/>
        <item x="25"/>
        <item x="413"/>
        <item x="757"/>
        <item x="188"/>
        <item x="171"/>
        <item x="69"/>
        <item x="359"/>
        <item x="82"/>
        <item x="482"/>
        <item x="779"/>
        <item x="871"/>
        <item x="177"/>
        <item x="714"/>
        <item x="554"/>
        <item x="265"/>
        <item x="195"/>
        <item x="616"/>
        <item x="410"/>
        <item x="962"/>
        <item x="719"/>
        <item x="884"/>
        <item x="236"/>
        <item x="500"/>
        <item x="272"/>
        <item x="154"/>
        <item x="230"/>
        <item x="83"/>
        <item x="281"/>
        <item x="321"/>
        <item x="610"/>
        <item x="233"/>
        <item x="686"/>
        <item x="785"/>
        <item x="306"/>
        <item x="208"/>
        <item x="159"/>
        <item x="241"/>
        <item x="882"/>
        <item x="728"/>
        <item x="764"/>
        <item x="409"/>
        <item x="229"/>
        <item x="498"/>
        <item x="574"/>
        <item x="5"/>
        <item x="282"/>
        <item x="143"/>
        <item x="852"/>
        <item x="378"/>
        <item x="220"/>
        <item x="417"/>
        <item x="137"/>
        <item x="354"/>
        <item x="419"/>
        <item x="489"/>
        <item x="522"/>
        <item x="904"/>
        <item x="51"/>
        <item x="136"/>
        <item x="860"/>
        <item x="436"/>
        <item x="900"/>
        <item x="746"/>
        <item x="368"/>
        <item x="952"/>
        <item x="536"/>
        <item x="269"/>
        <item x="602"/>
        <item x="166"/>
        <item x="605"/>
        <item x="446"/>
        <item x="716"/>
        <item x="148"/>
        <item x="293"/>
        <item x="257"/>
        <item x="787"/>
        <item x="806"/>
        <item x="926"/>
        <item x="891"/>
        <item x="752"/>
        <item x="720"/>
        <item x="379"/>
        <item x="502"/>
        <item x="415"/>
        <item x="126"/>
        <item x="251"/>
        <item x="810"/>
        <item x="76"/>
        <item x="866"/>
        <item x="659"/>
        <item x="654"/>
        <item x="343"/>
        <item x="90"/>
        <item x="932"/>
        <item x="144"/>
        <item x="149"/>
        <item x="954"/>
        <item x="824"/>
        <item x="23"/>
        <item x="584"/>
        <item x="402"/>
        <item x="639"/>
        <item x="624"/>
        <item x="725"/>
        <item x="424"/>
        <item x="627"/>
        <item x="943"/>
        <item x="762"/>
        <item x="408"/>
        <item x="689"/>
        <item x="271"/>
        <item x="796"/>
        <item x="139"/>
        <item x="644"/>
        <item x="901"/>
        <item x="694"/>
        <item x="279"/>
        <item x="140"/>
        <item x="18"/>
        <item x="609"/>
        <item x="906"/>
        <item x="165"/>
        <item x="224"/>
        <item x="243"/>
        <item x="907"/>
        <item x="527"/>
        <item x="31"/>
        <item x="797"/>
        <item x="804"/>
        <item x="629"/>
        <item x="749"/>
        <item x="263"/>
        <item x="668"/>
        <item x="240"/>
        <item x="925"/>
        <item x="542"/>
        <item x="398"/>
        <item x="931"/>
        <item x="286"/>
        <item x="167"/>
        <item x="512"/>
        <item x="843"/>
        <item x="634"/>
        <item x="841"/>
        <item x="910"/>
        <item x="1"/>
        <item x="215"/>
        <item x="814"/>
        <item x="859"/>
        <item x="612"/>
        <item x="289"/>
        <item x="825"/>
        <item x="773"/>
        <item x="603"/>
        <item x="444"/>
        <item x="467"/>
        <item x="422"/>
        <item x="791"/>
        <item x="332"/>
        <item x="93"/>
        <item x="344"/>
        <item x="196"/>
        <item x="863"/>
        <item x="216"/>
        <item x="38"/>
        <item x="593"/>
        <item x="56"/>
        <item x="65"/>
        <item x="64"/>
        <item x="228"/>
        <item x="608"/>
        <item x="72"/>
        <item x="776"/>
        <item x="782"/>
        <item x="723"/>
        <item x="53"/>
        <item x="614"/>
        <item x="95"/>
        <item x="362"/>
        <item x="626"/>
        <item x="54"/>
        <item x="687"/>
        <item x="15"/>
        <item x="366"/>
        <item x="526"/>
        <item x="374"/>
        <item x="613"/>
        <item x="304"/>
        <item x="735"/>
        <item x="86"/>
        <item x="168"/>
        <item x="587"/>
        <item x="225"/>
        <item x="20"/>
        <item x="261"/>
        <item x="328"/>
        <item x="476"/>
        <item x="284"/>
        <item x="510"/>
        <item x="355"/>
        <item x="247"/>
        <item x="480"/>
        <item x="447"/>
        <item x="112"/>
        <item x="701"/>
        <item x="433"/>
        <item x="630"/>
        <item x="242"/>
        <item x="481"/>
        <item x="198"/>
        <item x="151"/>
        <item x="43"/>
        <item x="945"/>
        <item x="557"/>
        <item x="712"/>
        <item x="636"/>
        <item x="468"/>
        <item x="62"/>
        <item x="683"/>
        <item x="277"/>
        <item x="499"/>
        <item x="369"/>
        <item x="675"/>
        <item x="372"/>
        <item x="642"/>
        <item x="887"/>
        <item x="763"/>
        <item x="858"/>
        <item x="693"/>
        <item x="258"/>
        <item x="564"/>
        <item x="493"/>
        <item x="183"/>
        <item x="461"/>
        <item x="460"/>
        <item x="915"/>
        <item x="356"/>
        <item x="600"/>
        <item x="428"/>
        <item x="548"/>
        <item x="40"/>
        <item x="22"/>
        <item x="305"/>
        <item x="857"/>
        <item x="545"/>
        <item x="579"/>
        <item x="203"/>
        <item x="537"/>
        <item x="173"/>
        <item x="604"/>
        <item x="121"/>
        <item x="886"/>
        <item x="822"/>
        <item x="736"/>
        <item x="292"/>
        <item x="569"/>
        <item x="254"/>
        <item x="755"/>
        <item x="392"/>
        <item x="534"/>
        <item x="310"/>
        <item x="788"/>
        <item x="232"/>
        <item x="898"/>
        <item x="960"/>
        <item x="123"/>
        <item x="929"/>
        <item x="299"/>
        <item x="377"/>
        <item x="881"/>
        <item x="191"/>
        <item x="692"/>
        <item x="521"/>
        <item x="875"/>
        <item x="707"/>
        <item x="546"/>
        <item x="936"/>
        <item x="303"/>
        <item x="905"/>
        <item x="920"/>
        <item x="206"/>
        <item x="294"/>
        <item x="407"/>
        <item x="864"/>
        <item x="189"/>
        <item x="666"/>
        <item x="75"/>
        <item x="582"/>
        <item x="485"/>
        <item x="104"/>
        <item x="451"/>
        <item x="96"/>
        <item x="575"/>
        <item x="385"/>
        <item x="490"/>
        <item x="950"/>
        <item x="939"/>
        <item x="488"/>
        <item x="214"/>
        <item x="455"/>
        <item x="376"/>
        <item x="520"/>
        <item x="795"/>
        <item x="113"/>
        <item x="87"/>
        <item x="580"/>
        <item x="249"/>
        <item x="892"/>
        <item x="478"/>
        <item x="364"/>
        <item x="517"/>
        <item x="457"/>
        <item x="161"/>
        <item x="812"/>
        <item x="429"/>
        <item x="777"/>
        <item x="803"/>
        <item x="300"/>
        <item x="238"/>
        <item x="862"/>
        <item x="772"/>
        <item x="164"/>
        <item x="894"/>
        <item x="170"/>
        <item x="924"/>
        <item x="347"/>
        <item x="383"/>
        <item x="818"/>
        <item x="158"/>
        <item x="288"/>
        <item x="784"/>
        <item x="169"/>
        <item x="4"/>
        <item x="867"/>
        <item x="743"/>
        <item x="834"/>
        <item x="765"/>
        <item x="152"/>
        <item x="222"/>
        <item x="942"/>
        <item x="916"/>
        <item x="391"/>
        <item x="595"/>
        <item x="127"/>
        <item x="747"/>
        <item x="371"/>
        <item x="855"/>
        <item x="290"/>
        <item x="590"/>
        <item x="227"/>
        <item x="133"/>
        <item x="578"/>
        <item x="273"/>
        <item x="750"/>
        <item x="105"/>
        <item x="525"/>
        <item x="811"/>
        <item x="830"/>
        <item x="756"/>
        <item x="556"/>
        <item x="68"/>
        <item x="317"/>
        <item x="103"/>
        <item x="308"/>
        <item x="913"/>
        <item x="405"/>
        <item x="849"/>
        <item x="874"/>
        <item x="607"/>
        <item x="465"/>
        <item x="531"/>
        <item x="935"/>
        <item x="648"/>
        <item x="182"/>
        <item x="60"/>
        <item x="558"/>
        <item x="912"/>
        <item x="940"/>
        <item x="807"/>
        <item x="334"/>
        <item x="507"/>
        <item x="211"/>
        <item x="315"/>
        <item x="108"/>
        <item x="319"/>
        <item x="933"/>
        <item x="246"/>
        <item x="724"/>
        <item x="819"/>
        <item x="442"/>
        <item x="156"/>
        <item x="737"/>
        <item x="29"/>
        <item x="775"/>
        <item x="873"/>
        <item x="919"/>
        <item x="559"/>
        <item x="327"/>
        <item x="237"/>
        <item x="726"/>
        <item x="235"/>
        <item x="266"/>
        <item x="742"/>
        <item x="696"/>
        <item x="63"/>
        <item x="551"/>
        <item x="774"/>
        <item x="809"/>
        <item x="799"/>
        <item x="197"/>
        <item x="78"/>
        <item x="583"/>
        <item x="287"/>
        <item x="947"/>
        <item x="92"/>
        <item x="122"/>
        <item x="491"/>
        <item x="322"/>
        <item x="638"/>
        <item x="711"/>
        <item x="511"/>
        <item x="298"/>
        <item x="632"/>
        <item x="652"/>
        <item x="297"/>
        <item x="695"/>
        <item x="581"/>
        <item x="563"/>
        <item x="961"/>
        <item x="50"/>
        <item x="406"/>
        <item x="99"/>
        <item x="731"/>
        <item x="566"/>
        <item x="623"/>
        <item x="767"/>
        <item x="283"/>
        <item x="131"/>
        <item x="921"/>
        <item x="98"/>
        <item x="829"/>
        <item x="758"/>
        <item x="194"/>
        <item x="66"/>
        <item x="109"/>
        <item x="698"/>
        <item x="81"/>
        <item x="544"/>
        <item x="847"/>
        <item x="71"/>
        <item x="469"/>
        <item x="473"/>
        <item x="533"/>
        <item x="84"/>
        <item x="381"/>
        <item x="879"/>
        <item x="816"/>
        <item x="628"/>
        <item x="61"/>
        <item x="588"/>
        <item x="118"/>
        <item x="532"/>
        <item x="535"/>
        <item x="475"/>
        <item x="450"/>
        <item x="434"/>
        <item x="393"/>
        <item x="570"/>
        <item x="586"/>
        <item x="872"/>
        <item x="416"/>
        <item x="394"/>
        <item x="662"/>
        <item x="946"/>
        <item x="846"/>
        <item x="516"/>
        <item x="754"/>
        <item x="186"/>
        <item x="676"/>
        <item x="619"/>
        <item x="213"/>
        <item x="802"/>
        <item x="831"/>
        <item x="27"/>
        <item x="783"/>
        <item x="268"/>
        <item x="751"/>
        <item x="744"/>
        <item x="386"/>
        <item x="274"/>
        <item x="655"/>
        <item x="234"/>
        <item x="817"/>
        <item x="453"/>
        <item x="296"/>
        <item x="17"/>
        <item x="8"/>
        <item x="778"/>
        <item x="264"/>
        <item x="117"/>
        <item x="833"/>
        <item x="876"/>
        <item x="260"/>
        <item x="631"/>
        <item x="727"/>
        <item x="738"/>
        <item x="34"/>
        <item x="174"/>
        <item x="248"/>
        <item x="348"/>
        <item x="150"/>
        <item x="7"/>
        <item x="573"/>
        <item x="505"/>
        <item x="658"/>
        <item x="745"/>
        <item x="496"/>
        <item x="835"/>
        <item x="713"/>
        <item x="464"/>
        <item x="432"/>
        <item x="688"/>
        <item x="903"/>
        <item x="685"/>
        <item x="388"/>
        <item x="730"/>
        <item x="179"/>
        <item x="691"/>
        <item x="115"/>
        <item x="172"/>
        <item x="930"/>
        <item x="153"/>
        <item x="798"/>
        <item x="890"/>
        <item x="637"/>
        <item x="856"/>
        <item x="44"/>
        <item x="423"/>
        <item x="617"/>
        <item x="163"/>
        <item x="209"/>
        <item x="425"/>
        <item x="0"/>
        <item x="335"/>
        <item x="594"/>
        <item x="908"/>
        <item x="193"/>
        <item x="820"/>
        <item x="190"/>
        <item x="462"/>
        <item x="592"/>
        <item x="486"/>
        <item x="826"/>
        <item x="107"/>
        <item x="280"/>
        <item x="682"/>
        <item x="24"/>
        <item x="789"/>
        <item x="576"/>
        <item x="911"/>
        <item x="10"/>
        <item x="326"/>
        <item x="387"/>
        <item x="794"/>
        <item x="134"/>
        <item x="781"/>
        <item x="869"/>
        <item x="291"/>
        <item x="396"/>
        <item x="660"/>
        <item x="681"/>
        <item x="138"/>
        <item x="555"/>
        <item x="709"/>
        <item x="667"/>
        <item x="333"/>
        <item x="314"/>
        <item x="176"/>
        <item x="914"/>
        <item x="340"/>
        <item x="110"/>
        <item x="301"/>
        <item x="437"/>
        <item x="885"/>
        <item x="443"/>
        <item x="200"/>
        <item x="48"/>
        <item x="710"/>
        <item x="721"/>
        <item x="37"/>
        <item x="459"/>
        <item x="324"/>
        <item x="19"/>
        <item x="495"/>
        <item x="11"/>
        <item x="621"/>
        <item x="350"/>
        <item x="838"/>
        <item x="312"/>
        <item x="185"/>
        <item x="375"/>
        <item x="641"/>
        <item x="199"/>
        <item x="585"/>
        <item x="524"/>
        <item x="956"/>
        <item x="497"/>
        <item x="941"/>
        <item x="403"/>
        <item x="761"/>
        <item x="30"/>
        <item x="957"/>
        <item x="431"/>
        <item x="706"/>
        <item x="252"/>
        <item x="440"/>
        <item x="673"/>
        <item x="384"/>
        <item x="541"/>
        <item x="732"/>
        <item x="336"/>
        <item x="740"/>
        <item x="231"/>
        <item x="331"/>
        <item x="267"/>
        <item x="404"/>
        <item x="80"/>
        <item x="572"/>
        <item x="77"/>
        <item x="620"/>
        <item x="622"/>
        <item x="792"/>
        <item x="918"/>
        <item x="699"/>
        <item x="771"/>
        <item x="865"/>
        <item x="270"/>
        <item x="14"/>
        <item x="889"/>
        <item x="345"/>
        <item x="832"/>
        <item x="363"/>
        <item x="769"/>
        <item x="132"/>
        <item x="145"/>
        <item x="16"/>
        <item x="700"/>
        <item x="768"/>
        <item x="861"/>
        <item x="380"/>
        <item x="552"/>
        <item x="275"/>
        <item x="615"/>
        <item x="412"/>
        <item x="827"/>
        <item x="897"/>
        <item x="917"/>
        <item x="909"/>
        <item x="351"/>
        <item x="625"/>
        <item x="223"/>
        <item x="539"/>
        <item x="59"/>
        <item x="805"/>
        <item x="514"/>
        <item x="226"/>
        <item x="357"/>
        <item x="116"/>
        <item x="79"/>
        <item t="default"/>
      </items>
    </pivotField>
    <pivotField showAll="0"/>
    <pivotField showAll="0"/>
    <pivotField showAll="0"/>
    <pivotField showAll="0"/>
    <pivotField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h="1" sd="0" x="0"/>
        <item h="1" sd="0" x="1"/>
        <item h="1" sd="0" x="2"/>
        <item sd="0" x="3"/>
        <item h="1" sd="0" x="4"/>
        <item t="default"/>
      </items>
    </pivotField>
  </pivotFields>
  <rowFields count="1">
    <field x="21"/>
  </rowFields>
  <rowItems count="13">
    <i>
      <x v="1"/>
    </i>
    <i>
      <x v="2"/>
    </i>
    <i>
      <x v="3"/>
    </i>
    <i>
      <x v="4"/>
    </i>
    <i>
      <x v="5"/>
    </i>
    <i>
      <x v="6"/>
    </i>
    <i>
      <x v="7"/>
    </i>
    <i>
      <x v="8"/>
    </i>
    <i>
      <x v="9"/>
    </i>
    <i>
      <x v="10"/>
    </i>
    <i>
      <x v="11"/>
    </i>
    <i>
      <x v="12"/>
    </i>
    <i t="grand">
      <x/>
    </i>
  </rowItems>
  <colFields count="1">
    <field x="-2"/>
  </colFields>
  <colItems count="2">
    <i>
      <x/>
    </i>
    <i i="1">
      <x v="1"/>
    </i>
  </colItems>
  <dataFields count="2">
    <dataField name="Sum of Population Unvaccinated" fld="13" baseField="0" baseItem="0"/>
    <dataField name="Sum of Population Vaccinated" fld="14" baseField="0" baseItem="0"/>
  </dataField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58EE43D-8F90-4DD1-84C7-B4C49E6EDE1B}" name="PivotTable10"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1">
  <location ref="A49:B62" firstHeaderRow="1"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h="1" x="8"/>
        <item h="1" x="4"/>
        <item x="3"/>
        <item h="1" x="5"/>
        <item h="1" x="2"/>
        <item h="1" x="1"/>
        <item h="1" x="7"/>
        <item h="1" x="6"/>
        <item h="1"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pivotField showAll="0">
      <items count="6">
        <item h="1" x="0"/>
        <item h="1" x="1"/>
        <item h="1" x="2"/>
        <item x="3"/>
        <item h="1" x="4"/>
        <item t="default"/>
      </items>
    </pivotField>
  </pivotFields>
  <rowFields count="1">
    <field x="21"/>
  </rowFields>
  <rowItems count="13">
    <i>
      <x v="1"/>
    </i>
    <i>
      <x v="2"/>
    </i>
    <i>
      <x v="3"/>
    </i>
    <i>
      <x v="4"/>
    </i>
    <i>
      <x v="5"/>
    </i>
    <i>
      <x v="6"/>
    </i>
    <i>
      <x v="7"/>
    </i>
    <i>
      <x v="8"/>
    </i>
    <i>
      <x v="9"/>
    </i>
    <i>
      <x v="10"/>
    </i>
    <i>
      <x v="11"/>
    </i>
    <i>
      <x v="12"/>
    </i>
    <i t="grand">
      <x/>
    </i>
  </rowItems>
  <colItems count="1">
    <i/>
  </colItems>
  <dataFields count="1">
    <dataField name="Sum of Population Vaccinated" fld="14" baseField="0" baseItem="0"/>
  </dataFields>
  <chartFormats count="53">
    <chartFormat chart="0" format="0"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4" format="14">
      <pivotArea type="data" outline="0" fieldPosition="0">
        <references count="2">
          <reference field="4294967294" count="1" selected="0">
            <x v="0"/>
          </reference>
          <reference field="21" count="1" selected="0">
            <x v="1"/>
          </reference>
        </references>
      </pivotArea>
    </chartFormat>
    <chartFormat chart="4" format="15">
      <pivotArea type="data" outline="0" fieldPosition="0">
        <references count="2">
          <reference field="4294967294" count="1" selected="0">
            <x v="0"/>
          </reference>
          <reference field="21" count="1" selected="0">
            <x v="2"/>
          </reference>
        </references>
      </pivotArea>
    </chartFormat>
    <chartFormat chart="4" format="16">
      <pivotArea type="data" outline="0" fieldPosition="0">
        <references count="2">
          <reference field="4294967294" count="1" selected="0">
            <x v="0"/>
          </reference>
          <reference field="21" count="1" selected="0">
            <x v="3"/>
          </reference>
        </references>
      </pivotArea>
    </chartFormat>
    <chartFormat chart="4" format="17">
      <pivotArea type="data" outline="0" fieldPosition="0">
        <references count="2">
          <reference field="4294967294" count="1" selected="0">
            <x v="0"/>
          </reference>
          <reference field="21" count="1" selected="0">
            <x v="4"/>
          </reference>
        </references>
      </pivotArea>
    </chartFormat>
    <chartFormat chart="4" format="18">
      <pivotArea type="data" outline="0" fieldPosition="0">
        <references count="2">
          <reference field="4294967294" count="1" selected="0">
            <x v="0"/>
          </reference>
          <reference field="21" count="1" selected="0">
            <x v="5"/>
          </reference>
        </references>
      </pivotArea>
    </chartFormat>
    <chartFormat chart="4" format="19">
      <pivotArea type="data" outline="0" fieldPosition="0">
        <references count="2">
          <reference field="4294967294" count="1" selected="0">
            <x v="0"/>
          </reference>
          <reference field="21" count="1" selected="0">
            <x v="6"/>
          </reference>
        </references>
      </pivotArea>
    </chartFormat>
    <chartFormat chart="4" format="20">
      <pivotArea type="data" outline="0" fieldPosition="0">
        <references count="2">
          <reference field="4294967294" count="1" selected="0">
            <x v="0"/>
          </reference>
          <reference field="21" count="1" selected="0">
            <x v="7"/>
          </reference>
        </references>
      </pivotArea>
    </chartFormat>
    <chartFormat chart="4" format="21">
      <pivotArea type="data" outline="0" fieldPosition="0">
        <references count="2">
          <reference field="4294967294" count="1" selected="0">
            <x v="0"/>
          </reference>
          <reference field="21" count="1" selected="0">
            <x v="8"/>
          </reference>
        </references>
      </pivotArea>
    </chartFormat>
    <chartFormat chart="4" format="22">
      <pivotArea type="data" outline="0" fieldPosition="0">
        <references count="2">
          <reference field="4294967294" count="1" selected="0">
            <x v="0"/>
          </reference>
          <reference field="21" count="1" selected="0">
            <x v="9"/>
          </reference>
        </references>
      </pivotArea>
    </chartFormat>
    <chartFormat chart="4" format="23">
      <pivotArea type="data" outline="0" fieldPosition="0">
        <references count="2">
          <reference field="4294967294" count="1" selected="0">
            <x v="0"/>
          </reference>
          <reference field="21" count="1" selected="0">
            <x v="10"/>
          </reference>
        </references>
      </pivotArea>
    </chartFormat>
    <chartFormat chart="4" format="24">
      <pivotArea type="data" outline="0" fieldPosition="0">
        <references count="2">
          <reference field="4294967294" count="1" selected="0">
            <x v="0"/>
          </reference>
          <reference field="21" count="1" selected="0">
            <x v="11"/>
          </reference>
        </references>
      </pivotArea>
    </chartFormat>
    <chartFormat chart="4" format="25">
      <pivotArea type="data" outline="0" fieldPosition="0">
        <references count="2">
          <reference field="4294967294" count="1" selected="0">
            <x v="0"/>
          </reference>
          <reference field="21" count="1" selected="0">
            <x v="12"/>
          </reference>
        </references>
      </pivotArea>
    </chartFormat>
    <chartFormat chart="5" format="26" series="1">
      <pivotArea type="data" outline="0" fieldPosition="0">
        <references count="1">
          <reference field="4294967294" count="1" selected="0">
            <x v="0"/>
          </reference>
        </references>
      </pivotArea>
    </chartFormat>
    <chartFormat chart="5" format="27">
      <pivotArea type="data" outline="0" fieldPosition="0">
        <references count="2">
          <reference field="4294967294" count="1" selected="0">
            <x v="0"/>
          </reference>
          <reference field="21" count="1" selected="0">
            <x v="1"/>
          </reference>
        </references>
      </pivotArea>
    </chartFormat>
    <chartFormat chart="5" format="28">
      <pivotArea type="data" outline="0" fieldPosition="0">
        <references count="2">
          <reference field="4294967294" count="1" selected="0">
            <x v="0"/>
          </reference>
          <reference field="21" count="1" selected="0">
            <x v="2"/>
          </reference>
        </references>
      </pivotArea>
    </chartFormat>
    <chartFormat chart="5" format="29">
      <pivotArea type="data" outline="0" fieldPosition="0">
        <references count="2">
          <reference field="4294967294" count="1" selected="0">
            <x v="0"/>
          </reference>
          <reference field="21" count="1" selected="0">
            <x v="3"/>
          </reference>
        </references>
      </pivotArea>
    </chartFormat>
    <chartFormat chart="5" format="30">
      <pivotArea type="data" outline="0" fieldPosition="0">
        <references count="2">
          <reference field="4294967294" count="1" selected="0">
            <x v="0"/>
          </reference>
          <reference field="21" count="1" selected="0">
            <x v="4"/>
          </reference>
        </references>
      </pivotArea>
    </chartFormat>
    <chartFormat chart="5" format="31">
      <pivotArea type="data" outline="0" fieldPosition="0">
        <references count="2">
          <reference field="4294967294" count="1" selected="0">
            <x v="0"/>
          </reference>
          <reference field="21" count="1" selected="0">
            <x v="5"/>
          </reference>
        </references>
      </pivotArea>
    </chartFormat>
    <chartFormat chart="5" format="32">
      <pivotArea type="data" outline="0" fieldPosition="0">
        <references count="2">
          <reference field="4294967294" count="1" selected="0">
            <x v="0"/>
          </reference>
          <reference field="21" count="1" selected="0">
            <x v="6"/>
          </reference>
        </references>
      </pivotArea>
    </chartFormat>
    <chartFormat chart="5" format="33">
      <pivotArea type="data" outline="0" fieldPosition="0">
        <references count="2">
          <reference field="4294967294" count="1" selected="0">
            <x v="0"/>
          </reference>
          <reference field="21" count="1" selected="0">
            <x v="7"/>
          </reference>
        </references>
      </pivotArea>
    </chartFormat>
    <chartFormat chart="5" format="34">
      <pivotArea type="data" outline="0" fieldPosition="0">
        <references count="2">
          <reference field="4294967294" count="1" selected="0">
            <x v="0"/>
          </reference>
          <reference field="21" count="1" selected="0">
            <x v="8"/>
          </reference>
        </references>
      </pivotArea>
    </chartFormat>
    <chartFormat chart="5" format="35">
      <pivotArea type="data" outline="0" fieldPosition="0">
        <references count="2">
          <reference field="4294967294" count="1" selected="0">
            <x v="0"/>
          </reference>
          <reference field="21" count="1" selected="0">
            <x v="9"/>
          </reference>
        </references>
      </pivotArea>
    </chartFormat>
    <chartFormat chart="5" format="36">
      <pivotArea type="data" outline="0" fieldPosition="0">
        <references count="2">
          <reference field="4294967294" count="1" selected="0">
            <x v="0"/>
          </reference>
          <reference field="21" count="1" selected="0">
            <x v="10"/>
          </reference>
        </references>
      </pivotArea>
    </chartFormat>
    <chartFormat chart="5" format="37">
      <pivotArea type="data" outline="0" fieldPosition="0">
        <references count="2">
          <reference field="4294967294" count="1" selected="0">
            <x v="0"/>
          </reference>
          <reference field="21" count="1" selected="0">
            <x v="11"/>
          </reference>
        </references>
      </pivotArea>
    </chartFormat>
    <chartFormat chart="5" format="38">
      <pivotArea type="data" outline="0" fieldPosition="0">
        <references count="2">
          <reference field="4294967294" count="1" selected="0">
            <x v="0"/>
          </reference>
          <reference field="21" count="1" selected="0">
            <x v="12"/>
          </reference>
        </references>
      </pivotArea>
    </chartFormat>
    <chartFormat chart="13" format="0" series="1">
      <pivotArea type="data" outline="0" fieldPosition="0">
        <references count="1">
          <reference field="4294967294" count="1" selected="0">
            <x v="0"/>
          </reference>
        </references>
      </pivotArea>
    </chartFormat>
    <chartFormat chart="13" format="1">
      <pivotArea type="data" outline="0" fieldPosition="0">
        <references count="2">
          <reference field="4294967294" count="1" selected="0">
            <x v="0"/>
          </reference>
          <reference field="21" count="1" selected="0">
            <x v="1"/>
          </reference>
        </references>
      </pivotArea>
    </chartFormat>
    <chartFormat chart="13" format="2">
      <pivotArea type="data" outline="0" fieldPosition="0">
        <references count="2">
          <reference field="4294967294" count="1" selected="0">
            <x v="0"/>
          </reference>
          <reference field="21" count="1" selected="0">
            <x v="2"/>
          </reference>
        </references>
      </pivotArea>
    </chartFormat>
    <chartFormat chart="13" format="3">
      <pivotArea type="data" outline="0" fieldPosition="0">
        <references count="2">
          <reference field="4294967294" count="1" selected="0">
            <x v="0"/>
          </reference>
          <reference field="21" count="1" selected="0">
            <x v="3"/>
          </reference>
        </references>
      </pivotArea>
    </chartFormat>
    <chartFormat chart="13" format="4">
      <pivotArea type="data" outline="0" fieldPosition="0">
        <references count="2">
          <reference field="4294967294" count="1" selected="0">
            <x v="0"/>
          </reference>
          <reference field="21" count="1" selected="0">
            <x v="4"/>
          </reference>
        </references>
      </pivotArea>
    </chartFormat>
    <chartFormat chart="13" format="5">
      <pivotArea type="data" outline="0" fieldPosition="0">
        <references count="2">
          <reference field="4294967294" count="1" selected="0">
            <x v="0"/>
          </reference>
          <reference field="21" count="1" selected="0">
            <x v="5"/>
          </reference>
        </references>
      </pivotArea>
    </chartFormat>
    <chartFormat chart="13" format="6">
      <pivotArea type="data" outline="0" fieldPosition="0">
        <references count="2">
          <reference field="4294967294" count="1" selected="0">
            <x v="0"/>
          </reference>
          <reference field="21" count="1" selected="0">
            <x v="6"/>
          </reference>
        </references>
      </pivotArea>
    </chartFormat>
    <chartFormat chart="13" format="7">
      <pivotArea type="data" outline="0" fieldPosition="0">
        <references count="2">
          <reference field="4294967294" count="1" selected="0">
            <x v="0"/>
          </reference>
          <reference field="21" count="1" selected="0">
            <x v="7"/>
          </reference>
        </references>
      </pivotArea>
    </chartFormat>
    <chartFormat chart="13" format="8">
      <pivotArea type="data" outline="0" fieldPosition="0">
        <references count="2">
          <reference field="4294967294" count="1" selected="0">
            <x v="0"/>
          </reference>
          <reference field="21" count="1" selected="0">
            <x v="8"/>
          </reference>
        </references>
      </pivotArea>
    </chartFormat>
    <chartFormat chart="13" format="9">
      <pivotArea type="data" outline="0" fieldPosition="0">
        <references count="2">
          <reference field="4294967294" count="1" selected="0">
            <x v="0"/>
          </reference>
          <reference field="21" count="1" selected="0">
            <x v="9"/>
          </reference>
        </references>
      </pivotArea>
    </chartFormat>
    <chartFormat chart="13" format="10">
      <pivotArea type="data" outline="0" fieldPosition="0">
        <references count="2">
          <reference field="4294967294" count="1" selected="0">
            <x v="0"/>
          </reference>
          <reference field="21" count="1" selected="0">
            <x v="10"/>
          </reference>
        </references>
      </pivotArea>
    </chartFormat>
    <chartFormat chart="13" format="11">
      <pivotArea type="data" outline="0" fieldPosition="0">
        <references count="2">
          <reference field="4294967294" count="1" selected="0">
            <x v="0"/>
          </reference>
          <reference field="21" count="1" selected="0">
            <x v="11"/>
          </reference>
        </references>
      </pivotArea>
    </chartFormat>
    <chartFormat chart="13" format="12">
      <pivotArea type="data" outline="0" fieldPosition="0">
        <references count="2">
          <reference field="4294967294" count="1" selected="0">
            <x v="0"/>
          </reference>
          <reference field="21" count="1" selected="0">
            <x v="12"/>
          </reference>
        </references>
      </pivotArea>
    </chartFormat>
    <chartFormat chart="30" format="40" series="1">
      <pivotArea type="data" outline="0" fieldPosition="0">
        <references count="1">
          <reference field="4294967294" count="1" selected="0">
            <x v="0"/>
          </reference>
        </references>
      </pivotArea>
    </chartFormat>
    <chartFormat chart="30" format="41">
      <pivotArea type="data" outline="0" fieldPosition="0">
        <references count="2">
          <reference field="4294967294" count="1" selected="0">
            <x v="0"/>
          </reference>
          <reference field="21" count="1" selected="0">
            <x v="1"/>
          </reference>
        </references>
      </pivotArea>
    </chartFormat>
    <chartFormat chart="30" format="42">
      <pivotArea type="data" outline="0" fieldPosition="0">
        <references count="2">
          <reference field="4294967294" count="1" selected="0">
            <x v="0"/>
          </reference>
          <reference field="21" count="1" selected="0">
            <x v="2"/>
          </reference>
        </references>
      </pivotArea>
    </chartFormat>
    <chartFormat chart="30" format="43">
      <pivotArea type="data" outline="0" fieldPosition="0">
        <references count="2">
          <reference field="4294967294" count="1" selected="0">
            <x v="0"/>
          </reference>
          <reference field="21" count="1" selected="0">
            <x v="3"/>
          </reference>
        </references>
      </pivotArea>
    </chartFormat>
    <chartFormat chart="30" format="44">
      <pivotArea type="data" outline="0" fieldPosition="0">
        <references count="2">
          <reference field="4294967294" count="1" selected="0">
            <x v="0"/>
          </reference>
          <reference field="21" count="1" selected="0">
            <x v="4"/>
          </reference>
        </references>
      </pivotArea>
    </chartFormat>
    <chartFormat chart="30" format="45">
      <pivotArea type="data" outline="0" fieldPosition="0">
        <references count="2">
          <reference field="4294967294" count="1" selected="0">
            <x v="0"/>
          </reference>
          <reference field="21" count="1" selected="0">
            <x v="5"/>
          </reference>
        </references>
      </pivotArea>
    </chartFormat>
    <chartFormat chart="30" format="46">
      <pivotArea type="data" outline="0" fieldPosition="0">
        <references count="2">
          <reference field="4294967294" count="1" selected="0">
            <x v="0"/>
          </reference>
          <reference field="21" count="1" selected="0">
            <x v="6"/>
          </reference>
        </references>
      </pivotArea>
    </chartFormat>
    <chartFormat chart="30" format="47">
      <pivotArea type="data" outline="0" fieldPosition="0">
        <references count="2">
          <reference field="4294967294" count="1" selected="0">
            <x v="0"/>
          </reference>
          <reference field="21" count="1" selected="0">
            <x v="7"/>
          </reference>
        </references>
      </pivotArea>
    </chartFormat>
    <chartFormat chart="30" format="48">
      <pivotArea type="data" outline="0" fieldPosition="0">
        <references count="2">
          <reference field="4294967294" count="1" selected="0">
            <x v="0"/>
          </reference>
          <reference field="21" count="1" selected="0">
            <x v="8"/>
          </reference>
        </references>
      </pivotArea>
    </chartFormat>
    <chartFormat chart="30" format="49">
      <pivotArea type="data" outline="0" fieldPosition="0">
        <references count="2">
          <reference field="4294967294" count="1" selected="0">
            <x v="0"/>
          </reference>
          <reference field="21" count="1" selected="0">
            <x v="9"/>
          </reference>
        </references>
      </pivotArea>
    </chartFormat>
    <chartFormat chart="30" format="50">
      <pivotArea type="data" outline="0" fieldPosition="0">
        <references count="2">
          <reference field="4294967294" count="1" selected="0">
            <x v="0"/>
          </reference>
          <reference field="21" count="1" selected="0">
            <x v="10"/>
          </reference>
        </references>
      </pivotArea>
    </chartFormat>
    <chartFormat chart="30" format="51">
      <pivotArea type="data" outline="0" fieldPosition="0">
        <references count="2">
          <reference field="4294967294" count="1" selected="0">
            <x v="0"/>
          </reference>
          <reference field="21" count="1" selected="0">
            <x v="11"/>
          </reference>
        </references>
      </pivotArea>
    </chartFormat>
    <chartFormat chart="30" format="52">
      <pivotArea type="data" outline="0" fieldPosition="0">
        <references count="2">
          <reference field="4294967294" count="1" selected="0">
            <x v="0"/>
          </reference>
          <reference field="21"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9D4FF8A0-715A-4188-9BAE-EEAA11AC25A4}" name="PivotTable16"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
  <location ref="A103:D105" firstHeaderRow="0" firstDataRow="1" firstDataCol="1"/>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axis="axisRow" showAll="0">
      <items count="10">
        <item h="1" x="8"/>
        <item h="1" x="4"/>
        <item x="3"/>
        <item h="1" x="5"/>
        <item h="1" x="2"/>
        <item h="1" x="1"/>
        <item h="1" x="7"/>
        <item h="1" x="6"/>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showAll="0"/>
    <pivotField showAll="0"/>
    <pivotField showAll="0"/>
    <pivotField showAll="0"/>
    <pivotField showAll="0">
      <items count="6">
        <item h="1" x="0"/>
        <item h="1" x="1"/>
        <item h="1" x="2"/>
        <item x="3"/>
        <item h="1" x="4"/>
        <item t="default"/>
      </items>
    </pivotField>
  </pivotFields>
  <rowFields count="1">
    <field x="2"/>
  </rowFields>
  <rowItems count="2">
    <i>
      <x v="2"/>
    </i>
    <i t="grand">
      <x/>
    </i>
  </rowItems>
  <colFields count="1">
    <field x="-2"/>
  </colFields>
  <colItems count="3">
    <i>
      <x/>
    </i>
    <i i="1">
      <x v="1"/>
    </i>
    <i i="2">
      <x v="2"/>
    </i>
  </colItems>
  <dataFields count="3">
    <dataField name="Sum of Outcome Vaccinated" fld="17" baseField="0" baseItem="0"/>
    <dataField name="Sum of Outcome Unvaccinated" fld="16" baseField="0" baseItem="0"/>
    <dataField name="Sum of Outcome Boosted" fld="18"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785CF83-5091-460D-B8DC-AADE5EE34D84}" name="PivotTable12"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0">
  <location ref="A68:B72" firstHeaderRow="1" firstDataRow="1" firstDataCol="1"/>
  <pivotFields count="24">
    <pivotField axis="axisRow" dataField="1"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h="1" x="8"/>
        <item h="1" x="4"/>
        <item x="3"/>
        <item h="1" x="5"/>
        <item h="1" x="2"/>
        <item h="1" x="1"/>
        <item h="1" x="7"/>
        <item h="1" x="6"/>
        <item h="1"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showAll="0">
      <items count="965">
        <item x="28"/>
        <item x="3"/>
        <item x="718"/>
        <item x="697"/>
        <item x="597"/>
        <item x="955"/>
        <item x="124"/>
        <item x="703"/>
        <item x="309"/>
        <item x="553"/>
        <item x="780"/>
        <item x="207"/>
        <item x="400"/>
        <item x="766"/>
        <item x="325"/>
        <item x="49"/>
        <item x="506"/>
        <item x="353"/>
        <item x="32"/>
        <item x="360"/>
        <item x="101"/>
        <item x="97"/>
        <item x="640"/>
        <item x="937"/>
        <item x="618"/>
        <item x="492"/>
        <item x="786"/>
        <item x="89"/>
        <item x="474"/>
        <item x="888"/>
        <item x="589"/>
        <item x="111"/>
        <item x="739"/>
        <item x="184"/>
        <item x="938"/>
        <item x="45"/>
        <item x="895"/>
        <item x="513"/>
        <item x="850"/>
        <item x="708"/>
        <item x="155"/>
        <item x="705"/>
        <item x="141"/>
        <item x="255"/>
        <item x="741"/>
        <item x="848"/>
        <item x="494"/>
        <item x="717"/>
        <item x="883"/>
        <item x="373"/>
        <item x="276"/>
        <item x="842"/>
        <item x="643"/>
        <item x="329"/>
        <item x="923"/>
        <item x="477"/>
        <item x="471"/>
        <item x="466"/>
        <item x="58"/>
        <item x="218"/>
        <item x="601"/>
        <item x="175"/>
        <item x="217"/>
        <item x="759"/>
        <item x="452"/>
        <item x="346"/>
        <item x="454"/>
        <item x="259"/>
        <item x="316"/>
        <item x="295"/>
        <item x="245"/>
        <item x="253"/>
        <item x="285"/>
        <item x="73"/>
        <item x="187"/>
        <item x="470"/>
        <item x="430"/>
        <item x="330"/>
        <item x="674"/>
        <item x="677"/>
        <item x="649"/>
        <item x="130"/>
        <item x="543"/>
        <item x="678"/>
        <item x="244"/>
        <item x="74"/>
        <item x="672"/>
        <item x="100"/>
        <item x="549"/>
        <item x="953"/>
        <item x="801"/>
        <item x="202"/>
        <item x="458"/>
        <item x="318"/>
        <item x="21"/>
        <item x="46"/>
        <item x="221"/>
        <item x="951"/>
        <item x="180"/>
        <item x="565"/>
        <item x="256"/>
        <item x="577"/>
        <item x="135"/>
        <item x="840"/>
        <item x="36"/>
        <item x="715"/>
        <item x="661"/>
        <item x="67"/>
        <item x="102"/>
        <item x="57"/>
        <item x="463"/>
        <item x="250"/>
        <item x="515"/>
        <item x="449"/>
        <item x="397"/>
        <item x="645"/>
        <item x="55"/>
        <item x="518"/>
        <item x="635"/>
        <item x="845"/>
        <item x="854"/>
        <item x="129"/>
        <item x="760"/>
        <item x="341"/>
        <item x="836"/>
        <item x="367"/>
        <item x="571"/>
        <item x="128"/>
        <item x="311"/>
        <item x="844"/>
        <item x="320"/>
        <item x="420"/>
        <item x="591"/>
        <item x="899"/>
        <item x="35"/>
        <item x="567"/>
        <item x="963"/>
        <item x="562"/>
        <item x="370"/>
        <item x="411"/>
        <item x="722"/>
        <item x="401"/>
        <item x="483"/>
        <item x="853"/>
        <item x="91"/>
        <item x="928"/>
        <item x="550"/>
        <item x="307"/>
        <item x="656"/>
        <item x="813"/>
        <item x="878"/>
        <item x="365"/>
        <item x="748"/>
        <item x="704"/>
        <item x="733"/>
        <item x="927"/>
        <item x="426"/>
        <item x="647"/>
        <item x="119"/>
        <item x="547"/>
        <item x="650"/>
        <item x="902"/>
        <item x="278"/>
        <item x="540"/>
        <item x="120"/>
        <item x="157"/>
        <item x="670"/>
        <item x="651"/>
        <item x="390"/>
        <item x="793"/>
        <item x="664"/>
        <item x="729"/>
        <item x="125"/>
        <item x="949"/>
        <item x="734"/>
        <item x="41"/>
        <item x="653"/>
        <item x="162"/>
        <item x="395"/>
        <item x="12"/>
        <item x="146"/>
        <item x="680"/>
        <item x="922"/>
        <item x="665"/>
        <item x="669"/>
        <item x="201"/>
        <item x="671"/>
        <item x="646"/>
        <item x="9"/>
        <item x="88"/>
        <item x="503"/>
        <item x="487"/>
        <item x="448"/>
        <item x="877"/>
        <item x="435"/>
        <item x="606"/>
        <item x="657"/>
        <item x="313"/>
        <item x="702"/>
        <item x="501"/>
        <item x="821"/>
        <item x="479"/>
        <item x="414"/>
        <item x="684"/>
        <item x="851"/>
        <item x="823"/>
        <item x="212"/>
        <item x="438"/>
        <item x="13"/>
        <item x="445"/>
        <item x="530"/>
        <item x="456"/>
        <item x="338"/>
        <item x="302"/>
        <item x="160"/>
        <item x="599"/>
        <item x="421"/>
        <item x="958"/>
        <item x="439"/>
        <item x="808"/>
        <item x="896"/>
        <item x="399"/>
        <item x="790"/>
        <item x="538"/>
        <item x="70"/>
        <item x="561"/>
        <item x="39"/>
        <item x="106"/>
        <item x="33"/>
        <item x="441"/>
        <item x="472"/>
        <item x="529"/>
        <item x="361"/>
        <item x="598"/>
        <item x="114"/>
        <item x="418"/>
        <item x="339"/>
        <item x="800"/>
        <item x="959"/>
        <item x="342"/>
        <item x="611"/>
        <item x="6"/>
        <item x="508"/>
        <item x="934"/>
        <item x="484"/>
        <item x="770"/>
        <item x="204"/>
        <item x="944"/>
        <item x="2"/>
        <item x="509"/>
        <item x="323"/>
        <item x="560"/>
        <item x="205"/>
        <item x="147"/>
        <item x="880"/>
        <item x="389"/>
        <item x="679"/>
        <item x="349"/>
        <item x="815"/>
        <item x="690"/>
        <item x="181"/>
        <item x="358"/>
        <item x="839"/>
        <item x="47"/>
        <item x="219"/>
        <item x="663"/>
        <item x="42"/>
        <item x="382"/>
        <item x="262"/>
        <item x="178"/>
        <item x="26"/>
        <item x="633"/>
        <item x="427"/>
        <item x="337"/>
        <item x="85"/>
        <item x="142"/>
        <item x="504"/>
        <item x="948"/>
        <item x="52"/>
        <item x="596"/>
        <item x="352"/>
        <item x="94"/>
        <item x="239"/>
        <item x="210"/>
        <item x="870"/>
        <item x="753"/>
        <item x="893"/>
        <item x="568"/>
        <item x="523"/>
        <item x="519"/>
        <item x="868"/>
        <item x="828"/>
        <item x="837"/>
        <item x="528"/>
        <item x="192"/>
        <item x="25"/>
        <item x="413"/>
        <item x="757"/>
        <item x="188"/>
        <item x="171"/>
        <item x="69"/>
        <item x="359"/>
        <item x="82"/>
        <item x="482"/>
        <item x="779"/>
        <item x="871"/>
        <item x="177"/>
        <item x="714"/>
        <item x="554"/>
        <item x="265"/>
        <item x="195"/>
        <item x="616"/>
        <item x="410"/>
        <item x="962"/>
        <item x="719"/>
        <item x="884"/>
        <item x="236"/>
        <item x="500"/>
        <item x="272"/>
        <item x="154"/>
        <item x="230"/>
        <item x="83"/>
        <item x="281"/>
        <item x="321"/>
        <item x="610"/>
        <item x="233"/>
        <item x="686"/>
        <item x="785"/>
        <item x="306"/>
        <item x="208"/>
        <item x="159"/>
        <item x="241"/>
        <item x="882"/>
        <item x="728"/>
        <item x="764"/>
        <item x="409"/>
        <item x="229"/>
        <item x="498"/>
        <item x="574"/>
        <item x="5"/>
        <item x="282"/>
        <item x="143"/>
        <item x="852"/>
        <item x="378"/>
        <item x="220"/>
        <item x="417"/>
        <item x="137"/>
        <item x="354"/>
        <item x="419"/>
        <item x="489"/>
        <item x="522"/>
        <item x="904"/>
        <item x="51"/>
        <item x="136"/>
        <item x="860"/>
        <item x="436"/>
        <item x="900"/>
        <item x="746"/>
        <item x="368"/>
        <item x="952"/>
        <item x="536"/>
        <item x="269"/>
        <item x="602"/>
        <item x="166"/>
        <item x="605"/>
        <item x="446"/>
        <item x="716"/>
        <item x="148"/>
        <item x="293"/>
        <item x="257"/>
        <item x="787"/>
        <item x="806"/>
        <item x="926"/>
        <item x="891"/>
        <item x="752"/>
        <item x="720"/>
        <item x="379"/>
        <item x="502"/>
        <item x="415"/>
        <item x="126"/>
        <item x="251"/>
        <item x="810"/>
        <item x="76"/>
        <item x="866"/>
        <item x="659"/>
        <item x="654"/>
        <item x="343"/>
        <item x="90"/>
        <item x="932"/>
        <item x="144"/>
        <item x="149"/>
        <item x="954"/>
        <item x="824"/>
        <item x="23"/>
        <item x="584"/>
        <item x="402"/>
        <item x="639"/>
        <item x="624"/>
        <item x="725"/>
        <item x="424"/>
        <item x="627"/>
        <item x="943"/>
        <item x="762"/>
        <item x="408"/>
        <item x="689"/>
        <item x="271"/>
        <item x="796"/>
        <item x="139"/>
        <item x="644"/>
        <item x="901"/>
        <item x="694"/>
        <item x="279"/>
        <item x="140"/>
        <item x="18"/>
        <item x="609"/>
        <item x="906"/>
        <item x="165"/>
        <item x="224"/>
        <item x="243"/>
        <item x="907"/>
        <item x="527"/>
        <item x="31"/>
        <item x="797"/>
        <item x="804"/>
        <item x="629"/>
        <item x="749"/>
        <item x="263"/>
        <item x="668"/>
        <item x="240"/>
        <item x="925"/>
        <item x="542"/>
        <item x="398"/>
        <item x="931"/>
        <item x="286"/>
        <item x="167"/>
        <item x="512"/>
        <item x="843"/>
        <item x="634"/>
        <item x="841"/>
        <item x="910"/>
        <item x="1"/>
        <item x="215"/>
        <item x="814"/>
        <item x="859"/>
        <item x="612"/>
        <item x="289"/>
        <item x="825"/>
        <item x="773"/>
        <item x="603"/>
        <item x="444"/>
        <item x="467"/>
        <item x="422"/>
        <item x="791"/>
        <item x="332"/>
        <item x="93"/>
        <item x="344"/>
        <item x="196"/>
        <item x="863"/>
        <item x="216"/>
        <item x="38"/>
        <item x="593"/>
        <item x="56"/>
        <item x="65"/>
        <item x="64"/>
        <item x="228"/>
        <item x="608"/>
        <item x="72"/>
        <item x="776"/>
        <item x="782"/>
        <item x="723"/>
        <item x="53"/>
        <item x="614"/>
        <item x="95"/>
        <item x="362"/>
        <item x="626"/>
        <item x="54"/>
        <item x="687"/>
        <item x="15"/>
        <item x="366"/>
        <item x="526"/>
        <item x="374"/>
        <item x="613"/>
        <item x="304"/>
        <item x="735"/>
        <item x="86"/>
        <item x="168"/>
        <item x="587"/>
        <item x="225"/>
        <item x="20"/>
        <item x="261"/>
        <item x="328"/>
        <item x="476"/>
        <item x="284"/>
        <item x="510"/>
        <item x="355"/>
        <item x="247"/>
        <item x="480"/>
        <item x="447"/>
        <item x="112"/>
        <item x="701"/>
        <item x="433"/>
        <item x="630"/>
        <item x="242"/>
        <item x="481"/>
        <item x="198"/>
        <item x="151"/>
        <item x="43"/>
        <item x="945"/>
        <item x="557"/>
        <item x="712"/>
        <item x="636"/>
        <item x="468"/>
        <item x="62"/>
        <item x="683"/>
        <item x="277"/>
        <item x="499"/>
        <item x="369"/>
        <item x="675"/>
        <item x="372"/>
        <item x="642"/>
        <item x="887"/>
        <item x="763"/>
        <item x="858"/>
        <item x="693"/>
        <item x="258"/>
        <item x="564"/>
        <item x="493"/>
        <item x="183"/>
        <item x="461"/>
        <item x="460"/>
        <item x="915"/>
        <item x="356"/>
        <item x="600"/>
        <item x="428"/>
        <item x="548"/>
        <item x="40"/>
        <item x="22"/>
        <item x="305"/>
        <item x="857"/>
        <item x="545"/>
        <item x="579"/>
        <item x="203"/>
        <item x="537"/>
        <item x="173"/>
        <item x="604"/>
        <item x="121"/>
        <item x="886"/>
        <item x="822"/>
        <item x="736"/>
        <item x="292"/>
        <item x="569"/>
        <item x="254"/>
        <item x="755"/>
        <item x="392"/>
        <item x="534"/>
        <item x="310"/>
        <item x="788"/>
        <item x="232"/>
        <item x="898"/>
        <item x="960"/>
        <item x="123"/>
        <item x="929"/>
        <item x="299"/>
        <item x="377"/>
        <item x="881"/>
        <item x="191"/>
        <item x="692"/>
        <item x="521"/>
        <item x="875"/>
        <item x="707"/>
        <item x="546"/>
        <item x="936"/>
        <item x="303"/>
        <item x="905"/>
        <item x="920"/>
        <item x="206"/>
        <item x="294"/>
        <item x="407"/>
        <item x="864"/>
        <item x="189"/>
        <item x="666"/>
        <item x="75"/>
        <item x="582"/>
        <item x="485"/>
        <item x="104"/>
        <item x="451"/>
        <item x="96"/>
        <item x="575"/>
        <item x="385"/>
        <item x="490"/>
        <item x="950"/>
        <item x="939"/>
        <item x="488"/>
        <item x="214"/>
        <item x="455"/>
        <item x="376"/>
        <item x="520"/>
        <item x="795"/>
        <item x="113"/>
        <item x="87"/>
        <item x="580"/>
        <item x="249"/>
        <item x="892"/>
        <item x="478"/>
        <item x="364"/>
        <item x="517"/>
        <item x="457"/>
        <item x="161"/>
        <item x="812"/>
        <item x="429"/>
        <item x="777"/>
        <item x="803"/>
        <item x="300"/>
        <item x="238"/>
        <item x="862"/>
        <item x="772"/>
        <item x="164"/>
        <item x="894"/>
        <item x="170"/>
        <item x="924"/>
        <item x="347"/>
        <item x="383"/>
        <item x="818"/>
        <item x="158"/>
        <item x="288"/>
        <item x="784"/>
        <item x="169"/>
        <item x="4"/>
        <item x="867"/>
        <item x="743"/>
        <item x="834"/>
        <item x="765"/>
        <item x="152"/>
        <item x="222"/>
        <item x="942"/>
        <item x="916"/>
        <item x="391"/>
        <item x="595"/>
        <item x="127"/>
        <item x="747"/>
        <item x="371"/>
        <item x="855"/>
        <item x="290"/>
        <item x="590"/>
        <item x="227"/>
        <item x="133"/>
        <item x="578"/>
        <item x="273"/>
        <item x="750"/>
        <item x="105"/>
        <item x="525"/>
        <item x="811"/>
        <item x="830"/>
        <item x="756"/>
        <item x="556"/>
        <item x="68"/>
        <item x="317"/>
        <item x="103"/>
        <item x="308"/>
        <item x="913"/>
        <item x="405"/>
        <item x="849"/>
        <item x="874"/>
        <item x="607"/>
        <item x="465"/>
        <item x="531"/>
        <item x="935"/>
        <item x="648"/>
        <item x="182"/>
        <item x="60"/>
        <item x="558"/>
        <item x="912"/>
        <item x="940"/>
        <item x="807"/>
        <item x="334"/>
        <item x="507"/>
        <item x="211"/>
        <item x="315"/>
        <item x="108"/>
        <item x="319"/>
        <item x="933"/>
        <item x="246"/>
        <item x="724"/>
        <item x="819"/>
        <item x="442"/>
        <item x="156"/>
        <item x="737"/>
        <item x="29"/>
        <item x="775"/>
        <item x="873"/>
        <item x="919"/>
        <item x="559"/>
        <item x="327"/>
        <item x="237"/>
        <item x="726"/>
        <item x="235"/>
        <item x="266"/>
        <item x="742"/>
        <item x="696"/>
        <item x="63"/>
        <item x="551"/>
        <item x="774"/>
        <item x="809"/>
        <item x="799"/>
        <item x="197"/>
        <item x="78"/>
        <item x="583"/>
        <item x="287"/>
        <item x="947"/>
        <item x="92"/>
        <item x="122"/>
        <item x="491"/>
        <item x="322"/>
        <item x="638"/>
        <item x="711"/>
        <item x="511"/>
        <item x="298"/>
        <item x="632"/>
        <item x="652"/>
        <item x="297"/>
        <item x="695"/>
        <item x="581"/>
        <item x="563"/>
        <item x="961"/>
        <item x="50"/>
        <item x="406"/>
        <item x="99"/>
        <item x="731"/>
        <item x="566"/>
        <item x="623"/>
        <item x="767"/>
        <item x="283"/>
        <item x="131"/>
        <item x="921"/>
        <item x="98"/>
        <item x="829"/>
        <item x="758"/>
        <item x="194"/>
        <item x="66"/>
        <item x="109"/>
        <item x="698"/>
        <item x="81"/>
        <item x="544"/>
        <item x="847"/>
        <item x="71"/>
        <item x="469"/>
        <item x="473"/>
        <item x="533"/>
        <item x="84"/>
        <item x="381"/>
        <item x="879"/>
        <item x="816"/>
        <item x="628"/>
        <item x="61"/>
        <item x="588"/>
        <item x="118"/>
        <item x="532"/>
        <item x="535"/>
        <item x="475"/>
        <item x="450"/>
        <item x="434"/>
        <item x="393"/>
        <item x="570"/>
        <item x="586"/>
        <item x="872"/>
        <item x="416"/>
        <item x="394"/>
        <item x="662"/>
        <item x="946"/>
        <item x="846"/>
        <item x="516"/>
        <item x="754"/>
        <item x="186"/>
        <item x="676"/>
        <item x="619"/>
        <item x="213"/>
        <item x="802"/>
        <item x="831"/>
        <item x="27"/>
        <item x="783"/>
        <item x="268"/>
        <item x="751"/>
        <item x="744"/>
        <item x="386"/>
        <item x="274"/>
        <item x="655"/>
        <item x="234"/>
        <item x="817"/>
        <item x="453"/>
        <item x="296"/>
        <item x="17"/>
        <item x="8"/>
        <item x="778"/>
        <item x="264"/>
        <item x="117"/>
        <item x="833"/>
        <item x="876"/>
        <item x="260"/>
        <item x="631"/>
        <item x="727"/>
        <item x="738"/>
        <item x="34"/>
        <item x="174"/>
        <item x="248"/>
        <item x="348"/>
        <item x="150"/>
        <item x="7"/>
        <item x="573"/>
        <item x="505"/>
        <item x="658"/>
        <item x="745"/>
        <item x="496"/>
        <item x="835"/>
        <item x="713"/>
        <item x="464"/>
        <item x="432"/>
        <item x="688"/>
        <item x="903"/>
        <item x="685"/>
        <item x="388"/>
        <item x="730"/>
        <item x="179"/>
        <item x="691"/>
        <item x="115"/>
        <item x="172"/>
        <item x="930"/>
        <item x="153"/>
        <item x="798"/>
        <item x="890"/>
        <item x="637"/>
        <item x="856"/>
        <item x="44"/>
        <item x="423"/>
        <item x="617"/>
        <item x="163"/>
        <item x="209"/>
        <item x="425"/>
        <item x="0"/>
        <item x="335"/>
        <item x="594"/>
        <item x="908"/>
        <item x="193"/>
        <item x="820"/>
        <item x="190"/>
        <item x="462"/>
        <item x="592"/>
        <item x="486"/>
        <item x="826"/>
        <item x="107"/>
        <item x="280"/>
        <item x="682"/>
        <item x="24"/>
        <item x="789"/>
        <item x="576"/>
        <item x="911"/>
        <item x="10"/>
        <item x="326"/>
        <item x="387"/>
        <item x="794"/>
        <item x="134"/>
        <item x="781"/>
        <item x="869"/>
        <item x="291"/>
        <item x="396"/>
        <item x="660"/>
        <item x="681"/>
        <item x="138"/>
        <item x="555"/>
        <item x="709"/>
        <item x="667"/>
        <item x="333"/>
        <item x="314"/>
        <item x="176"/>
        <item x="914"/>
        <item x="340"/>
        <item x="110"/>
        <item x="301"/>
        <item x="437"/>
        <item x="885"/>
        <item x="443"/>
        <item x="200"/>
        <item x="48"/>
        <item x="710"/>
        <item x="721"/>
        <item x="37"/>
        <item x="459"/>
        <item x="324"/>
        <item x="19"/>
        <item x="495"/>
        <item x="11"/>
        <item x="621"/>
        <item x="350"/>
        <item x="838"/>
        <item x="312"/>
        <item x="185"/>
        <item x="375"/>
        <item x="641"/>
        <item x="199"/>
        <item x="585"/>
        <item x="524"/>
        <item x="956"/>
        <item x="497"/>
        <item x="941"/>
        <item x="403"/>
        <item x="761"/>
        <item x="30"/>
        <item x="957"/>
        <item x="431"/>
        <item x="706"/>
        <item x="252"/>
        <item x="440"/>
        <item x="673"/>
        <item x="384"/>
        <item x="541"/>
        <item x="732"/>
        <item x="336"/>
        <item x="740"/>
        <item x="231"/>
        <item x="331"/>
        <item x="267"/>
        <item x="404"/>
        <item x="80"/>
        <item x="572"/>
        <item x="77"/>
        <item x="620"/>
        <item x="622"/>
        <item x="792"/>
        <item x="918"/>
        <item x="699"/>
        <item x="771"/>
        <item x="865"/>
        <item x="270"/>
        <item x="14"/>
        <item x="889"/>
        <item x="345"/>
        <item x="832"/>
        <item x="363"/>
        <item x="769"/>
        <item x="132"/>
        <item x="145"/>
        <item x="16"/>
        <item x="700"/>
        <item x="768"/>
        <item x="861"/>
        <item x="380"/>
        <item x="552"/>
        <item x="275"/>
        <item x="615"/>
        <item x="412"/>
        <item x="827"/>
        <item x="897"/>
        <item x="917"/>
        <item x="909"/>
        <item x="351"/>
        <item x="625"/>
        <item x="223"/>
        <item x="539"/>
        <item x="59"/>
        <item x="805"/>
        <item x="514"/>
        <item x="226"/>
        <item x="357"/>
        <item x="116"/>
        <item x="79"/>
        <item t="default"/>
      </items>
    </pivotField>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h="1" x="0"/>
        <item h="1" x="1"/>
        <item h="1" x="2"/>
        <item x="3"/>
        <item h="1" x="4"/>
        <item t="default"/>
      </items>
    </pivotField>
  </pivotFields>
  <rowFields count="1">
    <field x="0"/>
  </rowFields>
  <rowItems count="4">
    <i>
      <x/>
    </i>
    <i>
      <x v="1"/>
    </i>
    <i>
      <x v="2"/>
    </i>
    <i t="grand">
      <x/>
    </i>
  </rowItems>
  <colItems count="1">
    <i/>
  </colItems>
  <dataFields count="1">
    <dataField name="Count of Outcome" fld="0" subtotal="count" showDataAs="percentOfTotal" baseField="0" baseItem="0" numFmtId="10"/>
  </dataFields>
  <chartFormats count="19">
    <chartFormat chart="1" format="1" series="1">
      <pivotArea type="data" outline="0" fieldPosition="0">
        <references count="1">
          <reference field="4294967294" count="1" selected="0">
            <x v="0"/>
          </reference>
        </references>
      </pivotArea>
    </chartFormat>
    <chartFormat chart="1" format="2" series="1">
      <pivotArea type="data" outline="0" fieldPosition="0">
        <references count="2">
          <reference field="4294967294" count="1" selected="0">
            <x v="0"/>
          </reference>
          <reference field="0" count="1" selected="0">
            <x v="1"/>
          </reference>
        </references>
      </pivotArea>
    </chartFormat>
    <chartFormat chart="1" format="3" series="1">
      <pivotArea type="data" outline="0" fieldPosition="0">
        <references count="2">
          <reference field="4294967294" count="1" selected="0">
            <x v="0"/>
          </reference>
          <reference field="0" count="1" selected="0">
            <x v="2"/>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0"/>
          </reference>
        </references>
      </pivotArea>
    </chartFormat>
    <chartFormat chart="2" format="2">
      <pivotArea type="data" outline="0" fieldPosition="0">
        <references count="2">
          <reference field="4294967294" count="1" selected="0">
            <x v="0"/>
          </reference>
          <reference field="0" count="1" selected="0">
            <x v="1"/>
          </reference>
        </references>
      </pivotArea>
    </chartFormat>
    <chartFormat chart="2" format="3">
      <pivotArea type="data" outline="0" fieldPosition="0">
        <references count="2">
          <reference field="4294967294" count="1" selected="0">
            <x v="0"/>
          </reference>
          <reference field="0" count="1" selected="0">
            <x v="2"/>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0" count="1" selected="0">
            <x v="0"/>
          </reference>
        </references>
      </pivotArea>
    </chartFormat>
    <chartFormat chart="4" format="6">
      <pivotArea type="data" outline="0" fieldPosition="0">
        <references count="2">
          <reference field="4294967294" count="1" selected="0">
            <x v="0"/>
          </reference>
          <reference field="0" count="1" selected="0">
            <x v="1"/>
          </reference>
        </references>
      </pivotArea>
    </chartFormat>
    <chartFormat chart="4" format="7">
      <pivotArea type="data" outline="0" fieldPosition="0">
        <references count="2">
          <reference field="4294967294" count="1" selected="0">
            <x v="0"/>
          </reference>
          <reference field="0" count="1" selected="0">
            <x v="2"/>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0" count="1" selected="0">
            <x v="0"/>
          </reference>
        </references>
      </pivotArea>
    </chartFormat>
    <chartFormat chart="5" format="10">
      <pivotArea type="data" outline="0" fieldPosition="0">
        <references count="2">
          <reference field="4294967294" count="1" selected="0">
            <x v="0"/>
          </reference>
          <reference field="0" count="1" selected="0">
            <x v="1"/>
          </reference>
        </references>
      </pivotArea>
    </chartFormat>
    <chartFormat chart="5" format="11">
      <pivotArea type="data" outline="0" fieldPosition="0">
        <references count="2">
          <reference field="4294967294" count="1" selected="0">
            <x v="0"/>
          </reference>
          <reference field="0" count="1" selected="0">
            <x v="2"/>
          </reference>
        </references>
      </pivotArea>
    </chartFormat>
    <chartFormat chart="9" format="16" series="1">
      <pivotArea type="data" outline="0" fieldPosition="0">
        <references count="1">
          <reference field="4294967294" count="1" selected="0">
            <x v="0"/>
          </reference>
        </references>
      </pivotArea>
    </chartFormat>
    <chartFormat chart="9" format="17">
      <pivotArea type="data" outline="0" fieldPosition="0">
        <references count="2">
          <reference field="4294967294" count="1" selected="0">
            <x v="0"/>
          </reference>
          <reference field="0" count="1" selected="0">
            <x v="0"/>
          </reference>
        </references>
      </pivotArea>
    </chartFormat>
    <chartFormat chart="9" format="18">
      <pivotArea type="data" outline="0" fieldPosition="0">
        <references count="2">
          <reference field="4294967294" count="1" selected="0">
            <x v="0"/>
          </reference>
          <reference field="0" count="1" selected="0">
            <x v="1"/>
          </reference>
        </references>
      </pivotArea>
    </chartFormat>
    <chartFormat chart="9" format="19">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20D3317F-24DE-4286-9947-4273DB61309E}" name="PivotTable5"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1">
  <location ref="A247:A248" firstHeaderRow="1" firstDataRow="1" firstDataCol="0"/>
  <pivotFields count="24">
    <pivotField showAll="0">
      <items count="4">
        <item x="2"/>
        <item x="0"/>
        <item x="1"/>
        <item t="default"/>
      </items>
    </pivotField>
    <pivotField numFmtId="14" showAll="0">
      <items count="141">
        <item x="45"/>
        <item x="88"/>
        <item x="138"/>
        <item x="89"/>
        <item x="136"/>
        <item x="7"/>
        <item x="122"/>
        <item x="121"/>
        <item x="125"/>
        <item x="8"/>
        <item x="112"/>
        <item x="14"/>
        <item x="87"/>
        <item x="65"/>
        <item x="71"/>
        <item x="81"/>
        <item x="103"/>
        <item x="12"/>
        <item x="20"/>
        <item x="133"/>
        <item x="93"/>
        <item x="9"/>
        <item x="130"/>
        <item x="40"/>
        <item x="5"/>
        <item x="106"/>
        <item x="78"/>
        <item x="135"/>
        <item x="21"/>
        <item x="131"/>
        <item x="57"/>
        <item x="59"/>
        <item x="97"/>
        <item x="66"/>
        <item x="3"/>
        <item x="104"/>
        <item x="107"/>
        <item x="34"/>
        <item x="124"/>
        <item x="16"/>
        <item x="0"/>
        <item x="127"/>
        <item x="13"/>
        <item x="25"/>
        <item x="42"/>
        <item x="73"/>
        <item x="69"/>
        <item x="44"/>
        <item x="111"/>
        <item x="23"/>
        <item x="118"/>
        <item x="56"/>
        <item x="18"/>
        <item x="68"/>
        <item x="115"/>
        <item x="80"/>
        <item x="60"/>
        <item x="101"/>
        <item x="63"/>
        <item x="132"/>
        <item x="134"/>
        <item x="90"/>
        <item x="105"/>
        <item x="50"/>
        <item x="29"/>
        <item x="83"/>
        <item x="95"/>
        <item x="51"/>
        <item x="75"/>
        <item x="85"/>
        <item x="110"/>
        <item x="41"/>
        <item x="15"/>
        <item x="52"/>
        <item x="4"/>
        <item x="31"/>
        <item x="6"/>
        <item x="117"/>
        <item x="2"/>
        <item x="22"/>
        <item x="39"/>
        <item x="114"/>
        <item x="91"/>
        <item x="100"/>
        <item x="58"/>
        <item x="32"/>
        <item x="99"/>
        <item x="102"/>
        <item x="30"/>
        <item x="19"/>
        <item x="47"/>
        <item x="10"/>
        <item x="120"/>
        <item x="17"/>
        <item x="26"/>
        <item x="109"/>
        <item x="94"/>
        <item x="116"/>
        <item x="46"/>
        <item x="36"/>
        <item x="67"/>
        <item x="76"/>
        <item x="123"/>
        <item x="77"/>
        <item x="1"/>
        <item x="28"/>
        <item x="35"/>
        <item x="70"/>
        <item x="128"/>
        <item x="64"/>
        <item x="62"/>
        <item x="72"/>
        <item x="79"/>
        <item x="53"/>
        <item x="11"/>
        <item x="129"/>
        <item x="139"/>
        <item x="86"/>
        <item x="113"/>
        <item x="33"/>
        <item x="43"/>
        <item x="37"/>
        <item x="92"/>
        <item x="82"/>
        <item x="49"/>
        <item x="55"/>
        <item x="38"/>
        <item x="126"/>
        <item x="61"/>
        <item x="84"/>
        <item x="98"/>
        <item x="48"/>
        <item x="74"/>
        <item x="54"/>
        <item x="108"/>
        <item x="96"/>
        <item x="119"/>
        <item x="27"/>
        <item x="137"/>
        <item x="24"/>
        <item t="default"/>
      </items>
    </pivotField>
    <pivotField showAll="0">
      <items count="10">
        <item h="1" x="8"/>
        <item h="1" x="4"/>
        <item x="3"/>
        <item h="1" x="5"/>
        <item h="1" x="2"/>
        <item h="1" x="1"/>
        <item h="1" x="7"/>
        <item h="1" x="6"/>
        <item h="1" x="0"/>
        <item t="default"/>
      </items>
    </pivotField>
    <pivotField showAll="0">
      <items count="1288">
        <item x="2"/>
        <item x="113"/>
        <item x="0"/>
        <item x="18"/>
        <item x="241"/>
        <item x="219"/>
        <item x="147"/>
        <item x="86"/>
        <item x="212"/>
        <item x="286"/>
        <item x="54"/>
        <item x="108"/>
        <item x="44"/>
        <item x="93"/>
        <item x="393"/>
        <item x="76"/>
        <item x="431"/>
        <item x="97"/>
        <item x="28"/>
        <item x="298"/>
        <item x="99"/>
        <item x="75"/>
        <item x="234"/>
        <item x="408"/>
        <item x="20"/>
        <item x="26"/>
        <item x="197"/>
        <item x="60"/>
        <item x="1"/>
        <item x="103"/>
        <item x="132"/>
        <item x="417"/>
        <item x="8"/>
        <item x="25"/>
        <item x="287"/>
        <item x="892"/>
        <item x="43"/>
        <item x="210"/>
        <item x="188"/>
        <item x="102"/>
        <item x="82"/>
        <item x="503"/>
        <item x="427"/>
        <item x="155"/>
        <item x="92"/>
        <item x="976"/>
        <item x="168"/>
        <item x="806"/>
        <item x="41"/>
        <item x="479"/>
        <item x="395"/>
        <item x="59"/>
        <item x="133"/>
        <item x="388"/>
        <item x="37"/>
        <item x="348"/>
        <item x="177"/>
        <item x="372"/>
        <item x="300"/>
        <item x="567"/>
        <item x="40"/>
        <item x="220"/>
        <item x="251"/>
        <item x="63"/>
        <item x="104"/>
        <item x="698"/>
        <item x="205"/>
        <item x="472"/>
        <item x="499"/>
        <item x="357"/>
        <item x="101"/>
        <item x="650"/>
        <item x="391"/>
        <item x="31"/>
        <item x="766"/>
        <item x="117"/>
        <item x="317"/>
        <item x="159"/>
        <item x="365"/>
        <item x="198"/>
        <item x="620"/>
        <item x="115"/>
        <item x="32"/>
        <item x="517"/>
        <item x="334"/>
        <item x="17"/>
        <item x="114"/>
        <item x="935"/>
        <item x="178"/>
        <item x="64"/>
        <item x="278"/>
        <item x="215"/>
        <item x="537"/>
        <item x="47"/>
        <item x="461"/>
        <item x="341"/>
        <item x="161"/>
        <item x="555"/>
        <item x="570"/>
        <item x="42"/>
        <item x="23"/>
        <item x="370"/>
        <item x="14"/>
        <item x="512"/>
        <item x="652"/>
        <item x="169"/>
        <item x="201"/>
        <item x="331"/>
        <item x="185"/>
        <item x="322"/>
        <item x="820"/>
        <item x="91"/>
        <item x="162"/>
        <item x="442"/>
        <item x="203"/>
        <item x="661"/>
        <item x="851"/>
        <item x="351"/>
        <item x="134"/>
        <item x="281"/>
        <item x="371"/>
        <item x="271"/>
        <item x="1132"/>
        <item x="763"/>
        <item x="21"/>
        <item x="33"/>
        <item x="405"/>
        <item x="528"/>
        <item x="752"/>
        <item x="506"/>
        <item x="311"/>
        <item x="601"/>
        <item x="94"/>
        <item x="58"/>
        <item x="153"/>
        <item x="494"/>
        <item x="176"/>
        <item x="1194"/>
        <item x="422"/>
        <item x="89"/>
        <item x="222"/>
        <item x="87"/>
        <item x="514"/>
        <item x="645"/>
        <item x="542"/>
        <item x="501"/>
        <item x="870"/>
        <item x="628"/>
        <item x="530"/>
        <item x="426"/>
        <item x="160"/>
        <item x="57"/>
        <item x="604"/>
        <item x="438"/>
        <item x="392"/>
        <item x="66"/>
        <item x="633"/>
        <item x="755"/>
        <item x="45"/>
        <item x="564"/>
        <item x="511"/>
        <item x="584"/>
        <item x="477"/>
        <item x="572"/>
        <item x="873"/>
        <item x="7"/>
        <item x="72"/>
        <item x="800"/>
        <item x="128"/>
        <item x="1162"/>
        <item x="192"/>
        <item x="265"/>
        <item x="638"/>
        <item x="137"/>
        <item x="249"/>
        <item x="768"/>
        <item x="146"/>
        <item x="406"/>
        <item x="182"/>
        <item x="1000"/>
        <item x="225"/>
        <item x="1123"/>
        <item x="400"/>
        <item x="759"/>
        <item x="24"/>
        <item x="1286"/>
        <item x="39"/>
        <item x="352"/>
        <item x="1202"/>
        <item x="635"/>
        <item x="263"/>
        <item x="996"/>
        <item x="347"/>
        <item x="454"/>
        <item x="369"/>
        <item x="363"/>
        <item x="799"/>
        <item x="502"/>
        <item x="383"/>
        <item x="216"/>
        <item x="256"/>
        <item x="641"/>
        <item x="356"/>
        <item x="109"/>
        <item x="946"/>
        <item x="940"/>
        <item x="164"/>
        <item x="401"/>
        <item x="449"/>
        <item x="175"/>
        <item x="1148"/>
        <item x="1116"/>
        <item x="548"/>
        <item x="1216"/>
        <item x="460"/>
        <item x="1151"/>
        <item x="1189"/>
        <item x="475"/>
        <item x="131"/>
        <item x="1046"/>
        <item x="1141"/>
        <item x="702"/>
        <item x="639"/>
        <item x="959"/>
        <item x="321"/>
        <item x="844"/>
        <item x="794"/>
        <item x="343"/>
        <item x="125"/>
        <item x="653"/>
        <item x="313"/>
        <item x="282"/>
        <item x="193"/>
        <item x="808"/>
        <item x="1122"/>
        <item x="680"/>
        <item x="1008"/>
        <item x="19"/>
        <item x="484"/>
        <item x="450"/>
        <item x="152"/>
        <item x="105"/>
        <item x="874"/>
        <item x="1066"/>
        <item x="195"/>
        <item x="869"/>
        <item x="551"/>
        <item x="1182"/>
        <item x="507"/>
        <item x="500"/>
        <item x="842"/>
        <item x="796"/>
        <item x="947"/>
        <item x="444"/>
        <item x="899"/>
        <item x="803"/>
        <item x="719"/>
        <item x="122"/>
        <item x="398"/>
        <item x="615"/>
        <item x="46"/>
        <item x="421"/>
        <item x="903"/>
        <item x="930"/>
        <item x="582"/>
        <item x="762"/>
        <item x="674"/>
        <item x="795"/>
        <item x="1086"/>
        <item x="397"/>
        <item x="15"/>
        <item x="430"/>
        <item x="544"/>
        <item x="261"/>
        <item x="68"/>
        <item x="969"/>
        <item x="1193"/>
        <item x="252"/>
        <item x="1011"/>
        <item x="452"/>
        <item x="575"/>
        <item x="1013"/>
        <item x="255"/>
        <item x="480"/>
        <item x="912"/>
        <item x="1055"/>
        <item x="120"/>
        <item x="154"/>
        <item x="577"/>
        <item x="573"/>
        <item x="491"/>
        <item x="284"/>
        <item x="613"/>
        <item x="1080"/>
        <item x="830"/>
        <item x="346"/>
        <item x="121"/>
        <item x="61"/>
        <item x="258"/>
        <item x="6"/>
        <item x="771"/>
        <item x="295"/>
        <item x="12"/>
        <item x="805"/>
        <item x="726"/>
        <item x="954"/>
        <item x="206"/>
        <item x="145"/>
        <item x="359"/>
        <item x="556"/>
        <item x="433"/>
        <item x="943"/>
        <item x="310"/>
        <item x="389"/>
        <item x="78"/>
        <item x="235"/>
        <item x="119"/>
        <item x="510"/>
        <item x="419"/>
        <item x="4"/>
        <item x="509"/>
        <item x="289"/>
        <item x="307"/>
        <item x="174"/>
        <item x="1126"/>
        <item x="423"/>
        <item x="1254"/>
        <item x="360"/>
        <item x="553"/>
        <item x="587"/>
        <item x="728"/>
        <item x="151"/>
        <item x="882"/>
        <item x="758"/>
        <item x="69"/>
        <item x="634"/>
        <item x="675"/>
        <item x="373"/>
        <item x="1262"/>
        <item x="915"/>
        <item x="1074"/>
        <item x="456"/>
        <item x="476"/>
        <item x="683"/>
        <item x="714"/>
        <item x="1007"/>
        <item x="467"/>
        <item x="236"/>
        <item x="734"/>
        <item x="73"/>
        <item x="1097"/>
        <item x="302"/>
        <item x="303"/>
        <item x="1266"/>
        <item x="1239"/>
        <item x="469"/>
        <item x="429"/>
        <item x="468"/>
        <item x="166"/>
        <item x="273"/>
        <item x="394"/>
        <item x="1115"/>
        <item x="382"/>
        <item x="1018"/>
        <item x="743"/>
        <item x="1263"/>
        <item x="824"/>
        <item x="583"/>
        <item x="100"/>
        <item x="965"/>
        <item x="213"/>
        <item x="672"/>
        <item x="330"/>
        <item x="549"/>
        <item x="701"/>
        <item x="896"/>
        <item x="999"/>
        <item x="1280"/>
        <item x="474"/>
        <item x="299"/>
        <item x="425"/>
        <item x="189"/>
        <item x="681"/>
        <item x="138"/>
        <item x="332"/>
        <item x="48"/>
        <item x="809"/>
        <item x="1039"/>
        <item x="293"/>
        <item x="1062"/>
        <item x="558"/>
        <item x="1142"/>
        <item x="878"/>
        <item x="186"/>
        <item x="336"/>
        <item x="165"/>
        <item x="296"/>
        <item x="384"/>
        <item x="732"/>
        <item x="565"/>
        <item x="685"/>
        <item x="1206"/>
        <item x="953"/>
        <item x="705"/>
        <item x="909"/>
        <item x="610"/>
        <item x="933"/>
        <item x="1150"/>
        <item x="1201"/>
        <item x="129"/>
        <item x="368"/>
        <item x="409"/>
        <item x="984"/>
        <item x="1041"/>
        <item x="163"/>
        <item x="1237"/>
        <item x="673"/>
        <item x="717"/>
        <item x="920"/>
        <item x="1149"/>
        <item x="623"/>
        <item x="1199"/>
        <item x="290"/>
        <item x="471"/>
        <item x="264"/>
        <item x="486"/>
        <item x="769"/>
        <item x="1277"/>
        <item x="863"/>
        <item x="407"/>
        <item x="857"/>
        <item x="767"/>
        <item x="254"/>
        <item x="527"/>
        <item x="901"/>
        <item x="804"/>
        <item x="71"/>
        <item x="884"/>
        <item x="1075"/>
        <item x="955"/>
        <item x="706"/>
        <item x="827"/>
        <item x="704"/>
        <item x="682"/>
        <item x="316"/>
        <item x="420"/>
        <item x="864"/>
        <item x="329"/>
        <item x="695"/>
        <item x="1059"/>
        <item x="1093"/>
        <item x="262"/>
        <item x="819"/>
        <item x="1270"/>
        <item x="979"/>
        <item x="606"/>
        <item x="562"/>
        <item x="626"/>
        <item x="171"/>
        <item x="750"/>
        <item x="907"/>
        <item x="1098"/>
        <item x="337"/>
        <item x="462"/>
        <item x="127"/>
        <item x="283"/>
        <item x="557"/>
        <item x="751"/>
        <item x="725"/>
        <item x="1144"/>
        <item x="889"/>
        <item x="1170"/>
        <item x="1014"/>
        <item x="1038"/>
        <item x="568"/>
        <item x="729"/>
        <item x="70"/>
        <item x="1229"/>
        <item x="1113"/>
        <item x="314"/>
        <item x="196"/>
        <item x="1031"/>
        <item x="598"/>
        <item x="84"/>
        <item x="308"/>
        <item x="1094"/>
        <item x="411"/>
        <item x="403"/>
        <item x="631"/>
        <item x="221"/>
        <item x="253"/>
        <item x="990"/>
        <item x="691"/>
        <item x="924"/>
        <item x="16"/>
        <item x="797"/>
        <item x="983"/>
        <item x="10"/>
        <item x="65"/>
        <item x="731"/>
        <item x="1067"/>
        <item x="991"/>
        <item x="1232"/>
        <item x="741"/>
        <item x="879"/>
        <item x="1187"/>
        <item x="53"/>
        <item x="913"/>
        <item x="1056"/>
        <item x="975"/>
        <item x="424"/>
        <item x="280"/>
        <item x="458"/>
        <item x="972"/>
        <item x="463"/>
        <item x="428"/>
        <item x="926"/>
        <item x="340"/>
        <item x="386"/>
        <item x="412"/>
        <item x="737"/>
        <item x="49"/>
        <item x="588"/>
        <item x="973"/>
        <item x="1085"/>
        <item x="599"/>
        <item x="828"/>
        <item x="335"/>
        <item x="1103"/>
        <item x="276"/>
        <item x="1241"/>
        <item x="1015"/>
        <item x="593"/>
        <item x="958"/>
        <item x="448"/>
        <item x="539"/>
        <item x="418"/>
        <item x="816"/>
        <item x="618"/>
        <item x="1281"/>
        <item x="126"/>
        <item x="1108"/>
        <item x="580"/>
        <item x="170"/>
        <item x="932"/>
        <item x="574"/>
        <item x="396"/>
        <item x="772"/>
        <item x="835"/>
        <item x="934"/>
        <item x="829"/>
        <item x="1114"/>
        <item x="545"/>
        <item x="55"/>
        <item x="344"/>
        <item x="1084"/>
        <item x="708"/>
        <item x="229"/>
        <item x="1051"/>
        <item x="67"/>
        <item x="536"/>
        <item x="380"/>
        <item x="992"/>
        <item x="1212"/>
        <item x="745"/>
        <item x="516"/>
        <item x="1166"/>
        <item x="711"/>
        <item x="470"/>
        <item x="1219"/>
        <item x="607"/>
        <item x="399"/>
        <item x="905"/>
        <item x="547"/>
        <item x="123"/>
        <item x="775"/>
        <item x="1238"/>
        <item x="640"/>
        <item x="591"/>
        <item x="813"/>
        <item x="124"/>
        <item x="439"/>
        <item x="663"/>
        <item x="860"/>
        <item x="304"/>
        <item x="200"/>
        <item x="1285"/>
        <item x="687"/>
        <item x="668"/>
        <item x="657"/>
        <item x="38"/>
        <item x="1033"/>
        <item x="29"/>
        <item x="1073"/>
        <item x="111"/>
        <item x="937"/>
        <item x="846"/>
        <item x="22"/>
        <item x="660"/>
        <item x="268"/>
        <item x="35"/>
        <item x="1017"/>
        <item x="1100"/>
        <item x="1088"/>
        <item x="1213"/>
        <item x="374"/>
        <item x="840"/>
        <item x="1235"/>
        <item x="721"/>
        <item x="305"/>
        <item x="320"/>
        <item x="489"/>
        <item x="560"/>
        <item x="445"/>
        <item x="885"/>
        <item x="856"/>
        <item x="1029"/>
        <item x="1208"/>
        <item x="692"/>
        <item x="1026"/>
        <item x="938"/>
        <item x="1112"/>
        <item x="703"/>
        <item x="693"/>
        <item x="720"/>
        <item x="760"/>
        <item x="1244"/>
        <item x="266"/>
        <item x="589"/>
        <item x="964"/>
        <item x="921"/>
        <item x="1260"/>
        <item x="566"/>
        <item x="378"/>
        <item x="875"/>
        <item x="390"/>
        <item x="30"/>
        <item x="538"/>
        <item x="1230"/>
        <item x="887"/>
        <item x="361"/>
        <item x="1060"/>
        <item x="608"/>
        <item x="793"/>
        <item x="578"/>
        <item x="559"/>
        <item x="323"/>
        <item x="865"/>
        <item x="773"/>
        <item x="710"/>
        <item x="1057"/>
        <item x="906"/>
        <item x="859"/>
        <item x="753"/>
        <item x="292"/>
        <item x="833"/>
        <item x="791"/>
        <item x="297"/>
        <item x="350"/>
        <item x="1087"/>
        <item x="642"/>
        <item x="834"/>
        <item x="678"/>
        <item x="349"/>
        <item x="825"/>
        <item x="611"/>
        <item x="226"/>
        <item x="894"/>
        <item x="498"/>
        <item x="1245"/>
        <item x="718"/>
        <item x="1188"/>
        <item x="665"/>
        <item x="1240"/>
        <item x="244"/>
        <item x="275"/>
        <item x="437"/>
        <item x="1111"/>
        <item x="967"/>
        <item x="688"/>
        <item x="1125"/>
        <item x="1154"/>
        <item x="1110"/>
        <item x="1058"/>
        <item x="495"/>
        <item x="107"/>
        <item x="629"/>
        <item x="1138"/>
        <item x="306"/>
        <item x="576"/>
        <item x="1136"/>
        <item x="1192"/>
        <item x="1284"/>
        <item x="927"/>
        <item x="554"/>
        <item x="355"/>
        <item x="1127"/>
        <item x="326"/>
        <item x="1222"/>
        <item x="669"/>
        <item x="142"/>
        <item x="590"/>
        <item x="1035"/>
        <item x="801"/>
        <item x="285"/>
        <item x="52"/>
        <item x="736"/>
        <item x="595"/>
        <item x="1131"/>
        <item x="742"/>
        <item x="1186"/>
        <item x="1271"/>
        <item x="56"/>
        <item x="936"/>
        <item x="184"/>
        <item x="655"/>
        <item x="1272"/>
        <item x="180"/>
        <item x="523"/>
        <item x="379"/>
        <item x="649"/>
        <item x="739"/>
        <item x="529"/>
        <item x="664"/>
        <item x="524"/>
        <item x="662"/>
        <item x="872"/>
        <item x="338"/>
        <item x="950"/>
        <item x="541"/>
        <item x="1120"/>
        <item x="531"/>
        <item x="540"/>
        <item x="600"/>
        <item x="832"/>
        <item x="881"/>
        <item x="630"/>
        <item x="876"/>
        <item x="1203"/>
        <item x="897"/>
        <item x="1076"/>
        <item x="1242"/>
        <item x="700"/>
        <item x="110"/>
        <item x="778"/>
        <item x="942"/>
        <item x="709"/>
        <item x="482"/>
        <item x="1102"/>
        <item x="790"/>
        <item x="3"/>
        <item x="1264"/>
        <item x="1121"/>
        <item x="230"/>
        <item x="944"/>
        <item x="789"/>
        <item x="202"/>
        <item x="848"/>
        <item x="301"/>
        <item x="748"/>
        <item x="277"/>
        <item x="1261"/>
        <item x="952"/>
        <item x="783"/>
        <item x="1156"/>
        <item x="911"/>
        <item x="51"/>
        <item x="88"/>
        <item x="130"/>
        <item x="757"/>
        <item x="1205"/>
        <item x="144"/>
        <item x="981"/>
        <item x="106"/>
        <item x="27"/>
        <item x="1004"/>
        <item x="684"/>
        <item x="375"/>
        <item x="787"/>
        <item x="259"/>
        <item x="1104"/>
        <item x="172"/>
        <item x="697"/>
        <item x="1036"/>
        <item x="707"/>
        <item x="358"/>
        <item x="677"/>
        <item x="849"/>
        <item x="1010"/>
        <item x="328"/>
        <item x="518"/>
        <item x="614"/>
        <item x="754"/>
        <item x="327"/>
        <item x="617"/>
        <item x="994"/>
        <item x="247"/>
        <item x="291"/>
        <item x="866"/>
        <item x="478"/>
        <item x="521"/>
        <item x="852"/>
        <item x="1028"/>
        <item x="522"/>
        <item x="854"/>
        <item x="667"/>
        <item x="1130"/>
        <item x="157"/>
        <item x="1064"/>
        <item x="366"/>
        <item x="309"/>
        <item x="457"/>
        <item x="1078"/>
        <item x="318"/>
        <item x="1082"/>
        <item x="1265"/>
        <item x="62"/>
        <item x="270"/>
        <item x="1283"/>
        <item x="1161"/>
        <item x="1045"/>
        <item x="605"/>
        <item x="978"/>
        <item x="1211"/>
        <item x="173"/>
        <item x="1250"/>
        <item x="962"/>
        <item x="1068"/>
        <item x="1143"/>
        <item x="826"/>
        <item x="1109"/>
        <item x="886"/>
        <item x="1226"/>
        <item x="898"/>
        <item x="843"/>
        <item x="550"/>
        <item x="504"/>
        <item x="1167"/>
        <item x="385"/>
        <item x="792"/>
        <item x="1221"/>
        <item x="1027"/>
        <item x="818"/>
        <item x="1218"/>
        <item x="624"/>
        <item x="904"/>
        <item x="1030"/>
        <item x="837"/>
        <item x="150"/>
        <item x="404"/>
        <item x="487"/>
        <item x="1034"/>
        <item x="671"/>
        <item x="788"/>
        <item x="890"/>
        <item x="1137"/>
        <item x="1065"/>
        <item x="490"/>
        <item x="1158"/>
        <item x="440"/>
        <item x="1191"/>
        <item x="156"/>
        <item x="1037"/>
        <item x="993"/>
        <item x="95"/>
        <item x="1095"/>
        <item x="922"/>
        <item x="112"/>
        <item x="908"/>
        <item x="533"/>
        <item x="925"/>
        <item x="585"/>
        <item x="895"/>
        <item x="1096"/>
        <item x="1173"/>
        <item x="1174"/>
        <item x="957"/>
        <item x="602"/>
        <item x="451"/>
        <item x="696"/>
        <item x="1214"/>
        <item x="1217"/>
        <item x="513"/>
        <item x="209"/>
        <item x="1061"/>
        <item x="977"/>
        <item x="135"/>
        <item x="643"/>
        <item x="609"/>
        <item x="85"/>
        <item x="414"/>
        <item x="647"/>
        <item x="98"/>
        <item x="1257"/>
        <item x="1180"/>
        <item x="636"/>
        <item x="592"/>
        <item x="224"/>
        <item x="802"/>
        <item x="5"/>
        <item x="118"/>
        <item x="455"/>
        <item x="836"/>
        <item x="242"/>
        <item x="402"/>
        <item x="784"/>
        <item x="747"/>
        <item x="81"/>
        <item x="622"/>
        <item x="233"/>
        <item x="968"/>
        <item x="603"/>
        <item x="1079"/>
        <item x="208"/>
        <item x="658"/>
        <item x="858"/>
        <item x="272"/>
        <item x="971"/>
        <item x="579"/>
        <item x="353"/>
        <item x="83"/>
        <item x="1200"/>
        <item x="1210"/>
        <item x="1249"/>
        <item x="158"/>
        <item x="699"/>
        <item x="1077"/>
        <item x="333"/>
        <item x="1072"/>
        <item x="931"/>
        <item x="1050"/>
        <item x="279"/>
        <item x="190"/>
        <item x="740"/>
        <item x="459"/>
        <item x="243"/>
        <item x="914"/>
        <item x="838"/>
        <item x="543"/>
        <item x="191"/>
        <item x="1267"/>
        <item x="774"/>
        <item x="1023"/>
        <item x="961"/>
        <item x="581"/>
        <item x="781"/>
        <item x="902"/>
        <item x="735"/>
        <item x="1163"/>
        <item x="654"/>
        <item x="1169"/>
        <item x="240"/>
        <item x="1181"/>
        <item x="1179"/>
        <item x="239"/>
        <item x="1042"/>
        <item x="227"/>
        <item x="1022"/>
        <item x="248"/>
        <item x="724"/>
        <item x="269"/>
        <item x="377"/>
        <item x="1171"/>
        <item x="917"/>
        <item x="1251"/>
        <item x="686"/>
        <item x="1176"/>
        <item x="1248"/>
        <item x="1275"/>
        <item x="1204"/>
        <item x="1159"/>
        <item x="493"/>
        <item x="77"/>
        <item x="1224"/>
        <item x="381"/>
        <item x="34"/>
        <item x="1231"/>
        <item x="738"/>
        <item x="868"/>
        <item x="1209"/>
        <item x="187"/>
        <item x="880"/>
        <item x="354"/>
        <item x="552"/>
        <item x="785"/>
        <item x="563"/>
        <item x="877"/>
        <item x="845"/>
        <item x="1220"/>
        <item x="465"/>
        <item x="483"/>
        <item x="798"/>
        <item x="722"/>
        <item x="612"/>
        <item x="294"/>
        <item x="415"/>
        <item x="949"/>
        <item x="1083"/>
        <item x="1107"/>
        <item x="715"/>
        <item x="36"/>
        <item x="1236"/>
        <item x="847"/>
        <item x="79"/>
        <item x="679"/>
        <item x="998"/>
        <item x="526"/>
        <item x="376"/>
        <item x="342"/>
        <item x="730"/>
        <item x="1049"/>
        <item x="1117"/>
        <item x="416"/>
        <item x="1069"/>
        <item x="893"/>
        <item x="441"/>
        <item x="505"/>
        <item x="1269"/>
        <item x="764"/>
        <item x="1052"/>
        <item x="1185"/>
        <item x="434"/>
        <item x="986"/>
        <item x="1021"/>
        <item x="1001"/>
        <item x="989"/>
        <item x="74"/>
        <item x="231"/>
        <item x="782"/>
        <item x="183"/>
        <item x="839"/>
        <item x="646"/>
        <item x="436"/>
        <item x="1183"/>
        <item x="508"/>
        <item x="916"/>
        <item x="1255"/>
        <item x="776"/>
        <item x="238"/>
        <item x="179"/>
        <item x="918"/>
        <item x="822"/>
        <item x="148"/>
        <item x="1012"/>
        <item x="746"/>
        <item x="765"/>
        <item x="1197"/>
        <item x="1155"/>
        <item x="855"/>
        <item x="923"/>
        <item x="1129"/>
        <item x="116"/>
        <item x="1253"/>
        <item x="1225"/>
        <item x="861"/>
        <item x="1118"/>
        <item x="712"/>
        <item x="1145"/>
        <item x="676"/>
        <item x="1140"/>
        <item x="1044"/>
        <item x="900"/>
        <item x="988"/>
        <item x="1223"/>
        <item x="1198"/>
        <item x="80"/>
        <item x="345"/>
        <item x="659"/>
        <item x="815"/>
        <item x="1276"/>
        <item x="960"/>
        <item x="928"/>
        <item x="1256"/>
        <item x="1091"/>
        <item x="324"/>
        <item x="974"/>
        <item x="1053"/>
        <item x="780"/>
        <item x="1020"/>
        <item x="1040"/>
        <item x="464"/>
        <item x="821"/>
        <item x="871"/>
        <item x="1195"/>
        <item x="1152"/>
        <item x="970"/>
        <item x="862"/>
        <item x="362"/>
        <item x="569"/>
        <item x="453"/>
        <item x="1081"/>
        <item x="1063"/>
        <item x="1005"/>
        <item x="319"/>
        <item x="167"/>
        <item x="1234"/>
        <item x="1153"/>
        <item x="260"/>
        <item x="228"/>
        <item x="250"/>
        <item x="963"/>
        <item x="910"/>
        <item x="90"/>
        <item x="1279"/>
        <item x="616"/>
        <item x="1168"/>
        <item x="786"/>
        <item x="214"/>
        <item x="1227"/>
        <item x="149"/>
        <item x="1019"/>
        <item x="413"/>
        <item x="1243"/>
        <item x="770"/>
        <item x="756"/>
        <item x="325"/>
        <item x="492"/>
        <item x="811"/>
        <item x="1282"/>
        <item x="1128"/>
        <item x="312"/>
        <item x="1157"/>
        <item x="945"/>
        <item x="850"/>
        <item x="761"/>
        <item x="447"/>
        <item x="619"/>
        <item x="432"/>
        <item x="207"/>
        <item x="841"/>
        <item x="1190"/>
        <item x="621"/>
        <item x="596"/>
        <item x="1165"/>
        <item x="515"/>
        <item x="1175"/>
        <item x="387"/>
        <item x="1196"/>
        <item x="446"/>
        <item x="199"/>
        <item x="1106"/>
        <item x="814"/>
        <item x="1228"/>
        <item x="867"/>
        <item x="488"/>
        <item x="713"/>
        <item x="651"/>
        <item x="812"/>
        <item x="1160"/>
        <item x="136"/>
        <item x="666"/>
        <item x="1133"/>
        <item x="217"/>
        <item x="1134"/>
        <item x="519"/>
        <item x="1105"/>
        <item x="1092"/>
        <item x="1252"/>
        <item x="535"/>
        <item x="644"/>
        <item x="496"/>
        <item x="987"/>
        <item x="1047"/>
        <item x="810"/>
        <item x="1099"/>
        <item x="237"/>
        <item x="586"/>
        <item x="744"/>
        <item x="1135"/>
        <item x="218"/>
        <item x="1043"/>
        <item x="1177"/>
        <item x="466"/>
        <item x="1024"/>
        <item x="1016"/>
        <item x="246"/>
        <item x="1178"/>
        <item x="749"/>
        <item x="883"/>
        <item x="670"/>
        <item x="997"/>
        <item x="995"/>
        <item x="1006"/>
        <item x="1002"/>
        <item x="315"/>
        <item x="941"/>
        <item x="141"/>
        <item x="1274"/>
        <item x="339"/>
        <item x="694"/>
        <item x="1119"/>
        <item x="410"/>
        <item x="627"/>
        <item x="532"/>
        <item x="1089"/>
        <item x="817"/>
        <item x="656"/>
        <item x="11"/>
        <item x="194"/>
        <item x="211"/>
        <item x="807"/>
        <item x="1025"/>
        <item x="689"/>
        <item x="140"/>
        <item x="853"/>
        <item x="1273"/>
        <item x="1184"/>
        <item x="364"/>
        <item x="1048"/>
        <item x="597"/>
        <item x="637"/>
        <item x="648"/>
        <item x="888"/>
        <item x="1124"/>
        <item x="267"/>
        <item x="1070"/>
        <item x="443"/>
        <item x="274"/>
        <item x="497"/>
        <item x="1009"/>
        <item x="481"/>
        <item x="948"/>
        <item x="733"/>
        <item x="716"/>
        <item x="777"/>
        <item x="1258"/>
        <item x="779"/>
        <item x="534"/>
        <item x="1246"/>
        <item x="525"/>
        <item x="1090"/>
        <item x="9"/>
        <item x="1215"/>
        <item x="1207"/>
        <item x="956"/>
        <item x="571"/>
        <item x="951"/>
        <item x="1139"/>
        <item x="257"/>
        <item x="223"/>
        <item x="139"/>
        <item x="723"/>
        <item x="1268"/>
        <item x="485"/>
        <item x="1032"/>
        <item x="561"/>
        <item x="632"/>
        <item x="520"/>
        <item x="982"/>
        <item x="1233"/>
        <item x="1247"/>
        <item x="727"/>
        <item x="1259"/>
        <item x="204"/>
        <item x="288"/>
        <item x="1054"/>
        <item x="1147"/>
        <item x="1278"/>
        <item x="1146"/>
        <item x="831"/>
        <item x="690"/>
        <item x="1003"/>
        <item x="546"/>
        <item x="367"/>
        <item x="594"/>
        <item x="919"/>
        <item x="980"/>
        <item x="1164"/>
        <item x="50"/>
        <item x="966"/>
        <item x="232"/>
        <item x="1172"/>
        <item x="435"/>
        <item x="473"/>
        <item x="1071"/>
        <item x="929"/>
        <item x="939"/>
        <item x="1101"/>
        <item x="625"/>
        <item x="13"/>
        <item x="181"/>
        <item x="96"/>
        <item x="891"/>
        <item x="823"/>
        <item x="985"/>
        <item x="245"/>
        <item x="143"/>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items count="514">
        <item x="2"/>
        <item x="1"/>
        <item x="0"/>
        <item x="45"/>
        <item x="20"/>
        <item x="13"/>
        <item x="18"/>
        <item x="64"/>
        <item x="33"/>
        <item x="51"/>
        <item x="24"/>
        <item x="6"/>
        <item x="27"/>
        <item x="16"/>
        <item x="35"/>
        <item x="36"/>
        <item x="91"/>
        <item x="134"/>
        <item x="8"/>
        <item x="34"/>
        <item x="29"/>
        <item x="46"/>
        <item x="37"/>
        <item x="87"/>
        <item x="56"/>
        <item x="32"/>
        <item x="17"/>
        <item x="60"/>
        <item x="48"/>
        <item x="31"/>
        <item x="71"/>
        <item x="66"/>
        <item x="182"/>
        <item x="75"/>
        <item x="118"/>
        <item x="137"/>
        <item x="194"/>
        <item x="19"/>
        <item x="42"/>
        <item x="155"/>
        <item x="93"/>
        <item x="211"/>
        <item x="255"/>
        <item x="44"/>
        <item x="261"/>
        <item x="117"/>
        <item x="128"/>
        <item x="80"/>
        <item x="259"/>
        <item x="185"/>
        <item x="67"/>
        <item x="39"/>
        <item x="23"/>
        <item x="223"/>
        <item x="198"/>
        <item x="106"/>
        <item x="15"/>
        <item x="26"/>
        <item x="177"/>
        <item x="76"/>
        <item x="303"/>
        <item x="94"/>
        <item x="90"/>
        <item x="300"/>
        <item x="192"/>
        <item x="125"/>
        <item x="304"/>
        <item x="325"/>
        <item x="47"/>
        <item x="204"/>
        <item x="4"/>
        <item x="72"/>
        <item x="40"/>
        <item x="231"/>
        <item x="54"/>
        <item x="170"/>
        <item x="135"/>
        <item x="25"/>
        <item x="218"/>
        <item x="142"/>
        <item x="63"/>
        <item x="21"/>
        <item x="154"/>
        <item x="101"/>
        <item x="151"/>
        <item x="367"/>
        <item x="176"/>
        <item x="229"/>
        <item x="30"/>
        <item x="109"/>
        <item x="156"/>
        <item x="250"/>
        <item x="139"/>
        <item x="187"/>
        <item x="195"/>
        <item x="7"/>
        <item x="145"/>
        <item x="281"/>
        <item x="41"/>
        <item x="122"/>
        <item x="232"/>
        <item x="470"/>
        <item x="114"/>
        <item x="158"/>
        <item x="189"/>
        <item x="215"/>
        <item x="461"/>
        <item x="140"/>
        <item x="84"/>
        <item x="97"/>
        <item x="326"/>
        <item x="115"/>
        <item x="239"/>
        <item x="431"/>
        <item x="394"/>
        <item x="277"/>
        <item x="380"/>
        <item x="3"/>
        <item x="107"/>
        <item x="58"/>
        <item x="171"/>
        <item x="221"/>
        <item x="220"/>
        <item x="113"/>
        <item x="65"/>
        <item x="260"/>
        <item x="74"/>
        <item x="356"/>
        <item x="141"/>
        <item x="382"/>
        <item x="199"/>
        <item x="296"/>
        <item x="381"/>
        <item x="188"/>
        <item x="22"/>
        <item x="233"/>
        <item x="273"/>
        <item x="314"/>
        <item x="423"/>
        <item x="77"/>
        <item x="119"/>
        <item x="183"/>
        <item x="309"/>
        <item x="228"/>
        <item x="262"/>
        <item x="147"/>
        <item x="292"/>
        <item x="110"/>
        <item x="196"/>
        <item x="244"/>
        <item x="354"/>
        <item x="49"/>
        <item x="201"/>
        <item x="371"/>
        <item x="111"/>
        <item x="291"/>
        <item x="213"/>
        <item x="472"/>
        <item x="345"/>
        <item x="143"/>
        <item x="193"/>
        <item x="312"/>
        <item x="236"/>
        <item x="404"/>
        <item x="294"/>
        <item x="144"/>
        <item x="306"/>
        <item x="129"/>
        <item x="11"/>
        <item x="227"/>
        <item x="222"/>
        <item x="442"/>
        <item x="174"/>
        <item x="317"/>
        <item x="352"/>
        <item x="104"/>
        <item x="370"/>
        <item x="82"/>
        <item x="288"/>
        <item x="393"/>
        <item x="191"/>
        <item x="100"/>
        <item x="157"/>
        <item x="386"/>
        <item x="212"/>
        <item x="419"/>
        <item x="267"/>
        <item x="433"/>
        <item x="123"/>
        <item x="363"/>
        <item x="126"/>
        <item x="383"/>
        <item x="278"/>
        <item x="343"/>
        <item x="344"/>
        <item x="499"/>
        <item x="289"/>
        <item x="376"/>
        <item x="249"/>
        <item x="57"/>
        <item x="86"/>
        <item x="318"/>
        <item x="385"/>
        <item x="95"/>
        <item x="103"/>
        <item x="242"/>
        <item x="402"/>
        <item x="254"/>
        <item x="338"/>
        <item x="456"/>
        <item x="186"/>
        <item x="417"/>
        <item x="240"/>
        <item x="480"/>
        <item x="412"/>
        <item x="124"/>
        <item x="297"/>
        <item x="257"/>
        <item x="149"/>
        <item x="271"/>
        <item x="265"/>
        <item x="319"/>
        <item x="138"/>
        <item x="214"/>
        <item x="279"/>
        <item x="465"/>
        <item x="495"/>
        <item x="238"/>
        <item x="268"/>
        <item x="172"/>
        <item x="437"/>
        <item x="313"/>
        <item x="205"/>
        <item x="328"/>
        <item x="132"/>
        <item x="92"/>
        <item x="181"/>
        <item x="69"/>
        <item x="506"/>
        <item x="448"/>
        <item x="210"/>
        <item x="269"/>
        <item x="361"/>
        <item x="460"/>
        <item x="347"/>
        <item x="494"/>
        <item x="272"/>
        <item x="391"/>
        <item x="452"/>
        <item x="200"/>
        <item x="263"/>
        <item x="150"/>
        <item x="127"/>
        <item x="342"/>
        <item x="274"/>
        <item x="270"/>
        <item x="52"/>
        <item x="55"/>
        <item x="160"/>
        <item x="9"/>
        <item x="206"/>
        <item x="388"/>
        <item x="96"/>
        <item x="159"/>
        <item x="112"/>
        <item x="462"/>
        <item x="12"/>
        <item x="468"/>
        <item x="290"/>
        <item x="348"/>
        <item x="79"/>
        <item x="252"/>
        <item x="73"/>
        <item x="168"/>
        <item x="458"/>
        <item x="322"/>
        <item x="225"/>
        <item x="476"/>
        <item x="509"/>
        <item x="224"/>
        <item x="184"/>
        <item x="493"/>
        <item x="410"/>
        <item x="390"/>
        <item x="469"/>
        <item x="203"/>
        <item x="253"/>
        <item x="133"/>
        <item x="375"/>
        <item x="349"/>
        <item x="131"/>
        <item x="311"/>
        <item x="190"/>
        <item x="336"/>
        <item x="237"/>
        <item x="360"/>
        <item x="421"/>
        <item x="50"/>
        <item x="301"/>
        <item x="241"/>
        <item x="276"/>
        <item x="258"/>
        <item x="283"/>
        <item x="362"/>
        <item x="282"/>
        <item x="83"/>
        <item x="440"/>
        <item x="161"/>
        <item x="148"/>
        <item x="436"/>
        <item x="266"/>
        <item x="105"/>
        <item x="401"/>
        <item x="478"/>
        <item x="247"/>
        <item x="444"/>
        <item x="116"/>
        <item x="310"/>
        <item x="99"/>
        <item x="285"/>
        <item x="387"/>
        <item x="295"/>
        <item x="136"/>
        <item x="443"/>
        <item x="420"/>
        <item x="497"/>
        <item x="490"/>
        <item x="305"/>
        <item x="246"/>
        <item x="165"/>
        <item x="286"/>
        <item x="275"/>
        <item x="226"/>
        <item x="511"/>
        <item x="453"/>
        <item x="207"/>
        <item x="197"/>
        <item x="217"/>
        <item x="293"/>
        <item x="512"/>
        <item x="491"/>
        <item x="424"/>
        <item x="428"/>
        <item x="395"/>
        <item x="307"/>
        <item x="372"/>
        <item x="298"/>
        <item x="335"/>
        <item x="216"/>
        <item x="414"/>
        <item x="53"/>
        <item x="351"/>
        <item x="339"/>
        <item x="230"/>
        <item x="501"/>
        <item x="59"/>
        <item x="173"/>
        <item x="88"/>
        <item x="457"/>
        <item x="89"/>
        <item x="330"/>
        <item x="169"/>
        <item x="5"/>
        <item x="369"/>
        <item x="397"/>
        <item x="359"/>
        <item x="302"/>
        <item x="474"/>
        <item x="477"/>
        <item x="507"/>
        <item x="445"/>
        <item x="350"/>
        <item x="315"/>
        <item x="163"/>
        <item x="399"/>
        <item x="482"/>
        <item x="379"/>
        <item x="415"/>
        <item x="475"/>
        <item x="68"/>
        <item x="70"/>
        <item x="146"/>
        <item x="337"/>
        <item x="334"/>
        <item x="407"/>
        <item x="416"/>
        <item x="487"/>
        <item x="450"/>
        <item x="377"/>
        <item x="332"/>
        <item x="368"/>
        <item x="167"/>
        <item x="166"/>
        <item x="256"/>
        <item x="439"/>
        <item x="426"/>
        <item x="430"/>
        <item x="162"/>
        <item x="418"/>
        <item x="320"/>
        <item x="498"/>
        <item x="340"/>
        <item x="324"/>
        <item x="454"/>
        <item x="357"/>
        <item x="10"/>
        <item x="466"/>
        <item x="449"/>
        <item x="355"/>
        <item x="364"/>
        <item x="467"/>
        <item x="329"/>
        <item x="406"/>
        <item x="481"/>
        <item x="500"/>
        <item x="403"/>
        <item x="463"/>
        <item x="483"/>
        <item x="121"/>
        <item x="299"/>
        <item x="78"/>
        <item x="81"/>
        <item x="504"/>
        <item x="427"/>
        <item x="484"/>
        <item x="243"/>
        <item x="219"/>
        <item x="486"/>
        <item x="321"/>
        <item x="234"/>
        <item x="502"/>
        <item x="235"/>
        <item x="455"/>
        <item x="488"/>
        <item x="153"/>
        <item x="175"/>
        <item x="202"/>
        <item x="251"/>
        <item x="425"/>
        <item x="434"/>
        <item x="280"/>
        <item x="365"/>
        <item x="479"/>
        <item x="378"/>
        <item x="485"/>
        <item x="331"/>
        <item x="14"/>
        <item x="446"/>
        <item x="179"/>
        <item x="432"/>
        <item x="408"/>
        <item x="43"/>
        <item x="489"/>
        <item x="429"/>
        <item x="451"/>
        <item x="287"/>
        <item x="316"/>
        <item x="346"/>
        <item x="459"/>
        <item x="438"/>
        <item x="353"/>
        <item x="164"/>
        <item x="61"/>
        <item x="492"/>
        <item x="178"/>
        <item x="373"/>
        <item x="245"/>
        <item x="102"/>
        <item x="464"/>
        <item x="333"/>
        <item x="505"/>
        <item x="341"/>
        <item x="108"/>
        <item x="366"/>
        <item x="435"/>
        <item x="85"/>
        <item x="308"/>
        <item x="503"/>
        <item x="496"/>
        <item x="422"/>
        <item x="130"/>
        <item x="411"/>
        <item x="447"/>
        <item x="248"/>
        <item x="152"/>
        <item x="473"/>
        <item x="264"/>
        <item x="405"/>
        <item x="120"/>
        <item x="38"/>
        <item x="180"/>
        <item x="413"/>
        <item x="209"/>
        <item x="471"/>
        <item x="28"/>
        <item x="374"/>
        <item x="98"/>
        <item x="208"/>
        <item x="327"/>
        <item x="284"/>
        <item x="384"/>
        <item x="62"/>
        <item x="398"/>
        <item x="358"/>
        <item x="508"/>
        <item x="441"/>
        <item x="400"/>
        <item x="409"/>
        <item x="323"/>
        <item x="510"/>
        <item x="389"/>
        <item x="392"/>
        <item x="396"/>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pivotField showAll="0">
      <items count="6">
        <item h="1" x="0"/>
        <item h="1" x="1"/>
        <item h="1" x="2"/>
        <item x="3"/>
        <item h="1" x="4"/>
        <item t="default"/>
      </items>
    </pivotField>
  </pivotFields>
  <rowItems count="1">
    <i/>
  </rowItems>
  <colItems count="1">
    <i/>
  </colItems>
  <dataFields count="1">
    <dataField name="Sum of Population Vaccinated" fld="14" baseField="0" baseItem="0"/>
  </dataFields>
  <chartFormats count="5">
    <chartFormat chart="0" format="0" series="1">
      <pivotArea type="data" outline="0" fieldPosition="0">
        <references count="1">
          <reference field="4294967294" count="1" selected="0">
            <x v="0"/>
          </reference>
        </references>
      </pivotArea>
    </chartFormat>
    <chartFormat chart="4" format="13" series="1">
      <pivotArea type="data" outline="0" fieldPosition="0">
        <references count="1">
          <reference field="4294967294" count="1" selected="0">
            <x v="0"/>
          </reference>
        </references>
      </pivotArea>
    </chartFormat>
    <chartFormat chart="5" format="26" series="1">
      <pivotArea type="data" outline="0" fieldPosition="0">
        <references count="1">
          <reference field="4294967294" count="1" selected="0">
            <x v="0"/>
          </reference>
        </references>
      </pivotArea>
    </chartFormat>
    <chartFormat chart="13" format="0" series="1">
      <pivotArea type="data" outline="0" fieldPosition="0">
        <references count="1">
          <reference field="4294967294" count="1" selected="0">
            <x v="0"/>
          </reference>
        </references>
      </pivotArea>
    </chartFormat>
    <chartFormat chart="30"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utcome" xr10:uid="{AC6E5ED5-A7B6-45E1-8069-A53E177A0C2F}" sourceName="Outcome">
  <pivotTables>
    <pivotTable tabId="2" name="PivotTable1"/>
    <pivotTable tabId="2" name="PivotTable10"/>
    <pivotTable tabId="2" name="PivotTable12"/>
    <pivotTable tabId="2" name="PivotTable13"/>
    <pivotTable tabId="2" name="PivotTable16"/>
    <pivotTable tabId="2" name="PivotTable17"/>
    <pivotTable tabId="2" name="PivotTable18"/>
    <pivotTable tabId="2" name="PivotTable19"/>
    <pivotTable tabId="2" name="PivotTable2"/>
    <pivotTable tabId="2" name="PivotTable22"/>
    <pivotTable tabId="2" name="PivotTable25"/>
    <pivotTable tabId="2" name="PivotTable26"/>
    <pivotTable tabId="2" name="PivotTable7"/>
    <pivotTable tabId="2" name="PivotTable4"/>
    <pivotTable tabId="2" name="PivotTable5"/>
  </pivotTables>
  <data>
    <tabular pivotCacheId="1045282249">
      <items count="3">
        <i x="2" s="1"/>
        <i x="0" s="1"/>
        <i x="1"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A3FEDBDA-816D-4052-87A6-A1B3CCA336A2}" sourceName="Age Group">
  <pivotTables>
    <pivotTable tabId="2" name="PivotTable1"/>
    <pivotTable tabId="2" name="PivotTable10"/>
    <pivotTable tabId="2" name="PivotTable12"/>
    <pivotTable tabId="2" name="PivotTable13"/>
    <pivotTable tabId="2" name="PivotTable16"/>
    <pivotTable tabId="2" name="PivotTable17"/>
    <pivotTable tabId="2" name="PivotTable18"/>
    <pivotTable tabId="2" name="PivotTable19"/>
    <pivotTable tabId="2" name="PivotTable2"/>
    <pivotTable tabId="2" name="PivotTable22"/>
    <pivotTable tabId="2" name="PivotTable25"/>
    <pivotTable tabId="2" name="PivotTable26"/>
    <pivotTable tabId="2" name="PivotTable7"/>
    <pivotTable tabId="2" name="PivotTable4"/>
    <pivotTable tabId="2" name="PivotTable5"/>
  </pivotTables>
  <data>
    <tabular pivotCacheId="1045282249">
      <items count="9">
        <i x="8"/>
        <i x="4"/>
        <i x="3" s="1"/>
        <i x="5"/>
        <i x="2"/>
        <i x="1"/>
        <i x="7"/>
        <i x="6"/>
        <i x="0"/>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Weekend" xr10:uid="{944FEB4F-4403-4CA4-8100-2B11F05D099F}" sourceName="Years (Weekend)">
  <pivotTables>
    <pivotTable tabId="2" name="PivotTable1"/>
    <pivotTable tabId="2" name="PivotTable10"/>
    <pivotTable tabId="2" name="PivotTable12"/>
    <pivotTable tabId="2" name="PivotTable13"/>
    <pivotTable tabId="2" name="PivotTable16"/>
    <pivotTable tabId="2" name="PivotTable17"/>
    <pivotTable tabId="2" name="PivotTable18"/>
    <pivotTable tabId="2" name="PivotTable19"/>
    <pivotTable tabId="2" name="PivotTable2"/>
    <pivotTable tabId="2" name="PivotTable22"/>
    <pivotTable tabId="2" name="PivotTable25"/>
    <pivotTable tabId="2" name="PivotTable26"/>
    <pivotTable tabId="2" name="PivotTable7"/>
    <pivotTable tabId="2" name="PivotTable4"/>
    <pivotTable tabId="2" name="PivotTable5"/>
  </pivotTables>
  <data>
    <tabular pivotCacheId="1045282249">
      <items count="5">
        <i x="1"/>
        <i x="2"/>
        <i x="3" s="1"/>
        <i x="0" nd="1"/>
        <i x="4"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come" xr10:uid="{ABF1540F-B50F-4887-913D-9FBA222C5ADC}" cache="Slicer_Outcome" caption="Outcome" rowHeight="251883"/>
  <slicer name="Age Group" xr10:uid="{1F072DEB-0B8D-432E-AA5F-148AC9AF128E}" cache="Slicer_Age_Group" caption="Age Group" rowHeight="251883"/>
  <slicer name="Years (Weekend)" xr10:uid="{FB87E1A3-30C0-42BB-906A-9D5DE1D82F65}" cache="Slicer_Years__Weekend" caption="Years (Weekend)"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utcome 1" xr10:uid="{9D3AB2F0-1EC5-4A81-92A2-D84F9FE4EB8C}" cache="Slicer_Outcome" caption="Outcome" rowHeight="251883"/>
  <slicer name="Age Group 1" xr10:uid="{0C44B2A1-F83B-4FE3-BAF5-AA217B4B76A1}" cache="Slicer_Age_Group" caption="Age Group" rowHeight="251883"/>
  <slicer name="Years (Weekend) 1" xr10:uid="{3E33193E-6861-4DDF-BC6A-B892BE007FE7}" cache="Slicer_Years__Weekend" caption="Years (Weekend)"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data.gov.in/" TargetMode="Externa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drawing" Target="../drawings/drawing2.xml"/><Relationship Id="rId2" Type="http://schemas.openxmlformats.org/officeDocument/2006/relationships/pivotTable" Target="../pivotTables/pivotTable2.xml"/><Relationship Id="rId16"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6F4E5-CB14-4F48-84E3-696DC6F2C3D7}">
  <dimension ref="A1"/>
  <sheetViews>
    <sheetView workbookViewId="0">
      <selection sqref="A1:XFD1048576"/>
    </sheetView>
  </sheetViews>
  <sheetFormatPr defaultRowHeight="14.5" x14ac:dyDescent="0.35"/>
  <cols>
    <col min="1" max="16384" width="8.7265625" style="5"/>
  </cols>
  <sheetData>
    <row r="1" spans="1:1" x14ac:dyDescent="0.35">
      <c r="A1" s="5" t="s">
        <v>72</v>
      </c>
    </row>
  </sheetData>
  <mergeCells count="1">
    <mergeCell ref="A1:XFD1048576"/>
  </mergeCells>
  <hyperlinks>
    <hyperlink ref="A1:XFD1048576" r:id="rId1" display="https://www.data.gov.in/" xr:uid="{2B9F199E-8CD8-41F2-92F8-0170B6C1D6CE}"/>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6D9B6-4DD2-4F02-868B-52D43CBFC248}">
  <dimension ref="A1:U3754"/>
  <sheetViews>
    <sheetView workbookViewId="0"/>
  </sheetViews>
  <sheetFormatPr defaultRowHeight="14.5" x14ac:dyDescent="0.35"/>
  <cols>
    <col min="1" max="1" width="13.90625" bestFit="1" customWidth="1"/>
    <col min="2" max="2" width="10.08984375" bestFit="1" customWidth="1"/>
    <col min="3" max="3" width="9.08984375" bestFit="1" customWidth="1"/>
    <col min="4" max="4" width="16.1796875" bestFit="1" customWidth="1"/>
    <col min="5" max="5" width="14.1796875" bestFit="1" customWidth="1"/>
    <col min="6" max="6" width="11.54296875" bestFit="1" customWidth="1"/>
    <col min="7" max="7" width="20" bestFit="1" customWidth="1"/>
    <col min="8" max="8" width="17.453125" bestFit="1" customWidth="1"/>
    <col min="9" max="9" width="27.54296875" bestFit="1" customWidth="1"/>
    <col min="10" max="10" width="25.54296875" bestFit="1" customWidth="1"/>
    <col min="11" max="11" width="22.90625" bestFit="1" customWidth="1"/>
    <col min="12" max="12" width="26" bestFit="1" customWidth="1"/>
    <col min="13" max="13" width="23.36328125" bestFit="1" customWidth="1"/>
    <col min="14" max="14" width="21.1796875" bestFit="1" customWidth="1"/>
    <col min="15" max="15" width="19.1796875" bestFit="1" customWidth="1"/>
    <col min="16" max="16" width="16.54296875" bestFit="1" customWidth="1"/>
    <col min="17" max="17" width="20.08984375" bestFit="1" customWidth="1"/>
    <col min="18" max="18" width="18.08984375" bestFit="1" customWidth="1"/>
    <col min="19" max="19" width="15.453125" bestFit="1" customWidth="1"/>
    <col min="20" max="20" width="12.36328125" bestFit="1" customWidth="1"/>
    <col min="21" max="21" width="12.81640625" bestFit="1" customWidth="1"/>
  </cols>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t="s">
        <v>21</v>
      </c>
      <c r="B2" s="1">
        <v>44571</v>
      </c>
      <c r="C2" t="s">
        <v>22</v>
      </c>
      <c r="D2">
        <v>0.3</v>
      </c>
      <c r="E2">
        <v>0.1</v>
      </c>
      <c r="F2">
        <v>0.9</v>
      </c>
      <c r="G2">
        <v>3</v>
      </c>
      <c r="H2">
        <v>0.3</v>
      </c>
      <c r="I2">
        <v>0.4</v>
      </c>
      <c r="J2">
        <v>0.3</v>
      </c>
      <c r="K2">
        <v>0.6</v>
      </c>
      <c r="L2">
        <v>1.3</v>
      </c>
      <c r="M2">
        <v>0.7</v>
      </c>
      <c r="N2">
        <v>591822</v>
      </c>
      <c r="O2">
        <v>842535</v>
      </c>
      <c r="P2">
        <v>1037067</v>
      </c>
      <c r="Q2">
        <v>2</v>
      </c>
      <c r="R2">
        <v>1</v>
      </c>
      <c r="S2">
        <v>9</v>
      </c>
      <c r="T2">
        <v>999</v>
      </c>
      <c r="U2">
        <v>999</v>
      </c>
    </row>
    <row r="3" spans="1:21" x14ac:dyDescent="0.35">
      <c r="A3" t="s">
        <v>21</v>
      </c>
      <c r="B3" s="1">
        <v>45018</v>
      </c>
      <c r="C3" t="s">
        <v>23</v>
      </c>
      <c r="D3">
        <v>2.9</v>
      </c>
      <c r="E3">
        <v>0.8</v>
      </c>
      <c r="F3">
        <v>0.4</v>
      </c>
      <c r="G3">
        <v>3.6</v>
      </c>
      <c r="H3">
        <v>7.2</v>
      </c>
      <c r="I3">
        <v>0</v>
      </c>
      <c r="J3">
        <v>0</v>
      </c>
      <c r="K3">
        <v>0</v>
      </c>
      <c r="L3">
        <v>0</v>
      </c>
      <c r="M3">
        <v>0</v>
      </c>
      <c r="N3">
        <v>34169</v>
      </c>
      <c r="O3">
        <v>125516</v>
      </c>
      <c r="P3">
        <v>246849</v>
      </c>
      <c r="Q3">
        <v>1</v>
      </c>
      <c r="R3">
        <v>1</v>
      </c>
      <c r="S3">
        <v>1</v>
      </c>
      <c r="T3">
        <v>50</v>
      </c>
      <c r="U3">
        <v>64</v>
      </c>
    </row>
    <row r="4" spans="1:21" x14ac:dyDescent="0.35">
      <c r="A4" t="s">
        <v>21</v>
      </c>
      <c r="B4" s="1">
        <v>44843</v>
      </c>
      <c r="C4" t="s">
        <v>24</v>
      </c>
      <c r="D4">
        <v>0</v>
      </c>
      <c r="E4">
        <v>0</v>
      </c>
      <c r="F4">
        <v>0</v>
      </c>
      <c r="G4">
        <v>0</v>
      </c>
      <c r="H4">
        <v>0</v>
      </c>
      <c r="I4">
        <v>0</v>
      </c>
      <c r="J4">
        <v>0</v>
      </c>
      <c r="K4">
        <v>0</v>
      </c>
      <c r="L4">
        <v>0</v>
      </c>
      <c r="M4">
        <v>0</v>
      </c>
      <c r="N4">
        <v>95349</v>
      </c>
      <c r="O4">
        <v>82126</v>
      </c>
      <c r="P4">
        <v>17689</v>
      </c>
      <c r="Q4">
        <v>0</v>
      </c>
      <c r="R4">
        <v>0</v>
      </c>
      <c r="S4">
        <v>0</v>
      </c>
      <c r="T4">
        <v>5</v>
      </c>
      <c r="U4">
        <v>11</v>
      </c>
    </row>
    <row r="5" spans="1:21" x14ac:dyDescent="0.35">
      <c r="A5" t="s">
        <v>21</v>
      </c>
      <c r="B5" s="1">
        <v>44520</v>
      </c>
      <c r="C5" t="s">
        <v>24</v>
      </c>
      <c r="D5">
        <v>0</v>
      </c>
      <c r="E5">
        <v>0</v>
      </c>
      <c r="F5">
        <v>0</v>
      </c>
      <c r="G5">
        <v>0</v>
      </c>
      <c r="H5">
        <v>0</v>
      </c>
      <c r="I5">
        <v>0</v>
      </c>
      <c r="J5">
        <v>0</v>
      </c>
      <c r="K5">
        <v>0</v>
      </c>
      <c r="L5">
        <v>0</v>
      </c>
      <c r="M5">
        <v>0</v>
      </c>
      <c r="N5">
        <v>166798</v>
      </c>
      <c r="O5">
        <v>1</v>
      </c>
      <c r="P5">
        <v>0</v>
      </c>
      <c r="Q5">
        <v>0</v>
      </c>
      <c r="R5">
        <v>0</v>
      </c>
      <c r="S5">
        <v>0</v>
      </c>
      <c r="T5">
        <v>5</v>
      </c>
      <c r="U5">
        <v>11</v>
      </c>
    </row>
    <row r="6" spans="1:21" x14ac:dyDescent="0.35">
      <c r="A6" t="s">
        <v>21</v>
      </c>
      <c r="B6" s="1">
        <v>44808</v>
      </c>
      <c r="C6" t="s">
        <v>25</v>
      </c>
      <c r="D6">
        <v>0</v>
      </c>
      <c r="E6">
        <v>0</v>
      </c>
      <c r="F6">
        <v>0</v>
      </c>
      <c r="G6">
        <v>0</v>
      </c>
      <c r="H6">
        <v>0</v>
      </c>
      <c r="I6">
        <v>0</v>
      </c>
      <c r="J6">
        <v>0</v>
      </c>
      <c r="K6">
        <v>0</v>
      </c>
      <c r="L6">
        <v>0</v>
      </c>
      <c r="M6">
        <v>0</v>
      </c>
      <c r="N6">
        <v>98229</v>
      </c>
      <c r="O6">
        <v>219416</v>
      </c>
      <c r="P6">
        <v>147442</v>
      </c>
      <c r="Q6">
        <v>0</v>
      </c>
      <c r="R6">
        <v>0</v>
      </c>
      <c r="S6">
        <v>0</v>
      </c>
      <c r="T6">
        <v>18</v>
      </c>
      <c r="U6">
        <v>29</v>
      </c>
    </row>
    <row r="7" spans="1:21" x14ac:dyDescent="0.35">
      <c r="A7" t="s">
        <v>26</v>
      </c>
      <c r="B7" s="1">
        <v>44457</v>
      </c>
      <c r="C7" t="s">
        <v>27</v>
      </c>
      <c r="D7">
        <v>0</v>
      </c>
      <c r="E7">
        <v>0</v>
      </c>
      <c r="F7">
        <v>0</v>
      </c>
      <c r="G7">
        <v>0</v>
      </c>
      <c r="H7">
        <v>0</v>
      </c>
      <c r="I7">
        <v>0</v>
      </c>
      <c r="J7">
        <v>0</v>
      </c>
      <c r="K7">
        <v>0</v>
      </c>
      <c r="L7">
        <v>0</v>
      </c>
      <c r="M7">
        <v>0</v>
      </c>
      <c r="N7">
        <v>71650</v>
      </c>
      <c r="O7">
        <v>87028</v>
      </c>
      <c r="P7">
        <v>0</v>
      </c>
      <c r="Q7">
        <v>0</v>
      </c>
      <c r="R7">
        <v>0</v>
      </c>
      <c r="S7">
        <v>0</v>
      </c>
      <c r="T7">
        <v>12</v>
      </c>
      <c r="U7">
        <v>17</v>
      </c>
    </row>
    <row r="8" spans="1:21" x14ac:dyDescent="0.35">
      <c r="A8" t="s">
        <v>28</v>
      </c>
      <c r="B8" s="1">
        <v>44821</v>
      </c>
      <c r="C8" t="s">
        <v>24</v>
      </c>
      <c r="D8">
        <v>123</v>
      </c>
      <c r="E8">
        <v>119.8</v>
      </c>
      <c r="F8">
        <v>213</v>
      </c>
      <c r="G8">
        <v>1</v>
      </c>
      <c r="H8">
        <v>0.6</v>
      </c>
      <c r="I8">
        <v>0</v>
      </c>
      <c r="J8">
        <v>0</v>
      </c>
      <c r="K8">
        <v>0</v>
      </c>
      <c r="L8">
        <v>0</v>
      </c>
      <c r="M8">
        <v>0</v>
      </c>
      <c r="N8">
        <v>95128</v>
      </c>
      <c r="O8">
        <v>81802</v>
      </c>
      <c r="P8">
        <v>18308</v>
      </c>
      <c r="Q8">
        <v>117</v>
      </c>
      <c r="R8">
        <v>98</v>
      </c>
      <c r="S8">
        <v>39</v>
      </c>
      <c r="T8">
        <v>5</v>
      </c>
      <c r="U8">
        <v>11</v>
      </c>
    </row>
    <row r="9" spans="1:21" x14ac:dyDescent="0.35">
      <c r="A9" t="s">
        <v>26</v>
      </c>
      <c r="B9" s="1">
        <v>44298</v>
      </c>
      <c r="C9" t="s">
        <v>29</v>
      </c>
      <c r="D9">
        <v>37.700000000000003</v>
      </c>
      <c r="E9">
        <v>3.8</v>
      </c>
      <c r="F9">
        <v>0</v>
      </c>
      <c r="G9">
        <v>9.9</v>
      </c>
      <c r="H9">
        <v>0</v>
      </c>
      <c r="I9">
        <v>0</v>
      </c>
      <c r="J9">
        <v>0</v>
      </c>
      <c r="K9">
        <v>0</v>
      </c>
      <c r="L9">
        <v>0</v>
      </c>
      <c r="M9">
        <v>0</v>
      </c>
      <c r="N9">
        <v>185523</v>
      </c>
      <c r="O9">
        <v>469462</v>
      </c>
      <c r="P9">
        <v>103054</v>
      </c>
      <c r="Q9">
        <v>70</v>
      </c>
      <c r="R9">
        <v>18</v>
      </c>
      <c r="S9">
        <v>0</v>
      </c>
      <c r="T9">
        <v>30</v>
      </c>
      <c r="U9">
        <v>49</v>
      </c>
    </row>
    <row r="10" spans="1:21" x14ac:dyDescent="0.35">
      <c r="A10" t="s">
        <v>28</v>
      </c>
      <c r="B10" s="1">
        <v>44331</v>
      </c>
      <c r="C10" t="s">
        <v>29</v>
      </c>
      <c r="D10">
        <v>171.7</v>
      </c>
      <c r="E10">
        <v>14.1</v>
      </c>
      <c r="F10">
        <v>0</v>
      </c>
      <c r="G10">
        <v>12.2</v>
      </c>
      <c r="H10">
        <v>0</v>
      </c>
      <c r="I10">
        <v>0</v>
      </c>
      <c r="J10">
        <v>0</v>
      </c>
      <c r="K10">
        <v>0</v>
      </c>
      <c r="L10">
        <v>0</v>
      </c>
      <c r="M10">
        <v>0</v>
      </c>
      <c r="N10">
        <v>338871</v>
      </c>
      <c r="O10">
        <v>332283</v>
      </c>
      <c r="P10">
        <v>0</v>
      </c>
      <c r="Q10">
        <v>582</v>
      </c>
      <c r="R10">
        <v>47</v>
      </c>
      <c r="S10">
        <v>0</v>
      </c>
      <c r="T10">
        <v>30</v>
      </c>
      <c r="U10">
        <v>49</v>
      </c>
    </row>
    <row r="11" spans="1:21" x14ac:dyDescent="0.35">
      <c r="A11" t="s">
        <v>26</v>
      </c>
      <c r="B11" s="1">
        <v>44429</v>
      </c>
      <c r="C11" t="s">
        <v>30</v>
      </c>
      <c r="D11">
        <v>34.6</v>
      </c>
      <c r="E11">
        <v>15.1</v>
      </c>
      <c r="F11">
        <v>0</v>
      </c>
      <c r="G11">
        <v>2.2999999999999998</v>
      </c>
      <c r="H11">
        <v>0</v>
      </c>
      <c r="I11">
        <v>0</v>
      </c>
      <c r="J11">
        <v>0</v>
      </c>
      <c r="K11">
        <v>0</v>
      </c>
      <c r="L11">
        <v>0</v>
      </c>
      <c r="M11">
        <v>0</v>
      </c>
      <c r="N11">
        <v>31765</v>
      </c>
      <c r="O11">
        <v>52936</v>
      </c>
      <c r="P11">
        <v>0</v>
      </c>
      <c r="Q11">
        <v>11</v>
      </c>
      <c r="R11">
        <v>8</v>
      </c>
      <c r="S11">
        <v>0</v>
      </c>
      <c r="T11">
        <v>80</v>
      </c>
      <c r="U11">
        <v>200</v>
      </c>
    </row>
    <row r="12" spans="1:21" x14ac:dyDescent="0.35">
      <c r="A12" t="s">
        <v>26</v>
      </c>
      <c r="B12" s="1">
        <v>44926</v>
      </c>
      <c r="C12" t="s">
        <v>22</v>
      </c>
      <c r="D12">
        <v>17.100000000000001</v>
      </c>
      <c r="E12">
        <v>8.6999999999999993</v>
      </c>
      <c r="F12">
        <v>12.8</v>
      </c>
      <c r="G12">
        <v>2</v>
      </c>
      <c r="H12">
        <v>1.3</v>
      </c>
      <c r="I12">
        <v>21.8</v>
      </c>
      <c r="J12">
        <v>12.5</v>
      </c>
      <c r="K12">
        <v>8.4</v>
      </c>
      <c r="L12">
        <v>1.7</v>
      </c>
      <c r="M12">
        <v>2.6</v>
      </c>
      <c r="N12">
        <v>555407</v>
      </c>
      <c r="O12">
        <v>853931</v>
      </c>
      <c r="P12">
        <v>1040154</v>
      </c>
      <c r="Q12">
        <v>95</v>
      </c>
      <c r="R12">
        <v>74</v>
      </c>
      <c r="S12">
        <v>133</v>
      </c>
      <c r="T12">
        <v>999</v>
      </c>
      <c r="U12">
        <v>999</v>
      </c>
    </row>
    <row r="13" spans="1:21" x14ac:dyDescent="0.35">
      <c r="A13" t="s">
        <v>26</v>
      </c>
      <c r="B13" s="1">
        <v>45082</v>
      </c>
      <c r="C13" t="s">
        <v>22</v>
      </c>
      <c r="D13">
        <v>3.3</v>
      </c>
      <c r="E13">
        <v>1.3</v>
      </c>
      <c r="F13">
        <v>2.4</v>
      </c>
      <c r="G13">
        <v>2.5</v>
      </c>
      <c r="H13">
        <v>1.4</v>
      </c>
      <c r="I13">
        <v>4.5</v>
      </c>
      <c r="J13">
        <v>2.1</v>
      </c>
      <c r="K13">
        <v>1.7</v>
      </c>
      <c r="L13">
        <v>2.2000000000000002</v>
      </c>
      <c r="M13">
        <v>2.8</v>
      </c>
      <c r="N13">
        <v>537432</v>
      </c>
      <c r="O13">
        <v>860338</v>
      </c>
      <c r="P13">
        <v>1040639</v>
      </c>
      <c r="Q13">
        <v>18</v>
      </c>
      <c r="R13">
        <v>11</v>
      </c>
      <c r="S13">
        <v>25</v>
      </c>
      <c r="T13">
        <v>999</v>
      </c>
      <c r="U13">
        <v>999</v>
      </c>
    </row>
    <row r="14" spans="1:21" x14ac:dyDescent="0.35">
      <c r="A14" t="s">
        <v>21</v>
      </c>
      <c r="B14" s="1">
        <v>44401</v>
      </c>
      <c r="C14" t="s">
        <v>30</v>
      </c>
      <c r="D14">
        <v>0</v>
      </c>
      <c r="E14">
        <v>0</v>
      </c>
      <c r="F14">
        <v>0</v>
      </c>
      <c r="G14">
        <v>0</v>
      </c>
      <c r="H14">
        <v>0</v>
      </c>
      <c r="I14">
        <v>0</v>
      </c>
      <c r="J14">
        <v>0</v>
      </c>
      <c r="K14">
        <v>0</v>
      </c>
      <c r="L14">
        <v>0</v>
      </c>
      <c r="M14">
        <v>0</v>
      </c>
      <c r="N14">
        <v>32759</v>
      </c>
      <c r="O14">
        <v>52117</v>
      </c>
      <c r="P14">
        <v>0</v>
      </c>
      <c r="Q14">
        <v>0</v>
      </c>
      <c r="R14">
        <v>0</v>
      </c>
      <c r="S14">
        <v>0</v>
      </c>
      <c r="T14">
        <v>80</v>
      </c>
      <c r="U14">
        <v>200</v>
      </c>
    </row>
    <row r="15" spans="1:21" x14ac:dyDescent="0.35">
      <c r="A15" t="s">
        <v>28</v>
      </c>
      <c r="B15" s="1">
        <v>44583</v>
      </c>
      <c r="C15" t="s">
        <v>31</v>
      </c>
      <c r="D15">
        <v>582.4</v>
      </c>
      <c r="E15">
        <v>416.6</v>
      </c>
      <c r="F15">
        <v>253.6</v>
      </c>
      <c r="G15">
        <v>1.4</v>
      </c>
      <c r="H15">
        <v>2.2999999999999998</v>
      </c>
      <c r="I15">
        <v>0</v>
      </c>
      <c r="J15">
        <v>0</v>
      </c>
      <c r="K15">
        <v>0</v>
      </c>
      <c r="L15">
        <v>0</v>
      </c>
      <c r="M15">
        <v>0</v>
      </c>
      <c r="N15">
        <v>50480</v>
      </c>
      <c r="O15">
        <v>66009</v>
      </c>
      <c r="P15">
        <v>141953</v>
      </c>
      <c r="Q15">
        <v>294</v>
      </c>
      <c r="R15">
        <v>275</v>
      </c>
      <c r="S15">
        <v>360</v>
      </c>
      <c r="T15">
        <v>65</v>
      </c>
      <c r="U15">
        <v>79</v>
      </c>
    </row>
    <row r="16" spans="1:21" x14ac:dyDescent="0.35">
      <c r="A16" t="s">
        <v>28</v>
      </c>
      <c r="B16" s="1">
        <v>44345</v>
      </c>
      <c r="C16" t="s">
        <v>22</v>
      </c>
      <c r="D16">
        <v>63.9</v>
      </c>
      <c r="E16">
        <v>6.8</v>
      </c>
      <c r="F16">
        <v>0</v>
      </c>
      <c r="G16">
        <v>9.4</v>
      </c>
      <c r="H16">
        <v>0</v>
      </c>
      <c r="I16">
        <v>71.400000000000006</v>
      </c>
      <c r="J16">
        <v>5.9</v>
      </c>
      <c r="K16">
        <v>0</v>
      </c>
      <c r="L16">
        <v>12.1</v>
      </c>
      <c r="M16">
        <v>0</v>
      </c>
      <c r="N16">
        <v>1302037</v>
      </c>
      <c r="O16">
        <v>1094752</v>
      </c>
      <c r="P16">
        <v>0</v>
      </c>
      <c r="Q16">
        <v>832</v>
      </c>
      <c r="R16">
        <v>74</v>
      </c>
      <c r="S16">
        <v>0</v>
      </c>
      <c r="T16">
        <v>999</v>
      </c>
      <c r="U16">
        <v>999</v>
      </c>
    </row>
    <row r="17" spans="1:21" x14ac:dyDescent="0.35">
      <c r="A17" t="s">
        <v>28</v>
      </c>
      <c r="B17" s="1">
        <v>44793</v>
      </c>
      <c r="C17" t="s">
        <v>23</v>
      </c>
      <c r="D17">
        <v>422</v>
      </c>
      <c r="E17">
        <v>150.5</v>
      </c>
      <c r="F17">
        <v>180.5</v>
      </c>
      <c r="G17">
        <v>2.8</v>
      </c>
      <c r="H17">
        <v>2.2999999999999998</v>
      </c>
      <c r="I17">
        <v>0</v>
      </c>
      <c r="J17">
        <v>0</v>
      </c>
      <c r="K17">
        <v>0</v>
      </c>
      <c r="L17">
        <v>0</v>
      </c>
      <c r="M17">
        <v>0</v>
      </c>
      <c r="N17">
        <v>40519</v>
      </c>
      <c r="O17">
        <v>126270</v>
      </c>
      <c r="P17">
        <v>244938</v>
      </c>
      <c r="Q17">
        <v>171</v>
      </c>
      <c r="R17">
        <v>190</v>
      </c>
      <c r="S17">
        <v>442</v>
      </c>
      <c r="T17">
        <v>50</v>
      </c>
      <c r="U17">
        <v>64</v>
      </c>
    </row>
    <row r="18" spans="1:21" x14ac:dyDescent="0.35">
      <c r="A18" t="s">
        <v>26</v>
      </c>
      <c r="B18" s="1">
        <v>44298</v>
      </c>
      <c r="C18" t="s">
        <v>22</v>
      </c>
      <c r="D18">
        <v>34.9</v>
      </c>
      <c r="E18">
        <v>9.6</v>
      </c>
      <c r="F18">
        <v>3.6</v>
      </c>
      <c r="G18">
        <v>3.6</v>
      </c>
      <c r="H18">
        <v>9.6999999999999993</v>
      </c>
      <c r="I18">
        <v>50.7</v>
      </c>
      <c r="J18">
        <v>9.1999999999999993</v>
      </c>
      <c r="K18">
        <v>1.6</v>
      </c>
      <c r="L18">
        <v>5.5</v>
      </c>
      <c r="M18">
        <v>32.1</v>
      </c>
      <c r="N18">
        <v>864337</v>
      </c>
      <c r="O18">
        <v>1287028</v>
      </c>
      <c r="P18">
        <v>333146</v>
      </c>
      <c r="Q18">
        <v>302</v>
      </c>
      <c r="R18">
        <v>123</v>
      </c>
      <c r="S18">
        <v>12</v>
      </c>
      <c r="T18">
        <v>999</v>
      </c>
      <c r="U18">
        <v>999</v>
      </c>
    </row>
    <row r="19" spans="1:21" x14ac:dyDescent="0.35">
      <c r="A19" t="s">
        <v>21</v>
      </c>
      <c r="B19" s="1">
        <v>44583</v>
      </c>
      <c r="C19" t="s">
        <v>29</v>
      </c>
      <c r="D19">
        <v>3.3</v>
      </c>
      <c r="E19">
        <v>0.6</v>
      </c>
      <c r="F19">
        <v>0</v>
      </c>
      <c r="G19">
        <v>5.5</v>
      </c>
      <c r="H19">
        <v>0</v>
      </c>
      <c r="I19">
        <v>0</v>
      </c>
      <c r="J19">
        <v>0</v>
      </c>
      <c r="K19">
        <v>0</v>
      </c>
      <c r="L19">
        <v>0</v>
      </c>
      <c r="M19">
        <v>0</v>
      </c>
      <c r="N19">
        <v>149571</v>
      </c>
      <c r="O19">
        <v>332274</v>
      </c>
      <c r="P19">
        <v>256937</v>
      </c>
      <c r="Q19">
        <v>5</v>
      </c>
      <c r="R19">
        <v>2</v>
      </c>
      <c r="S19">
        <v>0</v>
      </c>
      <c r="T19">
        <v>30</v>
      </c>
      <c r="U19">
        <v>49</v>
      </c>
    </row>
    <row r="20" spans="1:21" x14ac:dyDescent="0.35">
      <c r="A20" t="s">
        <v>28</v>
      </c>
      <c r="B20" s="1">
        <v>44562</v>
      </c>
      <c r="C20" t="s">
        <v>27</v>
      </c>
      <c r="D20">
        <v>2547.5</v>
      </c>
      <c r="E20">
        <v>1827.4</v>
      </c>
      <c r="F20">
        <v>694.4</v>
      </c>
      <c r="G20">
        <v>1.4</v>
      </c>
      <c r="H20">
        <v>3.7</v>
      </c>
      <c r="I20">
        <v>0</v>
      </c>
      <c r="J20">
        <v>0</v>
      </c>
      <c r="K20">
        <v>0</v>
      </c>
      <c r="L20">
        <v>0</v>
      </c>
      <c r="M20">
        <v>0</v>
      </c>
      <c r="N20">
        <v>53465</v>
      </c>
      <c r="O20">
        <v>108405</v>
      </c>
      <c r="P20">
        <v>1872</v>
      </c>
      <c r="Q20">
        <v>1362</v>
      </c>
      <c r="R20">
        <v>1981</v>
      </c>
      <c r="S20">
        <v>13</v>
      </c>
      <c r="T20">
        <v>12</v>
      </c>
      <c r="U20">
        <v>17</v>
      </c>
    </row>
    <row r="21" spans="1:21" x14ac:dyDescent="0.35">
      <c r="A21" t="s">
        <v>28</v>
      </c>
      <c r="B21" s="1">
        <v>44933</v>
      </c>
      <c r="C21" t="s">
        <v>22</v>
      </c>
      <c r="D21">
        <v>10.5</v>
      </c>
      <c r="E21">
        <v>5.5</v>
      </c>
      <c r="F21">
        <v>10.5</v>
      </c>
      <c r="G21">
        <v>1.9</v>
      </c>
      <c r="H21">
        <v>1</v>
      </c>
      <c r="I21">
        <v>12.1</v>
      </c>
      <c r="J21">
        <v>5.4</v>
      </c>
      <c r="K21">
        <v>8.1999999999999993</v>
      </c>
      <c r="L21">
        <v>2.2999999999999998</v>
      </c>
      <c r="M21">
        <v>1.5</v>
      </c>
      <c r="N21">
        <v>532370</v>
      </c>
      <c r="O21">
        <v>860333</v>
      </c>
      <c r="P21">
        <v>1040733</v>
      </c>
      <c r="Q21">
        <v>56</v>
      </c>
      <c r="R21">
        <v>47</v>
      </c>
      <c r="S21">
        <v>109</v>
      </c>
      <c r="T21">
        <v>999</v>
      </c>
      <c r="U21">
        <v>999</v>
      </c>
    </row>
    <row r="22" spans="1:21" x14ac:dyDescent="0.35">
      <c r="A22" t="s">
        <v>26</v>
      </c>
      <c r="B22" s="1">
        <v>44657</v>
      </c>
      <c r="C22" t="s">
        <v>23</v>
      </c>
      <c r="D22">
        <v>30.4</v>
      </c>
      <c r="E22">
        <v>6.8</v>
      </c>
      <c r="F22">
        <v>5.0999999999999996</v>
      </c>
      <c r="G22">
        <v>4.5</v>
      </c>
      <c r="H22">
        <v>6</v>
      </c>
      <c r="I22">
        <v>0</v>
      </c>
      <c r="J22">
        <v>0</v>
      </c>
      <c r="K22">
        <v>0</v>
      </c>
      <c r="L22">
        <v>0</v>
      </c>
      <c r="M22">
        <v>0</v>
      </c>
      <c r="N22">
        <v>42758</v>
      </c>
      <c r="O22">
        <v>131758</v>
      </c>
      <c r="P22">
        <v>237215</v>
      </c>
      <c r="Q22">
        <v>13</v>
      </c>
      <c r="R22">
        <v>9</v>
      </c>
      <c r="S22">
        <v>12</v>
      </c>
      <c r="T22">
        <v>50</v>
      </c>
      <c r="U22">
        <v>64</v>
      </c>
    </row>
    <row r="23" spans="1:21" x14ac:dyDescent="0.35">
      <c r="A23" t="s">
        <v>26</v>
      </c>
      <c r="B23" s="1">
        <v>44912</v>
      </c>
      <c r="C23" t="s">
        <v>31</v>
      </c>
      <c r="D23">
        <v>63.5</v>
      </c>
      <c r="E23">
        <v>41.5</v>
      </c>
      <c r="F23">
        <v>31.5</v>
      </c>
      <c r="G23">
        <v>1.5</v>
      </c>
      <c r="H23">
        <v>2</v>
      </c>
      <c r="I23">
        <v>0</v>
      </c>
      <c r="J23">
        <v>0</v>
      </c>
      <c r="K23">
        <v>0</v>
      </c>
      <c r="L23">
        <v>0</v>
      </c>
      <c r="M23">
        <v>0</v>
      </c>
      <c r="N23">
        <v>40932</v>
      </c>
      <c r="O23">
        <v>43361</v>
      </c>
      <c r="P23">
        <v>171648</v>
      </c>
      <c r="Q23">
        <v>26</v>
      </c>
      <c r="R23">
        <v>18</v>
      </c>
      <c r="S23">
        <v>54</v>
      </c>
      <c r="T23">
        <v>65</v>
      </c>
      <c r="U23">
        <v>79</v>
      </c>
    </row>
    <row r="24" spans="1:21" x14ac:dyDescent="0.35">
      <c r="A24" t="s">
        <v>21</v>
      </c>
      <c r="B24" s="1">
        <v>44408</v>
      </c>
      <c r="C24" t="s">
        <v>31</v>
      </c>
      <c r="D24">
        <v>8.6</v>
      </c>
      <c r="E24">
        <v>0</v>
      </c>
      <c r="F24">
        <v>0</v>
      </c>
      <c r="G24">
        <v>0</v>
      </c>
      <c r="H24">
        <v>0</v>
      </c>
      <c r="I24">
        <v>0</v>
      </c>
      <c r="J24">
        <v>0</v>
      </c>
      <c r="K24">
        <v>0</v>
      </c>
      <c r="L24">
        <v>0</v>
      </c>
      <c r="M24">
        <v>0</v>
      </c>
      <c r="N24">
        <v>69459</v>
      </c>
      <c r="O24">
        <v>192009</v>
      </c>
      <c r="P24">
        <v>0</v>
      </c>
      <c r="Q24">
        <v>6</v>
      </c>
      <c r="R24">
        <v>0</v>
      </c>
      <c r="S24">
        <v>0</v>
      </c>
      <c r="T24">
        <v>65</v>
      </c>
      <c r="U24">
        <v>79</v>
      </c>
    </row>
    <row r="25" spans="1:21" x14ac:dyDescent="0.35">
      <c r="A25" t="s">
        <v>21</v>
      </c>
      <c r="B25" s="1">
        <v>44485</v>
      </c>
      <c r="C25" t="s">
        <v>27</v>
      </c>
      <c r="D25">
        <v>0</v>
      </c>
      <c r="E25">
        <v>0</v>
      </c>
      <c r="F25">
        <v>0</v>
      </c>
      <c r="G25">
        <v>0</v>
      </c>
      <c r="H25">
        <v>0</v>
      </c>
      <c r="I25">
        <v>0</v>
      </c>
      <c r="J25">
        <v>0</v>
      </c>
      <c r="K25">
        <v>0</v>
      </c>
      <c r="L25">
        <v>0</v>
      </c>
      <c r="M25">
        <v>0</v>
      </c>
      <c r="N25">
        <v>65944</v>
      </c>
      <c r="O25">
        <v>97454</v>
      </c>
      <c r="P25">
        <v>0</v>
      </c>
      <c r="Q25">
        <v>0</v>
      </c>
      <c r="R25">
        <v>0</v>
      </c>
      <c r="S25">
        <v>0</v>
      </c>
      <c r="T25">
        <v>12</v>
      </c>
      <c r="U25">
        <v>17</v>
      </c>
    </row>
    <row r="26" spans="1:21" x14ac:dyDescent="0.35">
      <c r="A26" t="s">
        <v>21</v>
      </c>
      <c r="B26" s="1">
        <v>44846</v>
      </c>
      <c r="C26" t="s">
        <v>22</v>
      </c>
      <c r="D26">
        <v>0.4</v>
      </c>
      <c r="E26">
        <v>0.1</v>
      </c>
      <c r="F26">
        <v>0.3</v>
      </c>
      <c r="G26">
        <v>4</v>
      </c>
      <c r="H26">
        <v>1.3</v>
      </c>
      <c r="I26">
        <v>0.3</v>
      </c>
      <c r="J26">
        <v>0.1</v>
      </c>
      <c r="K26">
        <v>0.2</v>
      </c>
      <c r="L26">
        <v>2.2000000000000002</v>
      </c>
      <c r="M26">
        <v>1.5</v>
      </c>
      <c r="N26">
        <v>560620</v>
      </c>
      <c r="O26">
        <v>851689</v>
      </c>
      <c r="P26">
        <v>1039873</v>
      </c>
      <c r="Q26">
        <v>2</v>
      </c>
      <c r="R26">
        <v>1</v>
      </c>
      <c r="S26">
        <v>3</v>
      </c>
      <c r="T26">
        <v>999</v>
      </c>
      <c r="U26">
        <v>999</v>
      </c>
    </row>
    <row r="27" spans="1:21" x14ac:dyDescent="0.35">
      <c r="A27" t="s">
        <v>26</v>
      </c>
      <c r="B27" s="1">
        <v>44632</v>
      </c>
      <c r="C27" t="s">
        <v>27</v>
      </c>
      <c r="D27">
        <v>0</v>
      </c>
      <c r="E27">
        <v>1.2</v>
      </c>
      <c r="F27">
        <v>0</v>
      </c>
      <c r="G27">
        <v>0</v>
      </c>
      <c r="H27">
        <v>0</v>
      </c>
      <c r="I27">
        <v>0</v>
      </c>
      <c r="J27">
        <v>0</v>
      </c>
      <c r="K27">
        <v>0</v>
      </c>
      <c r="L27">
        <v>0</v>
      </c>
      <c r="M27">
        <v>0</v>
      </c>
      <c r="N27">
        <v>33965</v>
      </c>
      <c r="O27">
        <v>86108</v>
      </c>
      <c r="P27">
        <v>44513</v>
      </c>
      <c r="Q27">
        <v>0</v>
      </c>
      <c r="R27">
        <v>1</v>
      </c>
      <c r="S27">
        <v>0</v>
      </c>
      <c r="T27">
        <v>12</v>
      </c>
      <c r="U27">
        <v>17</v>
      </c>
    </row>
    <row r="28" spans="1:21" x14ac:dyDescent="0.35">
      <c r="A28" t="s">
        <v>21</v>
      </c>
      <c r="B28" s="1">
        <v>45268</v>
      </c>
      <c r="C28" t="s">
        <v>24</v>
      </c>
      <c r="D28">
        <v>0</v>
      </c>
      <c r="E28">
        <v>0</v>
      </c>
      <c r="F28">
        <v>0</v>
      </c>
      <c r="G28">
        <v>0</v>
      </c>
      <c r="H28">
        <v>0</v>
      </c>
      <c r="I28">
        <v>0</v>
      </c>
      <c r="J28">
        <v>0</v>
      </c>
      <c r="K28">
        <v>0</v>
      </c>
      <c r="L28">
        <v>0</v>
      </c>
      <c r="M28">
        <v>0</v>
      </c>
      <c r="N28">
        <v>89770</v>
      </c>
      <c r="O28">
        <v>82673</v>
      </c>
      <c r="P28">
        <v>21260</v>
      </c>
      <c r="Q28">
        <v>0</v>
      </c>
      <c r="R28">
        <v>0</v>
      </c>
      <c r="S28">
        <v>0</v>
      </c>
      <c r="T28">
        <v>5</v>
      </c>
      <c r="U28">
        <v>11</v>
      </c>
    </row>
    <row r="29" spans="1:21" x14ac:dyDescent="0.35">
      <c r="A29" t="s">
        <v>26</v>
      </c>
      <c r="B29" s="1">
        <v>44590</v>
      </c>
      <c r="C29" t="s">
        <v>29</v>
      </c>
      <c r="D29">
        <v>25.4</v>
      </c>
      <c r="E29">
        <v>11.3</v>
      </c>
      <c r="F29">
        <v>3.3</v>
      </c>
      <c r="G29">
        <v>2.2000000000000002</v>
      </c>
      <c r="H29">
        <v>7.7</v>
      </c>
      <c r="I29">
        <v>0</v>
      </c>
      <c r="J29">
        <v>0</v>
      </c>
      <c r="K29">
        <v>0</v>
      </c>
      <c r="L29">
        <v>0</v>
      </c>
      <c r="M29">
        <v>0</v>
      </c>
      <c r="N29">
        <v>145400</v>
      </c>
      <c r="O29">
        <v>318707</v>
      </c>
      <c r="P29">
        <v>273200</v>
      </c>
      <c r="Q29">
        <v>37</v>
      </c>
      <c r="R29">
        <v>36</v>
      </c>
      <c r="S29">
        <v>9</v>
      </c>
      <c r="T29">
        <v>30</v>
      </c>
      <c r="U29">
        <v>49</v>
      </c>
    </row>
    <row r="30" spans="1:21" x14ac:dyDescent="0.35">
      <c r="A30" t="s">
        <v>26</v>
      </c>
      <c r="B30" s="1">
        <v>44940</v>
      </c>
      <c r="C30" t="s">
        <v>32</v>
      </c>
      <c r="D30">
        <v>2.5</v>
      </c>
      <c r="E30">
        <v>0</v>
      </c>
      <c r="F30">
        <v>0</v>
      </c>
      <c r="G30">
        <v>0</v>
      </c>
      <c r="H30">
        <v>0</v>
      </c>
      <c r="I30">
        <v>0</v>
      </c>
      <c r="J30">
        <v>0</v>
      </c>
      <c r="K30">
        <v>0</v>
      </c>
      <c r="L30">
        <v>0</v>
      </c>
      <c r="M30">
        <v>0</v>
      </c>
      <c r="N30">
        <v>162642</v>
      </c>
      <c r="O30">
        <v>0</v>
      </c>
      <c r="P30">
        <v>0</v>
      </c>
      <c r="Q30">
        <v>4</v>
      </c>
      <c r="R30">
        <v>0</v>
      </c>
      <c r="S30">
        <v>0</v>
      </c>
      <c r="T30">
        <v>0</v>
      </c>
      <c r="U30">
        <v>4</v>
      </c>
    </row>
    <row r="31" spans="1:21" x14ac:dyDescent="0.35">
      <c r="A31" t="s">
        <v>21</v>
      </c>
      <c r="B31" s="1">
        <v>45248</v>
      </c>
      <c r="C31" t="s">
        <v>32</v>
      </c>
      <c r="D31">
        <v>0</v>
      </c>
      <c r="E31">
        <v>0</v>
      </c>
      <c r="F31">
        <v>0</v>
      </c>
      <c r="G31">
        <v>0</v>
      </c>
      <c r="H31">
        <v>0</v>
      </c>
      <c r="I31">
        <v>0</v>
      </c>
      <c r="J31">
        <v>0</v>
      </c>
      <c r="K31">
        <v>0</v>
      </c>
      <c r="L31">
        <v>0</v>
      </c>
      <c r="M31">
        <v>0</v>
      </c>
      <c r="N31">
        <v>162642</v>
      </c>
      <c r="O31">
        <v>0</v>
      </c>
      <c r="P31">
        <v>0</v>
      </c>
      <c r="Q31">
        <v>0</v>
      </c>
      <c r="R31">
        <v>0</v>
      </c>
      <c r="S31">
        <v>0</v>
      </c>
      <c r="T31">
        <v>0</v>
      </c>
      <c r="U31">
        <v>4</v>
      </c>
    </row>
    <row r="32" spans="1:21" x14ac:dyDescent="0.35">
      <c r="A32" t="s">
        <v>21</v>
      </c>
      <c r="B32" s="1">
        <v>45019</v>
      </c>
      <c r="C32" t="s">
        <v>29</v>
      </c>
      <c r="D32">
        <v>0</v>
      </c>
      <c r="E32">
        <v>0.4</v>
      </c>
      <c r="F32">
        <v>0.3</v>
      </c>
      <c r="G32">
        <v>0</v>
      </c>
      <c r="H32">
        <v>0</v>
      </c>
      <c r="I32">
        <v>0</v>
      </c>
      <c r="J32">
        <v>0</v>
      </c>
      <c r="K32">
        <v>0</v>
      </c>
      <c r="L32">
        <v>0</v>
      </c>
      <c r="M32">
        <v>0</v>
      </c>
      <c r="N32">
        <v>110600</v>
      </c>
      <c r="O32">
        <v>277895</v>
      </c>
      <c r="P32">
        <v>347260</v>
      </c>
      <c r="Q32">
        <v>0</v>
      </c>
      <c r="R32">
        <v>1</v>
      </c>
      <c r="S32">
        <v>1</v>
      </c>
      <c r="T32">
        <v>30</v>
      </c>
      <c r="U32">
        <v>49</v>
      </c>
    </row>
    <row r="33" spans="1:21" x14ac:dyDescent="0.35">
      <c r="A33" t="s">
        <v>26</v>
      </c>
      <c r="B33" s="1">
        <v>44737</v>
      </c>
      <c r="C33" t="s">
        <v>22</v>
      </c>
      <c r="D33">
        <v>12.7</v>
      </c>
      <c r="E33">
        <v>7.3</v>
      </c>
      <c r="F33">
        <v>8.8000000000000007</v>
      </c>
      <c r="G33">
        <v>1.7</v>
      </c>
      <c r="H33">
        <v>1.4</v>
      </c>
      <c r="I33">
        <v>15.4</v>
      </c>
      <c r="J33">
        <v>9.1</v>
      </c>
      <c r="K33">
        <v>6.2</v>
      </c>
      <c r="L33">
        <v>1.7</v>
      </c>
      <c r="M33">
        <v>2.5</v>
      </c>
      <c r="N33">
        <v>635698</v>
      </c>
      <c r="O33">
        <v>868337</v>
      </c>
      <c r="P33">
        <v>988583</v>
      </c>
      <c r="Q33">
        <v>81</v>
      </c>
      <c r="R33">
        <v>63</v>
      </c>
      <c r="S33">
        <v>87</v>
      </c>
      <c r="T33">
        <v>999</v>
      </c>
      <c r="U33">
        <v>999</v>
      </c>
    </row>
    <row r="34" spans="1:21" x14ac:dyDescent="0.35">
      <c r="A34" t="s">
        <v>28</v>
      </c>
      <c r="B34" s="1">
        <v>44906</v>
      </c>
      <c r="C34" t="s">
        <v>32</v>
      </c>
      <c r="D34">
        <v>82.4</v>
      </c>
      <c r="E34">
        <v>5.5</v>
      </c>
      <c r="F34">
        <v>0</v>
      </c>
      <c r="G34">
        <v>15</v>
      </c>
      <c r="H34">
        <v>0</v>
      </c>
      <c r="I34">
        <v>0</v>
      </c>
      <c r="J34">
        <v>0</v>
      </c>
      <c r="K34">
        <v>0</v>
      </c>
      <c r="L34">
        <v>0</v>
      </c>
      <c r="M34">
        <v>0</v>
      </c>
      <c r="N34">
        <v>162642</v>
      </c>
      <c r="O34">
        <v>0</v>
      </c>
      <c r="P34">
        <v>0</v>
      </c>
      <c r="Q34">
        <v>134</v>
      </c>
      <c r="R34">
        <v>9</v>
      </c>
      <c r="S34">
        <v>0</v>
      </c>
      <c r="T34">
        <v>0</v>
      </c>
      <c r="U34">
        <v>4</v>
      </c>
    </row>
    <row r="35" spans="1:21" x14ac:dyDescent="0.35">
      <c r="A35" t="s">
        <v>26</v>
      </c>
      <c r="B35" s="1">
        <v>44571</v>
      </c>
      <c r="C35" t="s">
        <v>23</v>
      </c>
      <c r="D35">
        <v>10.3</v>
      </c>
      <c r="E35">
        <v>3.2</v>
      </c>
      <c r="F35">
        <v>4.9000000000000004</v>
      </c>
      <c r="G35">
        <v>3.2</v>
      </c>
      <c r="H35">
        <v>2.1</v>
      </c>
      <c r="I35">
        <v>0</v>
      </c>
      <c r="J35">
        <v>0</v>
      </c>
      <c r="K35">
        <v>0</v>
      </c>
      <c r="L35">
        <v>0</v>
      </c>
      <c r="M35">
        <v>0</v>
      </c>
      <c r="N35">
        <v>39014</v>
      </c>
      <c r="O35">
        <v>125154</v>
      </c>
      <c r="P35">
        <v>246575</v>
      </c>
      <c r="Q35">
        <v>4</v>
      </c>
      <c r="R35">
        <v>4</v>
      </c>
      <c r="S35">
        <v>12</v>
      </c>
      <c r="T35">
        <v>50</v>
      </c>
      <c r="U35">
        <v>64</v>
      </c>
    </row>
    <row r="36" spans="1:21" x14ac:dyDescent="0.35">
      <c r="A36" t="s">
        <v>21</v>
      </c>
      <c r="B36" s="1">
        <v>44811</v>
      </c>
      <c r="C36" t="s">
        <v>32</v>
      </c>
      <c r="D36">
        <v>0</v>
      </c>
      <c r="E36">
        <v>0</v>
      </c>
      <c r="F36">
        <v>0</v>
      </c>
      <c r="G36">
        <v>0</v>
      </c>
      <c r="H36">
        <v>0</v>
      </c>
      <c r="I36">
        <v>0</v>
      </c>
      <c r="J36">
        <v>0</v>
      </c>
      <c r="K36">
        <v>0</v>
      </c>
      <c r="L36">
        <v>0</v>
      </c>
      <c r="M36">
        <v>0</v>
      </c>
      <c r="N36">
        <v>162642</v>
      </c>
      <c r="O36">
        <v>0</v>
      </c>
      <c r="P36">
        <v>0</v>
      </c>
      <c r="Q36">
        <v>0</v>
      </c>
      <c r="R36">
        <v>0</v>
      </c>
      <c r="S36">
        <v>0</v>
      </c>
      <c r="T36">
        <v>0</v>
      </c>
      <c r="U36">
        <v>4</v>
      </c>
    </row>
    <row r="37" spans="1:21" x14ac:dyDescent="0.35">
      <c r="A37" t="s">
        <v>26</v>
      </c>
      <c r="B37" s="1">
        <v>44821</v>
      </c>
      <c r="C37" t="s">
        <v>30</v>
      </c>
      <c r="D37">
        <v>19.2</v>
      </c>
      <c r="E37">
        <v>87.9</v>
      </c>
      <c r="F37">
        <v>46.8</v>
      </c>
      <c r="G37">
        <v>0.2</v>
      </c>
      <c r="H37">
        <v>0.4</v>
      </c>
      <c r="I37">
        <v>0</v>
      </c>
      <c r="J37">
        <v>0</v>
      </c>
      <c r="K37">
        <v>0</v>
      </c>
      <c r="L37">
        <v>0</v>
      </c>
      <c r="M37">
        <v>0</v>
      </c>
      <c r="N37">
        <v>26096</v>
      </c>
      <c r="O37">
        <v>11381</v>
      </c>
      <c r="P37">
        <v>47028</v>
      </c>
      <c r="Q37">
        <v>5</v>
      </c>
      <c r="R37">
        <v>10</v>
      </c>
      <c r="S37">
        <v>22</v>
      </c>
      <c r="T37">
        <v>80</v>
      </c>
      <c r="U37">
        <v>200</v>
      </c>
    </row>
    <row r="38" spans="1:21" x14ac:dyDescent="0.35">
      <c r="A38" t="s">
        <v>21</v>
      </c>
      <c r="B38" s="1">
        <v>44891</v>
      </c>
      <c r="C38" t="s">
        <v>24</v>
      </c>
      <c r="D38">
        <v>0</v>
      </c>
      <c r="E38">
        <v>0</v>
      </c>
      <c r="F38">
        <v>0</v>
      </c>
      <c r="G38">
        <v>0</v>
      </c>
      <c r="H38">
        <v>0</v>
      </c>
      <c r="I38">
        <v>0</v>
      </c>
      <c r="J38">
        <v>0</v>
      </c>
      <c r="K38">
        <v>0</v>
      </c>
      <c r="L38">
        <v>0</v>
      </c>
      <c r="M38">
        <v>0</v>
      </c>
      <c r="N38">
        <v>93076</v>
      </c>
      <c r="O38">
        <v>81025</v>
      </c>
      <c r="P38">
        <v>21098</v>
      </c>
      <c r="Q38">
        <v>0</v>
      </c>
      <c r="R38">
        <v>0</v>
      </c>
      <c r="S38">
        <v>0</v>
      </c>
      <c r="T38">
        <v>5</v>
      </c>
      <c r="U38">
        <v>11</v>
      </c>
    </row>
    <row r="39" spans="1:21" x14ac:dyDescent="0.35">
      <c r="A39" t="s">
        <v>21</v>
      </c>
      <c r="B39" s="1">
        <v>45122</v>
      </c>
      <c r="C39" t="s">
        <v>32</v>
      </c>
      <c r="D39">
        <v>0</v>
      </c>
      <c r="E39">
        <v>0</v>
      </c>
      <c r="F39">
        <v>0</v>
      </c>
      <c r="G39">
        <v>0</v>
      </c>
      <c r="H39">
        <v>0</v>
      </c>
      <c r="I39">
        <v>0</v>
      </c>
      <c r="J39">
        <v>0</v>
      </c>
      <c r="K39">
        <v>0</v>
      </c>
      <c r="L39">
        <v>0</v>
      </c>
      <c r="M39">
        <v>0</v>
      </c>
      <c r="N39">
        <v>162642</v>
      </c>
      <c r="O39">
        <v>0</v>
      </c>
      <c r="P39">
        <v>0</v>
      </c>
      <c r="Q39">
        <v>0</v>
      </c>
      <c r="R39">
        <v>0</v>
      </c>
      <c r="S39">
        <v>0</v>
      </c>
      <c r="T39">
        <v>0</v>
      </c>
      <c r="U39">
        <v>4</v>
      </c>
    </row>
    <row r="40" spans="1:21" x14ac:dyDescent="0.35">
      <c r="A40" t="s">
        <v>21</v>
      </c>
      <c r="B40" s="1">
        <v>44548</v>
      </c>
      <c r="C40" t="s">
        <v>29</v>
      </c>
      <c r="D40">
        <v>3.4</v>
      </c>
      <c r="E40">
        <v>0.5</v>
      </c>
      <c r="F40">
        <v>0</v>
      </c>
      <c r="G40">
        <v>6.8</v>
      </c>
      <c r="H40">
        <v>0</v>
      </c>
      <c r="I40">
        <v>0</v>
      </c>
      <c r="J40">
        <v>0</v>
      </c>
      <c r="K40">
        <v>0</v>
      </c>
      <c r="L40">
        <v>0</v>
      </c>
      <c r="M40">
        <v>0</v>
      </c>
      <c r="N40">
        <v>176574</v>
      </c>
      <c r="O40">
        <v>429933</v>
      </c>
      <c r="P40">
        <v>147317</v>
      </c>
      <c r="Q40">
        <v>6</v>
      </c>
      <c r="R40">
        <v>2</v>
      </c>
      <c r="S40">
        <v>0</v>
      </c>
      <c r="T40">
        <v>30</v>
      </c>
      <c r="U40">
        <v>49</v>
      </c>
    </row>
    <row r="41" spans="1:21" x14ac:dyDescent="0.35">
      <c r="A41" t="s">
        <v>21</v>
      </c>
      <c r="B41" s="1">
        <v>45027</v>
      </c>
      <c r="C41" t="s">
        <v>31</v>
      </c>
      <c r="D41">
        <v>2.6</v>
      </c>
      <c r="E41">
        <v>0</v>
      </c>
      <c r="F41">
        <v>0.6</v>
      </c>
      <c r="G41">
        <v>0</v>
      </c>
      <c r="H41">
        <v>4.3</v>
      </c>
      <c r="I41">
        <v>0</v>
      </c>
      <c r="J41">
        <v>0</v>
      </c>
      <c r="K41">
        <v>0</v>
      </c>
      <c r="L41">
        <v>0</v>
      </c>
      <c r="M41">
        <v>0</v>
      </c>
      <c r="N41">
        <v>37857</v>
      </c>
      <c r="O41">
        <v>44044</v>
      </c>
      <c r="P41">
        <v>172280</v>
      </c>
      <c r="Q41">
        <v>1</v>
      </c>
      <c r="R41">
        <v>0</v>
      </c>
      <c r="S41">
        <v>1</v>
      </c>
      <c r="T41">
        <v>65</v>
      </c>
      <c r="U41">
        <v>79</v>
      </c>
    </row>
    <row r="42" spans="1:21" x14ac:dyDescent="0.35">
      <c r="A42" t="s">
        <v>28</v>
      </c>
      <c r="B42" s="1">
        <v>44975</v>
      </c>
      <c r="C42" t="s">
        <v>31</v>
      </c>
      <c r="D42">
        <v>129.6</v>
      </c>
      <c r="E42">
        <v>126.7</v>
      </c>
      <c r="F42">
        <v>106.6</v>
      </c>
      <c r="G42">
        <v>1</v>
      </c>
      <c r="H42">
        <v>1.2</v>
      </c>
      <c r="I42">
        <v>0</v>
      </c>
      <c r="J42">
        <v>0</v>
      </c>
      <c r="K42">
        <v>0</v>
      </c>
      <c r="L42">
        <v>0</v>
      </c>
      <c r="M42">
        <v>0</v>
      </c>
      <c r="N42">
        <v>40129</v>
      </c>
      <c r="O42">
        <v>43398</v>
      </c>
      <c r="P42">
        <v>171695</v>
      </c>
      <c r="Q42">
        <v>52</v>
      </c>
      <c r="R42">
        <v>55</v>
      </c>
      <c r="S42">
        <v>183</v>
      </c>
      <c r="T42">
        <v>65</v>
      </c>
      <c r="U42">
        <v>79</v>
      </c>
    </row>
    <row r="43" spans="1:21" x14ac:dyDescent="0.35">
      <c r="A43" t="s">
        <v>26</v>
      </c>
      <c r="B43" s="1">
        <v>45136</v>
      </c>
      <c r="C43" t="s">
        <v>22</v>
      </c>
      <c r="D43">
        <v>1.9</v>
      </c>
      <c r="E43">
        <v>1.2</v>
      </c>
      <c r="F43">
        <v>2.5</v>
      </c>
      <c r="G43">
        <v>1.6</v>
      </c>
      <c r="H43">
        <v>0.8</v>
      </c>
      <c r="I43">
        <v>2.8</v>
      </c>
      <c r="J43">
        <v>2.6</v>
      </c>
      <c r="K43">
        <v>1.7</v>
      </c>
      <c r="L43">
        <v>1.1000000000000001</v>
      </c>
      <c r="M43">
        <v>1.7</v>
      </c>
      <c r="N43">
        <v>530107</v>
      </c>
      <c r="O43">
        <v>860315</v>
      </c>
      <c r="P43">
        <v>1040772</v>
      </c>
      <c r="Q43">
        <v>10</v>
      </c>
      <c r="R43">
        <v>10</v>
      </c>
      <c r="S43">
        <v>26</v>
      </c>
      <c r="T43">
        <v>999</v>
      </c>
      <c r="U43">
        <v>999</v>
      </c>
    </row>
    <row r="44" spans="1:21" x14ac:dyDescent="0.35">
      <c r="A44" t="s">
        <v>26</v>
      </c>
      <c r="B44" s="1">
        <v>45178</v>
      </c>
      <c r="C44" t="s">
        <v>23</v>
      </c>
      <c r="D44">
        <v>0</v>
      </c>
      <c r="E44">
        <v>6.4</v>
      </c>
      <c r="F44">
        <v>3.2</v>
      </c>
      <c r="G44">
        <v>0</v>
      </c>
      <c r="H44">
        <v>0</v>
      </c>
      <c r="I44">
        <v>0</v>
      </c>
      <c r="J44">
        <v>0</v>
      </c>
      <c r="K44">
        <v>0</v>
      </c>
      <c r="L44">
        <v>0</v>
      </c>
      <c r="M44">
        <v>0</v>
      </c>
      <c r="N44">
        <v>32271</v>
      </c>
      <c r="O44">
        <v>125723</v>
      </c>
      <c r="P44">
        <v>246940</v>
      </c>
      <c r="Q44">
        <v>0</v>
      </c>
      <c r="R44">
        <v>8</v>
      </c>
      <c r="S44">
        <v>8</v>
      </c>
      <c r="T44">
        <v>50</v>
      </c>
      <c r="U44">
        <v>64</v>
      </c>
    </row>
    <row r="45" spans="1:21" x14ac:dyDescent="0.35">
      <c r="A45" t="s">
        <v>28</v>
      </c>
      <c r="B45" s="1">
        <v>44849</v>
      </c>
      <c r="C45" t="s">
        <v>24</v>
      </c>
      <c r="D45">
        <v>81.599999999999994</v>
      </c>
      <c r="E45">
        <v>80.400000000000006</v>
      </c>
      <c r="F45">
        <v>78.900000000000006</v>
      </c>
      <c r="G45">
        <v>1</v>
      </c>
      <c r="H45">
        <v>1</v>
      </c>
      <c r="I45">
        <v>0</v>
      </c>
      <c r="J45">
        <v>0</v>
      </c>
      <c r="K45">
        <v>0</v>
      </c>
      <c r="L45">
        <v>0</v>
      </c>
      <c r="M45">
        <v>0</v>
      </c>
      <c r="N45">
        <v>94329</v>
      </c>
      <c r="O45">
        <v>80849</v>
      </c>
      <c r="P45">
        <v>20269</v>
      </c>
      <c r="Q45">
        <v>77</v>
      </c>
      <c r="R45">
        <v>65</v>
      </c>
      <c r="S45">
        <v>16</v>
      </c>
      <c r="T45">
        <v>5</v>
      </c>
      <c r="U45">
        <v>11</v>
      </c>
    </row>
    <row r="46" spans="1:21" x14ac:dyDescent="0.35">
      <c r="A46" t="s">
        <v>28</v>
      </c>
      <c r="B46" s="1">
        <v>44449</v>
      </c>
      <c r="C46" t="s">
        <v>31</v>
      </c>
      <c r="D46">
        <v>92.7</v>
      </c>
      <c r="E46">
        <v>41.3</v>
      </c>
      <c r="F46">
        <v>0</v>
      </c>
      <c r="G46">
        <v>2.2000000000000002</v>
      </c>
      <c r="H46">
        <v>0</v>
      </c>
      <c r="I46">
        <v>0</v>
      </c>
      <c r="J46">
        <v>0</v>
      </c>
      <c r="K46">
        <v>0</v>
      </c>
      <c r="L46">
        <v>0</v>
      </c>
      <c r="M46">
        <v>0</v>
      </c>
      <c r="N46">
        <v>61521</v>
      </c>
      <c r="O46">
        <v>191460</v>
      </c>
      <c r="P46">
        <v>0</v>
      </c>
      <c r="Q46">
        <v>57</v>
      </c>
      <c r="R46">
        <v>79</v>
      </c>
      <c r="S46">
        <v>0</v>
      </c>
      <c r="T46">
        <v>65</v>
      </c>
      <c r="U46">
        <v>79</v>
      </c>
    </row>
    <row r="47" spans="1:21" x14ac:dyDescent="0.35">
      <c r="A47" t="s">
        <v>26</v>
      </c>
      <c r="B47" s="1">
        <v>44786</v>
      </c>
      <c r="C47" t="s">
        <v>32</v>
      </c>
      <c r="D47">
        <v>7.4</v>
      </c>
      <c r="E47">
        <v>0</v>
      </c>
      <c r="F47">
        <v>0</v>
      </c>
      <c r="G47">
        <v>0</v>
      </c>
      <c r="H47">
        <v>0</v>
      </c>
      <c r="I47">
        <v>0</v>
      </c>
      <c r="J47">
        <v>0</v>
      </c>
      <c r="K47">
        <v>0</v>
      </c>
      <c r="L47">
        <v>0</v>
      </c>
      <c r="M47">
        <v>0</v>
      </c>
      <c r="N47">
        <v>162642</v>
      </c>
      <c r="O47">
        <v>0</v>
      </c>
      <c r="P47">
        <v>0</v>
      </c>
      <c r="Q47">
        <v>12</v>
      </c>
      <c r="R47">
        <v>0</v>
      </c>
      <c r="S47">
        <v>0</v>
      </c>
      <c r="T47">
        <v>0</v>
      </c>
      <c r="U47">
        <v>4</v>
      </c>
    </row>
    <row r="48" spans="1:21" x14ac:dyDescent="0.35">
      <c r="A48" t="s">
        <v>26</v>
      </c>
      <c r="B48" s="1">
        <v>44596</v>
      </c>
      <c r="C48" t="s">
        <v>31</v>
      </c>
      <c r="D48">
        <v>8.3000000000000007</v>
      </c>
      <c r="E48">
        <v>9.6999999999999993</v>
      </c>
      <c r="F48">
        <v>1.3</v>
      </c>
      <c r="G48">
        <v>0.9</v>
      </c>
      <c r="H48">
        <v>6.4</v>
      </c>
      <c r="I48">
        <v>0</v>
      </c>
      <c r="J48">
        <v>0</v>
      </c>
      <c r="K48">
        <v>0</v>
      </c>
      <c r="L48">
        <v>0</v>
      </c>
      <c r="M48">
        <v>0</v>
      </c>
      <c r="N48">
        <v>48452</v>
      </c>
      <c r="O48">
        <v>51564</v>
      </c>
      <c r="P48">
        <v>159143</v>
      </c>
      <c r="Q48">
        <v>4</v>
      </c>
      <c r="R48">
        <v>5</v>
      </c>
      <c r="S48">
        <v>2</v>
      </c>
      <c r="T48">
        <v>65</v>
      </c>
      <c r="U48">
        <v>79</v>
      </c>
    </row>
    <row r="49" spans="1:21" x14ac:dyDescent="0.35">
      <c r="A49" t="s">
        <v>26</v>
      </c>
      <c r="B49" s="1">
        <v>45129</v>
      </c>
      <c r="C49" t="s">
        <v>24</v>
      </c>
      <c r="D49">
        <v>0</v>
      </c>
      <c r="E49">
        <v>0</v>
      </c>
      <c r="F49">
        <v>0</v>
      </c>
      <c r="G49">
        <v>0</v>
      </c>
      <c r="H49">
        <v>0</v>
      </c>
      <c r="I49">
        <v>0</v>
      </c>
      <c r="J49">
        <v>0</v>
      </c>
      <c r="K49">
        <v>0</v>
      </c>
      <c r="L49">
        <v>0</v>
      </c>
      <c r="M49">
        <v>0</v>
      </c>
      <c r="N49">
        <v>90050</v>
      </c>
      <c r="O49">
        <v>82668</v>
      </c>
      <c r="P49">
        <v>21259</v>
      </c>
      <c r="Q49">
        <v>0</v>
      </c>
      <c r="R49">
        <v>0</v>
      </c>
      <c r="S49">
        <v>0</v>
      </c>
      <c r="T49">
        <v>5</v>
      </c>
      <c r="U49">
        <v>11</v>
      </c>
    </row>
    <row r="50" spans="1:21" x14ac:dyDescent="0.35">
      <c r="A50" t="s">
        <v>26</v>
      </c>
      <c r="B50" s="1">
        <v>44618</v>
      </c>
      <c r="C50" t="s">
        <v>23</v>
      </c>
      <c r="D50">
        <v>12.8</v>
      </c>
      <c r="E50">
        <v>5.5</v>
      </c>
      <c r="F50">
        <v>3.2</v>
      </c>
      <c r="G50">
        <v>2.2999999999999998</v>
      </c>
      <c r="H50">
        <v>4</v>
      </c>
      <c r="I50">
        <v>0</v>
      </c>
      <c r="J50">
        <v>0</v>
      </c>
      <c r="K50">
        <v>0</v>
      </c>
      <c r="L50">
        <v>0</v>
      </c>
      <c r="M50">
        <v>0</v>
      </c>
      <c r="N50">
        <v>46700</v>
      </c>
      <c r="O50">
        <v>145752</v>
      </c>
      <c r="P50">
        <v>217214</v>
      </c>
      <c r="Q50">
        <v>6</v>
      </c>
      <c r="R50">
        <v>8</v>
      </c>
      <c r="S50">
        <v>7</v>
      </c>
      <c r="T50">
        <v>50</v>
      </c>
      <c r="U50">
        <v>64</v>
      </c>
    </row>
    <row r="51" spans="1:21" x14ac:dyDescent="0.35">
      <c r="A51" t="s">
        <v>28</v>
      </c>
      <c r="B51" s="1">
        <v>44201</v>
      </c>
      <c r="C51" t="s">
        <v>22</v>
      </c>
      <c r="D51">
        <v>200.5</v>
      </c>
      <c r="E51">
        <v>20.6</v>
      </c>
      <c r="F51">
        <v>0</v>
      </c>
      <c r="G51">
        <v>9.6999999999999993</v>
      </c>
      <c r="H51">
        <v>0</v>
      </c>
      <c r="I51">
        <v>215.3</v>
      </c>
      <c r="J51">
        <v>16</v>
      </c>
      <c r="K51">
        <v>0</v>
      </c>
      <c r="L51">
        <v>13.5</v>
      </c>
      <c r="M51">
        <v>0</v>
      </c>
      <c r="N51">
        <v>1471355</v>
      </c>
      <c r="O51">
        <v>709078</v>
      </c>
      <c r="P51">
        <v>0</v>
      </c>
      <c r="Q51">
        <v>2950</v>
      </c>
      <c r="R51">
        <v>146</v>
      </c>
      <c r="S51">
        <v>0</v>
      </c>
      <c r="T51">
        <v>999</v>
      </c>
      <c r="U51">
        <v>999</v>
      </c>
    </row>
    <row r="52" spans="1:21" x14ac:dyDescent="0.35">
      <c r="A52" t="s">
        <v>28</v>
      </c>
      <c r="B52" s="1">
        <v>44969</v>
      </c>
      <c r="C52" t="s">
        <v>30</v>
      </c>
      <c r="D52">
        <v>83.7</v>
      </c>
      <c r="E52">
        <v>102.9</v>
      </c>
      <c r="F52">
        <v>143.5</v>
      </c>
      <c r="G52">
        <v>0.8</v>
      </c>
      <c r="H52">
        <v>0.6</v>
      </c>
      <c r="I52">
        <v>0</v>
      </c>
      <c r="J52">
        <v>0</v>
      </c>
      <c r="K52">
        <v>0</v>
      </c>
      <c r="L52">
        <v>0</v>
      </c>
      <c r="M52">
        <v>0</v>
      </c>
      <c r="N52">
        <v>23883</v>
      </c>
      <c r="O52">
        <v>11658</v>
      </c>
      <c r="P52">
        <v>47387</v>
      </c>
      <c r="Q52">
        <v>20</v>
      </c>
      <c r="R52">
        <v>12</v>
      </c>
      <c r="S52">
        <v>68</v>
      </c>
      <c r="T52">
        <v>80</v>
      </c>
      <c r="U52">
        <v>200</v>
      </c>
    </row>
    <row r="53" spans="1:21" x14ac:dyDescent="0.35">
      <c r="A53" t="s">
        <v>28</v>
      </c>
      <c r="B53" s="1">
        <v>44919</v>
      </c>
      <c r="C53" t="s">
        <v>31</v>
      </c>
      <c r="D53">
        <v>215.7</v>
      </c>
      <c r="E53">
        <v>156.80000000000001</v>
      </c>
      <c r="F53">
        <v>225.4</v>
      </c>
      <c r="G53">
        <v>1.4</v>
      </c>
      <c r="H53">
        <v>1</v>
      </c>
      <c r="I53">
        <v>0</v>
      </c>
      <c r="J53">
        <v>0</v>
      </c>
      <c r="K53">
        <v>0</v>
      </c>
      <c r="L53">
        <v>0</v>
      </c>
      <c r="M53">
        <v>0</v>
      </c>
      <c r="N53">
        <v>40797</v>
      </c>
      <c r="O53">
        <v>43362</v>
      </c>
      <c r="P53">
        <v>171663</v>
      </c>
      <c r="Q53">
        <v>88</v>
      </c>
      <c r="R53">
        <v>68</v>
      </c>
      <c r="S53">
        <v>387</v>
      </c>
      <c r="T53">
        <v>65</v>
      </c>
      <c r="U53">
        <v>79</v>
      </c>
    </row>
    <row r="54" spans="1:21" x14ac:dyDescent="0.35">
      <c r="A54" t="s">
        <v>26</v>
      </c>
      <c r="B54" s="1">
        <v>45213</v>
      </c>
      <c r="C54" t="s">
        <v>24</v>
      </c>
      <c r="D54">
        <v>0</v>
      </c>
      <c r="E54">
        <v>0</v>
      </c>
      <c r="F54">
        <v>0</v>
      </c>
      <c r="G54">
        <v>0</v>
      </c>
      <c r="H54">
        <v>0</v>
      </c>
      <c r="I54">
        <v>0</v>
      </c>
      <c r="J54">
        <v>0</v>
      </c>
      <c r="K54">
        <v>0</v>
      </c>
      <c r="L54">
        <v>0</v>
      </c>
      <c r="M54">
        <v>0</v>
      </c>
      <c r="N54">
        <v>89235</v>
      </c>
      <c r="O54">
        <v>82644</v>
      </c>
      <c r="P54">
        <v>21300</v>
      </c>
      <c r="Q54">
        <v>0</v>
      </c>
      <c r="R54">
        <v>0</v>
      </c>
      <c r="S54">
        <v>0</v>
      </c>
      <c r="T54">
        <v>5</v>
      </c>
      <c r="U54">
        <v>11</v>
      </c>
    </row>
    <row r="55" spans="1:21" x14ac:dyDescent="0.35">
      <c r="A55" t="s">
        <v>26</v>
      </c>
      <c r="B55" s="1">
        <v>45157</v>
      </c>
      <c r="C55" t="s">
        <v>22</v>
      </c>
      <c r="D55">
        <v>5.5</v>
      </c>
      <c r="E55">
        <v>1.3</v>
      </c>
      <c r="F55">
        <v>4</v>
      </c>
      <c r="G55">
        <v>4.2</v>
      </c>
      <c r="H55">
        <v>1.4</v>
      </c>
      <c r="I55">
        <v>6.3</v>
      </c>
      <c r="J55">
        <v>2</v>
      </c>
      <c r="K55">
        <v>2.8</v>
      </c>
      <c r="L55">
        <v>3.2</v>
      </c>
      <c r="M55">
        <v>2.2000000000000002</v>
      </c>
      <c r="N55">
        <v>528293</v>
      </c>
      <c r="O55">
        <v>860304</v>
      </c>
      <c r="P55">
        <v>1040794</v>
      </c>
      <c r="Q55">
        <v>29</v>
      </c>
      <c r="R55">
        <v>11</v>
      </c>
      <c r="S55">
        <v>42</v>
      </c>
      <c r="T55">
        <v>999</v>
      </c>
      <c r="U55">
        <v>999</v>
      </c>
    </row>
    <row r="56" spans="1:21" x14ac:dyDescent="0.35">
      <c r="A56" t="s">
        <v>28</v>
      </c>
      <c r="B56" s="1">
        <v>44975</v>
      </c>
      <c r="C56" t="s">
        <v>30</v>
      </c>
      <c r="D56">
        <v>81</v>
      </c>
      <c r="E56">
        <v>219.7</v>
      </c>
      <c r="F56">
        <v>218.6</v>
      </c>
      <c r="G56">
        <v>0.4</v>
      </c>
      <c r="H56">
        <v>0.4</v>
      </c>
      <c r="I56">
        <v>0</v>
      </c>
      <c r="J56">
        <v>0</v>
      </c>
      <c r="K56">
        <v>0</v>
      </c>
      <c r="L56">
        <v>0</v>
      </c>
      <c r="M56">
        <v>0</v>
      </c>
      <c r="N56">
        <v>24700</v>
      </c>
      <c r="O56">
        <v>11377</v>
      </c>
      <c r="P56">
        <v>47122</v>
      </c>
      <c r="Q56">
        <v>20</v>
      </c>
      <c r="R56">
        <v>25</v>
      </c>
      <c r="S56">
        <v>103</v>
      </c>
      <c r="T56">
        <v>80</v>
      </c>
      <c r="U56">
        <v>200</v>
      </c>
    </row>
    <row r="57" spans="1:21" x14ac:dyDescent="0.35">
      <c r="A57" t="s">
        <v>26</v>
      </c>
      <c r="B57" s="1">
        <v>44730</v>
      </c>
      <c r="C57" t="s">
        <v>29</v>
      </c>
      <c r="D57">
        <v>19.5</v>
      </c>
      <c r="E57">
        <v>3.9</v>
      </c>
      <c r="F57">
        <v>4.7</v>
      </c>
      <c r="G57">
        <v>5</v>
      </c>
      <c r="H57">
        <v>4.0999999999999996</v>
      </c>
      <c r="I57">
        <v>0</v>
      </c>
      <c r="J57">
        <v>0</v>
      </c>
      <c r="K57">
        <v>0</v>
      </c>
      <c r="L57">
        <v>0</v>
      </c>
      <c r="M57">
        <v>0</v>
      </c>
      <c r="N57">
        <v>128401</v>
      </c>
      <c r="O57">
        <v>281885</v>
      </c>
      <c r="P57">
        <v>338011</v>
      </c>
      <c r="Q57">
        <v>25</v>
      </c>
      <c r="R57">
        <v>11</v>
      </c>
      <c r="S57">
        <v>16</v>
      </c>
      <c r="T57">
        <v>30</v>
      </c>
      <c r="U57">
        <v>49</v>
      </c>
    </row>
    <row r="58" spans="1:21" x14ac:dyDescent="0.35">
      <c r="A58" t="s">
        <v>21</v>
      </c>
      <c r="B58" s="1">
        <v>44765</v>
      </c>
      <c r="C58" t="s">
        <v>27</v>
      </c>
      <c r="D58">
        <v>0</v>
      </c>
      <c r="E58">
        <v>0</v>
      </c>
      <c r="F58">
        <v>0</v>
      </c>
      <c r="G58">
        <v>0</v>
      </c>
      <c r="H58">
        <v>0</v>
      </c>
      <c r="I58">
        <v>0</v>
      </c>
      <c r="J58">
        <v>0</v>
      </c>
      <c r="K58">
        <v>0</v>
      </c>
      <c r="L58">
        <v>0</v>
      </c>
      <c r="M58">
        <v>0</v>
      </c>
      <c r="N58">
        <v>36073</v>
      </c>
      <c r="O58">
        <v>90284</v>
      </c>
      <c r="P58">
        <v>39015</v>
      </c>
      <c r="Q58">
        <v>0</v>
      </c>
      <c r="R58">
        <v>0</v>
      </c>
      <c r="S58">
        <v>0</v>
      </c>
      <c r="T58">
        <v>12</v>
      </c>
      <c r="U58">
        <v>17</v>
      </c>
    </row>
    <row r="59" spans="1:21" x14ac:dyDescent="0.35">
      <c r="A59" t="s">
        <v>21</v>
      </c>
      <c r="B59" s="1">
        <v>44800</v>
      </c>
      <c r="C59" t="s">
        <v>24</v>
      </c>
      <c r="D59">
        <v>0</v>
      </c>
      <c r="E59">
        <v>0</v>
      </c>
      <c r="F59">
        <v>0</v>
      </c>
      <c r="G59">
        <v>0</v>
      </c>
      <c r="H59">
        <v>0</v>
      </c>
      <c r="I59">
        <v>0</v>
      </c>
      <c r="J59">
        <v>0</v>
      </c>
      <c r="K59">
        <v>0</v>
      </c>
      <c r="L59">
        <v>0</v>
      </c>
      <c r="M59">
        <v>0</v>
      </c>
      <c r="N59">
        <v>95812</v>
      </c>
      <c r="O59">
        <v>83661</v>
      </c>
      <c r="P59">
        <v>15377</v>
      </c>
      <c r="Q59">
        <v>0</v>
      </c>
      <c r="R59">
        <v>0</v>
      </c>
      <c r="S59">
        <v>0</v>
      </c>
      <c r="T59">
        <v>5</v>
      </c>
      <c r="U59">
        <v>11</v>
      </c>
    </row>
    <row r="60" spans="1:21" x14ac:dyDescent="0.35">
      <c r="A60" t="s">
        <v>26</v>
      </c>
      <c r="B60" s="1">
        <v>45073</v>
      </c>
      <c r="C60" t="s">
        <v>23</v>
      </c>
      <c r="D60">
        <v>6.1</v>
      </c>
      <c r="E60">
        <v>0.8</v>
      </c>
      <c r="F60">
        <v>1.6</v>
      </c>
      <c r="G60">
        <v>7.6</v>
      </c>
      <c r="H60">
        <v>3.8</v>
      </c>
      <c r="I60">
        <v>0</v>
      </c>
      <c r="J60">
        <v>0</v>
      </c>
      <c r="K60">
        <v>0</v>
      </c>
      <c r="L60">
        <v>0</v>
      </c>
      <c r="M60">
        <v>0</v>
      </c>
      <c r="N60">
        <v>32906</v>
      </c>
      <c r="O60">
        <v>125743</v>
      </c>
      <c r="P60">
        <v>246912</v>
      </c>
      <c r="Q60">
        <v>2</v>
      </c>
      <c r="R60">
        <v>1</v>
      </c>
      <c r="S60">
        <v>4</v>
      </c>
      <c r="T60">
        <v>50</v>
      </c>
      <c r="U60">
        <v>64</v>
      </c>
    </row>
    <row r="61" spans="1:21" x14ac:dyDescent="0.35">
      <c r="A61" t="s">
        <v>21</v>
      </c>
      <c r="B61" s="1">
        <v>45227</v>
      </c>
      <c r="C61" t="s">
        <v>23</v>
      </c>
      <c r="D61">
        <v>0</v>
      </c>
      <c r="E61">
        <v>0.8</v>
      </c>
      <c r="F61">
        <v>0</v>
      </c>
      <c r="G61">
        <v>0</v>
      </c>
      <c r="H61">
        <v>0</v>
      </c>
      <c r="I61">
        <v>0</v>
      </c>
      <c r="J61">
        <v>0</v>
      </c>
      <c r="K61">
        <v>0</v>
      </c>
      <c r="L61">
        <v>0</v>
      </c>
      <c r="M61">
        <v>0</v>
      </c>
      <c r="N61">
        <v>30857</v>
      </c>
      <c r="O61">
        <v>125795</v>
      </c>
      <c r="P61">
        <v>247425</v>
      </c>
      <c r="Q61">
        <v>0</v>
      </c>
      <c r="R61">
        <v>1</v>
      </c>
      <c r="S61">
        <v>0</v>
      </c>
      <c r="T61">
        <v>50</v>
      </c>
      <c r="U61">
        <v>64</v>
      </c>
    </row>
    <row r="62" spans="1:21" x14ac:dyDescent="0.35">
      <c r="A62" t="s">
        <v>26</v>
      </c>
      <c r="B62" s="1">
        <v>44919</v>
      </c>
      <c r="C62" t="s">
        <v>32</v>
      </c>
      <c r="D62">
        <v>4.9000000000000004</v>
      </c>
      <c r="E62">
        <v>0</v>
      </c>
      <c r="F62">
        <v>0</v>
      </c>
      <c r="G62">
        <v>0</v>
      </c>
      <c r="H62">
        <v>0</v>
      </c>
      <c r="I62">
        <v>0</v>
      </c>
      <c r="J62">
        <v>0</v>
      </c>
      <c r="K62">
        <v>0</v>
      </c>
      <c r="L62">
        <v>0</v>
      </c>
      <c r="M62">
        <v>0</v>
      </c>
      <c r="N62">
        <v>162642</v>
      </c>
      <c r="O62">
        <v>0</v>
      </c>
      <c r="P62">
        <v>0</v>
      </c>
      <c r="Q62">
        <v>8</v>
      </c>
      <c r="R62">
        <v>0</v>
      </c>
      <c r="S62">
        <v>0</v>
      </c>
      <c r="T62">
        <v>0</v>
      </c>
      <c r="U62">
        <v>4</v>
      </c>
    </row>
    <row r="63" spans="1:21" x14ac:dyDescent="0.35">
      <c r="A63" t="s">
        <v>26</v>
      </c>
      <c r="B63" s="1">
        <v>45129</v>
      </c>
      <c r="C63" t="s">
        <v>31</v>
      </c>
      <c r="D63">
        <v>10.199999999999999</v>
      </c>
      <c r="E63">
        <v>2.2999999999999998</v>
      </c>
      <c r="F63">
        <v>4.0999999999999996</v>
      </c>
      <c r="G63">
        <v>4.4000000000000004</v>
      </c>
      <c r="H63">
        <v>2.5</v>
      </c>
      <c r="I63">
        <v>0</v>
      </c>
      <c r="J63">
        <v>0</v>
      </c>
      <c r="K63">
        <v>0</v>
      </c>
      <c r="L63">
        <v>0</v>
      </c>
      <c r="M63">
        <v>0</v>
      </c>
      <c r="N63">
        <v>39318</v>
      </c>
      <c r="O63">
        <v>43421</v>
      </c>
      <c r="P63">
        <v>171748</v>
      </c>
      <c r="Q63">
        <v>4</v>
      </c>
      <c r="R63">
        <v>1</v>
      </c>
      <c r="S63">
        <v>7</v>
      </c>
      <c r="T63">
        <v>65</v>
      </c>
      <c r="U63">
        <v>79</v>
      </c>
    </row>
    <row r="64" spans="1:21" x14ac:dyDescent="0.35">
      <c r="A64" t="s">
        <v>21</v>
      </c>
      <c r="B64" s="1">
        <v>45268</v>
      </c>
      <c r="C64" t="s">
        <v>23</v>
      </c>
      <c r="D64">
        <v>0</v>
      </c>
      <c r="E64">
        <v>0</v>
      </c>
      <c r="F64">
        <v>0</v>
      </c>
      <c r="G64">
        <v>0</v>
      </c>
      <c r="H64">
        <v>0</v>
      </c>
      <c r="I64">
        <v>0</v>
      </c>
      <c r="J64">
        <v>0</v>
      </c>
      <c r="K64">
        <v>0</v>
      </c>
      <c r="L64">
        <v>0</v>
      </c>
      <c r="M64">
        <v>0</v>
      </c>
      <c r="N64">
        <v>32441</v>
      </c>
      <c r="O64">
        <v>125727</v>
      </c>
      <c r="P64">
        <v>246935</v>
      </c>
      <c r="Q64">
        <v>0</v>
      </c>
      <c r="R64">
        <v>0</v>
      </c>
      <c r="S64">
        <v>0</v>
      </c>
      <c r="T64">
        <v>50</v>
      </c>
      <c r="U64">
        <v>64</v>
      </c>
    </row>
    <row r="65" spans="1:21" x14ac:dyDescent="0.35">
      <c r="A65" t="s">
        <v>21</v>
      </c>
      <c r="B65" s="1">
        <v>45164</v>
      </c>
      <c r="C65" t="s">
        <v>31</v>
      </c>
      <c r="D65">
        <v>2.6</v>
      </c>
      <c r="E65">
        <v>0</v>
      </c>
      <c r="F65">
        <v>0</v>
      </c>
      <c r="G65">
        <v>0</v>
      </c>
      <c r="H65">
        <v>0</v>
      </c>
      <c r="I65">
        <v>0</v>
      </c>
      <c r="J65">
        <v>0</v>
      </c>
      <c r="K65">
        <v>0</v>
      </c>
      <c r="L65">
        <v>0</v>
      </c>
      <c r="M65">
        <v>0</v>
      </c>
      <c r="N65">
        <v>39187</v>
      </c>
      <c r="O65">
        <v>43414</v>
      </c>
      <c r="P65">
        <v>171755</v>
      </c>
      <c r="Q65">
        <v>1</v>
      </c>
      <c r="R65">
        <v>0</v>
      </c>
      <c r="S65">
        <v>0</v>
      </c>
      <c r="T65">
        <v>65</v>
      </c>
      <c r="U65">
        <v>79</v>
      </c>
    </row>
    <row r="66" spans="1:21" x14ac:dyDescent="0.35">
      <c r="A66" t="s">
        <v>26</v>
      </c>
      <c r="B66" s="1">
        <v>44646</v>
      </c>
      <c r="C66" t="s">
        <v>30</v>
      </c>
      <c r="D66">
        <v>3.7</v>
      </c>
      <c r="E66">
        <v>14.2</v>
      </c>
      <c r="F66">
        <v>7</v>
      </c>
      <c r="G66">
        <v>0.3</v>
      </c>
      <c r="H66">
        <v>0.5</v>
      </c>
      <c r="I66">
        <v>0</v>
      </c>
      <c r="J66">
        <v>0</v>
      </c>
      <c r="K66">
        <v>0</v>
      </c>
      <c r="L66">
        <v>0</v>
      </c>
      <c r="M66">
        <v>0</v>
      </c>
      <c r="N66">
        <v>27071</v>
      </c>
      <c r="O66">
        <v>14053</v>
      </c>
      <c r="P66">
        <v>43109</v>
      </c>
      <c r="Q66">
        <v>1</v>
      </c>
      <c r="R66">
        <v>2</v>
      </c>
      <c r="S66">
        <v>3</v>
      </c>
      <c r="T66">
        <v>80</v>
      </c>
      <c r="U66">
        <v>200</v>
      </c>
    </row>
    <row r="67" spans="1:21" x14ac:dyDescent="0.35">
      <c r="A67" t="s">
        <v>21</v>
      </c>
      <c r="B67" s="1">
        <v>44499</v>
      </c>
      <c r="C67" t="s">
        <v>22</v>
      </c>
      <c r="D67">
        <v>1.3</v>
      </c>
      <c r="E67">
        <v>0.6</v>
      </c>
      <c r="F67">
        <v>0</v>
      </c>
      <c r="G67">
        <v>2.2000000000000002</v>
      </c>
      <c r="H67">
        <v>0</v>
      </c>
      <c r="I67">
        <v>2.2000000000000002</v>
      </c>
      <c r="J67">
        <v>0.5</v>
      </c>
      <c r="K67">
        <v>0</v>
      </c>
      <c r="L67">
        <v>4.3</v>
      </c>
      <c r="M67">
        <v>0</v>
      </c>
      <c r="N67">
        <v>968843</v>
      </c>
      <c r="O67">
        <v>1483650</v>
      </c>
      <c r="P67">
        <v>92473</v>
      </c>
      <c r="Q67">
        <v>13</v>
      </c>
      <c r="R67">
        <v>9</v>
      </c>
      <c r="S67">
        <v>0</v>
      </c>
      <c r="T67">
        <v>999</v>
      </c>
      <c r="U67">
        <v>999</v>
      </c>
    </row>
    <row r="68" spans="1:21" x14ac:dyDescent="0.35">
      <c r="A68" t="s">
        <v>26</v>
      </c>
      <c r="B68" s="1">
        <v>44884</v>
      </c>
      <c r="C68" t="s">
        <v>29</v>
      </c>
      <c r="D68">
        <v>16.399999999999999</v>
      </c>
      <c r="E68">
        <v>2.5</v>
      </c>
      <c r="F68">
        <v>2.6</v>
      </c>
      <c r="G68">
        <v>6.6</v>
      </c>
      <c r="H68">
        <v>6.3</v>
      </c>
      <c r="I68">
        <v>0</v>
      </c>
      <c r="J68">
        <v>0</v>
      </c>
      <c r="K68">
        <v>0</v>
      </c>
      <c r="L68">
        <v>0</v>
      </c>
      <c r="M68">
        <v>0</v>
      </c>
      <c r="N68">
        <v>115941</v>
      </c>
      <c r="O68">
        <v>276754</v>
      </c>
      <c r="P68">
        <v>347089</v>
      </c>
      <c r="Q68">
        <v>19</v>
      </c>
      <c r="R68">
        <v>7</v>
      </c>
      <c r="S68">
        <v>9</v>
      </c>
      <c r="T68">
        <v>30</v>
      </c>
      <c r="U68">
        <v>49</v>
      </c>
    </row>
    <row r="69" spans="1:21" x14ac:dyDescent="0.35">
      <c r="A69" t="s">
        <v>21</v>
      </c>
      <c r="B69" s="1">
        <v>44509</v>
      </c>
      <c r="C69" t="s">
        <v>25</v>
      </c>
      <c r="D69">
        <v>0</v>
      </c>
      <c r="E69">
        <v>0</v>
      </c>
      <c r="F69">
        <v>0</v>
      </c>
      <c r="G69">
        <v>0</v>
      </c>
      <c r="H69">
        <v>0</v>
      </c>
      <c r="I69">
        <v>0</v>
      </c>
      <c r="J69">
        <v>0</v>
      </c>
      <c r="K69">
        <v>0</v>
      </c>
      <c r="L69">
        <v>0</v>
      </c>
      <c r="M69">
        <v>0</v>
      </c>
      <c r="N69">
        <v>185405</v>
      </c>
      <c r="O69">
        <v>298401</v>
      </c>
      <c r="P69">
        <v>0</v>
      </c>
      <c r="Q69">
        <v>0</v>
      </c>
      <c r="R69">
        <v>0</v>
      </c>
      <c r="S69">
        <v>0</v>
      </c>
      <c r="T69">
        <v>18</v>
      </c>
      <c r="U69">
        <v>29</v>
      </c>
    </row>
    <row r="70" spans="1:21" x14ac:dyDescent="0.35">
      <c r="A70" t="s">
        <v>21</v>
      </c>
      <c r="B70" s="1">
        <v>44683</v>
      </c>
      <c r="C70" t="s">
        <v>23</v>
      </c>
      <c r="D70">
        <v>28.7</v>
      </c>
      <c r="E70">
        <v>5.7</v>
      </c>
      <c r="F70">
        <v>0.5</v>
      </c>
      <c r="G70">
        <v>5</v>
      </c>
      <c r="H70">
        <v>57.4</v>
      </c>
      <c r="I70">
        <v>0</v>
      </c>
      <c r="J70">
        <v>0</v>
      </c>
      <c r="K70">
        <v>0</v>
      </c>
      <c r="L70">
        <v>0</v>
      </c>
      <c r="M70">
        <v>0</v>
      </c>
      <c r="N70">
        <v>48776</v>
      </c>
      <c r="O70">
        <v>157818</v>
      </c>
      <c r="P70">
        <v>201587</v>
      </c>
      <c r="Q70">
        <v>14</v>
      </c>
      <c r="R70">
        <v>9</v>
      </c>
      <c r="S70">
        <v>1</v>
      </c>
      <c r="T70">
        <v>50</v>
      </c>
      <c r="U70">
        <v>64</v>
      </c>
    </row>
    <row r="71" spans="1:21" x14ac:dyDescent="0.35">
      <c r="A71" t="s">
        <v>26</v>
      </c>
      <c r="B71" s="1">
        <v>45192</v>
      </c>
      <c r="C71" t="s">
        <v>29</v>
      </c>
      <c r="D71">
        <v>9.4</v>
      </c>
      <c r="E71">
        <v>0.7</v>
      </c>
      <c r="F71">
        <v>0.6</v>
      </c>
      <c r="G71">
        <v>13.4</v>
      </c>
      <c r="H71">
        <v>15.7</v>
      </c>
      <c r="I71">
        <v>0</v>
      </c>
      <c r="J71">
        <v>0</v>
      </c>
      <c r="K71">
        <v>0</v>
      </c>
      <c r="L71">
        <v>0</v>
      </c>
      <c r="M71">
        <v>0</v>
      </c>
      <c r="N71">
        <v>106401</v>
      </c>
      <c r="O71">
        <v>278395</v>
      </c>
      <c r="P71">
        <v>347328</v>
      </c>
      <c r="Q71">
        <v>10</v>
      </c>
      <c r="R71">
        <v>2</v>
      </c>
      <c r="S71">
        <v>2</v>
      </c>
      <c r="T71">
        <v>30</v>
      </c>
      <c r="U71">
        <v>49</v>
      </c>
    </row>
    <row r="72" spans="1:21" x14ac:dyDescent="0.35">
      <c r="A72" t="s">
        <v>28</v>
      </c>
      <c r="B72" s="1">
        <v>45136</v>
      </c>
      <c r="C72" t="s">
        <v>23</v>
      </c>
      <c r="D72">
        <v>46.1</v>
      </c>
      <c r="E72">
        <v>22.3</v>
      </c>
      <c r="F72">
        <v>27.5</v>
      </c>
      <c r="G72">
        <v>2.1</v>
      </c>
      <c r="H72">
        <v>1.7</v>
      </c>
      <c r="I72">
        <v>0</v>
      </c>
      <c r="J72">
        <v>0</v>
      </c>
      <c r="K72">
        <v>0</v>
      </c>
      <c r="L72">
        <v>0</v>
      </c>
      <c r="M72">
        <v>0</v>
      </c>
      <c r="N72">
        <v>32542</v>
      </c>
      <c r="O72">
        <v>125729</v>
      </c>
      <c r="P72">
        <v>246933</v>
      </c>
      <c r="Q72">
        <v>15</v>
      </c>
      <c r="R72">
        <v>28</v>
      </c>
      <c r="S72">
        <v>68</v>
      </c>
      <c r="T72">
        <v>50</v>
      </c>
      <c r="U72">
        <v>64</v>
      </c>
    </row>
    <row r="73" spans="1:21" x14ac:dyDescent="0.35">
      <c r="A73" t="s">
        <v>28</v>
      </c>
      <c r="B73" s="1">
        <v>45054</v>
      </c>
      <c r="C73" t="s">
        <v>23</v>
      </c>
      <c r="D73">
        <v>67.7</v>
      </c>
      <c r="E73">
        <v>13.5</v>
      </c>
      <c r="F73">
        <v>27.5</v>
      </c>
      <c r="G73">
        <v>5</v>
      </c>
      <c r="H73">
        <v>2.5</v>
      </c>
      <c r="I73">
        <v>0</v>
      </c>
      <c r="J73">
        <v>0</v>
      </c>
      <c r="K73">
        <v>0</v>
      </c>
      <c r="L73">
        <v>0</v>
      </c>
      <c r="M73">
        <v>0</v>
      </c>
      <c r="N73">
        <v>32496</v>
      </c>
      <c r="O73">
        <v>125728</v>
      </c>
      <c r="P73">
        <v>246934</v>
      </c>
      <c r="Q73">
        <v>22</v>
      </c>
      <c r="R73">
        <v>17</v>
      </c>
      <c r="S73">
        <v>68</v>
      </c>
      <c r="T73">
        <v>50</v>
      </c>
      <c r="U73">
        <v>64</v>
      </c>
    </row>
    <row r="74" spans="1:21" x14ac:dyDescent="0.35">
      <c r="A74" t="s">
        <v>28</v>
      </c>
      <c r="B74" s="1">
        <v>44548</v>
      </c>
      <c r="C74" t="s">
        <v>25</v>
      </c>
      <c r="D74">
        <v>1706.3</v>
      </c>
      <c r="E74">
        <v>970.4</v>
      </c>
      <c r="F74">
        <v>1042.5999999999999</v>
      </c>
      <c r="G74">
        <v>1.8</v>
      </c>
      <c r="H74">
        <v>1.6</v>
      </c>
      <c r="I74">
        <v>0</v>
      </c>
      <c r="J74">
        <v>0</v>
      </c>
      <c r="K74">
        <v>0</v>
      </c>
      <c r="L74">
        <v>0</v>
      </c>
      <c r="M74">
        <v>0</v>
      </c>
      <c r="N74">
        <v>143348</v>
      </c>
      <c r="O74">
        <v>288118</v>
      </c>
      <c r="P74">
        <v>46808</v>
      </c>
      <c r="Q74">
        <v>2446</v>
      </c>
      <c r="R74">
        <v>2796</v>
      </c>
      <c r="S74">
        <v>488</v>
      </c>
      <c r="T74">
        <v>18</v>
      </c>
      <c r="U74">
        <v>29</v>
      </c>
    </row>
    <row r="75" spans="1:21" x14ac:dyDescent="0.35">
      <c r="A75" t="s">
        <v>28</v>
      </c>
      <c r="B75" s="1">
        <v>45019</v>
      </c>
      <c r="C75" t="s">
        <v>31</v>
      </c>
      <c r="D75">
        <v>127.4</v>
      </c>
      <c r="E75">
        <v>108.3</v>
      </c>
      <c r="F75">
        <v>115.3</v>
      </c>
      <c r="G75">
        <v>1.2</v>
      </c>
      <c r="H75">
        <v>1.1000000000000001</v>
      </c>
      <c r="I75">
        <v>0</v>
      </c>
      <c r="J75">
        <v>0</v>
      </c>
      <c r="K75">
        <v>0</v>
      </c>
      <c r="L75">
        <v>0</v>
      </c>
      <c r="M75">
        <v>0</v>
      </c>
      <c r="N75">
        <v>40040</v>
      </c>
      <c r="O75">
        <v>43409</v>
      </c>
      <c r="P75">
        <v>171702</v>
      </c>
      <c r="Q75">
        <v>51</v>
      </c>
      <c r="R75">
        <v>47</v>
      </c>
      <c r="S75">
        <v>198</v>
      </c>
      <c r="T75">
        <v>65</v>
      </c>
      <c r="U75">
        <v>79</v>
      </c>
    </row>
    <row r="76" spans="1:21" x14ac:dyDescent="0.35">
      <c r="A76" t="s">
        <v>26</v>
      </c>
      <c r="B76" s="1">
        <v>44298</v>
      </c>
      <c r="C76" t="s">
        <v>23</v>
      </c>
      <c r="D76">
        <v>112.1</v>
      </c>
      <c r="E76">
        <v>12.9</v>
      </c>
      <c r="F76">
        <v>3.8</v>
      </c>
      <c r="G76">
        <v>8.6999999999999993</v>
      </c>
      <c r="H76">
        <v>29.5</v>
      </c>
      <c r="I76">
        <v>0</v>
      </c>
      <c r="J76">
        <v>0</v>
      </c>
      <c r="K76">
        <v>0</v>
      </c>
      <c r="L76">
        <v>0</v>
      </c>
      <c r="M76">
        <v>0</v>
      </c>
      <c r="N76">
        <v>64234</v>
      </c>
      <c r="O76">
        <v>270486</v>
      </c>
      <c r="P76">
        <v>79047</v>
      </c>
      <c r="Q76">
        <v>72</v>
      </c>
      <c r="R76">
        <v>35</v>
      </c>
      <c r="S76">
        <v>3</v>
      </c>
      <c r="T76">
        <v>50</v>
      </c>
      <c r="U76">
        <v>64</v>
      </c>
    </row>
    <row r="77" spans="1:21" x14ac:dyDescent="0.35">
      <c r="A77" t="s">
        <v>28</v>
      </c>
      <c r="B77" s="1">
        <v>44926</v>
      </c>
      <c r="C77" t="s">
        <v>27</v>
      </c>
      <c r="D77">
        <v>65.3</v>
      </c>
      <c r="E77">
        <v>23.2</v>
      </c>
      <c r="F77">
        <v>49.4</v>
      </c>
      <c r="G77">
        <v>2.8</v>
      </c>
      <c r="H77">
        <v>1.3</v>
      </c>
      <c r="I77">
        <v>0</v>
      </c>
      <c r="J77">
        <v>0</v>
      </c>
      <c r="K77">
        <v>0</v>
      </c>
      <c r="L77">
        <v>0</v>
      </c>
      <c r="M77">
        <v>0</v>
      </c>
      <c r="N77">
        <v>33668</v>
      </c>
      <c r="O77">
        <v>86208</v>
      </c>
      <c r="P77">
        <v>44537</v>
      </c>
      <c r="Q77">
        <v>22</v>
      </c>
      <c r="R77">
        <v>20</v>
      </c>
      <c r="S77">
        <v>22</v>
      </c>
      <c r="T77">
        <v>12</v>
      </c>
      <c r="U77">
        <v>17</v>
      </c>
    </row>
    <row r="78" spans="1:21" x14ac:dyDescent="0.35">
      <c r="A78" t="s">
        <v>26</v>
      </c>
      <c r="B78" s="1">
        <v>44692</v>
      </c>
      <c r="C78" t="s">
        <v>24</v>
      </c>
      <c r="D78">
        <v>1.1000000000000001</v>
      </c>
      <c r="E78">
        <v>1.2</v>
      </c>
      <c r="F78">
        <v>0</v>
      </c>
      <c r="G78">
        <v>0.9</v>
      </c>
      <c r="H78">
        <v>0</v>
      </c>
      <c r="I78">
        <v>0</v>
      </c>
      <c r="J78">
        <v>0</v>
      </c>
      <c r="K78">
        <v>0</v>
      </c>
      <c r="L78">
        <v>0</v>
      </c>
      <c r="M78">
        <v>0</v>
      </c>
      <c r="N78">
        <v>93672</v>
      </c>
      <c r="O78">
        <v>80665</v>
      </c>
      <c r="P78">
        <v>21005</v>
      </c>
      <c r="Q78">
        <v>1</v>
      </c>
      <c r="R78">
        <v>1</v>
      </c>
      <c r="S78">
        <v>0</v>
      </c>
      <c r="T78">
        <v>5</v>
      </c>
      <c r="U78">
        <v>11</v>
      </c>
    </row>
    <row r="79" spans="1:21" x14ac:dyDescent="0.35">
      <c r="A79" t="s">
        <v>28</v>
      </c>
      <c r="B79" s="1">
        <v>44646</v>
      </c>
      <c r="C79" t="s">
        <v>29</v>
      </c>
      <c r="D79">
        <v>73.599999999999994</v>
      </c>
      <c r="E79">
        <v>44.2</v>
      </c>
      <c r="F79">
        <v>112.4</v>
      </c>
      <c r="G79">
        <v>1.7</v>
      </c>
      <c r="H79">
        <v>0.7</v>
      </c>
      <c r="I79">
        <v>0</v>
      </c>
      <c r="J79">
        <v>0</v>
      </c>
      <c r="K79">
        <v>0</v>
      </c>
      <c r="L79">
        <v>0</v>
      </c>
      <c r="M79">
        <v>0</v>
      </c>
      <c r="N79">
        <v>133230</v>
      </c>
      <c r="O79">
        <v>291909</v>
      </c>
      <c r="P79">
        <v>322847</v>
      </c>
      <c r="Q79">
        <v>98</v>
      </c>
      <c r="R79">
        <v>129</v>
      </c>
      <c r="S79">
        <v>363</v>
      </c>
      <c r="T79">
        <v>30</v>
      </c>
      <c r="U79">
        <v>49</v>
      </c>
    </row>
    <row r="80" spans="1:21" x14ac:dyDescent="0.35">
      <c r="A80" t="s">
        <v>28</v>
      </c>
      <c r="B80" s="1">
        <v>45045</v>
      </c>
      <c r="C80" t="s">
        <v>23</v>
      </c>
      <c r="D80">
        <v>114.5</v>
      </c>
      <c r="E80">
        <v>31</v>
      </c>
      <c r="F80">
        <v>36.5</v>
      </c>
      <c r="G80">
        <v>3.7</v>
      </c>
      <c r="H80">
        <v>3.1</v>
      </c>
      <c r="I80">
        <v>0</v>
      </c>
      <c r="J80">
        <v>0</v>
      </c>
      <c r="K80">
        <v>0</v>
      </c>
      <c r="L80">
        <v>0</v>
      </c>
      <c r="M80">
        <v>0</v>
      </c>
      <c r="N80">
        <v>33180</v>
      </c>
      <c r="O80">
        <v>125733</v>
      </c>
      <c r="P80">
        <v>246904</v>
      </c>
      <c r="Q80">
        <v>38</v>
      </c>
      <c r="R80">
        <v>39</v>
      </c>
      <c r="S80">
        <v>90</v>
      </c>
      <c r="T80">
        <v>50</v>
      </c>
      <c r="U80">
        <v>64</v>
      </c>
    </row>
    <row r="81" spans="1:21" x14ac:dyDescent="0.35">
      <c r="A81" t="s">
        <v>28</v>
      </c>
      <c r="B81" s="1">
        <v>44366</v>
      </c>
      <c r="C81" t="s">
        <v>27</v>
      </c>
      <c r="D81">
        <v>15.7</v>
      </c>
      <c r="E81">
        <v>0</v>
      </c>
      <c r="F81">
        <v>0</v>
      </c>
      <c r="G81">
        <v>0</v>
      </c>
      <c r="H81">
        <v>0</v>
      </c>
      <c r="I81">
        <v>0</v>
      </c>
      <c r="J81">
        <v>0</v>
      </c>
      <c r="K81">
        <v>0</v>
      </c>
      <c r="L81">
        <v>0</v>
      </c>
      <c r="M81">
        <v>0</v>
      </c>
      <c r="N81">
        <v>114743</v>
      </c>
      <c r="O81">
        <v>24556</v>
      </c>
      <c r="P81">
        <v>0</v>
      </c>
      <c r="Q81">
        <v>18</v>
      </c>
      <c r="R81">
        <v>0</v>
      </c>
      <c r="S81">
        <v>0</v>
      </c>
      <c r="T81">
        <v>12</v>
      </c>
      <c r="U81">
        <v>17</v>
      </c>
    </row>
    <row r="82" spans="1:21" x14ac:dyDescent="0.35">
      <c r="A82" t="s">
        <v>21</v>
      </c>
      <c r="B82" s="1">
        <v>44513</v>
      </c>
      <c r="C82" t="s">
        <v>30</v>
      </c>
      <c r="D82">
        <v>13.6</v>
      </c>
      <c r="E82">
        <v>9.9</v>
      </c>
      <c r="F82">
        <v>0</v>
      </c>
      <c r="G82">
        <v>1.4</v>
      </c>
      <c r="H82">
        <v>0</v>
      </c>
      <c r="I82">
        <v>0</v>
      </c>
      <c r="J82">
        <v>0</v>
      </c>
      <c r="K82">
        <v>0</v>
      </c>
      <c r="L82">
        <v>0</v>
      </c>
      <c r="M82">
        <v>0</v>
      </c>
      <c r="N82">
        <v>29306</v>
      </c>
      <c r="O82">
        <v>40458</v>
      </c>
      <c r="P82">
        <v>14603</v>
      </c>
      <c r="Q82">
        <v>4</v>
      </c>
      <c r="R82">
        <v>4</v>
      </c>
      <c r="S82">
        <v>0</v>
      </c>
      <c r="T82">
        <v>80</v>
      </c>
      <c r="U82">
        <v>200</v>
      </c>
    </row>
    <row r="83" spans="1:21" x14ac:dyDescent="0.35">
      <c r="A83" t="s">
        <v>26</v>
      </c>
      <c r="B83" s="1">
        <v>44982</v>
      </c>
      <c r="C83" t="s">
        <v>25</v>
      </c>
      <c r="D83">
        <v>5.2</v>
      </c>
      <c r="E83">
        <v>0.9</v>
      </c>
      <c r="F83">
        <v>1.2</v>
      </c>
      <c r="G83">
        <v>5.8</v>
      </c>
      <c r="H83">
        <v>4.3</v>
      </c>
      <c r="I83">
        <v>0</v>
      </c>
      <c r="J83">
        <v>0</v>
      </c>
      <c r="K83">
        <v>0</v>
      </c>
      <c r="L83">
        <v>0</v>
      </c>
      <c r="M83">
        <v>0</v>
      </c>
      <c r="N83">
        <v>76945</v>
      </c>
      <c r="O83">
        <v>213529</v>
      </c>
      <c r="P83">
        <v>161651</v>
      </c>
      <c r="Q83">
        <v>4</v>
      </c>
      <c r="R83">
        <v>2</v>
      </c>
      <c r="S83">
        <v>2</v>
      </c>
      <c r="T83">
        <v>18</v>
      </c>
      <c r="U83">
        <v>29</v>
      </c>
    </row>
    <row r="84" spans="1:21" x14ac:dyDescent="0.35">
      <c r="A84" t="s">
        <v>26</v>
      </c>
      <c r="B84" s="1">
        <v>44667</v>
      </c>
      <c r="C84" t="s">
        <v>27</v>
      </c>
      <c r="D84">
        <v>0</v>
      </c>
      <c r="E84">
        <v>0</v>
      </c>
      <c r="F84">
        <v>3.1</v>
      </c>
      <c r="G84">
        <v>0</v>
      </c>
      <c r="H84">
        <v>0</v>
      </c>
      <c r="I84">
        <v>0</v>
      </c>
      <c r="J84">
        <v>0</v>
      </c>
      <c r="K84">
        <v>0</v>
      </c>
      <c r="L84">
        <v>0</v>
      </c>
      <c r="M84">
        <v>0</v>
      </c>
      <c r="N84">
        <v>37876</v>
      </c>
      <c r="O84">
        <v>95178</v>
      </c>
      <c r="P84">
        <v>32264</v>
      </c>
      <c r="Q84">
        <v>0</v>
      </c>
      <c r="R84">
        <v>0</v>
      </c>
      <c r="S84">
        <v>1</v>
      </c>
      <c r="T84">
        <v>12</v>
      </c>
      <c r="U84">
        <v>17</v>
      </c>
    </row>
    <row r="85" spans="1:21" x14ac:dyDescent="0.35">
      <c r="A85" t="s">
        <v>21</v>
      </c>
      <c r="B85" s="1">
        <v>44611</v>
      </c>
      <c r="C85" t="s">
        <v>22</v>
      </c>
      <c r="D85">
        <v>2.8</v>
      </c>
      <c r="E85">
        <v>1</v>
      </c>
      <c r="F85">
        <v>0.8</v>
      </c>
      <c r="G85">
        <v>2.8</v>
      </c>
      <c r="H85">
        <v>3.5</v>
      </c>
      <c r="I85">
        <v>3.3</v>
      </c>
      <c r="J85">
        <v>1.5</v>
      </c>
      <c r="K85">
        <v>0.5</v>
      </c>
      <c r="L85">
        <v>2.2999999999999998</v>
      </c>
      <c r="M85">
        <v>6.8</v>
      </c>
      <c r="N85">
        <v>677481</v>
      </c>
      <c r="O85">
        <v>910869</v>
      </c>
      <c r="P85">
        <v>868745</v>
      </c>
      <c r="Q85">
        <v>19</v>
      </c>
      <c r="R85">
        <v>9</v>
      </c>
      <c r="S85">
        <v>7</v>
      </c>
      <c r="T85">
        <v>999</v>
      </c>
      <c r="U85">
        <v>999</v>
      </c>
    </row>
    <row r="86" spans="1:21" x14ac:dyDescent="0.35">
      <c r="A86" t="s">
        <v>28</v>
      </c>
      <c r="B86" s="1">
        <v>45054</v>
      </c>
      <c r="C86" t="s">
        <v>29</v>
      </c>
      <c r="D86">
        <v>34.4</v>
      </c>
      <c r="E86">
        <v>15.1</v>
      </c>
      <c r="F86">
        <v>23.9</v>
      </c>
      <c r="G86">
        <v>2.2999999999999998</v>
      </c>
      <c r="H86">
        <v>1.4</v>
      </c>
      <c r="I86">
        <v>0</v>
      </c>
      <c r="J86">
        <v>0</v>
      </c>
      <c r="K86">
        <v>0</v>
      </c>
      <c r="L86">
        <v>0</v>
      </c>
      <c r="M86">
        <v>0</v>
      </c>
      <c r="N86">
        <v>107409</v>
      </c>
      <c r="O86">
        <v>278402</v>
      </c>
      <c r="P86">
        <v>347313</v>
      </c>
      <c r="Q86">
        <v>37</v>
      </c>
      <c r="R86">
        <v>42</v>
      </c>
      <c r="S86">
        <v>83</v>
      </c>
      <c r="T86">
        <v>30</v>
      </c>
      <c r="U86">
        <v>49</v>
      </c>
    </row>
    <row r="87" spans="1:21" x14ac:dyDescent="0.35">
      <c r="A87" t="s">
        <v>28</v>
      </c>
      <c r="B87" s="1">
        <v>44449</v>
      </c>
      <c r="C87" t="s">
        <v>22</v>
      </c>
      <c r="D87">
        <v>143.6</v>
      </c>
      <c r="E87">
        <v>52.3</v>
      </c>
      <c r="F87">
        <v>0</v>
      </c>
      <c r="G87">
        <v>2.7</v>
      </c>
      <c r="H87">
        <v>0</v>
      </c>
      <c r="I87">
        <v>161</v>
      </c>
      <c r="J87">
        <v>42.2</v>
      </c>
      <c r="K87">
        <v>0</v>
      </c>
      <c r="L87">
        <v>3.8</v>
      </c>
      <c r="M87">
        <v>0</v>
      </c>
      <c r="N87">
        <v>998664</v>
      </c>
      <c r="O87">
        <v>1519169</v>
      </c>
      <c r="P87">
        <v>0</v>
      </c>
      <c r="Q87">
        <v>1434</v>
      </c>
      <c r="R87">
        <v>794</v>
      </c>
      <c r="S87">
        <v>0</v>
      </c>
      <c r="T87">
        <v>999</v>
      </c>
      <c r="U87">
        <v>999</v>
      </c>
    </row>
    <row r="88" spans="1:21" x14ac:dyDescent="0.35">
      <c r="A88" t="s">
        <v>26</v>
      </c>
      <c r="B88" s="1">
        <v>44618</v>
      </c>
      <c r="C88" t="s">
        <v>22</v>
      </c>
      <c r="D88">
        <v>6.4</v>
      </c>
      <c r="E88">
        <v>3.1</v>
      </c>
      <c r="F88">
        <v>3.8</v>
      </c>
      <c r="G88">
        <v>2.1</v>
      </c>
      <c r="H88">
        <v>1.7</v>
      </c>
      <c r="I88">
        <v>8</v>
      </c>
      <c r="J88">
        <v>4</v>
      </c>
      <c r="K88">
        <v>2.5</v>
      </c>
      <c r="L88">
        <v>2</v>
      </c>
      <c r="M88">
        <v>3.2</v>
      </c>
      <c r="N88">
        <v>671890</v>
      </c>
      <c r="O88">
        <v>908056</v>
      </c>
      <c r="P88">
        <v>888098</v>
      </c>
      <c r="Q88">
        <v>43</v>
      </c>
      <c r="R88">
        <v>28</v>
      </c>
      <c r="S88">
        <v>34</v>
      </c>
      <c r="T88">
        <v>999</v>
      </c>
      <c r="U88">
        <v>999</v>
      </c>
    </row>
    <row r="89" spans="1:21" x14ac:dyDescent="0.35">
      <c r="A89" t="s">
        <v>21</v>
      </c>
      <c r="B89" s="1">
        <v>44808</v>
      </c>
      <c r="C89" t="s">
        <v>29</v>
      </c>
      <c r="D89">
        <v>0</v>
      </c>
      <c r="E89">
        <v>0</v>
      </c>
      <c r="F89">
        <v>0</v>
      </c>
      <c r="G89">
        <v>0</v>
      </c>
      <c r="H89">
        <v>0</v>
      </c>
      <c r="I89">
        <v>0</v>
      </c>
      <c r="J89">
        <v>0</v>
      </c>
      <c r="K89">
        <v>0</v>
      </c>
      <c r="L89">
        <v>0</v>
      </c>
      <c r="M89">
        <v>0</v>
      </c>
      <c r="N89">
        <v>132219</v>
      </c>
      <c r="O89">
        <v>289629</v>
      </c>
      <c r="P89">
        <v>326607</v>
      </c>
      <c r="Q89">
        <v>0</v>
      </c>
      <c r="R89">
        <v>0</v>
      </c>
      <c r="S89">
        <v>0</v>
      </c>
      <c r="T89">
        <v>30</v>
      </c>
      <c r="U89">
        <v>49</v>
      </c>
    </row>
    <row r="90" spans="1:21" x14ac:dyDescent="0.35">
      <c r="A90" t="s">
        <v>26</v>
      </c>
      <c r="B90" s="1">
        <v>44940</v>
      </c>
      <c r="C90" t="s">
        <v>27</v>
      </c>
      <c r="D90">
        <v>9</v>
      </c>
      <c r="E90">
        <v>0</v>
      </c>
      <c r="F90">
        <v>2.2000000000000002</v>
      </c>
      <c r="G90">
        <v>0</v>
      </c>
      <c r="H90">
        <v>4.0999999999999996</v>
      </c>
      <c r="I90">
        <v>0</v>
      </c>
      <c r="J90">
        <v>0</v>
      </c>
      <c r="K90">
        <v>0</v>
      </c>
      <c r="L90">
        <v>0</v>
      </c>
      <c r="M90">
        <v>0</v>
      </c>
      <c r="N90">
        <v>33518</v>
      </c>
      <c r="O90">
        <v>86264</v>
      </c>
      <c r="P90">
        <v>44538</v>
      </c>
      <c r="Q90">
        <v>3</v>
      </c>
      <c r="R90">
        <v>0</v>
      </c>
      <c r="S90">
        <v>1</v>
      </c>
      <c r="T90">
        <v>12</v>
      </c>
      <c r="U90">
        <v>17</v>
      </c>
    </row>
    <row r="91" spans="1:21" x14ac:dyDescent="0.35">
      <c r="A91" t="s">
        <v>28</v>
      </c>
      <c r="B91" s="1">
        <v>45031</v>
      </c>
      <c r="C91" t="s">
        <v>27</v>
      </c>
      <c r="D91">
        <v>64</v>
      </c>
      <c r="E91">
        <v>28.9</v>
      </c>
      <c r="F91">
        <v>40.4</v>
      </c>
      <c r="G91">
        <v>2.2000000000000002</v>
      </c>
      <c r="H91">
        <v>1.6</v>
      </c>
      <c r="I91">
        <v>0</v>
      </c>
      <c r="J91">
        <v>0</v>
      </c>
      <c r="K91">
        <v>0</v>
      </c>
      <c r="L91">
        <v>0</v>
      </c>
      <c r="M91">
        <v>0</v>
      </c>
      <c r="N91">
        <v>32822</v>
      </c>
      <c r="O91">
        <v>86525</v>
      </c>
      <c r="P91">
        <v>44572</v>
      </c>
      <c r="Q91">
        <v>21</v>
      </c>
      <c r="R91">
        <v>25</v>
      </c>
      <c r="S91">
        <v>18</v>
      </c>
      <c r="T91">
        <v>12</v>
      </c>
      <c r="U91">
        <v>17</v>
      </c>
    </row>
    <row r="92" spans="1:21" x14ac:dyDescent="0.35">
      <c r="A92" t="s">
        <v>28</v>
      </c>
      <c r="B92" s="1">
        <v>44373</v>
      </c>
      <c r="C92" t="s">
        <v>23</v>
      </c>
      <c r="D92">
        <v>16.100000000000001</v>
      </c>
      <c r="E92">
        <v>5.4</v>
      </c>
      <c r="F92">
        <v>0</v>
      </c>
      <c r="G92">
        <v>3</v>
      </c>
      <c r="H92">
        <v>0</v>
      </c>
      <c r="I92">
        <v>0</v>
      </c>
      <c r="J92">
        <v>0</v>
      </c>
      <c r="K92">
        <v>0</v>
      </c>
      <c r="L92">
        <v>0</v>
      </c>
      <c r="M92">
        <v>0</v>
      </c>
      <c r="N92">
        <v>111605</v>
      </c>
      <c r="O92">
        <v>294901</v>
      </c>
      <c r="P92">
        <v>0</v>
      </c>
      <c r="Q92">
        <v>18</v>
      </c>
      <c r="R92">
        <v>16</v>
      </c>
      <c r="S92">
        <v>0</v>
      </c>
      <c r="T92">
        <v>50</v>
      </c>
      <c r="U92">
        <v>64</v>
      </c>
    </row>
    <row r="93" spans="1:21" x14ac:dyDescent="0.35">
      <c r="A93" t="s">
        <v>28</v>
      </c>
      <c r="B93" s="1">
        <v>45059</v>
      </c>
      <c r="C93" t="s">
        <v>24</v>
      </c>
      <c r="D93">
        <v>74.900000000000006</v>
      </c>
      <c r="E93">
        <v>37.5</v>
      </c>
      <c r="F93">
        <v>23.5</v>
      </c>
      <c r="G93">
        <v>2</v>
      </c>
      <c r="H93">
        <v>3.2</v>
      </c>
      <c r="I93">
        <v>0</v>
      </c>
      <c r="J93">
        <v>0</v>
      </c>
      <c r="K93">
        <v>0</v>
      </c>
      <c r="L93">
        <v>0</v>
      </c>
      <c r="M93">
        <v>0</v>
      </c>
      <c r="N93">
        <v>90743</v>
      </c>
      <c r="O93">
        <v>82680</v>
      </c>
      <c r="P93">
        <v>21241</v>
      </c>
      <c r="Q93">
        <v>68</v>
      </c>
      <c r="R93">
        <v>31</v>
      </c>
      <c r="S93">
        <v>5</v>
      </c>
      <c r="T93">
        <v>5</v>
      </c>
      <c r="U93">
        <v>11</v>
      </c>
    </row>
    <row r="94" spans="1:21" x14ac:dyDescent="0.35">
      <c r="A94" t="s">
        <v>26</v>
      </c>
      <c r="B94" s="1">
        <v>44599</v>
      </c>
      <c r="C94" t="s">
        <v>23</v>
      </c>
      <c r="D94">
        <v>31</v>
      </c>
      <c r="E94">
        <v>10</v>
      </c>
      <c r="F94">
        <v>7.5</v>
      </c>
      <c r="G94">
        <v>3.1</v>
      </c>
      <c r="H94">
        <v>4.0999999999999996</v>
      </c>
      <c r="I94">
        <v>0</v>
      </c>
      <c r="J94">
        <v>0</v>
      </c>
      <c r="K94">
        <v>0</v>
      </c>
      <c r="L94">
        <v>0</v>
      </c>
      <c r="M94">
        <v>0</v>
      </c>
      <c r="N94">
        <v>41916</v>
      </c>
      <c r="O94">
        <v>129677</v>
      </c>
      <c r="P94">
        <v>240221</v>
      </c>
      <c r="Q94">
        <v>13</v>
      </c>
      <c r="R94">
        <v>13</v>
      </c>
      <c r="S94">
        <v>18</v>
      </c>
      <c r="T94">
        <v>50</v>
      </c>
      <c r="U94">
        <v>64</v>
      </c>
    </row>
    <row r="95" spans="1:21" x14ac:dyDescent="0.35">
      <c r="A95" t="s">
        <v>28</v>
      </c>
      <c r="B95" s="1">
        <v>45129</v>
      </c>
      <c r="C95" t="s">
        <v>25</v>
      </c>
      <c r="D95">
        <v>39.200000000000003</v>
      </c>
      <c r="E95">
        <v>5.6</v>
      </c>
      <c r="F95">
        <v>10.5</v>
      </c>
      <c r="G95">
        <v>7</v>
      </c>
      <c r="H95">
        <v>3.7</v>
      </c>
      <c r="I95">
        <v>0</v>
      </c>
      <c r="J95">
        <v>0</v>
      </c>
      <c r="K95">
        <v>0</v>
      </c>
      <c r="L95">
        <v>0</v>
      </c>
      <c r="M95">
        <v>0</v>
      </c>
      <c r="N95">
        <v>73902</v>
      </c>
      <c r="O95">
        <v>214135</v>
      </c>
      <c r="P95">
        <v>161709</v>
      </c>
      <c r="Q95">
        <v>29</v>
      </c>
      <c r="R95">
        <v>12</v>
      </c>
      <c r="S95">
        <v>17</v>
      </c>
      <c r="T95">
        <v>18</v>
      </c>
      <c r="U95">
        <v>29</v>
      </c>
    </row>
    <row r="96" spans="1:21" x14ac:dyDescent="0.35">
      <c r="A96" t="s">
        <v>26</v>
      </c>
      <c r="B96" s="1">
        <v>44509</v>
      </c>
      <c r="C96" t="s">
        <v>30</v>
      </c>
      <c r="D96">
        <v>60.8</v>
      </c>
      <c r="E96">
        <v>22.6</v>
      </c>
      <c r="F96">
        <v>0</v>
      </c>
      <c r="G96">
        <v>2.7</v>
      </c>
      <c r="H96">
        <v>0</v>
      </c>
      <c r="I96">
        <v>0</v>
      </c>
      <c r="J96">
        <v>0</v>
      </c>
      <c r="K96">
        <v>0</v>
      </c>
      <c r="L96">
        <v>0</v>
      </c>
      <c r="M96">
        <v>0</v>
      </c>
      <c r="N96">
        <v>31257</v>
      </c>
      <c r="O96">
        <v>53008</v>
      </c>
      <c r="P96">
        <v>0</v>
      </c>
      <c r="Q96">
        <v>19</v>
      </c>
      <c r="R96">
        <v>12</v>
      </c>
      <c r="S96">
        <v>0</v>
      </c>
      <c r="T96">
        <v>80</v>
      </c>
      <c r="U96">
        <v>200</v>
      </c>
    </row>
    <row r="97" spans="1:21" x14ac:dyDescent="0.35">
      <c r="A97" t="s">
        <v>21</v>
      </c>
      <c r="B97" s="1">
        <v>44849</v>
      </c>
      <c r="C97" t="s">
        <v>32</v>
      </c>
      <c r="D97">
        <v>0</v>
      </c>
      <c r="E97">
        <v>0</v>
      </c>
      <c r="F97">
        <v>0</v>
      </c>
      <c r="G97">
        <v>0</v>
      </c>
      <c r="H97">
        <v>0</v>
      </c>
      <c r="I97">
        <v>0</v>
      </c>
      <c r="J97">
        <v>0</v>
      </c>
      <c r="K97">
        <v>0</v>
      </c>
      <c r="L97">
        <v>0</v>
      </c>
      <c r="M97">
        <v>0</v>
      </c>
      <c r="N97">
        <v>162642</v>
      </c>
      <c r="O97">
        <v>0</v>
      </c>
      <c r="P97">
        <v>0</v>
      </c>
      <c r="Q97">
        <v>0</v>
      </c>
      <c r="R97">
        <v>0</v>
      </c>
      <c r="S97">
        <v>0</v>
      </c>
      <c r="T97">
        <v>0</v>
      </c>
      <c r="U97">
        <v>4</v>
      </c>
    </row>
    <row r="98" spans="1:21" x14ac:dyDescent="0.35">
      <c r="A98" t="s">
        <v>28</v>
      </c>
      <c r="B98" s="1">
        <v>44618</v>
      </c>
      <c r="C98" t="s">
        <v>32</v>
      </c>
      <c r="D98">
        <v>54.1</v>
      </c>
      <c r="E98">
        <v>0</v>
      </c>
      <c r="F98">
        <v>0</v>
      </c>
      <c r="G98">
        <v>0</v>
      </c>
      <c r="H98">
        <v>0</v>
      </c>
      <c r="I98">
        <v>0</v>
      </c>
      <c r="J98">
        <v>0</v>
      </c>
      <c r="K98">
        <v>0</v>
      </c>
      <c r="L98">
        <v>0</v>
      </c>
      <c r="M98">
        <v>0</v>
      </c>
      <c r="N98">
        <v>162642</v>
      </c>
      <c r="O98">
        <v>0</v>
      </c>
      <c r="P98">
        <v>0</v>
      </c>
      <c r="Q98">
        <v>88</v>
      </c>
      <c r="R98">
        <v>0</v>
      </c>
      <c r="S98">
        <v>0</v>
      </c>
      <c r="T98">
        <v>0</v>
      </c>
      <c r="U98">
        <v>4</v>
      </c>
    </row>
    <row r="99" spans="1:21" x14ac:dyDescent="0.35">
      <c r="A99" t="s">
        <v>28</v>
      </c>
      <c r="B99" s="1">
        <v>45129</v>
      </c>
      <c r="C99" t="s">
        <v>32</v>
      </c>
      <c r="D99">
        <v>17.2</v>
      </c>
      <c r="E99">
        <v>1.8</v>
      </c>
      <c r="F99">
        <v>0</v>
      </c>
      <c r="G99">
        <v>9.6</v>
      </c>
      <c r="H99">
        <v>0</v>
      </c>
      <c r="I99">
        <v>0</v>
      </c>
      <c r="J99">
        <v>0</v>
      </c>
      <c r="K99">
        <v>0</v>
      </c>
      <c r="L99">
        <v>0</v>
      </c>
      <c r="M99">
        <v>0</v>
      </c>
      <c r="N99">
        <v>162642</v>
      </c>
      <c r="O99">
        <v>0</v>
      </c>
      <c r="P99">
        <v>0</v>
      </c>
      <c r="Q99">
        <v>28</v>
      </c>
      <c r="R99">
        <v>3</v>
      </c>
      <c r="S99">
        <v>0</v>
      </c>
      <c r="T99">
        <v>0</v>
      </c>
      <c r="U99">
        <v>4</v>
      </c>
    </row>
    <row r="100" spans="1:21" x14ac:dyDescent="0.35">
      <c r="A100" t="s">
        <v>28</v>
      </c>
      <c r="B100" s="1">
        <v>45220</v>
      </c>
      <c r="C100" t="s">
        <v>30</v>
      </c>
      <c r="D100">
        <v>41.3</v>
      </c>
      <c r="E100">
        <v>69.7</v>
      </c>
      <c r="F100">
        <v>108.1</v>
      </c>
      <c r="G100">
        <v>0.6</v>
      </c>
      <c r="H100">
        <v>0.4</v>
      </c>
      <c r="I100">
        <v>0</v>
      </c>
      <c r="J100">
        <v>0</v>
      </c>
      <c r="K100">
        <v>0</v>
      </c>
      <c r="L100">
        <v>0</v>
      </c>
      <c r="M100">
        <v>0</v>
      </c>
      <c r="N100">
        <v>24189</v>
      </c>
      <c r="O100">
        <v>11483</v>
      </c>
      <c r="P100">
        <v>47191</v>
      </c>
      <c r="Q100">
        <v>10</v>
      </c>
      <c r="R100">
        <v>8</v>
      </c>
      <c r="S100">
        <v>51</v>
      </c>
      <c r="T100">
        <v>80</v>
      </c>
      <c r="U100">
        <v>200</v>
      </c>
    </row>
    <row r="101" spans="1:21" x14ac:dyDescent="0.35">
      <c r="A101" t="s">
        <v>28</v>
      </c>
      <c r="B101" s="1">
        <v>44449</v>
      </c>
      <c r="C101" t="s">
        <v>27</v>
      </c>
      <c r="D101">
        <v>229.4</v>
      </c>
      <c r="E101">
        <v>17.7</v>
      </c>
      <c r="F101">
        <v>0</v>
      </c>
      <c r="G101">
        <v>13</v>
      </c>
      <c r="H101">
        <v>0</v>
      </c>
      <c r="I101">
        <v>0</v>
      </c>
      <c r="J101">
        <v>0</v>
      </c>
      <c r="K101">
        <v>0</v>
      </c>
      <c r="L101">
        <v>0</v>
      </c>
      <c r="M101">
        <v>0</v>
      </c>
      <c r="N101">
        <v>67139</v>
      </c>
      <c r="O101">
        <v>95783</v>
      </c>
      <c r="P101">
        <v>0</v>
      </c>
      <c r="Q101">
        <v>154</v>
      </c>
      <c r="R101">
        <v>17</v>
      </c>
      <c r="S101">
        <v>0</v>
      </c>
      <c r="T101">
        <v>12</v>
      </c>
      <c r="U101">
        <v>17</v>
      </c>
    </row>
    <row r="102" spans="1:21" x14ac:dyDescent="0.35">
      <c r="A102" t="s">
        <v>21</v>
      </c>
      <c r="B102" s="1">
        <v>44765</v>
      </c>
      <c r="C102" t="s">
        <v>31</v>
      </c>
      <c r="D102">
        <v>2.2000000000000002</v>
      </c>
      <c r="E102">
        <v>2.2000000000000002</v>
      </c>
      <c r="F102">
        <v>0.6</v>
      </c>
      <c r="G102">
        <v>1</v>
      </c>
      <c r="H102">
        <v>3.7</v>
      </c>
      <c r="I102">
        <v>0</v>
      </c>
      <c r="J102">
        <v>0</v>
      </c>
      <c r="K102">
        <v>0</v>
      </c>
      <c r="L102">
        <v>0</v>
      </c>
      <c r="M102">
        <v>0</v>
      </c>
      <c r="N102">
        <v>46080</v>
      </c>
      <c r="O102">
        <v>45341</v>
      </c>
      <c r="P102">
        <v>168622</v>
      </c>
      <c r="Q102">
        <v>1</v>
      </c>
      <c r="R102">
        <v>1</v>
      </c>
      <c r="S102">
        <v>1</v>
      </c>
      <c r="T102">
        <v>65</v>
      </c>
      <c r="U102">
        <v>79</v>
      </c>
    </row>
    <row r="103" spans="1:21" x14ac:dyDescent="0.35">
      <c r="A103" t="s">
        <v>21</v>
      </c>
      <c r="B103" s="1">
        <v>44772</v>
      </c>
      <c r="C103" t="s">
        <v>29</v>
      </c>
      <c r="D103">
        <v>1.6</v>
      </c>
      <c r="E103">
        <v>0</v>
      </c>
      <c r="F103">
        <v>0</v>
      </c>
      <c r="G103">
        <v>0</v>
      </c>
      <c r="H103">
        <v>0</v>
      </c>
      <c r="I103">
        <v>0</v>
      </c>
      <c r="J103">
        <v>0</v>
      </c>
      <c r="K103">
        <v>0</v>
      </c>
      <c r="L103">
        <v>0</v>
      </c>
      <c r="M103">
        <v>0</v>
      </c>
      <c r="N103">
        <v>126589</v>
      </c>
      <c r="O103">
        <v>278749</v>
      </c>
      <c r="P103">
        <v>342597</v>
      </c>
      <c r="Q103">
        <v>2</v>
      </c>
      <c r="R103">
        <v>0</v>
      </c>
      <c r="S103">
        <v>0</v>
      </c>
      <c r="T103">
        <v>30</v>
      </c>
      <c r="U103">
        <v>49</v>
      </c>
    </row>
    <row r="104" spans="1:21" x14ac:dyDescent="0.35">
      <c r="A104" t="s">
        <v>21</v>
      </c>
      <c r="B104" s="1">
        <v>45031</v>
      </c>
      <c r="C104" t="s">
        <v>23</v>
      </c>
      <c r="D104">
        <v>0</v>
      </c>
      <c r="E104">
        <v>0</v>
      </c>
      <c r="F104">
        <v>0</v>
      </c>
      <c r="G104">
        <v>0</v>
      </c>
      <c r="H104">
        <v>0</v>
      </c>
      <c r="I104">
        <v>0</v>
      </c>
      <c r="J104">
        <v>0</v>
      </c>
      <c r="K104">
        <v>0</v>
      </c>
      <c r="L104">
        <v>0</v>
      </c>
      <c r="M104">
        <v>0</v>
      </c>
      <c r="N104">
        <v>33349</v>
      </c>
      <c r="O104">
        <v>125709</v>
      </c>
      <c r="P104">
        <v>246898</v>
      </c>
      <c r="Q104">
        <v>0</v>
      </c>
      <c r="R104">
        <v>0</v>
      </c>
      <c r="S104">
        <v>0</v>
      </c>
      <c r="T104">
        <v>50</v>
      </c>
      <c r="U104">
        <v>64</v>
      </c>
    </row>
    <row r="105" spans="1:21" x14ac:dyDescent="0.35">
      <c r="A105" t="s">
        <v>21</v>
      </c>
      <c r="B105" s="1">
        <v>44449</v>
      </c>
      <c r="C105" t="s">
        <v>27</v>
      </c>
      <c r="D105">
        <v>0</v>
      </c>
      <c r="E105">
        <v>0</v>
      </c>
      <c r="F105">
        <v>0</v>
      </c>
      <c r="G105">
        <v>0</v>
      </c>
      <c r="H105">
        <v>0</v>
      </c>
      <c r="I105">
        <v>0</v>
      </c>
      <c r="J105">
        <v>0</v>
      </c>
      <c r="K105">
        <v>0</v>
      </c>
      <c r="L105">
        <v>0</v>
      </c>
      <c r="M105">
        <v>0</v>
      </c>
      <c r="N105">
        <v>67139</v>
      </c>
      <c r="O105">
        <v>95783</v>
      </c>
      <c r="P105">
        <v>0</v>
      </c>
      <c r="Q105">
        <v>0</v>
      </c>
      <c r="R105">
        <v>0</v>
      </c>
      <c r="S105">
        <v>0</v>
      </c>
      <c r="T105">
        <v>12</v>
      </c>
      <c r="U105">
        <v>17</v>
      </c>
    </row>
    <row r="106" spans="1:21" x14ac:dyDescent="0.35">
      <c r="A106" t="s">
        <v>21</v>
      </c>
      <c r="B106" s="1">
        <v>44786</v>
      </c>
      <c r="C106" t="s">
        <v>24</v>
      </c>
      <c r="D106">
        <v>0</v>
      </c>
      <c r="E106">
        <v>0</v>
      </c>
      <c r="F106">
        <v>0</v>
      </c>
      <c r="G106">
        <v>0</v>
      </c>
      <c r="H106">
        <v>0</v>
      </c>
      <c r="I106">
        <v>0</v>
      </c>
      <c r="J106">
        <v>0</v>
      </c>
      <c r="K106">
        <v>0</v>
      </c>
      <c r="L106">
        <v>0</v>
      </c>
      <c r="M106">
        <v>0</v>
      </c>
      <c r="N106">
        <v>96738</v>
      </c>
      <c r="O106">
        <v>85405</v>
      </c>
      <c r="P106">
        <v>12921</v>
      </c>
      <c r="Q106">
        <v>0</v>
      </c>
      <c r="R106">
        <v>0</v>
      </c>
      <c r="S106">
        <v>0</v>
      </c>
      <c r="T106">
        <v>5</v>
      </c>
      <c r="U106">
        <v>11</v>
      </c>
    </row>
    <row r="107" spans="1:21" x14ac:dyDescent="0.35">
      <c r="A107" t="s">
        <v>26</v>
      </c>
      <c r="B107" s="1">
        <v>44991</v>
      </c>
      <c r="C107" t="s">
        <v>23</v>
      </c>
      <c r="D107">
        <v>6.1</v>
      </c>
      <c r="E107">
        <v>0.8</v>
      </c>
      <c r="F107">
        <v>0.8</v>
      </c>
      <c r="G107">
        <v>7.6</v>
      </c>
      <c r="H107">
        <v>7.6</v>
      </c>
      <c r="I107">
        <v>0</v>
      </c>
      <c r="J107">
        <v>0</v>
      </c>
      <c r="K107">
        <v>0</v>
      </c>
      <c r="L107">
        <v>0</v>
      </c>
      <c r="M107">
        <v>0</v>
      </c>
      <c r="N107">
        <v>32855</v>
      </c>
      <c r="O107">
        <v>125745</v>
      </c>
      <c r="P107">
        <v>246913</v>
      </c>
      <c r="Q107">
        <v>2</v>
      </c>
      <c r="R107">
        <v>1</v>
      </c>
      <c r="S107">
        <v>2</v>
      </c>
      <c r="T107">
        <v>50</v>
      </c>
      <c r="U107">
        <v>64</v>
      </c>
    </row>
    <row r="108" spans="1:21" x14ac:dyDescent="0.35">
      <c r="A108" t="s">
        <v>21</v>
      </c>
      <c r="B108" s="1">
        <v>45010</v>
      </c>
      <c r="C108" t="s">
        <v>25</v>
      </c>
      <c r="D108">
        <v>0</v>
      </c>
      <c r="E108">
        <v>0</v>
      </c>
      <c r="F108">
        <v>0</v>
      </c>
      <c r="G108">
        <v>0</v>
      </c>
      <c r="H108">
        <v>0</v>
      </c>
      <c r="I108">
        <v>0</v>
      </c>
      <c r="J108">
        <v>0</v>
      </c>
      <c r="K108">
        <v>0</v>
      </c>
      <c r="L108">
        <v>0</v>
      </c>
      <c r="M108">
        <v>0</v>
      </c>
      <c r="N108">
        <v>76243</v>
      </c>
      <c r="O108">
        <v>213785</v>
      </c>
      <c r="P108">
        <v>161673</v>
      </c>
      <c r="Q108">
        <v>0</v>
      </c>
      <c r="R108">
        <v>0</v>
      </c>
      <c r="S108">
        <v>0</v>
      </c>
      <c r="T108">
        <v>18</v>
      </c>
      <c r="U108">
        <v>29</v>
      </c>
    </row>
    <row r="109" spans="1:21" x14ac:dyDescent="0.35">
      <c r="A109" t="s">
        <v>21</v>
      </c>
      <c r="B109" s="1">
        <v>44884</v>
      </c>
      <c r="C109" t="s">
        <v>32</v>
      </c>
      <c r="D109">
        <v>0</v>
      </c>
      <c r="E109">
        <v>0</v>
      </c>
      <c r="F109">
        <v>0</v>
      </c>
      <c r="G109">
        <v>0</v>
      </c>
      <c r="H109">
        <v>0</v>
      </c>
      <c r="I109">
        <v>0</v>
      </c>
      <c r="J109">
        <v>0</v>
      </c>
      <c r="K109">
        <v>0</v>
      </c>
      <c r="L109">
        <v>0</v>
      </c>
      <c r="M109">
        <v>0</v>
      </c>
      <c r="N109">
        <v>162642</v>
      </c>
      <c r="O109">
        <v>0</v>
      </c>
      <c r="P109">
        <v>0</v>
      </c>
      <c r="Q109">
        <v>0</v>
      </c>
      <c r="R109">
        <v>0</v>
      </c>
      <c r="S109">
        <v>0</v>
      </c>
      <c r="T109">
        <v>0</v>
      </c>
      <c r="U109">
        <v>4</v>
      </c>
    </row>
    <row r="110" spans="1:21" x14ac:dyDescent="0.35">
      <c r="A110" t="s">
        <v>28</v>
      </c>
      <c r="B110" s="1">
        <v>44473</v>
      </c>
      <c r="C110" t="s">
        <v>27</v>
      </c>
      <c r="D110">
        <v>200</v>
      </c>
      <c r="E110">
        <v>0</v>
      </c>
      <c r="F110">
        <v>0</v>
      </c>
      <c r="G110">
        <v>0</v>
      </c>
      <c r="H110">
        <v>0</v>
      </c>
      <c r="I110">
        <v>0</v>
      </c>
      <c r="J110">
        <v>0</v>
      </c>
      <c r="K110">
        <v>0</v>
      </c>
      <c r="L110">
        <v>0</v>
      </c>
      <c r="M110">
        <v>0</v>
      </c>
      <c r="N110">
        <v>177522</v>
      </c>
      <c r="O110">
        <v>0</v>
      </c>
      <c r="P110">
        <v>0</v>
      </c>
      <c r="Q110">
        <v>355</v>
      </c>
      <c r="R110">
        <v>0</v>
      </c>
      <c r="S110">
        <v>0</v>
      </c>
      <c r="T110">
        <v>12</v>
      </c>
      <c r="U110">
        <v>17</v>
      </c>
    </row>
    <row r="111" spans="1:21" x14ac:dyDescent="0.35">
      <c r="A111" t="s">
        <v>28</v>
      </c>
      <c r="B111" s="1">
        <v>45066</v>
      </c>
      <c r="C111" t="s">
        <v>30</v>
      </c>
      <c r="D111">
        <v>36.6</v>
      </c>
      <c r="E111">
        <v>8.8000000000000007</v>
      </c>
      <c r="F111">
        <v>42.4</v>
      </c>
      <c r="G111">
        <v>4.2</v>
      </c>
      <c r="H111">
        <v>0.9</v>
      </c>
      <c r="I111">
        <v>0</v>
      </c>
      <c r="J111">
        <v>0</v>
      </c>
      <c r="K111">
        <v>0</v>
      </c>
      <c r="L111">
        <v>0</v>
      </c>
      <c r="M111">
        <v>0</v>
      </c>
      <c r="N111">
        <v>24557</v>
      </c>
      <c r="O111">
        <v>11384</v>
      </c>
      <c r="P111">
        <v>47128</v>
      </c>
      <c r="Q111">
        <v>9</v>
      </c>
      <c r="R111">
        <v>1</v>
      </c>
      <c r="S111">
        <v>20</v>
      </c>
      <c r="T111">
        <v>80</v>
      </c>
      <c r="U111">
        <v>200</v>
      </c>
    </row>
    <row r="112" spans="1:21" x14ac:dyDescent="0.35">
      <c r="A112" t="s">
        <v>28</v>
      </c>
      <c r="B112" s="1">
        <v>44681</v>
      </c>
      <c r="C112" t="s">
        <v>29</v>
      </c>
      <c r="D112">
        <v>219.1</v>
      </c>
      <c r="E112">
        <v>136.19999999999999</v>
      </c>
      <c r="F112">
        <v>326.10000000000002</v>
      </c>
      <c r="G112">
        <v>1.6</v>
      </c>
      <c r="H112">
        <v>0.7</v>
      </c>
      <c r="I112">
        <v>0</v>
      </c>
      <c r="J112">
        <v>0</v>
      </c>
      <c r="K112">
        <v>0</v>
      </c>
      <c r="L112">
        <v>0</v>
      </c>
      <c r="M112">
        <v>0</v>
      </c>
      <c r="N112">
        <v>130975</v>
      </c>
      <c r="O112">
        <v>287056</v>
      </c>
      <c r="P112">
        <v>330602</v>
      </c>
      <c r="Q112">
        <v>287</v>
      </c>
      <c r="R112">
        <v>391</v>
      </c>
      <c r="S112">
        <v>1078</v>
      </c>
      <c r="T112">
        <v>30</v>
      </c>
      <c r="U112">
        <v>49</v>
      </c>
    </row>
    <row r="113" spans="1:21" x14ac:dyDescent="0.35">
      <c r="A113" t="s">
        <v>28</v>
      </c>
      <c r="B113" s="1">
        <v>44385</v>
      </c>
      <c r="C113" t="s">
        <v>25</v>
      </c>
      <c r="D113">
        <v>250</v>
      </c>
      <c r="E113">
        <v>102.2</v>
      </c>
      <c r="F113">
        <v>0</v>
      </c>
      <c r="G113">
        <v>2.4</v>
      </c>
      <c r="H113">
        <v>0</v>
      </c>
      <c r="I113">
        <v>0</v>
      </c>
      <c r="J113">
        <v>0</v>
      </c>
      <c r="K113">
        <v>0</v>
      </c>
      <c r="L113">
        <v>0</v>
      </c>
      <c r="M113">
        <v>0</v>
      </c>
      <c r="N113">
        <v>206013</v>
      </c>
      <c r="O113">
        <v>282729</v>
      </c>
      <c r="P113">
        <v>0</v>
      </c>
      <c r="Q113">
        <v>515</v>
      </c>
      <c r="R113">
        <v>289</v>
      </c>
      <c r="S113">
        <v>0</v>
      </c>
      <c r="T113">
        <v>18</v>
      </c>
      <c r="U113">
        <v>29</v>
      </c>
    </row>
    <row r="114" spans="1:21" x14ac:dyDescent="0.35">
      <c r="A114" t="s">
        <v>28</v>
      </c>
      <c r="B114" s="1">
        <v>44692</v>
      </c>
      <c r="C114" t="s">
        <v>31</v>
      </c>
      <c r="D114">
        <v>175</v>
      </c>
      <c r="E114">
        <v>131.6</v>
      </c>
      <c r="F114">
        <v>120.7</v>
      </c>
      <c r="G114">
        <v>1.3</v>
      </c>
      <c r="H114">
        <v>1.4</v>
      </c>
      <c r="I114">
        <v>0</v>
      </c>
      <c r="J114">
        <v>0</v>
      </c>
      <c r="K114">
        <v>0</v>
      </c>
      <c r="L114">
        <v>0</v>
      </c>
      <c r="M114">
        <v>0</v>
      </c>
      <c r="N114">
        <v>42281</v>
      </c>
      <c r="O114">
        <v>43326</v>
      </c>
      <c r="P114">
        <v>171562</v>
      </c>
      <c r="Q114">
        <v>74</v>
      </c>
      <c r="R114">
        <v>57</v>
      </c>
      <c r="S114">
        <v>207</v>
      </c>
      <c r="T114">
        <v>65</v>
      </c>
      <c r="U114">
        <v>79</v>
      </c>
    </row>
    <row r="115" spans="1:21" x14ac:dyDescent="0.35">
      <c r="A115" t="s">
        <v>28</v>
      </c>
      <c r="B115" s="1">
        <v>45145</v>
      </c>
      <c r="C115" t="s">
        <v>30</v>
      </c>
      <c r="D115">
        <v>4.0999999999999996</v>
      </c>
      <c r="E115">
        <v>17.600000000000001</v>
      </c>
      <c r="F115">
        <v>33.9</v>
      </c>
      <c r="G115">
        <v>0.2</v>
      </c>
      <c r="H115">
        <v>0.1</v>
      </c>
      <c r="I115">
        <v>0</v>
      </c>
      <c r="J115">
        <v>0</v>
      </c>
      <c r="K115">
        <v>0</v>
      </c>
      <c r="L115">
        <v>0</v>
      </c>
      <c r="M115">
        <v>0</v>
      </c>
      <c r="N115">
        <v>24498</v>
      </c>
      <c r="O115">
        <v>11383</v>
      </c>
      <c r="P115">
        <v>47130</v>
      </c>
      <c r="Q115">
        <v>1</v>
      </c>
      <c r="R115">
        <v>2</v>
      </c>
      <c r="S115">
        <v>16</v>
      </c>
      <c r="T115">
        <v>80</v>
      </c>
      <c r="U115">
        <v>200</v>
      </c>
    </row>
    <row r="116" spans="1:21" x14ac:dyDescent="0.35">
      <c r="A116" t="s">
        <v>28</v>
      </c>
      <c r="B116" s="1">
        <v>44747</v>
      </c>
      <c r="C116" t="s">
        <v>32</v>
      </c>
      <c r="D116">
        <v>178.3</v>
      </c>
      <c r="E116">
        <v>0</v>
      </c>
      <c r="F116">
        <v>0</v>
      </c>
      <c r="G116">
        <v>0</v>
      </c>
      <c r="H116">
        <v>0</v>
      </c>
      <c r="I116">
        <v>0</v>
      </c>
      <c r="J116">
        <v>0</v>
      </c>
      <c r="K116">
        <v>0</v>
      </c>
      <c r="L116">
        <v>0</v>
      </c>
      <c r="M116">
        <v>0</v>
      </c>
      <c r="N116">
        <v>162642</v>
      </c>
      <c r="O116">
        <v>0</v>
      </c>
      <c r="P116">
        <v>0</v>
      </c>
      <c r="Q116">
        <v>290</v>
      </c>
      <c r="R116">
        <v>0</v>
      </c>
      <c r="S116">
        <v>0</v>
      </c>
      <c r="T116">
        <v>0</v>
      </c>
      <c r="U116">
        <v>4</v>
      </c>
    </row>
    <row r="117" spans="1:21" x14ac:dyDescent="0.35">
      <c r="A117" t="s">
        <v>28</v>
      </c>
      <c r="B117" s="1">
        <v>45199</v>
      </c>
      <c r="C117" t="s">
        <v>31</v>
      </c>
      <c r="D117">
        <v>61.7</v>
      </c>
      <c r="E117">
        <v>62.2</v>
      </c>
      <c r="F117">
        <v>55.9</v>
      </c>
      <c r="G117">
        <v>1</v>
      </c>
      <c r="H117">
        <v>1.1000000000000001</v>
      </c>
      <c r="I117">
        <v>0</v>
      </c>
      <c r="J117">
        <v>0</v>
      </c>
      <c r="K117">
        <v>0</v>
      </c>
      <c r="L117">
        <v>0</v>
      </c>
      <c r="M117">
        <v>0</v>
      </c>
      <c r="N117">
        <v>38891</v>
      </c>
      <c r="O117">
        <v>43410</v>
      </c>
      <c r="P117">
        <v>171762</v>
      </c>
      <c r="Q117">
        <v>24</v>
      </c>
      <c r="R117">
        <v>27</v>
      </c>
      <c r="S117">
        <v>96</v>
      </c>
      <c r="T117">
        <v>65</v>
      </c>
      <c r="U117">
        <v>79</v>
      </c>
    </row>
    <row r="118" spans="1:21" x14ac:dyDescent="0.35">
      <c r="A118" t="s">
        <v>28</v>
      </c>
      <c r="B118" s="1">
        <v>44821</v>
      </c>
      <c r="C118" t="s">
        <v>29</v>
      </c>
      <c r="D118">
        <v>168.7</v>
      </c>
      <c r="E118">
        <v>65.599999999999994</v>
      </c>
      <c r="F118">
        <v>110.1</v>
      </c>
      <c r="G118">
        <v>2.6</v>
      </c>
      <c r="H118">
        <v>1.5</v>
      </c>
      <c r="I118">
        <v>0</v>
      </c>
      <c r="J118">
        <v>0</v>
      </c>
      <c r="K118">
        <v>0</v>
      </c>
      <c r="L118">
        <v>0</v>
      </c>
      <c r="M118">
        <v>0</v>
      </c>
      <c r="N118">
        <v>123875</v>
      </c>
      <c r="O118">
        <v>275892</v>
      </c>
      <c r="P118">
        <v>346825</v>
      </c>
      <c r="Q118">
        <v>209</v>
      </c>
      <c r="R118">
        <v>181</v>
      </c>
      <c r="S118">
        <v>382</v>
      </c>
      <c r="T118">
        <v>30</v>
      </c>
      <c r="U118">
        <v>49</v>
      </c>
    </row>
    <row r="119" spans="1:21" x14ac:dyDescent="0.35">
      <c r="A119" t="s">
        <v>21</v>
      </c>
      <c r="B119" s="1">
        <v>44926</v>
      </c>
      <c r="C119" t="s">
        <v>32</v>
      </c>
      <c r="D119">
        <v>0</v>
      </c>
      <c r="E119">
        <v>0</v>
      </c>
      <c r="F119">
        <v>0</v>
      </c>
      <c r="G119">
        <v>0</v>
      </c>
      <c r="H119">
        <v>0</v>
      </c>
      <c r="I119">
        <v>0</v>
      </c>
      <c r="J119">
        <v>0</v>
      </c>
      <c r="K119">
        <v>0</v>
      </c>
      <c r="L119">
        <v>0</v>
      </c>
      <c r="M119">
        <v>0</v>
      </c>
      <c r="N119">
        <v>162642</v>
      </c>
      <c r="O119">
        <v>0</v>
      </c>
      <c r="P119">
        <v>0</v>
      </c>
      <c r="Q119">
        <v>0</v>
      </c>
      <c r="R119">
        <v>0</v>
      </c>
      <c r="S119">
        <v>0</v>
      </c>
      <c r="T119">
        <v>0</v>
      </c>
      <c r="U119">
        <v>4</v>
      </c>
    </row>
    <row r="120" spans="1:21" x14ac:dyDescent="0.35">
      <c r="A120" t="s">
        <v>21</v>
      </c>
      <c r="B120" s="1">
        <v>44765</v>
      </c>
      <c r="C120" t="s">
        <v>25</v>
      </c>
      <c r="D120">
        <v>0</v>
      </c>
      <c r="E120">
        <v>0</v>
      </c>
      <c r="F120">
        <v>0</v>
      </c>
      <c r="G120">
        <v>0</v>
      </c>
      <c r="H120">
        <v>0</v>
      </c>
      <c r="I120">
        <v>0</v>
      </c>
      <c r="J120">
        <v>0</v>
      </c>
      <c r="K120">
        <v>0</v>
      </c>
      <c r="L120">
        <v>0</v>
      </c>
      <c r="M120">
        <v>0</v>
      </c>
      <c r="N120">
        <v>92731</v>
      </c>
      <c r="O120">
        <v>213642</v>
      </c>
      <c r="P120">
        <v>157475</v>
      </c>
      <c r="Q120">
        <v>0</v>
      </c>
      <c r="R120">
        <v>0</v>
      </c>
      <c r="S120">
        <v>0</v>
      </c>
      <c r="T120">
        <v>18</v>
      </c>
      <c r="U120">
        <v>29</v>
      </c>
    </row>
    <row r="121" spans="1:21" x14ac:dyDescent="0.35">
      <c r="A121" t="s">
        <v>21</v>
      </c>
      <c r="B121" s="1">
        <v>44774</v>
      </c>
      <c r="C121" t="s">
        <v>25</v>
      </c>
      <c r="D121">
        <v>0.8</v>
      </c>
      <c r="E121">
        <v>0.4</v>
      </c>
      <c r="F121">
        <v>0</v>
      </c>
      <c r="G121">
        <v>2</v>
      </c>
      <c r="H121">
        <v>0</v>
      </c>
      <c r="I121">
        <v>0</v>
      </c>
      <c r="J121">
        <v>0</v>
      </c>
      <c r="K121">
        <v>0</v>
      </c>
      <c r="L121">
        <v>0</v>
      </c>
      <c r="M121">
        <v>0</v>
      </c>
      <c r="N121">
        <v>128651</v>
      </c>
      <c r="O121">
        <v>256042</v>
      </c>
      <c r="P121">
        <v>83774</v>
      </c>
      <c r="Q121">
        <v>1</v>
      </c>
      <c r="R121">
        <v>1</v>
      </c>
      <c r="S121">
        <v>0</v>
      </c>
      <c r="T121">
        <v>18</v>
      </c>
      <c r="U121">
        <v>29</v>
      </c>
    </row>
    <row r="122" spans="1:21" x14ac:dyDescent="0.35">
      <c r="A122" t="s">
        <v>26</v>
      </c>
      <c r="B122" s="1">
        <v>45018</v>
      </c>
      <c r="C122" t="s">
        <v>23</v>
      </c>
      <c r="D122">
        <v>14.6</v>
      </c>
      <c r="E122">
        <v>6.4</v>
      </c>
      <c r="F122">
        <v>8.5</v>
      </c>
      <c r="G122">
        <v>2.2999999999999998</v>
      </c>
      <c r="H122">
        <v>1.7</v>
      </c>
      <c r="I122">
        <v>0</v>
      </c>
      <c r="J122">
        <v>0</v>
      </c>
      <c r="K122">
        <v>0</v>
      </c>
      <c r="L122">
        <v>0</v>
      </c>
      <c r="M122">
        <v>0</v>
      </c>
      <c r="N122">
        <v>34169</v>
      </c>
      <c r="O122">
        <v>125516</v>
      </c>
      <c r="P122">
        <v>246849</v>
      </c>
      <c r="Q122">
        <v>5</v>
      </c>
      <c r="R122">
        <v>8</v>
      </c>
      <c r="S122">
        <v>21</v>
      </c>
      <c r="T122">
        <v>50</v>
      </c>
      <c r="U122">
        <v>64</v>
      </c>
    </row>
    <row r="123" spans="1:21" x14ac:dyDescent="0.35">
      <c r="A123" t="s">
        <v>28</v>
      </c>
      <c r="B123" s="1">
        <v>44884</v>
      </c>
      <c r="C123" t="s">
        <v>24</v>
      </c>
      <c r="D123">
        <v>127.6</v>
      </c>
      <c r="E123">
        <v>127.4</v>
      </c>
      <c r="F123">
        <v>142.4</v>
      </c>
      <c r="G123">
        <v>1</v>
      </c>
      <c r="H123">
        <v>0.9</v>
      </c>
      <c r="I123">
        <v>0</v>
      </c>
      <c r="J123">
        <v>0</v>
      </c>
      <c r="K123">
        <v>0</v>
      </c>
      <c r="L123">
        <v>0</v>
      </c>
      <c r="M123">
        <v>0</v>
      </c>
      <c r="N123">
        <v>93236</v>
      </c>
      <c r="O123">
        <v>80867</v>
      </c>
      <c r="P123">
        <v>21068</v>
      </c>
      <c r="Q123">
        <v>119</v>
      </c>
      <c r="R123">
        <v>103</v>
      </c>
      <c r="S123">
        <v>30</v>
      </c>
      <c r="T123">
        <v>5</v>
      </c>
      <c r="U123">
        <v>11</v>
      </c>
    </row>
    <row r="124" spans="1:21" x14ac:dyDescent="0.35">
      <c r="A124" t="s">
        <v>26</v>
      </c>
      <c r="B124" s="1">
        <v>44891</v>
      </c>
      <c r="C124" t="s">
        <v>22</v>
      </c>
      <c r="D124">
        <v>14.3</v>
      </c>
      <c r="E124">
        <v>6.2</v>
      </c>
      <c r="F124">
        <v>10</v>
      </c>
      <c r="G124">
        <v>2.2999999999999998</v>
      </c>
      <c r="H124">
        <v>1.4</v>
      </c>
      <c r="I124">
        <v>18.600000000000001</v>
      </c>
      <c r="J124">
        <v>10</v>
      </c>
      <c r="K124">
        <v>7.2</v>
      </c>
      <c r="L124">
        <v>1.9</v>
      </c>
      <c r="M124">
        <v>2.6</v>
      </c>
      <c r="N124">
        <v>565402</v>
      </c>
      <c r="O124">
        <v>850149</v>
      </c>
      <c r="P124">
        <v>1039743</v>
      </c>
      <c r="Q124">
        <v>81</v>
      </c>
      <c r="R124">
        <v>53</v>
      </c>
      <c r="S124">
        <v>104</v>
      </c>
      <c r="T124">
        <v>999</v>
      </c>
      <c r="U124">
        <v>999</v>
      </c>
    </row>
    <row r="125" spans="1:21" x14ac:dyDescent="0.35">
      <c r="A125" t="s">
        <v>21</v>
      </c>
      <c r="B125" s="1">
        <v>45108</v>
      </c>
      <c r="C125" t="s">
        <v>29</v>
      </c>
      <c r="D125">
        <v>0</v>
      </c>
      <c r="E125">
        <v>0</v>
      </c>
      <c r="F125">
        <v>0.3</v>
      </c>
      <c r="G125">
        <v>0</v>
      </c>
      <c r="H125">
        <v>0</v>
      </c>
      <c r="I125">
        <v>0</v>
      </c>
      <c r="J125">
        <v>0</v>
      </c>
      <c r="K125">
        <v>0</v>
      </c>
      <c r="L125">
        <v>0</v>
      </c>
      <c r="M125">
        <v>0</v>
      </c>
      <c r="N125">
        <v>112744</v>
      </c>
      <c r="O125">
        <v>277305</v>
      </c>
      <c r="P125">
        <v>347207</v>
      </c>
      <c r="Q125">
        <v>0</v>
      </c>
      <c r="R125">
        <v>0</v>
      </c>
      <c r="S125">
        <v>1</v>
      </c>
      <c r="T125">
        <v>30</v>
      </c>
      <c r="U125">
        <v>49</v>
      </c>
    </row>
    <row r="126" spans="1:21" x14ac:dyDescent="0.35">
      <c r="A126" t="s">
        <v>28</v>
      </c>
      <c r="B126" s="1">
        <v>44429</v>
      </c>
      <c r="C126" t="s">
        <v>25</v>
      </c>
      <c r="D126">
        <v>274.7</v>
      </c>
      <c r="E126">
        <v>104.6</v>
      </c>
      <c r="F126">
        <v>0</v>
      </c>
      <c r="G126">
        <v>2.6</v>
      </c>
      <c r="H126">
        <v>0</v>
      </c>
      <c r="I126">
        <v>0</v>
      </c>
      <c r="J126">
        <v>0</v>
      </c>
      <c r="K126">
        <v>0</v>
      </c>
      <c r="L126">
        <v>0</v>
      </c>
      <c r="M126">
        <v>0</v>
      </c>
      <c r="N126">
        <v>197658</v>
      </c>
      <c r="O126">
        <v>288634</v>
      </c>
      <c r="P126">
        <v>0</v>
      </c>
      <c r="Q126">
        <v>543</v>
      </c>
      <c r="R126">
        <v>302</v>
      </c>
      <c r="S126">
        <v>0</v>
      </c>
      <c r="T126">
        <v>18</v>
      </c>
      <c r="U126">
        <v>29</v>
      </c>
    </row>
    <row r="127" spans="1:21" x14ac:dyDescent="0.35">
      <c r="A127" t="s">
        <v>21</v>
      </c>
      <c r="B127" s="1">
        <v>45192</v>
      </c>
      <c r="C127" t="s">
        <v>22</v>
      </c>
      <c r="D127">
        <v>0.4</v>
      </c>
      <c r="E127">
        <v>0</v>
      </c>
      <c r="F127">
        <v>0.2</v>
      </c>
      <c r="G127">
        <v>0</v>
      </c>
      <c r="H127">
        <v>2</v>
      </c>
      <c r="I127">
        <v>0.3</v>
      </c>
      <c r="J127">
        <v>0</v>
      </c>
      <c r="K127">
        <v>0.1</v>
      </c>
      <c r="L127">
        <v>0</v>
      </c>
      <c r="M127">
        <v>2</v>
      </c>
      <c r="N127">
        <v>525521</v>
      </c>
      <c r="O127">
        <v>860278</v>
      </c>
      <c r="P127">
        <v>1040840</v>
      </c>
      <c r="Q127">
        <v>2</v>
      </c>
      <c r="R127">
        <v>0</v>
      </c>
      <c r="S127">
        <v>2</v>
      </c>
      <c r="T127">
        <v>999</v>
      </c>
      <c r="U127">
        <v>999</v>
      </c>
    </row>
    <row r="128" spans="1:21" x14ac:dyDescent="0.35">
      <c r="A128" t="s">
        <v>21</v>
      </c>
      <c r="B128" s="1">
        <v>44793</v>
      </c>
      <c r="C128" t="s">
        <v>30</v>
      </c>
      <c r="D128">
        <v>11.4</v>
      </c>
      <c r="E128">
        <v>17.3</v>
      </c>
      <c r="F128">
        <v>6.4</v>
      </c>
      <c r="G128">
        <v>0.7</v>
      </c>
      <c r="H128">
        <v>1.8</v>
      </c>
      <c r="I128">
        <v>0</v>
      </c>
      <c r="J128">
        <v>0</v>
      </c>
      <c r="K128">
        <v>0</v>
      </c>
      <c r="L128">
        <v>0</v>
      </c>
      <c r="M128">
        <v>0</v>
      </c>
      <c r="N128">
        <v>26236</v>
      </c>
      <c r="O128">
        <v>11583</v>
      </c>
      <c r="P128">
        <v>46759</v>
      </c>
      <c r="Q128">
        <v>3</v>
      </c>
      <c r="R128">
        <v>2</v>
      </c>
      <c r="S128">
        <v>3</v>
      </c>
      <c r="T128">
        <v>80</v>
      </c>
      <c r="U128">
        <v>200</v>
      </c>
    </row>
    <row r="129" spans="1:21" x14ac:dyDescent="0.35">
      <c r="A129" t="s">
        <v>21</v>
      </c>
      <c r="B129" s="1">
        <v>44667</v>
      </c>
      <c r="C129" t="s">
        <v>23</v>
      </c>
      <c r="D129">
        <v>4.5</v>
      </c>
      <c r="E129">
        <v>0</v>
      </c>
      <c r="F129">
        <v>0</v>
      </c>
      <c r="G129">
        <v>0</v>
      </c>
      <c r="H129">
        <v>0</v>
      </c>
      <c r="I129">
        <v>0</v>
      </c>
      <c r="J129">
        <v>0</v>
      </c>
      <c r="K129">
        <v>0</v>
      </c>
      <c r="L129">
        <v>0</v>
      </c>
      <c r="M129">
        <v>0</v>
      </c>
      <c r="N129">
        <v>44596</v>
      </c>
      <c r="O129">
        <v>136888</v>
      </c>
      <c r="P129">
        <v>229793</v>
      </c>
      <c r="Q129">
        <v>2</v>
      </c>
      <c r="R129">
        <v>0</v>
      </c>
      <c r="S129">
        <v>0</v>
      </c>
      <c r="T129">
        <v>50</v>
      </c>
      <c r="U129">
        <v>64</v>
      </c>
    </row>
    <row r="130" spans="1:21" x14ac:dyDescent="0.35">
      <c r="A130" t="s">
        <v>26</v>
      </c>
      <c r="B130" s="1">
        <v>45054</v>
      </c>
      <c r="C130" t="s">
        <v>25</v>
      </c>
      <c r="D130">
        <v>1.4</v>
      </c>
      <c r="E130">
        <v>0.5</v>
      </c>
      <c r="F130">
        <v>0</v>
      </c>
      <c r="G130">
        <v>2.8</v>
      </c>
      <c r="H130">
        <v>0</v>
      </c>
      <c r="I130">
        <v>0</v>
      </c>
      <c r="J130">
        <v>0</v>
      </c>
      <c r="K130">
        <v>0</v>
      </c>
      <c r="L130">
        <v>0</v>
      </c>
      <c r="M130">
        <v>0</v>
      </c>
      <c r="N130">
        <v>73686</v>
      </c>
      <c r="O130">
        <v>214134</v>
      </c>
      <c r="P130">
        <v>161713</v>
      </c>
      <c r="Q130">
        <v>1</v>
      </c>
      <c r="R130">
        <v>1</v>
      </c>
      <c r="S130">
        <v>0</v>
      </c>
      <c r="T130">
        <v>18</v>
      </c>
      <c r="U130">
        <v>29</v>
      </c>
    </row>
    <row r="131" spans="1:21" x14ac:dyDescent="0.35">
      <c r="A131" t="s">
        <v>26</v>
      </c>
      <c r="B131" s="1">
        <v>44843</v>
      </c>
      <c r="C131" t="s">
        <v>32</v>
      </c>
      <c r="D131">
        <v>3.7</v>
      </c>
      <c r="E131">
        <v>0</v>
      </c>
      <c r="F131">
        <v>0</v>
      </c>
      <c r="G131">
        <v>0</v>
      </c>
      <c r="H131">
        <v>0</v>
      </c>
      <c r="I131">
        <v>0</v>
      </c>
      <c r="J131">
        <v>0</v>
      </c>
      <c r="K131">
        <v>0</v>
      </c>
      <c r="L131">
        <v>0</v>
      </c>
      <c r="M131">
        <v>0</v>
      </c>
      <c r="N131">
        <v>162642</v>
      </c>
      <c r="O131">
        <v>0</v>
      </c>
      <c r="P131">
        <v>0</v>
      </c>
      <c r="Q131">
        <v>6</v>
      </c>
      <c r="R131">
        <v>0</v>
      </c>
      <c r="S131">
        <v>0</v>
      </c>
      <c r="T131">
        <v>0</v>
      </c>
      <c r="U131">
        <v>4</v>
      </c>
    </row>
    <row r="132" spans="1:21" x14ac:dyDescent="0.35">
      <c r="A132" t="s">
        <v>21</v>
      </c>
      <c r="B132" s="1">
        <v>44571</v>
      </c>
      <c r="C132" t="s">
        <v>24</v>
      </c>
      <c r="D132">
        <v>0</v>
      </c>
      <c r="E132">
        <v>0</v>
      </c>
      <c r="F132">
        <v>0</v>
      </c>
      <c r="G132">
        <v>0</v>
      </c>
      <c r="H132">
        <v>0</v>
      </c>
      <c r="I132">
        <v>0</v>
      </c>
      <c r="J132">
        <v>0</v>
      </c>
      <c r="K132">
        <v>0</v>
      </c>
      <c r="L132">
        <v>0</v>
      </c>
      <c r="M132">
        <v>0</v>
      </c>
      <c r="N132">
        <v>94700</v>
      </c>
      <c r="O132">
        <v>81441</v>
      </c>
      <c r="P132">
        <v>19254</v>
      </c>
      <c r="Q132">
        <v>0</v>
      </c>
      <c r="R132">
        <v>0</v>
      </c>
      <c r="S132">
        <v>0</v>
      </c>
      <c r="T132">
        <v>5</v>
      </c>
      <c r="U132">
        <v>11</v>
      </c>
    </row>
    <row r="133" spans="1:21" x14ac:dyDescent="0.35">
      <c r="A133" t="s">
        <v>26</v>
      </c>
      <c r="B133" s="1">
        <v>44358</v>
      </c>
      <c r="C133" t="s">
        <v>29</v>
      </c>
      <c r="D133">
        <v>13.5</v>
      </c>
      <c r="E133">
        <v>1.1000000000000001</v>
      </c>
      <c r="F133">
        <v>0</v>
      </c>
      <c r="G133">
        <v>12.3</v>
      </c>
      <c r="H133">
        <v>0</v>
      </c>
      <c r="I133">
        <v>0</v>
      </c>
      <c r="J133">
        <v>0</v>
      </c>
      <c r="K133">
        <v>0</v>
      </c>
      <c r="L133">
        <v>0</v>
      </c>
      <c r="M133">
        <v>0</v>
      </c>
      <c r="N133">
        <v>199928</v>
      </c>
      <c r="O133">
        <v>527699</v>
      </c>
      <c r="P133">
        <v>31898</v>
      </c>
      <c r="Q133">
        <v>27</v>
      </c>
      <c r="R133">
        <v>6</v>
      </c>
      <c r="S133">
        <v>0</v>
      </c>
      <c r="T133">
        <v>30</v>
      </c>
      <c r="U133">
        <v>49</v>
      </c>
    </row>
    <row r="134" spans="1:21" x14ac:dyDescent="0.35">
      <c r="A134" t="s">
        <v>28</v>
      </c>
      <c r="B134" s="1">
        <v>44237</v>
      </c>
      <c r="C134" t="s">
        <v>22</v>
      </c>
      <c r="D134">
        <v>158.9</v>
      </c>
      <c r="E134">
        <v>56.5</v>
      </c>
      <c r="F134">
        <v>0</v>
      </c>
      <c r="G134">
        <v>2.8</v>
      </c>
      <c r="H134">
        <v>0</v>
      </c>
      <c r="I134">
        <v>179.5</v>
      </c>
      <c r="J134">
        <v>45.8</v>
      </c>
      <c r="K134">
        <v>0</v>
      </c>
      <c r="L134">
        <v>3.9</v>
      </c>
      <c r="M134">
        <v>0</v>
      </c>
      <c r="N134">
        <v>1009399</v>
      </c>
      <c r="O134">
        <v>1510653</v>
      </c>
      <c r="P134">
        <v>0</v>
      </c>
      <c r="Q134">
        <v>1604</v>
      </c>
      <c r="R134">
        <v>853</v>
      </c>
      <c r="S134">
        <v>0</v>
      </c>
      <c r="T134">
        <v>999</v>
      </c>
      <c r="U134">
        <v>999</v>
      </c>
    </row>
    <row r="135" spans="1:21" x14ac:dyDescent="0.35">
      <c r="A135" t="s">
        <v>28</v>
      </c>
      <c r="B135" s="1">
        <v>44774</v>
      </c>
      <c r="C135" t="s">
        <v>29</v>
      </c>
      <c r="D135">
        <v>2614</v>
      </c>
      <c r="E135">
        <v>1690.1</v>
      </c>
      <c r="F135">
        <v>1349.3</v>
      </c>
      <c r="G135">
        <v>1.5</v>
      </c>
      <c r="H135">
        <v>1.9</v>
      </c>
      <c r="I135">
        <v>0</v>
      </c>
      <c r="J135">
        <v>0</v>
      </c>
      <c r="K135">
        <v>0</v>
      </c>
      <c r="L135">
        <v>0</v>
      </c>
      <c r="M135">
        <v>0</v>
      </c>
      <c r="N135">
        <v>161589</v>
      </c>
      <c r="O135">
        <v>361224</v>
      </c>
      <c r="P135">
        <v>223160</v>
      </c>
      <c r="Q135">
        <v>4224</v>
      </c>
      <c r="R135">
        <v>6105</v>
      </c>
      <c r="S135">
        <v>3011</v>
      </c>
      <c r="T135">
        <v>30</v>
      </c>
      <c r="U135">
        <v>49</v>
      </c>
    </row>
    <row r="136" spans="1:21" x14ac:dyDescent="0.35">
      <c r="A136" t="s">
        <v>21</v>
      </c>
      <c r="B136" s="1">
        <v>44262</v>
      </c>
      <c r="C136" t="s">
        <v>23</v>
      </c>
      <c r="D136">
        <v>1.8</v>
      </c>
      <c r="E136">
        <v>0</v>
      </c>
      <c r="F136">
        <v>0</v>
      </c>
      <c r="G136">
        <v>0</v>
      </c>
      <c r="H136">
        <v>0</v>
      </c>
      <c r="I136">
        <v>0</v>
      </c>
      <c r="J136">
        <v>0</v>
      </c>
      <c r="K136">
        <v>0</v>
      </c>
      <c r="L136">
        <v>0</v>
      </c>
      <c r="M136">
        <v>0</v>
      </c>
      <c r="N136">
        <v>109144</v>
      </c>
      <c r="O136">
        <v>300501</v>
      </c>
      <c r="P136">
        <v>0</v>
      </c>
      <c r="Q136">
        <v>2</v>
      </c>
      <c r="R136">
        <v>0</v>
      </c>
      <c r="S136">
        <v>0</v>
      </c>
      <c r="T136">
        <v>50</v>
      </c>
      <c r="U136">
        <v>64</v>
      </c>
    </row>
    <row r="137" spans="1:21" x14ac:dyDescent="0.35">
      <c r="A137" t="s">
        <v>28</v>
      </c>
      <c r="B137" s="1">
        <v>44709</v>
      </c>
      <c r="C137" t="s">
        <v>31</v>
      </c>
      <c r="D137">
        <v>169.9</v>
      </c>
      <c r="E137">
        <v>181.4</v>
      </c>
      <c r="F137">
        <v>220.3</v>
      </c>
      <c r="G137">
        <v>0.9</v>
      </c>
      <c r="H137">
        <v>0.8</v>
      </c>
      <c r="I137">
        <v>0</v>
      </c>
      <c r="J137">
        <v>0</v>
      </c>
      <c r="K137">
        <v>0</v>
      </c>
      <c r="L137">
        <v>0</v>
      </c>
      <c r="M137">
        <v>0</v>
      </c>
      <c r="N137">
        <v>47077</v>
      </c>
      <c r="O137">
        <v>47959</v>
      </c>
      <c r="P137">
        <v>164773</v>
      </c>
      <c r="Q137">
        <v>80</v>
      </c>
      <c r="R137">
        <v>87</v>
      </c>
      <c r="S137">
        <v>363</v>
      </c>
      <c r="T137">
        <v>65</v>
      </c>
      <c r="U137">
        <v>79</v>
      </c>
    </row>
    <row r="138" spans="1:21" x14ac:dyDescent="0.35">
      <c r="A138" t="s">
        <v>26</v>
      </c>
      <c r="B138" s="1">
        <v>44449</v>
      </c>
      <c r="C138" t="s">
        <v>27</v>
      </c>
      <c r="D138">
        <v>0</v>
      </c>
      <c r="E138">
        <v>0</v>
      </c>
      <c r="F138">
        <v>0</v>
      </c>
      <c r="G138">
        <v>0</v>
      </c>
      <c r="H138">
        <v>0</v>
      </c>
      <c r="I138">
        <v>0</v>
      </c>
      <c r="J138">
        <v>0</v>
      </c>
      <c r="K138">
        <v>0</v>
      </c>
      <c r="L138">
        <v>0</v>
      </c>
      <c r="M138">
        <v>0</v>
      </c>
      <c r="N138">
        <v>67139</v>
      </c>
      <c r="O138">
        <v>95783</v>
      </c>
      <c r="P138">
        <v>0</v>
      </c>
      <c r="Q138">
        <v>0</v>
      </c>
      <c r="R138">
        <v>0</v>
      </c>
      <c r="S138">
        <v>0</v>
      </c>
      <c r="T138">
        <v>12</v>
      </c>
      <c r="U138">
        <v>17</v>
      </c>
    </row>
    <row r="139" spans="1:21" x14ac:dyDescent="0.35">
      <c r="A139" t="s">
        <v>21</v>
      </c>
      <c r="B139" s="1">
        <v>44747</v>
      </c>
      <c r="C139" t="s">
        <v>31</v>
      </c>
      <c r="D139">
        <v>2.1</v>
      </c>
      <c r="E139">
        <v>2</v>
      </c>
      <c r="F139">
        <v>0</v>
      </c>
      <c r="G139">
        <v>1</v>
      </c>
      <c r="H139">
        <v>0</v>
      </c>
      <c r="I139">
        <v>0</v>
      </c>
      <c r="J139">
        <v>0</v>
      </c>
      <c r="K139">
        <v>0</v>
      </c>
      <c r="L139">
        <v>0</v>
      </c>
      <c r="M139">
        <v>0</v>
      </c>
      <c r="N139">
        <v>47611</v>
      </c>
      <c r="O139">
        <v>49260</v>
      </c>
      <c r="P139">
        <v>162746</v>
      </c>
      <c r="Q139">
        <v>1</v>
      </c>
      <c r="R139">
        <v>1</v>
      </c>
      <c r="S139">
        <v>0</v>
      </c>
      <c r="T139">
        <v>65</v>
      </c>
      <c r="U139">
        <v>79</v>
      </c>
    </row>
    <row r="140" spans="1:21" x14ac:dyDescent="0.35">
      <c r="A140" t="s">
        <v>21</v>
      </c>
      <c r="B140" s="1">
        <v>44774</v>
      </c>
      <c r="C140" t="s">
        <v>23</v>
      </c>
      <c r="D140">
        <v>43.8</v>
      </c>
      <c r="E140">
        <v>7.2</v>
      </c>
      <c r="F140">
        <v>0.6</v>
      </c>
      <c r="G140">
        <v>6.1</v>
      </c>
      <c r="H140">
        <v>73</v>
      </c>
      <c r="I140">
        <v>0</v>
      </c>
      <c r="J140">
        <v>0</v>
      </c>
      <c r="K140">
        <v>0</v>
      </c>
      <c r="L140">
        <v>0</v>
      </c>
      <c r="M140">
        <v>0</v>
      </c>
      <c r="N140">
        <v>54811</v>
      </c>
      <c r="O140">
        <v>194317</v>
      </c>
      <c r="P140">
        <v>160841</v>
      </c>
      <c r="Q140">
        <v>24</v>
      </c>
      <c r="R140">
        <v>14</v>
      </c>
      <c r="S140">
        <v>1</v>
      </c>
      <c r="T140">
        <v>50</v>
      </c>
      <c r="U140">
        <v>64</v>
      </c>
    </row>
    <row r="141" spans="1:21" x14ac:dyDescent="0.35">
      <c r="A141" t="s">
        <v>21</v>
      </c>
      <c r="B141" s="1">
        <v>45073</v>
      </c>
      <c r="C141" t="s">
        <v>23</v>
      </c>
      <c r="D141">
        <v>0</v>
      </c>
      <c r="E141">
        <v>0</v>
      </c>
      <c r="F141">
        <v>0</v>
      </c>
      <c r="G141">
        <v>0</v>
      </c>
      <c r="H141">
        <v>0</v>
      </c>
      <c r="I141">
        <v>0</v>
      </c>
      <c r="J141">
        <v>0</v>
      </c>
      <c r="K141">
        <v>0</v>
      </c>
      <c r="L141">
        <v>0</v>
      </c>
      <c r="M141">
        <v>0</v>
      </c>
      <c r="N141">
        <v>32906</v>
      </c>
      <c r="O141">
        <v>125743</v>
      </c>
      <c r="P141">
        <v>246912</v>
      </c>
      <c r="Q141">
        <v>0</v>
      </c>
      <c r="R141">
        <v>0</v>
      </c>
      <c r="S141">
        <v>0</v>
      </c>
      <c r="T141">
        <v>50</v>
      </c>
      <c r="U141">
        <v>64</v>
      </c>
    </row>
    <row r="142" spans="1:21" x14ac:dyDescent="0.35">
      <c r="A142" t="s">
        <v>26</v>
      </c>
      <c r="B142" s="1">
        <v>45220</v>
      </c>
      <c r="C142" t="s">
        <v>29</v>
      </c>
      <c r="D142">
        <v>2.9</v>
      </c>
      <c r="E142">
        <v>1.1000000000000001</v>
      </c>
      <c r="F142">
        <v>0.9</v>
      </c>
      <c r="G142">
        <v>2.6</v>
      </c>
      <c r="H142">
        <v>3.2</v>
      </c>
      <c r="I142">
        <v>0</v>
      </c>
      <c r="J142">
        <v>0</v>
      </c>
      <c r="K142">
        <v>0</v>
      </c>
      <c r="L142">
        <v>0</v>
      </c>
      <c r="M142">
        <v>0</v>
      </c>
      <c r="N142">
        <v>103249</v>
      </c>
      <c r="O142">
        <v>278946</v>
      </c>
      <c r="P142">
        <v>347858</v>
      </c>
      <c r="Q142">
        <v>3</v>
      </c>
      <c r="R142">
        <v>3</v>
      </c>
      <c r="S142">
        <v>3</v>
      </c>
      <c r="T142">
        <v>30</v>
      </c>
      <c r="U142">
        <v>49</v>
      </c>
    </row>
    <row r="143" spans="1:21" x14ac:dyDescent="0.35">
      <c r="A143" t="s">
        <v>21</v>
      </c>
      <c r="B143" s="1">
        <v>44667</v>
      </c>
      <c r="C143" t="s">
        <v>27</v>
      </c>
      <c r="D143">
        <v>0</v>
      </c>
      <c r="E143">
        <v>0</v>
      </c>
      <c r="F143">
        <v>0</v>
      </c>
      <c r="G143">
        <v>0</v>
      </c>
      <c r="H143">
        <v>0</v>
      </c>
      <c r="I143">
        <v>0</v>
      </c>
      <c r="J143">
        <v>0</v>
      </c>
      <c r="K143">
        <v>0</v>
      </c>
      <c r="L143">
        <v>0</v>
      </c>
      <c r="M143">
        <v>0</v>
      </c>
      <c r="N143">
        <v>37876</v>
      </c>
      <c r="O143">
        <v>95178</v>
      </c>
      <c r="P143">
        <v>32264</v>
      </c>
      <c r="Q143">
        <v>0</v>
      </c>
      <c r="R143">
        <v>0</v>
      </c>
      <c r="S143">
        <v>0</v>
      </c>
      <c r="T143">
        <v>12</v>
      </c>
      <c r="U143">
        <v>17</v>
      </c>
    </row>
    <row r="144" spans="1:21" x14ac:dyDescent="0.35">
      <c r="A144" t="s">
        <v>26</v>
      </c>
      <c r="B144" s="1">
        <v>44863</v>
      </c>
      <c r="C144" t="s">
        <v>25</v>
      </c>
      <c r="D144">
        <v>7.1</v>
      </c>
      <c r="E144">
        <v>0.5</v>
      </c>
      <c r="F144">
        <v>2.5</v>
      </c>
      <c r="G144">
        <v>14.2</v>
      </c>
      <c r="H144">
        <v>2.8</v>
      </c>
      <c r="I144">
        <v>0</v>
      </c>
      <c r="J144">
        <v>0</v>
      </c>
      <c r="K144">
        <v>0</v>
      </c>
      <c r="L144">
        <v>0</v>
      </c>
      <c r="M144">
        <v>0</v>
      </c>
      <c r="N144">
        <v>84477</v>
      </c>
      <c r="O144">
        <v>212127</v>
      </c>
      <c r="P144">
        <v>161526</v>
      </c>
      <c r="Q144">
        <v>6</v>
      </c>
      <c r="R144">
        <v>1</v>
      </c>
      <c r="S144">
        <v>4</v>
      </c>
      <c r="T144">
        <v>18</v>
      </c>
      <c r="U144">
        <v>29</v>
      </c>
    </row>
    <row r="145" spans="1:21" x14ac:dyDescent="0.35">
      <c r="A145" t="s">
        <v>21</v>
      </c>
      <c r="B145" s="1">
        <v>44692</v>
      </c>
      <c r="C145" t="s">
        <v>30</v>
      </c>
      <c r="D145">
        <v>4</v>
      </c>
      <c r="E145">
        <v>8.8000000000000007</v>
      </c>
      <c r="F145">
        <v>2.1</v>
      </c>
      <c r="G145">
        <v>0.5</v>
      </c>
      <c r="H145">
        <v>1.9</v>
      </c>
      <c r="I145">
        <v>0</v>
      </c>
      <c r="J145">
        <v>0</v>
      </c>
      <c r="K145">
        <v>0</v>
      </c>
      <c r="L145">
        <v>0</v>
      </c>
      <c r="M145">
        <v>0</v>
      </c>
      <c r="N145">
        <v>25236</v>
      </c>
      <c r="O145">
        <v>11367</v>
      </c>
      <c r="P145">
        <v>47086</v>
      </c>
      <c r="Q145">
        <v>1</v>
      </c>
      <c r="R145">
        <v>1</v>
      </c>
      <c r="S145">
        <v>1</v>
      </c>
      <c r="T145">
        <v>80</v>
      </c>
      <c r="U145">
        <v>200</v>
      </c>
    </row>
    <row r="146" spans="1:21" x14ac:dyDescent="0.35">
      <c r="A146" t="s">
        <v>21</v>
      </c>
      <c r="B146" s="1">
        <v>44373</v>
      </c>
      <c r="C146" t="s">
        <v>30</v>
      </c>
      <c r="D146">
        <v>3</v>
      </c>
      <c r="E146">
        <v>0</v>
      </c>
      <c r="F146">
        <v>0</v>
      </c>
      <c r="G146">
        <v>0</v>
      </c>
      <c r="H146">
        <v>0</v>
      </c>
      <c r="I146">
        <v>0</v>
      </c>
      <c r="J146">
        <v>0</v>
      </c>
      <c r="K146">
        <v>0</v>
      </c>
      <c r="L146">
        <v>0</v>
      </c>
      <c r="M146">
        <v>0</v>
      </c>
      <c r="N146">
        <v>33591</v>
      </c>
      <c r="O146">
        <v>50911</v>
      </c>
      <c r="P146">
        <v>0</v>
      </c>
      <c r="Q146">
        <v>1</v>
      </c>
      <c r="R146">
        <v>0</v>
      </c>
      <c r="S146">
        <v>0</v>
      </c>
      <c r="T146">
        <v>80</v>
      </c>
      <c r="U146">
        <v>200</v>
      </c>
    </row>
    <row r="147" spans="1:21" x14ac:dyDescent="0.35">
      <c r="A147" t="s">
        <v>21</v>
      </c>
      <c r="B147" s="1">
        <v>44709</v>
      </c>
      <c r="C147" t="s">
        <v>24</v>
      </c>
      <c r="D147">
        <v>0</v>
      </c>
      <c r="E147">
        <v>0</v>
      </c>
      <c r="F147">
        <v>0</v>
      </c>
      <c r="G147">
        <v>0</v>
      </c>
      <c r="H147">
        <v>0</v>
      </c>
      <c r="I147">
        <v>0</v>
      </c>
      <c r="J147">
        <v>0</v>
      </c>
      <c r="K147">
        <v>0</v>
      </c>
      <c r="L147">
        <v>0</v>
      </c>
      <c r="M147">
        <v>0</v>
      </c>
      <c r="N147">
        <v>100718</v>
      </c>
      <c r="O147">
        <v>94665</v>
      </c>
      <c r="P147">
        <v>418</v>
      </c>
      <c r="Q147">
        <v>0</v>
      </c>
      <c r="R147">
        <v>0</v>
      </c>
      <c r="S147">
        <v>0</v>
      </c>
      <c r="T147">
        <v>5</v>
      </c>
      <c r="U147">
        <v>11</v>
      </c>
    </row>
    <row r="148" spans="1:21" x14ac:dyDescent="0.35">
      <c r="A148" t="s">
        <v>26</v>
      </c>
      <c r="B148" s="1">
        <v>44683</v>
      </c>
      <c r="C148" t="s">
        <v>25</v>
      </c>
      <c r="D148">
        <v>6.5</v>
      </c>
      <c r="E148">
        <v>2.2000000000000002</v>
      </c>
      <c r="F148">
        <v>0.8</v>
      </c>
      <c r="G148">
        <v>3</v>
      </c>
      <c r="H148">
        <v>8.1</v>
      </c>
      <c r="I148">
        <v>0</v>
      </c>
      <c r="J148">
        <v>0</v>
      </c>
      <c r="K148">
        <v>0</v>
      </c>
      <c r="L148">
        <v>0</v>
      </c>
      <c r="M148">
        <v>0</v>
      </c>
      <c r="N148">
        <v>108394</v>
      </c>
      <c r="O148">
        <v>225478</v>
      </c>
      <c r="P148">
        <v>122651</v>
      </c>
      <c r="Q148">
        <v>7</v>
      </c>
      <c r="R148">
        <v>5</v>
      </c>
      <c r="S148">
        <v>1</v>
      </c>
      <c r="T148">
        <v>18</v>
      </c>
      <c r="U148">
        <v>29</v>
      </c>
    </row>
    <row r="149" spans="1:21" x14ac:dyDescent="0.35">
      <c r="A149" t="s">
        <v>26</v>
      </c>
      <c r="B149" s="1">
        <v>45213</v>
      </c>
      <c r="C149" t="s">
        <v>31</v>
      </c>
      <c r="D149">
        <v>26</v>
      </c>
      <c r="E149">
        <v>16.100000000000001</v>
      </c>
      <c r="F149">
        <v>12.2</v>
      </c>
      <c r="G149">
        <v>1.6</v>
      </c>
      <c r="H149">
        <v>2.1</v>
      </c>
      <c r="I149">
        <v>0</v>
      </c>
      <c r="J149">
        <v>0</v>
      </c>
      <c r="K149">
        <v>0</v>
      </c>
      <c r="L149">
        <v>0</v>
      </c>
      <c r="M149">
        <v>0</v>
      </c>
      <c r="N149">
        <v>38416</v>
      </c>
      <c r="O149">
        <v>43494</v>
      </c>
      <c r="P149">
        <v>171905</v>
      </c>
      <c r="Q149">
        <v>10</v>
      </c>
      <c r="R149">
        <v>7</v>
      </c>
      <c r="S149">
        <v>21</v>
      </c>
      <c r="T149">
        <v>65</v>
      </c>
      <c r="U149">
        <v>79</v>
      </c>
    </row>
    <row r="150" spans="1:21" x14ac:dyDescent="0.35">
      <c r="A150" t="s">
        <v>28</v>
      </c>
      <c r="B150" s="1">
        <v>44800</v>
      </c>
      <c r="C150" t="s">
        <v>24</v>
      </c>
      <c r="D150">
        <v>129.4</v>
      </c>
      <c r="E150">
        <v>89.6</v>
      </c>
      <c r="F150">
        <v>117.1</v>
      </c>
      <c r="G150">
        <v>1.4</v>
      </c>
      <c r="H150">
        <v>1.1000000000000001</v>
      </c>
      <c r="I150">
        <v>0</v>
      </c>
      <c r="J150">
        <v>0</v>
      </c>
      <c r="K150">
        <v>0</v>
      </c>
      <c r="L150">
        <v>0</v>
      </c>
      <c r="M150">
        <v>0</v>
      </c>
      <c r="N150">
        <v>95812</v>
      </c>
      <c r="O150">
        <v>83661</v>
      </c>
      <c r="P150">
        <v>15377</v>
      </c>
      <c r="Q150">
        <v>124</v>
      </c>
      <c r="R150">
        <v>75</v>
      </c>
      <c r="S150">
        <v>18</v>
      </c>
      <c r="T150">
        <v>5</v>
      </c>
      <c r="U150">
        <v>11</v>
      </c>
    </row>
    <row r="151" spans="1:21" x14ac:dyDescent="0.35">
      <c r="A151" t="s">
        <v>21</v>
      </c>
      <c r="B151" s="1">
        <v>45142</v>
      </c>
      <c r="C151" t="s">
        <v>31</v>
      </c>
      <c r="D151">
        <v>0</v>
      </c>
      <c r="E151">
        <v>0</v>
      </c>
      <c r="F151">
        <v>0</v>
      </c>
      <c r="G151">
        <v>0</v>
      </c>
      <c r="H151">
        <v>0</v>
      </c>
      <c r="I151">
        <v>0</v>
      </c>
      <c r="J151">
        <v>0</v>
      </c>
      <c r="K151">
        <v>0</v>
      </c>
      <c r="L151">
        <v>0</v>
      </c>
      <c r="M151">
        <v>0</v>
      </c>
      <c r="N151">
        <v>39837</v>
      </c>
      <c r="O151">
        <v>43431</v>
      </c>
      <c r="P151">
        <v>171716</v>
      </c>
      <c r="Q151">
        <v>0</v>
      </c>
      <c r="R151">
        <v>0</v>
      </c>
      <c r="S151">
        <v>0</v>
      </c>
      <c r="T151">
        <v>65</v>
      </c>
      <c r="U151">
        <v>79</v>
      </c>
    </row>
    <row r="152" spans="1:21" x14ac:dyDescent="0.35">
      <c r="A152" t="s">
        <v>28</v>
      </c>
      <c r="B152" s="1">
        <v>44520</v>
      </c>
      <c r="C152" t="s">
        <v>30</v>
      </c>
      <c r="D152">
        <v>106.8</v>
      </c>
      <c r="E152">
        <v>179</v>
      </c>
      <c r="F152">
        <v>16.3</v>
      </c>
      <c r="G152">
        <v>0.6</v>
      </c>
      <c r="H152">
        <v>6.6</v>
      </c>
      <c r="I152">
        <v>0</v>
      </c>
      <c r="J152">
        <v>0</v>
      </c>
      <c r="K152">
        <v>0</v>
      </c>
      <c r="L152">
        <v>0</v>
      </c>
      <c r="M152">
        <v>0</v>
      </c>
      <c r="N152">
        <v>29022</v>
      </c>
      <c r="O152">
        <v>36868</v>
      </c>
      <c r="P152">
        <v>18401</v>
      </c>
      <c r="Q152">
        <v>31</v>
      </c>
      <c r="R152">
        <v>66</v>
      </c>
      <c r="S152">
        <v>3</v>
      </c>
      <c r="T152">
        <v>80</v>
      </c>
      <c r="U152">
        <v>200</v>
      </c>
    </row>
    <row r="153" spans="1:21" x14ac:dyDescent="0.35">
      <c r="A153" t="s">
        <v>26</v>
      </c>
      <c r="B153" s="1">
        <v>44422</v>
      </c>
      <c r="C153" t="s">
        <v>25</v>
      </c>
      <c r="D153">
        <v>9.4</v>
      </c>
      <c r="E153">
        <v>0.4</v>
      </c>
      <c r="F153">
        <v>0</v>
      </c>
      <c r="G153">
        <v>23.5</v>
      </c>
      <c r="H153">
        <v>0</v>
      </c>
      <c r="I153">
        <v>0</v>
      </c>
      <c r="J153">
        <v>0</v>
      </c>
      <c r="K153">
        <v>0</v>
      </c>
      <c r="L153">
        <v>0</v>
      </c>
      <c r="M153">
        <v>0</v>
      </c>
      <c r="N153">
        <v>201742</v>
      </c>
      <c r="O153">
        <v>285632</v>
      </c>
      <c r="P153">
        <v>0</v>
      </c>
      <c r="Q153">
        <v>19</v>
      </c>
      <c r="R153">
        <v>1</v>
      </c>
      <c r="S153">
        <v>0</v>
      </c>
      <c r="T153">
        <v>18</v>
      </c>
      <c r="U153">
        <v>29</v>
      </c>
    </row>
    <row r="154" spans="1:21" x14ac:dyDescent="0.35">
      <c r="A154" t="s">
        <v>21</v>
      </c>
      <c r="B154" s="1">
        <v>44366</v>
      </c>
      <c r="C154" t="s">
        <v>22</v>
      </c>
      <c r="D154">
        <v>1.2</v>
      </c>
      <c r="E154">
        <v>0.2</v>
      </c>
      <c r="F154">
        <v>0</v>
      </c>
      <c r="G154">
        <v>6</v>
      </c>
      <c r="H154">
        <v>0</v>
      </c>
      <c r="I154">
        <v>1.8</v>
      </c>
      <c r="J154">
        <v>0.1</v>
      </c>
      <c r="K154">
        <v>0</v>
      </c>
      <c r="L154">
        <v>17.8</v>
      </c>
      <c r="M154">
        <v>0</v>
      </c>
      <c r="N154">
        <v>1238489</v>
      </c>
      <c r="O154">
        <v>1241729</v>
      </c>
      <c r="P154">
        <v>0</v>
      </c>
      <c r="Q154">
        <v>15</v>
      </c>
      <c r="R154">
        <v>2</v>
      </c>
      <c r="S154">
        <v>0</v>
      </c>
      <c r="T154">
        <v>999</v>
      </c>
      <c r="U154">
        <v>999</v>
      </c>
    </row>
    <row r="155" spans="1:21" x14ac:dyDescent="0.35">
      <c r="A155" t="s">
        <v>28</v>
      </c>
      <c r="B155" s="1">
        <v>44366</v>
      </c>
      <c r="C155" t="s">
        <v>25</v>
      </c>
      <c r="D155">
        <v>21.5</v>
      </c>
      <c r="E155">
        <v>3.7</v>
      </c>
      <c r="F155">
        <v>0</v>
      </c>
      <c r="G155">
        <v>5.8</v>
      </c>
      <c r="H155">
        <v>0</v>
      </c>
      <c r="I155">
        <v>0</v>
      </c>
      <c r="J155">
        <v>0</v>
      </c>
      <c r="K155">
        <v>0</v>
      </c>
      <c r="L155">
        <v>0</v>
      </c>
      <c r="M155">
        <v>0</v>
      </c>
      <c r="N155">
        <v>232120</v>
      </c>
      <c r="O155">
        <v>245040</v>
      </c>
      <c r="P155">
        <v>0</v>
      </c>
      <c r="Q155">
        <v>50</v>
      </c>
      <c r="R155">
        <v>9</v>
      </c>
      <c r="S155">
        <v>0</v>
      </c>
      <c r="T155">
        <v>18</v>
      </c>
      <c r="U155">
        <v>29</v>
      </c>
    </row>
    <row r="156" spans="1:21" x14ac:dyDescent="0.35">
      <c r="A156" t="s">
        <v>28</v>
      </c>
      <c r="B156" s="1">
        <v>44954</v>
      </c>
      <c r="C156" t="s">
        <v>22</v>
      </c>
      <c r="D156">
        <v>121.4</v>
      </c>
      <c r="E156">
        <v>74.099999999999994</v>
      </c>
      <c r="F156">
        <v>87</v>
      </c>
      <c r="G156">
        <v>1.6</v>
      </c>
      <c r="H156">
        <v>1.4</v>
      </c>
      <c r="I156">
        <v>135.80000000000001</v>
      </c>
      <c r="J156">
        <v>75.099999999999994</v>
      </c>
      <c r="K156">
        <v>91.3</v>
      </c>
      <c r="L156">
        <v>1.8</v>
      </c>
      <c r="M156">
        <v>1.5</v>
      </c>
      <c r="N156">
        <v>549564</v>
      </c>
      <c r="O156">
        <v>855718</v>
      </c>
      <c r="P156">
        <v>1040296</v>
      </c>
      <c r="Q156">
        <v>667</v>
      </c>
      <c r="R156">
        <v>634</v>
      </c>
      <c r="S156">
        <v>905</v>
      </c>
      <c r="T156">
        <v>999</v>
      </c>
      <c r="U156">
        <v>999</v>
      </c>
    </row>
    <row r="157" spans="1:21" x14ac:dyDescent="0.35">
      <c r="A157" t="s">
        <v>26</v>
      </c>
      <c r="B157" s="1">
        <v>44562</v>
      </c>
      <c r="C157" t="s">
        <v>24</v>
      </c>
      <c r="D157">
        <v>6.5</v>
      </c>
      <c r="E157">
        <v>0</v>
      </c>
      <c r="F157">
        <v>0</v>
      </c>
      <c r="G157">
        <v>0</v>
      </c>
      <c r="H157">
        <v>0</v>
      </c>
      <c r="I157">
        <v>0</v>
      </c>
      <c r="J157">
        <v>0</v>
      </c>
      <c r="K157">
        <v>0</v>
      </c>
      <c r="L157">
        <v>0</v>
      </c>
      <c r="M157">
        <v>0</v>
      </c>
      <c r="N157">
        <v>138684</v>
      </c>
      <c r="O157">
        <v>43394</v>
      </c>
      <c r="P157">
        <v>0</v>
      </c>
      <c r="Q157">
        <v>9</v>
      </c>
      <c r="R157">
        <v>0</v>
      </c>
      <c r="S157">
        <v>0</v>
      </c>
      <c r="T157">
        <v>5</v>
      </c>
      <c r="U157">
        <v>11</v>
      </c>
    </row>
    <row r="158" spans="1:21" x14ac:dyDescent="0.35">
      <c r="A158" t="s">
        <v>26</v>
      </c>
      <c r="B158" s="1">
        <v>44758</v>
      </c>
      <c r="C158" t="s">
        <v>27</v>
      </c>
      <c r="D158">
        <v>5.5</v>
      </c>
      <c r="E158">
        <v>1.1000000000000001</v>
      </c>
      <c r="F158">
        <v>2.6</v>
      </c>
      <c r="G158">
        <v>5</v>
      </c>
      <c r="H158">
        <v>2.1</v>
      </c>
      <c r="I158">
        <v>0</v>
      </c>
      <c r="J158">
        <v>0</v>
      </c>
      <c r="K158">
        <v>0</v>
      </c>
      <c r="L158">
        <v>0</v>
      </c>
      <c r="M158">
        <v>0</v>
      </c>
      <c r="N158">
        <v>36204</v>
      </c>
      <c r="O158">
        <v>90674</v>
      </c>
      <c r="P158">
        <v>38517</v>
      </c>
      <c r="Q158">
        <v>2</v>
      </c>
      <c r="R158">
        <v>1</v>
      </c>
      <c r="S158">
        <v>1</v>
      </c>
      <c r="T158">
        <v>12</v>
      </c>
      <c r="U158">
        <v>17</v>
      </c>
    </row>
    <row r="159" spans="1:21" x14ac:dyDescent="0.35">
      <c r="A159" t="s">
        <v>28</v>
      </c>
      <c r="B159" s="1">
        <v>44811</v>
      </c>
      <c r="C159" t="s">
        <v>24</v>
      </c>
      <c r="D159">
        <v>81.8</v>
      </c>
      <c r="E159">
        <v>107.7</v>
      </c>
      <c r="F159">
        <v>115.4</v>
      </c>
      <c r="G159">
        <v>0.8</v>
      </c>
      <c r="H159">
        <v>0.7</v>
      </c>
      <c r="I159">
        <v>0</v>
      </c>
      <c r="J159">
        <v>0</v>
      </c>
      <c r="K159">
        <v>0</v>
      </c>
      <c r="L159">
        <v>0</v>
      </c>
      <c r="M159">
        <v>0</v>
      </c>
      <c r="N159">
        <v>98989</v>
      </c>
      <c r="O159">
        <v>89156</v>
      </c>
      <c r="P159">
        <v>7798</v>
      </c>
      <c r="Q159">
        <v>81</v>
      </c>
      <c r="R159">
        <v>96</v>
      </c>
      <c r="S159">
        <v>9</v>
      </c>
      <c r="T159">
        <v>5</v>
      </c>
      <c r="U159">
        <v>11</v>
      </c>
    </row>
    <row r="160" spans="1:21" x14ac:dyDescent="0.35">
      <c r="A160" t="s">
        <v>28</v>
      </c>
      <c r="B160" s="1">
        <v>44786</v>
      </c>
      <c r="C160" t="s">
        <v>32</v>
      </c>
      <c r="D160">
        <v>160.5</v>
      </c>
      <c r="E160">
        <v>1.2</v>
      </c>
      <c r="F160">
        <v>0</v>
      </c>
      <c r="G160">
        <v>133.80000000000001</v>
      </c>
      <c r="H160">
        <v>0</v>
      </c>
      <c r="I160">
        <v>0</v>
      </c>
      <c r="J160">
        <v>0</v>
      </c>
      <c r="K160">
        <v>0</v>
      </c>
      <c r="L160">
        <v>0</v>
      </c>
      <c r="M160">
        <v>0</v>
      </c>
      <c r="N160">
        <v>162642</v>
      </c>
      <c r="O160">
        <v>0</v>
      </c>
      <c r="P160">
        <v>0</v>
      </c>
      <c r="Q160">
        <v>261</v>
      </c>
      <c r="R160">
        <v>2</v>
      </c>
      <c r="S160">
        <v>0</v>
      </c>
      <c r="T160">
        <v>0</v>
      </c>
      <c r="U160">
        <v>4</v>
      </c>
    </row>
    <row r="161" spans="1:21" x14ac:dyDescent="0.35">
      <c r="A161" t="s">
        <v>21</v>
      </c>
      <c r="B161" s="1">
        <v>45233</v>
      </c>
      <c r="C161" t="s">
        <v>22</v>
      </c>
      <c r="D161">
        <v>0.2</v>
      </c>
      <c r="E161">
        <v>0.2</v>
      </c>
      <c r="F161">
        <v>0</v>
      </c>
      <c r="G161">
        <v>1</v>
      </c>
      <c r="H161">
        <v>0</v>
      </c>
      <c r="I161">
        <v>0.1</v>
      </c>
      <c r="J161">
        <v>0.2</v>
      </c>
      <c r="K161">
        <v>0</v>
      </c>
      <c r="L161">
        <v>0.6</v>
      </c>
      <c r="M161">
        <v>0</v>
      </c>
      <c r="N161">
        <v>543537</v>
      </c>
      <c r="O161">
        <v>858035</v>
      </c>
      <c r="P161">
        <v>1040472</v>
      </c>
      <c r="Q161">
        <v>1</v>
      </c>
      <c r="R161">
        <v>2</v>
      </c>
      <c r="S161">
        <v>0</v>
      </c>
      <c r="T161">
        <v>999</v>
      </c>
      <c r="U161">
        <v>999</v>
      </c>
    </row>
    <row r="162" spans="1:21" x14ac:dyDescent="0.35">
      <c r="A162" t="s">
        <v>26</v>
      </c>
      <c r="B162" s="1">
        <v>44512</v>
      </c>
      <c r="C162" t="s">
        <v>27</v>
      </c>
      <c r="D162">
        <v>8.6999999999999993</v>
      </c>
      <c r="E162">
        <v>0.9</v>
      </c>
      <c r="F162">
        <v>0</v>
      </c>
      <c r="G162">
        <v>9.6999999999999993</v>
      </c>
      <c r="H162">
        <v>0</v>
      </c>
      <c r="I162">
        <v>0</v>
      </c>
      <c r="J162">
        <v>0</v>
      </c>
      <c r="K162">
        <v>0</v>
      </c>
      <c r="L162">
        <v>0</v>
      </c>
      <c r="M162">
        <v>0</v>
      </c>
      <c r="N162">
        <v>57433</v>
      </c>
      <c r="O162">
        <v>105995</v>
      </c>
      <c r="P162">
        <v>469</v>
      </c>
      <c r="Q162">
        <v>5</v>
      </c>
      <c r="R162">
        <v>1</v>
      </c>
      <c r="S162">
        <v>0</v>
      </c>
      <c r="T162">
        <v>12</v>
      </c>
      <c r="U162">
        <v>17</v>
      </c>
    </row>
    <row r="163" spans="1:21" x14ac:dyDescent="0.35">
      <c r="A163" t="s">
        <v>26</v>
      </c>
      <c r="B163" s="1">
        <v>45205</v>
      </c>
      <c r="C163" t="s">
        <v>30</v>
      </c>
      <c r="D163">
        <v>8.1999999999999993</v>
      </c>
      <c r="E163">
        <v>0</v>
      </c>
      <c r="F163">
        <v>8.5</v>
      </c>
      <c r="G163">
        <v>0</v>
      </c>
      <c r="H163">
        <v>1</v>
      </c>
      <c r="I163">
        <v>0</v>
      </c>
      <c r="J163">
        <v>0</v>
      </c>
      <c r="K163">
        <v>0</v>
      </c>
      <c r="L163">
        <v>0</v>
      </c>
      <c r="M163">
        <v>0</v>
      </c>
      <c r="N163">
        <v>24522</v>
      </c>
      <c r="O163">
        <v>11383</v>
      </c>
      <c r="P163">
        <v>47130</v>
      </c>
      <c r="Q163">
        <v>2</v>
      </c>
      <c r="R163">
        <v>0</v>
      </c>
      <c r="S163">
        <v>4</v>
      </c>
      <c r="T163">
        <v>80</v>
      </c>
      <c r="U163">
        <v>200</v>
      </c>
    </row>
    <row r="164" spans="1:21" x14ac:dyDescent="0.35">
      <c r="A164" t="s">
        <v>28</v>
      </c>
      <c r="B164" s="1">
        <v>44201</v>
      </c>
      <c r="C164" t="s">
        <v>25</v>
      </c>
      <c r="D164">
        <v>241.2</v>
      </c>
      <c r="E164">
        <v>21.3</v>
      </c>
      <c r="F164">
        <v>0</v>
      </c>
      <c r="G164">
        <v>11.3</v>
      </c>
      <c r="H164">
        <v>0</v>
      </c>
      <c r="I164">
        <v>0</v>
      </c>
      <c r="J164">
        <v>0</v>
      </c>
      <c r="K164">
        <v>0</v>
      </c>
      <c r="L164">
        <v>0</v>
      </c>
      <c r="M164">
        <v>0</v>
      </c>
      <c r="N164">
        <v>284798</v>
      </c>
      <c r="O164">
        <v>107854</v>
      </c>
      <c r="P164">
        <v>0</v>
      </c>
      <c r="Q164">
        <v>687</v>
      </c>
      <c r="R164">
        <v>23</v>
      </c>
      <c r="S164">
        <v>0</v>
      </c>
      <c r="T164">
        <v>18</v>
      </c>
      <c r="U164">
        <v>29</v>
      </c>
    </row>
    <row r="165" spans="1:21" x14ac:dyDescent="0.35">
      <c r="A165" t="s">
        <v>21</v>
      </c>
      <c r="B165" s="1">
        <v>44237</v>
      </c>
      <c r="C165" t="s">
        <v>22</v>
      </c>
      <c r="D165">
        <v>3</v>
      </c>
      <c r="E165">
        <v>0.3</v>
      </c>
      <c r="F165">
        <v>0</v>
      </c>
      <c r="G165">
        <v>10</v>
      </c>
      <c r="H165">
        <v>0</v>
      </c>
      <c r="I165">
        <v>4.2</v>
      </c>
      <c r="J165">
        <v>0.3</v>
      </c>
      <c r="K165">
        <v>0</v>
      </c>
      <c r="L165">
        <v>16.2</v>
      </c>
      <c r="M165">
        <v>0</v>
      </c>
      <c r="N165">
        <v>1009399</v>
      </c>
      <c r="O165">
        <v>1510653</v>
      </c>
      <c r="P165">
        <v>0</v>
      </c>
      <c r="Q165">
        <v>30</v>
      </c>
      <c r="R165">
        <v>5</v>
      </c>
      <c r="S165">
        <v>0</v>
      </c>
      <c r="T165">
        <v>999</v>
      </c>
      <c r="U165">
        <v>999</v>
      </c>
    </row>
    <row r="166" spans="1:21" x14ac:dyDescent="0.35">
      <c r="A166" t="s">
        <v>21</v>
      </c>
      <c r="B166" s="1">
        <v>44811</v>
      </c>
      <c r="C166" t="s">
        <v>30</v>
      </c>
      <c r="D166">
        <v>7.6</v>
      </c>
      <c r="E166">
        <v>8.3000000000000007</v>
      </c>
      <c r="F166">
        <v>4.3</v>
      </c>
      <c r="G166">
        <v>0.9</v>
      </c>
      <c r="H166">
        <v>1.8</v>
      </c>
      <c r="I166">
        <v>0</v>
      </c>
      <c r="J166">
        <v>0</v>
      </c>
      <c r="K166">
        <v>0</v>
      </c>
      <c r="L166">
        <v>0</v>
      </c>
      <c r="M166">
        <v>0</v>
      </c>
      <c r="N166">
        <v>26425</v>
      </c>
      <c r="O166">
        <v>12088</v>
      </c>
      <c r="P166">
        <v>46042</v>
      </c>
      <c r="Q166">
        <v>2</v>
      </c>
      <c r="R166">
        <v>1</v>
      </c>
      <c r="S166">
        <v>2</v>
      </c>
      <c r="T166">
        <v>80</v>
      </c>
      <c r="U166">
        <v>200</v>
      </c>
    </row>
    <row r="167" spans="1:21" x14ac:dyDescent="0.35">
      <c r="A167" t="s">
        <v>26</v>
      </c>
      <c r="B167" s="1">
        <v>45073</v>
      </c>
      <c r="C167" t="s">
        <v>24</v>
      </c>
      <c r="D167">
        <v>0</v>
      </c>
      <c r="E167">
        <v>0</v>
      </c>
      <c r="F167">
        <v>0</v>
      </c>
      <c r="G167">
        <v>0</v>
      </c>
      <c r="H167">
        <v>0</v>
      </c>
      <c r="I167">
        <v>0</v>
      </c>
      <c r="J167">
        <v>0</v>
      </c>
      <c r="K167">
        <v>0</v>
      </c>
      <c r="L167">
        <v>0</v>
      </c>
      <c r="M167">
        <v>0</v>
      </c>
      <c r="N167">
        <v>90605</v>
      </c>
      <c r="O167">
        <v>82681</v>
      </c>
      <c r="P167">
        <v>21243</v>
      </c>
      <c r="Q167">
        <v>0</v>
      </c>
      <c r="R167">
        <v>0</v>
      </c>
      <c r="S167">
        <v>0</v>
      </c>
      <c r="T167">
        <v>5</v>
      </c>
      <c r="U167">
        <v>11</v>
      </c>
    </row>
    <row r="168" spans="1:21" x14ac:dyDescent="0.35">
      <c r="A168" t="s">
        <v>21</v>
      </c>
      <c r="B168" s="1">
        <v>44765</v>
      </c>
      <c r="C168" t="s">
        <v>24</v>
      </c>
      <c r="D168">
        <v>0</v>
      </c>
      <c r="E168">
        <v>0</v>
      </c>
      <c r="F168">
        <v>0</v>
      </c>
      <c r="G168">
        <v>0</v>
      </c>
      <c r="H168">
        <v>0</v>
      </c>
      <c r="I168">
        <v>0</v>
      </c>
      <c r="J168">
        <v>0</v>
      </c>
      <c r="K168">
        <v>0</v>
      </c>
      <c r="L168">
        <v>0</v>
      </c>
      <c r="M168">
        <v>0</v>
      </c>
      <c r="N168">
        <v>98178</v>
      </c>
      <c r="O168">
        <v>87751</v>
      </c>
      <c r="P168">
        <v>9749</v>
      </c>
      <c r="Q168">
        <v>0</v>
      </c>
      <c r="R168">
        <v>0</v>
      </c>
      <c r="S168">
        <v>0</v>
      </c>
      <c r="T168">
        <v>5</v>
      </c>
      <c r="U168">
        <v>11</v>
      </c>
    </row>
    <row r="169" spans="1:21" x14ac:dyDescent="0.35">
      <c r="A169" t="s">
        <v>28</v>
      </c>
      <c r="B169" s="1">
        <v>44897</v>
      </c>
      <c r="C169" t="s">
        <v>27</v>
      </c>
      <c r="D169">
        <v>172.3</v>
      </c>
      <c r="E169">
        <v>84.5</v>
      </c>
      <c r="F169">
        <v>36.700000000000003</v>
      </c>
      <c r="G169">
        <v>2</v>
      </c>
      <c r="H169">
        <v>4.7</v>
      </c>
      <c r="I169">
        <v>0</v>
      </c>
      <c r="J169">
        <v>0</v>
      </c>
      <c r="K169">
        <v>0</v>
      </c>
      <c r="L169">
        <v>0</v>
      </c>
      <c r="M169">
        <v>0</v>
      </c>
      <c r="N169">
        <v>41212</v>
      </c>
      <c r="O169">
        <v>95886</v>
      </c>
      <c r="P169">
        <v>21795</v>
      </c>
      <c r="Q169">
        <v>71</v>
      </c>
      <c r="R169">
        <v>81</v>
      </c>
      <c r="S169">
        <v>8</v>
      </c>
      <c r="T169">
        <v>12</v>
      </c>
      <c r="U169">
        <v>17</v>
      </c>
    </row>
    <row r="170" spans="1:21" x14ac:dyDescent="0.35">
      <c r="A170" t="s">
        <v>26</v>
      </c>
      <c r="B170" s="1">
        <v>44512</v>
      </c>
      <c r="C170" t="s">
        <v>22</v>
      </c>
      <c r="D170">
        <v>37.1</v>
      </c>
      <c r="E170">
        <v>10.3</v>
      </c>
      <c r="F170">
        <v>2.9</v>
      </c>
      <c r="G170">
        <v>3.6</v>
      </c>
      <c r="H170">
        <v>12.8</v>
      </c>
      <c r="I170">
        <v>55.2</v>
      </c>
      <c r="J170">
        <v>10.6</v>
      </c>
      <c r="K170">
        <v>1.5</v>
      </c>
      <c r="L170">
        <v>5.2</v>
      </c>
      <c r="M170">
        <v>37.799999999999997</v>
      </c>
      <c r="N170">
        <v>847199</v>
      </c>
      <c r="O170">
        <v>1247588</v>
      </c>
      <c r="P170">
        <v>380994</v>
      </c>
      <c r="Q170">
        <v>314</v>
      </c>
      <c r="R170">
        <v>129</v>
      </c>
      <c r="S170">
        <v>11</v>
      </c>
      <c r="T170">
        <v>999</v>
      </c>
      <c r="U170">
        <v>999</v>
      </c>
    </row>
    <row r="171" spans="1:21" x14ac:dyDescent="0.35">
      <c r="A171" t="s">
        <v>26</v>
      </c>
      <c r="B171" s="1">
        <v>44449</v>
      </c>
      <c r="C171" t="s">
        <v>30</v>
      </c>
      <c r="D171">
        <v>32.799999999999997</v>
      </c>
      <c r="E171">
        <v>15.3</v>
      </c>
      <c r="F171">
        <v>0</v>
      </c>
      <c r="G171">
        <v>2.1</v>
      </c>
      <c r="H171">
        <v>0</v>
      </c>
      <c r="I171">
        <v>0</v>
      </c>
      <c r="J171">
        <v>0</v>
      </c>
      <c r="K171">
        <v>0</v>
      </c>
      <c r="L171">
        <v>0</v>
      </c>
      <c r="M171">
        <v>0</v>
      </c>
      <c r="N171">
        <v>30481</v>
      </c>
      <c r="O171">
        <v>52266</v>
      </c>
      <c r="P171">
        <v>0</v>
      </c>
      <c r="Q171">
        <v>10</v>
      </c>
      <c r="R171">
        <v>8</v>
      </c>
      <c r="S171">
        <v>0</v>
      </c>
      <c r="T171">
        <v>80</v>
      </c>
      <c r="U171">
        <v>200</v>
      </c>
    </row>
    <row r="172" spans="1:21" x14ac:dyDescent="0.35">
      <c r="A172" t="s">
        <v>26</v>
      </c>
      <c r="B172" s="1">
        <v>45027</v>
      </c>
      <c r="C172" t="s">
        <v>24</v>
      </c>
      <c r="D172">
        <v>0</v>
      </c>
      <c r="E172">
        <v>0</v>
      </c>
      <c r="F172">
        <v>0</v>
      </c>
      <c r="G172">
        <v>0</v>
      </c>
      <c r="H172">
        <v>0</v>
      </c>
      <c r="I172">
        <v>0</v>
      </c>
      <c r="J172">
        <v>0</v>
      </c>
      <c r="K172">
        <v>0</v>
      </c>
      <c r="L172">
        <v>0</v>
      </c>
      <c r="M172">
        <v>0</v>
      </c>
      <c r="N172">
        <v>88776</v>
      </c>
      <c r="O172">
        <v>82330</v>
      </c>
      <c r="P172">
        <v>21744</v>
      </c>
      <c r="Q172">
        <v>0</v>
      </c>
      <c r="R172">
        <v>0</v>
      </c>
      <c r="S172">
        <v>0</v>
      </c>
      <c r="T172">
        <v>5</v>
      </c>
      <c r="U172">
        <v>11</v>
      </c>
    </row>
    <row r="173" spans="1:21" x14ac:dyDescent="0.35">
      <c r="A173" t="s">
        <v>21</v>
      </c>
      <c r="B173" s="1">
        <v>45213</v>
      </c>
      <c r="C173" t="s">
        <v>24</v>
      </c>
      <c r="D173">
        <v>0</v>
      </c>
      <c r="E173">
        <v>0</v>
      </c>
      <c r="F173">
        <v>0</v>
      </c>
      <c r="G173">
        <v>0</v>
      </c>
      <c r="H173">
        <v>0</v>
      </c>
      <c r="I173">
        <v>0</v>
      </c>
      <c r="J173">
        <v>0</v>
      </c>
      <c r="K173">
        <v>0</v>
      </c>
      <c r="L173">
        <v>0</v>
      </c>
      <c r="M173">
        <v>0</v>
      </c>
      <c r="N173">
        <v>89235</v>
      </c>
      <c r="O173">
        <v>82644</v>
      </c>
      <c r="P173">
        <v>21300</v>
      </c>
      <c r="Q173">
        <v>0</v>
      </c>
      <c r="R173">
        <v>0</v>
      </c>
      <c r="S173">
        <v>0</v>
      </c>
      <c r="T173">
        <v>5</v>
      </c>
      <c r="U173">
        <v>11</v>
      </c>
    </row>
    <row r="174" spans="1:21" x14ac:dyDescent="0.35">
      <c r="A174" t="s">
        <v>26</v>
      </c>
      <c r="B174" s="1">
        <v>44919</v>
      </c>
      <c r="C174" t="s">
        <v>31</v>
      </c>
      <c r="D174">
        <v>34.299999999999997</v>
      </c>
      <c r="E174">
        <v>25.4</v>
      </c>
      <c r="F174">
        <v>26.8</v>
      </c>
      <c r="G174">
        <v>1.4</v>
      </c>
      <c r="H174">
        <v>1.3</v>
      </c>
      <c r="I174">
        <v>0</v>
      </c>
      <c r="J174">
        <v>0</v>
      </c>
      <c r="K174">
        <v>0</v>
      </c>
      <c r="L174">
        <v>0</v>
      </c>
      <c r="M174">
        <v>0</v>
      </c>
      <c r="N174">
        <v>40797</v>
      </c>
      <c r="O174">
        <v>43362</v>
      </c>
      <c r="P174">
        <v>171663</v>
      </c>
      <c r="Q174">
        <v>14</v>
      </c>
      <c r="R174">
        <v>11</v>
      </c>
      <c r="S174">
        <v>46</v>
      </c>
      <c r="T174">
        <v>65</v>
      </c>
      <c r="U174">
        <v>79</v>
      </c>
    </row>
    <row r="175" spans="1:21" x14ac:dyDescent="0.35">
      <c r="A175" t="s">
        <v>28</v>
      </c>
      <c r="B175" s="1">
        <v>45142</v>
      </c>
      <c r="C175" t="s">
        <v>30</v>
      </c>
      <c r="D175">
        <v>28.4</v>
      </c>
      <c r="E175">
        <v>96.6</v>
      </c>
      <c r="F175">
        <v>106.1</v>
      </c>
      <c r="G175">
        <v>0.3</v>
      </c>
      <c r="H175">
        <v>0.3</v>
      </c>
      <c r="I175">
        <v>0</v>
      </c>
      <c r="J175">
        <v>0</v>
      </c>
      <c r="K175">
        <v>0</v>
      </c>
      <c r="L175">
        <v>0</v>
      </c>
      <c r="M175">
        <v>0</v>
      </c>
      <c r="N175">
        <v>24622</v>
      </c>
      <c r="O175">
        <v>11383</v>
      </c>
      <c r="P175">
        <v>47126</v>
      </c>
      <c r="Q175">
        <v>7</v>
      </c>
      <c r="R175">
        <v>11</v>
      </c>
      <c r="S175">
        <v>50</v>
      </c>
      <c r="T175">
        <v>80</v>
      </c>
      <c r="U175">
        <v>200</v>
      </c>
    </row>
    <row r="176" spans="1:21" x14ac:dyDescent="0.35">
      <c r="A176" t="s">
        <v>28</v>
      </c>
      <c r="B176" s="1">
        <v>44611</v>
      </c>
      <c r="C176" t="s">
        <v>32</v>
      </c>
      <c r="D176">
        <v>77.5</v>
      </c>
      <c r="E176">
        <v>0</v>
      </c>
      <c r="F176">
        <v>0</v>
      </c>
      <c r="G176">
        <v>0</v>
      </c>
      <c r="H176">
        <v>0</v>
      </c>
      <c r="I176">
        <v>0</v>
      </c>
      <c r="J176">
        <v>0</v>
      </c>
      <c r="K176">
        <v>0</v>
      </c>
      <c r="L176">
        <v>0</v>
      </c>
      <c r="M176">
        <v>0</v>
      </c>
      <c r="N176">
        <v>162642</v>
      </c>
      <c r="O176">
        <v>0</v>
      </c>
      <c r="P176">
        <v>0</v>
      </c>
      <c r="Q176">
        <v>126</v>
      </c>
      <c r="R176">
        <v>0</v>
      </c>
      <c r="S176">
        <v>0</v>
      </c>
      <c r="T176">
        <v>0</v>
      </c>
      <c r="U176">
        <v>4</v>
      </c>
    </row>
    <row r="177" spans="1:21" x14ac:dyDescent="0.35">
      <c r="A177" t="s">
        <v>26</v>
      </c>
      <c r="B177" s="1">
        <v>44871</v>
      </c>
      <c r="C177" t="s">
        <v>24</v>
      </c>
      <c r="D177">
        <v>0</v>
      </c>
      <c r="E177">
        <v>0</v>
      </c>
      <c r="F177">
        <v>0</v>
      </c>
      <c r="G177">
        <v>0</v>
      </c>
      <c r="H177">
        <v>0</v>
      </c>
      <c r="I177">
        <v>0</v>
      </c>
      <c r="J177">
        <v>0</v>
      </c>
      <c r="K177">
        <v>0</v>
      </c>
      <c r="L177">
        <v>0</v>
      </c>
      <c r="M177">
        <v>0</v>
      </c>
      <c r="N177">
        <v>100172</v>
      </c>
      <c r="O177">
        <v>93140</v>
      </c>
      <c r="P177">
        <v>2658</v>
      </c>
      <c r="Q177">
        <v>0</v>
      </c>
      <c r="R177">
        <v>0</v>
      </c>
      <c r="S177">
        <v>0</v>
      </c>
      <c r="T177">
        <v>5</v>
      </c>
      <c r="U177">
        <v>11</v>
      </c>
    </row>
    <row r="178" spans="1:21" x14ac:dyDescent="0.35">
      <c r="A178" t="s">
        <v>28</v>
      </c>
      <c r="B178" s="1">
        <v>44684</v>
      </c>
      <c r="C178" t="s">
        <v>27</v>
      </c>
      <c r="D178">
        <v>79.099999999999994</v>
      </c>
      <c r="E178">
        <v>21.9</v>
      </c>
      <c r="F178">
        <v>18.2</v>
      </c>
      <c r="G178">
        <v>3.6</v>
      </c>
      <c r="H178">
        <v>4.3</v>
      </c>
      <c r="I178">
        <v>0</v>
      </c>
      <c r="J178">
        <v>0</v>
      </c>
      <c r="K178">
        <v>0</v>
      </c>
      <c r="L178">
        <v>0</v>
      </c>
      <c r="M178">
        <v>0</v>
      </c>
      <c r="N178">
        <v>39213</v>
      </c>
      <c r="O178">
        <v>95932</v>
      </c>
      <c r="P178">
        <v>27517</v>
      </c>
      <c r="Q178">
        <v>31</v>
      </c>
      <c r="R178">
        <v>21</v>
      </c>
      <c r="S178">
        <v>5</v>
      </c>
      <c r="T178">
        <v>12</v>
      </c>
      <c r="U178">
        <v>17</v>
      </c>
    </row>
    <row r="179" spans="1:21" x14ac:dyDescent="0.35">
      <c r="A179" t="s">
        <v>28</v>
      </c>
      <c r="B179" s="1">
        <v>44373</v>
      </c>
      <c r="C179" t="s">
        <v>29</v>
      </c>
      <c r="D179">
        <v>24.2</v>
      </c>
      <c r="E179">
        <v>5</v>
      </c>
      <c r="F179">
        <v>0</v>
      </c>
      <c r="G179">
        <v>4.8</v>
      </c>
      <c r="H179">
        <v>0</v>
      </c>
      <c r="I179">
        <v>0</v>
      </c>
      <c r="J179">
        <v>0</v>
      </c>
      <c r="K179">
        <v>0</v>
      </c>
      <c r="L179">
        <v>0</v>
      </c>
      <c r="M179">
        <v>0</v>
      </c>
      <c r="N179">
        <v>289323</v>
      </c>
      <c r="O179">
        <v>463639</v>
      </c>
      <c r="P179">
        <v>0</v>
      </c>
      <c r="Q179">
        <v>70</v>
      </c>
      <c r="R179">
        <v>23</v>
      </c>
      <c r="S179">
        <v>0</v>
      </c>
      <c r="T179">
        <v>30</v>
      </c>
      <c r="U179">
        <v>49</v>
      </c>
    </row>
    <row r="180" spans="1:21" x14ac:dyDescent="0.35">
      <c r="A180" t="s">
        <v>28</v>
      </c>
      <c r="B180" s="1">
        <v>44684</v>
      </c>
      <c r="C180" t="s">
        <v>23</v>
      </c>
      <c r="D180">
        <v>71.2</v>
      </c>
      <c r="E180">
        <v>26.4</v>
      </c>
      <c r="F180">
        <v>31.4</v>
      </c>
      <c r="G180">
        <v>2.7</v>
      </c>
      <c r="H180">
        <v>2.2999999999999998</v>
      </c>
      <c r="I180">
        <v>0</v>
      </c>
      <c r="J180">
        <v>0</v>
      </c>
      <c r="K180">
        <v>0</v>
      </c>
      <c r="L180">
        <v>0</v>
      </c>
      <c r="M180">
        <v>0</v>
      </c>
      <c r="N180">
        <v>46352</v>
      </c>
      <c r="O180">
        <v>143917</v>
      </c>
      <c r="P180">
        <v>219986</v>
      </c>
      <c r="Q180">
        <v>33</v>
      </c>
      <c r="R180">
        <v>38</v>
      </c>
      <c r="S180">
        <v>69</v>
      </c>
      <c r="T180">
        <v>50</v>
      </c>
      <c r="U180">
        <v>64</v>
      </c>
    </row>
    <row r="181" spans="1:21" x14ac:dyDescent="0.35">
      <c r="A181" t="s">
        <v>28</v>
      </c>
      <c r="B181" s="1">
        <v>44898</v>
      </c>
      <c r="C181" t="s">
        <v>25</v>
      </c>
      <c r="D181">
        <v>58.7</v>
      </c>
      <c r="E181">
        <v>19.5</v>
      </c>
      <c r="F181">
        <v>56.3</v>
      </c>
      <c r="G181">
        <v>3</v>
      </c>
      <c r="H181">
        <v>1</v>
      </c>
      <c r="I181">
        <v>0</v>
      </c>
      <c r="J181">
        <v>0</v>
      </c>
      <c r="K181">
        <v>0</v>
      </c>
      <c r="L181">
        <v>0</v>
      </c>
      <c r="M181">
        <v>0</v>
      </c>
      <c r="N181">
        <v>100487</v>
      </c>
      <c r="O181">
        <v>221043</v>
      </c>
      <c r="P181">
        <v>142046</v>
      </c>
      <c r="Q181">
        <v>59</v>
      </c>
      <c r="R181">
        <v>43</v>
      </c>
      <c r="S181">
        <v>80</v>
      </c>
      <c r="T181">
        <v>18</v>
      </c>
      <c r="U181">
        <v>29</v>
      </c>
    </row>
    <row r="182" spans="1:21" x14ac:dyDescent="0.35">
      <c r="A182" t="s">
        <v>26</v>
      </c>
      <c r="B182" s="1">
        <v>44237</v>
      </c>
      <c r="C182" t="s">
        <v>29</v>
      </c>
      <c r="D182">
        <v>17.399999999999999</v>
      </c>
      <c r="E182">
        <v>0.6</v>
      </c>
      <c r="F182">
        <v>0</v>
      </c>
      <c r="G182">
        <v>29</v>
      </c>
      <c r="H182">
        <v>0</v>
      </c>
      <c r="I182">
        <v>0</v>
      </c>
      <c r="J182">
        <v>0</v>
      </c>
      <c r="K182">
        <v>0</v>
      </c>
      <c r="L182">
        <v>0</v>
      </c>
      <c r="M182">
        <v>0</v>
      </c>
      <c r="N182">
        <v>218778</v>
      </c>
      <c r="O182">
        <v>533019</v>
      </c>
      <c r="P182">
        <v>0</v>
      </c>
      <c r="Q182">
        <v>38</v>
      </c>
      <c r="R182">
        <v>3</v>
      </c>
      <c r="S182">
        <v>0</v>
      </c>
      <c r="T182">
        <v>30</v>
      </c>
      <c r="U182">
        <v>49</v>
      </c>
    </row>
    <row r="183" spans="1:21" x14ac:dyDescent="0.35">
      <c r="A183" t="s">
        <v>21</v>
      </c>
      <c r="B183" s="1">
        <v>45142</v>
      </c>
      <c r="C183" t="s">
        <v>27</v>
      </c>
      <c r="D183">
        <v>0</v>
      </c>
      <c r="E183">
        <v>0</v>
      </c>
      <c r="F183">
        <v>0</v>
      </c>
      <c r="G183">
        <v>0</v>
      </c>
      <c r="H183">
        <v>0</v>
      </c>
      <c r="I183">
        <v>0</v>
      </c>
      <c r="J183">
        <v>0</v>
      </c>
      <c r="K183">
        <v>0</v>
      </c>
      <c r="L183">
        <v>0</v>
      </c>
      <c r="M183">
        <v>0</v>
      </c>
      <c r="N183">
        <v>32887</v>
      </c>
      <c r="O183">
        <v>86505</v>
      </c>
      <c r="P183">
        <v>44571</v>
      </c>
      <c r="Q183">
        <v>0</v>
      </c>
      <c r="R183">
        <v>0</v>
      </c>
      <c r="S183">
        <v>0</v>
      </c>
      <c r="T183">
        <v>12</v>
      </c>
      <c r="U183">
        <v>17</v>
      </c>
    </row>
    <row r="184" spans="1:21" x14ac:dyDescent="0.35">
      <c r="A184" t="s">
        <v>26</v>
      </c>
      <c r="B184" s="1">
        <v>44765</v>
      </c>
      <c r="C184" t="s">
        <v>30</v>
      </c>
      <c r="D184">
        <v>49.3</v>
      </c>
      <c r="E184">
        <v>117.2</v>
      </c>
      <c r="F184">
        <v>47.6</v>
      </c>
      <c r="G184">
        <v>0.4</v>
      </c>
      <c r="H184">
        <v>1</v>
      </c>
      <c r="I184">
        <v>0</v>
      </c>
      <c r="J184">
        <v>0</v>
      </c>
      <c r="K184">
        <v>0</v>
      </c>
      <c r="L184">
        <v>0</v>
      </c>
      <c r="M184">
        <v>0</v>
      </c>
      <c r="N184">
        <v>26357</v>
      </c>
      <c r="O184">
        <v>11946</v>
      </c>
      <c r="P184">
        <v>46252</v>
      </c>
      <c r="Q184">
        <v>13</v>
      </c>
      <c r="R184">
        <v>14</v>
      </c>
      <c r="S184">
        <v>22</v>
      </c>
      <c r="T184">
        <v>80</v>
      </c>
      <c r="U184">
        <v>200</v>
      </c>
    </row>
    <row r="185" spans="1:21" x14ac:dyDescent="0.35">
      <c r="A185" t="s">
        <v>28</v>
      </c>
      <c r="B185" s="1">
        <v>44975</v>
      </c>
      <c r="C185" t="s">
        <v>29</v>
      </c>
      <c r="D185">
        <v>127.9</v>
      </c>
      <c r="E185">
        <v>62.3</v>
      </c>
      <c r="F185">
        <v>81.8</v>
      </c>
      <c r="G185">
        <v>2.1</v>
      </c>
      <c r="H185">
        <v>1.6</v>
      </c>
      <c r="I185">
        <v>0</v>
      </c>
      <c r="J185">
        <v>0</v>
      </c>
      <c r="K185">
        <v>0</v>
      </c>
      <c r="L185">
        <v>0</v>
      </c>
      <c r="M185">
        <v>0</v>
      </c>
      <c r="N185">
        <v>110993</v>
      </c>
      <c r="O185">
        <v>277757</v>
      </c>
      <c r="P185">
        <v>347252</v>
      </c>
      <c r="Q185">
        <v>142</v>
      </c>
      <c r="R185">
        <v>173</v>
      </c>
      <c r="S185">
        <v>284</v>
      </c>
      <c r="T185">
        <v>30</v>
      </c>
      <c r="U185">
        <v>49</v>
      </c>
    </row>
    <row r="186" spans="1:21" x14ac:dyDescent="0.35">
      <c r="A186" t="s">
        <v>26</v>
      </c>
      <c r="B186" s="1">
        <v>44681</v>
      </c>
      <c r="C186" t="s">
        <v>31</v>
      </c>
      <c r="D186">
        <v>23.1</v>
      </c>
      <c r="E186">
        <v>14.1</v>
      </c>
      <c r="F186">
        <v>8.6</v>
      </c>
      <c r="G186">
        <v>1.6</v>
      </c>
      <c r="H186">
        <v>2.7</v>
      </c>
      <c r="I186">
        <v>0</v>
      </c>
      <c r="J186">
        <v>0</v>
      </c>
      <c r="K186">
        <v>0</v>
      </c>
      <c r="L186">
        <v>0</v>
      </c>
      <c r="M186">
        <v>0</v>
      </c>
      <c r="N186">
        <v>47714</v>
      </c>
      <c r="O186">
        <v>49691</v>
      </c>
      <c r="P186">
        <v>162052</v>
      </c>
      <c r="Q186">
        <v>11</v>
      </c>
      <c r="R186">
        <v>7</v>
      </c>
      <c r="S186">
        <v>14</v>
      </c>
      <c r="T186">
        <v>65</v>
      </c>
      <c r="U186">
        <v>79</v>
      </c>
    </row>
    <row r="187" spans="1:21" x14ac:dyDescent="0.35">
      <c r="A187" t="s">
        <v>26</v>
      </c>
      <c r="B187" s="1">
        <v>44681</v>
      </c>
      <c r="C187" t="s">
        <v>25</v>
      </c>
      <c r="D187">
        <v>3.1</v>
      </c>
      <c r="E187">
        <v>2.2999999999999998</v>
      </c>
      <c r="F187">
        <v>2</v>
      </c>
      <c r="G187">
        <v>1.3</v>
      </c>
      <c r="H187">
        <v>1.6</v>
      </c>
      <c r="I187">
        <v>0</v>
      </c>
      <c r="J187">
        <v>0</v>
      </c>
      <c r="K187">
        <v>0</v>
      </c>
      <c r="L187">
        <v>0</v>
      </c>
      <c r="M187">
        <v>0</v>
      </c>
      <c r="N187">
        <v>96979</v>
      </c>
      <c r="O187">
        <v>218010</v>
      </c>
      <c r="P187">
        <v>150062</v>
      </c>
      <c r="Q187">
        <v>3</v>
      </c>
      <c r="R187">
        <v>5</v>
      </c>
      <c r="S187">
        <v>3</v>
      </c>
      <c r="T187">
        <v>18</v>
      </c>
      <c r="U187">
        <v>29</v>
      </c>
    </row>
    <row r="188" spans="1:21" x14ac:dyDescent="0.35">
      <c r="A188" t="s">
        <v>21</v>
      </c>
      <c r="B188" s="1">
        <v>45164</v>
      </c>
      <c r="C188" t="s">
        <v>27</v>
      </c>
      <c r="D188">
        <v>0</v>
      </c>
      <c r="E188">
        <v>0</v>
      </c>
      <c r="F188">
        <v>0</v>
      </c>
      <c r="G188">
        <v>0</v>
      </c>
      <c r="H188">
        <v>0</v>
      </c>
      <c r="I188">
        <v>0</v>
      </c>
      <c r="J188">
        <v>0</v>
      </c>
      <c r="K188">
        <v>0</v>
      </c>
      <c r="L188">
        <v>0</v>
      </c>
      <c r="M188">
        <v>0</v>
      </c>
      <c r="N188">
        <v>31822</v>
      </c>
      <c r="O188">
        <v>86575</v>
      </c>
      <c r="P188">
        <v>44594</v>
      </c>
      <c r="Q188">
        <v>0</v>
      </c>
      <c r="R188">
        <v>0</v>
      </c>
      <c r="S188">
        <v>0</v>
      </c>
      <c r="T188">
        <v>12</v>
      </c>
      <c r="U188">
        <v>17</v>
      </c>
    </row>
    <row r="189" spans="1:21" x14ac:dyDescent="0.35">
      <c r="A189" t="s">
        <v>26</v>
      </c>
      <c r="B189" s="1">
        <v>44429</v>
      </c>
      <c r="C189" t="s">
        <v>27</v>
      </c>
      <c r="D189">
        <v>4.9000000000000004</v>
      </c>
      <c r="E189">
        <v>0</v>
      </c>
      <c r="F189">
        <v>0</v>
      </c>
      <c r="G189">
        <v>0</v>
      </c>
      <c r="H189">
        <v>0</v>
      </c>
      <c r="I189">
        <v>0</v>
      </c>
      <c r="J189">
        <v>0</v>
      </c>
      <c r="K189">
        <v>0</v>
      </c>
      <c r="L189">
        <v>0</v>
      </c>
      <c r="M189">
        <v>0</v>
      </c>
      <c r="N189">
        <v>81744</v>
      </c>
      <c r="O189">
        <v>72763</v>
      </c>
      <c r="P189">
        <v>0</v>
      </c>
      <c r="Q189">
        <v>4</v>
      </c>
      <c r="R189">
        <v>0</v>
      </c>
      <c r="S189">
        <v>0</v>
      </c>
      <c r="T189">
        <v>12</v>
      </c>
      <c r="U189">
        <v>17</v>
      </c>
    </row>
    <row r="190" spans="1:21" x14ac:dyDescent="0.35">
      <c r="A190" t="s">
        <v>26</v>
      </c>
      <c r="B190" s="1">
        <v>44599</v>
      </c>
      <c r="C190" t="s">
        <v>25</v>
      </c>
      <c r="D190">
        <v>5.3</v>
      </c>
      <c r="E190">
        <v>4.2</v>
      </c>
      <c r="F190">
        <v>1.3</v>
      </c>
      <c r="G190">
        <v>1.3</v>
      </c>
      <c r="H190">
        <v>4.0999999999999996</v>
      </c>
      <c r="I190">
        <v>0</v>
      </c>
      <c r="J190">
        <v>0</v>
      </c>
      <c r="K190">
        <v>0</v>
      </c>
      <c r="L190">
        <v>0</v>
      </c>
      <c r="M190">
        <v>0</v>
      </c>
      <c r="N190">
        <v>93769</v>
      </c>
      <c r="O190">
        <v>214617</v>
      </c>
      <c r="P190">
        <v>155854</v>
      </c>
      <c r="Q190">
        <v>5</v>
      </c>
      <c r="R190">
        <v>9</v>
      </c>
      <c r="S190">
        <v>2</v>
      </c>
      <c r="T190">
        <v>18</v>
      </c>
      <c r="U190">
        <v>29</v>
      </c>
    </row>
    <row r="191" spans="1:21" x14ac:dyDescent="0.35">
      <c r="A191" t="s">
        <v>26</v>
      </c>
      <c r="B191" s="1">
        <v>44394</v>
      </c>
      <c r="C191" t="s">
        <v>30</v>
      </c>
      <c r="D191">
        <v>12.1</v>
      </c>
      <c r="E191">
        <v>0</v>
      </c>
      <c r="F191">
        <v>0</v>
      </c>
      <c r="G191">
        <v>0</v>
      </c>
      <c r="H191">
        <v>0</v>
      </c>
      <c r="I191">
        <v>0</v>
      </c>
      <c r="J191">
        <v>0</v>
      </c>
      <c r="K191">
        <v>0</v>
      </c>
      <c r="L191">
        <v>0</v>
      </c>
      <c r="M191">
        <v>0</v>
      </c>
      <c r="N191">
        <v>33027</v>
      </c>
      <c r="O191">
        <v>51912</v>
      </c>
      <c r="P191">
        <v>0</v>
      </c>
      <c r="Q191">
        <v>4</v>
      </c>
      <c r="R191">
        <v>0</v>
      </c>
      <c r="S191">
        <v>0</v>
      </c>
      <c r="T191">
        <v>80</v>
      </c>
      <c r="U191">
        <v>200</v>
      </c>
    </row>
    <row r="192" spans="1:21" x14ac:dyDescent="0.35">
      <c r="A192" t="s">
        <v>28</v>
      </c>
      <c r="B192" s="1">
        <v>44843</v>
      </c>
      <c r="C192" t="s">
        <v>22</v>
      </c>
      <c r="D192">
        <v>167.8</v>
      </c>
      <c r="E192">
        <v>88.8</v>
      </c>
      <c r="F192">
        <v>134.1</v>
      </c>
      <c r="G192">
        <v>1.9</v>
      </c>
      <c r="H192">
        <v>1.3</v>
      </c>
      <c r="I192">
        <v>202.3</v>
      </c>
      <c r="J192">
        <v>88.2</v>
      </c>
      <c r="K192">
        <v>121.5</v>
      </c>
      <c r="L192">
        <v>2.2999999999999998</v>
      </c>
      <c r="M192">
        <v>1.7</v>
      </c>
      <c r="N192">
        <v>602393</v>
      </c>
      <c r="O192">
        <v>841160</v>
      </c>
      <c r="P192">
        <v>1033881</v>
      </c>
      <c r="Q192">
        <v>1011</v>
      </c>
      <c r="R192">
        <v>747</v>
      </c>
      <c r="S192">
        <v>1386</v>
      </c>
      <c r="T192">
        <v>999</v>
      </c>
      <c r="U192">
        <v>999</v>
      </c>
    </row>
    <row r="193" spans="1:21" x14ac:dyDescent="0.35">
      <c r="A193" t="s">
        <v>28</v>
      </c>
      <c r="B193" s="1">
        <v>44871</v>
      </c>
      <c r="C193" t="s">
        <v>25</v>
      </c>
      <c r="D193">
        <v>329.7</v>
      </c>
      <c r="E193">
        <v>139.6</v>
      </c>
      <c r="F193">
        <v>302.8</v>
      </c>
      <c r="G193">
        <v>2.4</v>
      </c>
      <c r="H193">
        <v>1.1000000000000001</v>
      </c>
      <c r="I193">
        <v>0</v>
      </c>
      <c r="J193">
        <v>0</v>
      </c>
      <c r="K193">
        <v>0</v>
      </c>
      <c r="L193">
        <v>0</v>
      </c>
      <c r="M193">
        <v>0</v>
      </c>
      <c r="N193">
        <v>94634</v>
      </c>
      <c r="O193">
        <v>215581</v>
      </c>
      <c r="P193">
        <v>154206</v>
      </c>
      <c r="Q193">
        <v>312</v>
      </c>
      <c r="R193">
        <v>301</v>
      </c>
      <c r="S193">
        <v>467</v>
      </c>
      <c r="T193">
        <v>18</v>
      </c>
      <c r="U193">
        <v>29</v>
      </c>
    </row>
    <row r="194" spans="1:21" x14ac:dyDescent="0.35">
      <c r="A194" t="s">
        <v>21</v>
      </c>
      <c r="B194" s="1">
        <v>44527</v>
      </c>
      <c r="C194" t="s">
        <v>31</v>
      </c>
      <c r="D194">
        <v>17.899999999999999</v>
      </c>
      <c r="E194">
        <v>3.3</v>
      </c>
      <c r="F194">
        <v>0</v>
      </c>
      <c r="G194">
        <v>5.4</v>
      </c>
      <c r="H194">
        <v>0</v>
      </c>
      <c r="I194">
        <v>0</v>
      </c>
      <c r="J194">
        <v>0</v>
      </c>
      <c r="K194">
        <v>0</v>
      </c>
      <c r="L194">
        <v>0</v>
      </c>
      <c r="M194">
        <v>0</v>
      </c>
      <c r="N194">
        <v>55747</v>
      </c>
      <c r="O194">
        <v>122640</v>
      </c>
      <c r="P194">
        <v>81384</v>
      </c>
      <c r="Q194">
        <v>10</v>
      </c>
      <c r="R194">
        <v>4</v>
      </c>
      <c r="S194">
        <v>0</v>
      </c>
      <c r="T194">
        <v>65</v>
      </c>
      <c r="U194">
        <v>79</v>
      </c>
    </row>
    <row r="195" spans="1:21" x14ac:dyDescent="0.35">
      <c r="A195" t="s">
        <v>28</v>
      </c>
      <c r="B195" s="1">
        <v>44667</v>
      </c>
      <c r="C195" t="s">
        <v>24</v>
      </c>
      <c r="D195">
        <v>45.8</v>
      </c>
      <c r="E195">
        <v>124.4</v>
      </c>
      <c r="F195">
        <v>0</v>
      </c>
      <c r="G195">
        <v>0.4</v>
      </c>
      <c r="H195">
        <v>0</v>
      </c>
      <c r="I195">
        <v>0</v>
      </c>
      <c r="J195">
        <v>0</v>
      </c>
      <c r="K195">
        <v>0</v>
      </c>
      <c r="L195">
        <v>0</v>
      </c>
      <c r="M195">
        <v>0</v>
      </c>
      <c r="N195">
        <v>102695</v>
      </c>
      <c r="O195">
        <v>92456</v>
      </c>
      <c r="P195">
        <v>0</v>
      </c>
      <c r="Q195">
        <v>47</v>
      </c>
      <c r="R195">
        <v>115</v>
      </c>
      <c r="S195">
        <v>0</v>
      </c>
      <c r="T195">
        <v>5</v>
      </c>
      <c r="U195">
        <v>11</v>
      </c>
    </row>
    <row r="196" spans="1:21" x14ac:dyDescent="0.35">
      <c r="A196" t="s">
        <v>21</v>
      </c>
      <c r="B196" s="1">
        <v>44919</v>
      </c>
      <c r="C196" t="s">
        <v>23</v>
      </c>
      <c r="D196">
        <v>2.9</v>
      </c>
      <c r="E196">
        <v>0</v>
      </c>
      <c r="F196">
        <v>0</v>
      </c>
      <c r="G196">
        <v>0</v>
      </c>
      <c r="H196">
        <v>0</v>
      </c>
      <c r="I196">
        <v>0</v>
      </c>
      <c r="J196">
        <v>0</v>
      </c>
      <c r="K196">
        <v>0</v>
      </c>
      <c r="L196">
        <v>0</v>
      </c>
      <c r="M196">
        <v>0</v>
      </c>
      <c r="N196">
        <v>35058</v>
      </c>
      <c r="O196">
        <v>125409</v>
      </c>
      <c r="P196">
        <v>246789</v>
      </c>
      <c r="Q196">
        <v>1</v>
      </c>
      <c r="R196">
        <v>0</v>
      </c>
      <c r="S196">
        <v>0</v>
      </c>
      <c r="T196">
        <v>50</v>
      </c>
      <c r="U196">
        <v>64</v>
      </c>
    </row>
    <row r="197" spans="1:21" x14ac:dyDescent="0.35">
      <c r="A197" t="s">
        <v>28</v>
      </c>
      <c r="B197" s="1">
        <v>44583</v>
      </c>
      <c r="C197" t="s">
        <v>29</v>
      </c>
      <c r="D197">
        <v>690.6</v>
      </c>
      <c r="E197">
        <v>420.1</v>
      </c>
      <c r="F197">
        <v>451.1</v>
      </c>
      <c r="G197">
        <v>1.6</v>
      </c>
      <c r="H197">
        <v>1.5</v>
      </c>
      <c r="I197">
        <v>0</v>
      </c>
      <c r="J197">
        <v>0</v>
      </c>
      <c r="K197">
        <v>0</v>
      </c>
      <c r="L197">
        <v>0</v>
      </c>
      <c r="M197">
        <v>0</v>
      </c>
      <c r="N197">
        <v>149571</v>
      </c>
      <c r="O197">
        <v>332274</v>
      </c>
      <c r="P197">
        <v>256937</v>
      </c>
      <c r="Q197">
        <v>1033</v>
      </c>
      <c r="R197">
        <v>1396</v>
      </c>
      <c r="S197">
        <v>1159</v>
      </c>
      <c r="T197">
        <v>30</v>
      </c>
      <c r="U197">
        <v>49</v>
      </c>
    </row>
    <row r="198" spans="1:21" x14ac:dyDescent="0.35">
      <c r="A198" t="s">
        <v>28</v>
      </c>
      <c r="B198" s="1">
        <v>44737</v>
      </c>
      <c r="C198" t="s">
        <v>23</v>
      </c>
      <c r="D198">
        <v>432.4</v>
      </c>
      <c r="E198">
        <v>159.9</v>
      </c>
      <c r="F198">
        <v>237.1</v>
      </c>
      <c r="G198">
        <v>2.7</v>
      </c>
      <c r="H198">
        <v>1.8</v>
      </c>
      <c r="I198">
        <v>0</v>
      </c>
      <c r="J198">
        <v>0</v>
      </c>
      <c r="K198">
        <v>0</v>
      </c>
      <c r="L198">
        <v>0</v>
      </c>
      <c r="M198">
        <v>0</v>
      </c>
      <c r="N198">
        <v>42094</v>
      </c>
      <c r="O198">
        <v>130098</v>
      </c>
      <c r="P198">
        <v>239606</v>
      </c>
      <c r="Q198">
        <v>182</v>
      </c>
      <c r="R198">
        <v>208</v>
      </c>
      <c r="S198">
        <v>568</v>
      </c>
      <c r="T198">
        <v>50</v>
      </c>
      <c r="U198">
        <v>64</v>
      </c>
    </row>
    <row r="199" spans="1:21" x14ac:dyDescent="0.35">
      <c r="A199" t="s">
        <v>26</v>
      </c>
      <c r="B199" s="1">
        <v>45066</v>
      </c>
      <c r="C199" t="s">
        <v>32</v>
      </c>
      <c r="D199">
        <v>1.2</v>
      </c>
      <c r="E199">
        <v>0</v>
      </c>
      <c r="F199">
        <v>0</v>
      </c>
      <c r="G199">
        <v>0</v>
      </c>
      <c r="H199">
        <v>0</v>
      </c>
      <c r="I199">
        <v>0</v>
      </c>
      <c r="J199">
        <v>0</v>
      </c>
      <c r="K199">
        <v>0</v>
      </c>
      <c r="L199">
        <v>0</v>
      </c>
      <c r="M199">
        <v>0</v>
      </c>
      <c r="N199">
        <v>162642</v>
      </c>
      <c r="O199">
        <v>0</v>
      </c>
      <c r="P199">
        <v>0</v>
      </c>
      <c r="Q199">
        <v>2</v>
      </c>
      <c r="R199">
        <v>0</v>
      </c>
      <c r="S199">
        <v>0</v>
      </c>
      <c r="T199">
        <v>0</v>
      </c>
      <c r="U199">
        <v>4</v>
      </c>
    </row>
    <row r="200" spans="1:21" x14ac:dyDescent="0.35">
      <c r="A200" t="s">
        <v>26</v>
      </c>
      <c r="B200" s="1">
        <v>44667</v>
      </c>
      <c r="C200" t="s">
        <v>25</v>
      </c>
      <c r="D200">
        <v>6.1</v>
      </c>
      <c r="E200">
        <v>2.2999999999999998</v>
      </c>
      <c r="F200">
        <v>0</v>
      </c>
      <c r="G200">
        <v>2.7</v>
      </c>
      <c r="H200">
        <v>0</v>
      </c>
      <c r="I200">
        <v>0</v>
      </c>
      <c r="J200">
        <v>0</v>
      </c>
      <c r="K200">
        <v>0</v>
      </c>
      <c r="L200">
        <v>0</v>
      </c>
      <c r="M200">
        <v>0</v>
      </c>
      <c r="N200">
        <v>97780</v>
      </c>
      <c r="O200">
        <v>218922</v>
      </c>
      <c r="P200">
        <v>148408</v>
      </c>
      <c r="Q200">
        <v>6</v>
      </c>
      <c r="R200">
        <v>5</v>
      </c>
      <c r="S200">
        <v>0</v>
      </c>
      <c r="T200">
        <v>18</v>
      </c>
      <c r="U200">
        <v>29</v>
      </c>
    </row>
    <row r="201" spans="1:21" x14ac:dyDescent="0.35">
      <c r="A201" t="s">
        <v>28</v>
      </c>
      <c r="B201" s="1">
        <v>44657</v>
      </c>
      <c r="C201" t="s">
        <v>25</v>
      </c>
      <c r="D201">
        <v>390.5</v>
      </c>
      <c r="E201">
        <v>144</v>
      </c>
      <c r="F201">
        <v>341.8</v>
      </c>
      <c r="G201">
        <v>2.7</v>
      </c>
      <c r="H201">
        <v>1.1000000000000001</v>
      </c>
      <c r="I201">
        <v>0</v>
      </c>
      <c r="J201">
        <v>0</v>
      </c>
      <c r="K201">
        <v>0</v>
      </c>
      <c r="L201">
        <v>0</v>
      </c>
      <c r="M201">
        <v>0</v>
      </c>
      <c r="N201">
        <v>94995</v>
      </c>
      <c r="O201">
        <v>215928</v>
      </c>
      <c r="P201">
        <v>153584</v>
      </c>
      <c r="Q201">
        <v>371</v>
      </c>
      <c r="R201">
        <v>311</v>
      </c>
      <c r="S201">
        <v>525</v>
      </c>
      <c r="T201">
        <v>18</v>
      </c>
      <c r="U201">
        <v>29</v>
      </c>
    </row>
    <row r="202" spans="1:21" x14ac:dyDescent="0.35">
      <c r="A202" t="s">
        <v>28</v>
      </c>
      <c r="B202" s="1">
        <v>44720</v>
      </c>
      <c r="C202" t="s">
        <v>24</v>
      </c>
      <c r="D202">
        <v>111.1</v>
      </c>
      <c r="E202">
        <v>117.2</v>
      </c>
      <c r="F202">
        <v>118.2</v>
      </c>
      <c r="G202">
        <v>0.9</v>
      </c>
      <c r="H202">
        <v>0.9</v>
      </c>
      <c r="I202">
        <v>0</v>
      </c>
      <c r="J202">
        <v>0</v>
      </c>
      <c r="K202">
        <v>0</v>
      </c>
      <c r="L202">
        <v>0</v>
      </c>
      <c r="M202">
        <v>0</v>
      </c>
      <c r="N202">
        <v>97222</v>
      </c>
      <c r="O202">
        <v>86190</v>
      </c>
      <c r="P202">
        <v>11845</v>
      </c>
      <c r="Q202">
        <v>108</v>
      </c>
      <c r="R202">
        <v>101</v>
      </c>
      <c r="S202">
        <v>14</v>
      </c>
      <c r="T202">
        <v>5</v>
      </c>
      <c r="U202">
        <v>11</v>
      </c>
    </row>
    <row r="203" spans="1:21" x14ac:dyDescent="0.35">
      <c r="A203" t="s">
        <v>28</v>
      </c>
      <c r="B203" s="1">
        <v>44774</v>
      </c>
      <c r="C203" t="s">
        <v>23</v>
      </c>
      <c r="D203">
        <v>3690.9</v>
      </c>
      <c r="E203">
        <v>1569.6</v>
      </c>
      <c r="F203">
        <v>1102.3</v>
      </c>
      <c r="G203">
        <v>2.4</v>
      </c>
      <c r="H203">
        <v>3.3</v>
      </c>
      <c r="I203">
        <v>0</v>
      </c>
      <c r="J203">
        <v>0</v>
      </c>
      <c r="K203">
        <v>0</v>
      </c>
      <c r="L203">
        <v>0</v>
      </c>
      <c r="M203">
        <v>0</v>
      </c>
      <c r="N203">
        <v>54811</v>
      </c>
      <c r="O203">
        <v>194317</v>
      </c>
      <c r="P203">
        <v>160841</v>
      </c>
      <c r="Q203">
        <v>2023</v>
      </c>
      <c r="R203">
        <v>3050</v>
      </c>
      <c r="S203">
        <v>1773</v>
      </c>
      <c r="T203">
        <v>50</v>
      </c>
      <c r="U203">
        <v>64</v>
      </c>
    </row>
    <row r="204" spans="1:21" x14ac:dyDescent="0.35">
      <c r="A204" t="s">
        <v>21</v>
      </c>
      <c r="B204" s="1">
        <v>44464</v>
      </c>
      <c r="C204" t="s">
        <v>29</v>
      </c>
      <c r="D204">
        <v>4</v>
      </c>
      <c r="E204">
        <v>0.2</v>
      </c>
      <c r="F204">
        <v>0</v>
      </c>
      <c r="G204">
        <v>20</v>
      </c>
      <c r="H204">
        <v>0</v>
      </c>
      <c r="I204">
        <v>0</v>
      </c>
      <c r="J204">
        <v>0</v>
      </c>
      <c r="K204">
        <v>0</v>
      </c>
      <c r="L204">
        <v>0</v>
      </c>
      <c r="M204">
        <v>0</v>
      </c>
      <c r="N204">
        <v>223214</v>
      </c>
      <c r="O204">
        <v>528608</v>
      </c>
      <c r="P204">
        <v>0</v>
      </c>
      <c r="Q204">
        <v>9</v>
      </c>
      <c r="R204">
        <v>1</v>
      </c>
      <c r="S204">
        <v>0</v>
      </c>
      <c r="T204">
        <v>30</v>
      </c>
      <c r="U204">
        <v>49</v>
      </c>
    </row>
    <row r="205" spans="1:21" x14ac:dyDescent="0.35">
      <c r="A205" t="s">
        <v>28</v>
      </c>
      <c r="B205" s="1">
        <v>44632</v>
      </c>
      <c r="C205" t="s">
        <v>32</v>
      </c>
      <c r="D205">
        <v>129.1</v>
      </c>
      <c r="E205">
        <v>3.7</v>
      </c>
      <c r="F205">
        <v>0</v>
      </c>
      <c r="G205">
        <v>34.9</v>
      </c>
      <c r="H205">
        <v>0</v>
      </c>
      <c r="I205">
        <v>0</v>
      </c>
      <c r="J205">
        <v>0</v>
      </c>
      <c r="K205">
        <v>0</v>
      </c>
      <c r="L205">
        <v>0</v>
      </c>
      <c r="M205">
        <v>0</v>
      </c>
      <c r="N205">
        <v>162642</v>
      </c>
      <c r="O205">
        <v>0</v>
      </c>
      <c r="P205">
        <v>0</v>
      </c>
      <c r="Q205">
        <v>210</v>
      </c>
      <c r="R205">
        <v>6</v>
      </c>
      <c r="S205">
        <v>0</v>
      </c>
      <c r="T205">
        <v>0</v>
      </c>
      <c r="U205">
        <v>4</v>
      </c>
    </row>
    <row r="206" spans="1:21" x14ac:dyDescent="0.35">
      <c r="A206" t="s">
        <v>26</v>
      </c>
      <c r="B206" s="1">
        <v>44509</v>
      </c>
      <c r="C206" t="s">
        <v>31</v>
      </c>
      <c r="D206">
        <v>35.6</v>
      </c>
      <c r="E206">
        <v>9.3000000000000007</v>
      </c>
      <c r="F206">
        <v>0</v>
      </c>
      <c r="G206">
        <v>3.8</v>
      </c>
      <c r="H206">
        <v>0</v>
      </c>
      <c r="I206">
        <v>0</v>
      </c>
      <c r="J206">
        <v>0</v>
      </c>
      <c r="K206">
        <v>0</v>
      </c>
      <c r="L206">
        <v>0</v>
      </c>
      <c r="M206">
        <v>0</v>
      </c>
      <c r="N206">
        <v>64570</v>
      </c>
      <c r="O206">
        <v>194208</v>
      </c>
      <c r="P206">
        <v>0</v>
      </c>
      <c r="Q206">
        <v>23</v>
      </c>
      <c r="R206">
        <v>18</v>
      </c>
      <c r="S206">
        <v>0</v>
      </c>
      <c r="T206">
        <v>65</v>
      </c>
      <c r="U206">
        <v>79</v>
      </c>
    </row>
    <row r="207" spans="1:21" x14ac:dyDescent="0.35">
      <c r="A207" t="s">
        <v>26</v>
      </c>
      <c r="B207" s="1">
        <v>44536</v>
      </c>
      <c r="C207" t="s">
        <v>29</v>
      </c>
      <c r="D207">
        <v>8.6999999999999993</v>
      </c>
      <c r="E207">
        <v>0</v>
      </c>
      <c r="F207">
        <v>0</v>
      </c>
      <c r="G207">
        <v>0</v>
      </c>
      <c r="H207">
        <v>0</v>
      </c>
      <c r="I207">
        <v>0</v>
      </c>
      <c r="J207">
        <v>0</v>
      </c>
      <c r="K207">
        <v>0</v>
      </c>
      <c r="L207">
        <v>0</v>
      </c>
      <c r="M207">
        <v>0</v>
      </c>
      <c r="N207">
        <v>300339</v>
      </c>
      <c r="O207">
        <v>438852</v>
      </c>
      <c r="P207">
        <v>0</v>
      </c>
      <c r="Q207">
        <v>26</v>
      </c>
      <c r="R207">
        <v>0</v>
      </c>
      <c r="S207">
        <v>0</v>
      </c>
      <c r="T207">
        <v>30</v>
      </c>
      <c r="U207">
        <v>49</v>
      </c>
    </row>
    <row r="208" spans="1:21" x14ac:dyDescent="0.35">
      <c r="A208" t="s">
        <v>26</v>
      </c>
      <c r="B208" s="1">
        <v>44684</v>
      </c>
      <c r="C208" t="s">
        <v>30</v>
      </c>
      <c r="D208">
        <v>18.399999999999999</v>
      </c>
      <c r="E208">
        <v>20.6</v>
      </c>
      <c r="F208">
        <v>11.8</v>
      </c>
      <c r="G208">
        <v>0.9</v>
      </c>
      <c r="H208">
        <v>1.6</v>
      </c>
      <c r="I208">
        <v>0</v>
      </c>
      <c r="J208">
        <v>0</v>
      </c>
      <c r="K208">
        <v>0</v>
      </c>
      <c r="L208">
        <v>0</v>
      </c>
      <c r="M208">
        <v>0</v>
      </c>
      <c r="N208">
        <v>27168</v>
      </c>
      <c r="O208">
        <v>14574</v>
      </c>
      <c r="P208">
        <v>42437</v>
      </c>
      <c r="Q208">
        <v>5</v>
      </c>
      <c r="R208">
        <v>3</v>
      </c>
      <c r="S208">
        <v>5</v>
      </c>
      <c r="T208">
        <v>80</v>
      </c>
      <c r="U208">
        <v>200</v>
      </c>
    </row>
    <row r="209" spans="1:21" x14ac:dyDescent="0.35">
      <c r="A209" t="s">
        <v>21</v>
      </c>
      <c r="B209" s="1">
        <v>45031</v>
      </c>
      <c r="C209" t="s">
        <v>22</v>
      </c>
      <c r="D209">
        <v>0</v>
      </c>
      <c r="E209">
        <v>0</v>
      </c>
      <c r="F209">
        <v>0.3</v>
      </c>
      <c r="G209">
        <v>0</v>
      </c>
      <c r="H209">
        <v>0</v>
      </c>
      <c r="I209">
        <v>0</v>
      </c>
      <c r="J209">
        <v>0</v>
      </c>
      <c r="K209">
        <v>0.2</v>
      </c>
      <c r="L209">
        <v>0</v>
      </c>
      <c r="M209">
        <v>0</v>
      </c>
      <c r="N209">
        <v>539653</v>
      </c>
      <c r="O209">
        <v>859628</v>
      </c>
      <c r="P209">
        <v>1040581</v>
      </c>
      <c r="Q209">
        <v>0</v>
      </c>
      <c r="R209">
        <v>0</v>
      </c>
      <c r="S209">
        <v>3</v>
      </c>
      <c r="T209">
        <v>999</v>
      </c>
      <c r="U209">
        <v>999</v>
      </c>
    </row>
    <row r="210" spans="1:21" x14ac:dyDescent="0.35">
      <c r="A210" t="s">
        <v>21</v>
      </c>
      <c r="B210" s="1">
        <v>44821</v>
      </c>
      <c r="C210" t="s">
        <v>32</v>
      </c>
      <c r="D210">
        <v>0</v>
      </c>
      <c r="E210">
        <v>0</v>
      </c>
      <c r="F210">
        <v>0</v>
      </c>
      <c r="G210">
        <v>0</v>
      </c>
      <c r="H210">
        <v>0</v>
      </c>
      <c r="I210">
        <v>0</v>
      </c>
      <c r="J210">
        <v>0</v>
      </c>
      <c r="K210">
        <v>0</v>
      </c>
      <c r="L210">
        <v>0</v>
      </c>
      <c r="M210">
        <v>0</v>
      </c>
      <c r="N210">
        <v>162642</v>
      </c>
      <c r="O210">
        <v>0</v>
      </c>
      <c r="P210">
        <v>0</v>
      </c>
      <c r="Q210">
        <v>0</v>
      </c>
      <c r="R210">
        <v>0</v>
      </c>
      <c r="S210">
        <v>0</v>
      </c>
      <c r="T210">
        <v>0</v>
      </c>
      <c r="U210">
        <v>4</v>
      </c>
    </row>
    <row r="211" spans="1:21" x14ac:dyDescent="0.35">
      <c r="A211" t="s">
        <v>21</v>
      </c>
      <c r="B211" s="1">
        <v>44422</v>
      </c>
      <c r="C211" t="s">
        <v>25</v>
      </c>
      <c r="D211">
        <v>0</v>
      </c>
      <c r="E211">
        <v>0</v>
      </c>
      <c r="F211">
        <v>0</v>
      </c>
      <c r="G211">
        <v>0</v>
      </c>
      <c r="H211">
        <v>0</v>
      </c>
      <c r="I211">
        <v>0</v>
      </c>
      <c r="J211">
        <v>0</v>
      </c>
      <c r="K211">
        <v>0</v>
      </c>
      <c r="L211">
        <v>0</v>
      </c>
      <c r="M211">
        <v>0</v>
      </c>
      <c r="N211">
        <v>201742</v>
      </c>
      <c r="O211">
        <v>285632</v>
      </c>
      <c r="P211">
        <v>0</v>
      </c>
      <c r="Q211">
        <v>0</v>
      </c>
      <c r="R211">
        <v>0</v>
      </c>
      <c r="S211">
        <v>0</v>
      </c>
      <c r="T211">
        <v>18</v>
      </c>
      <c r="U211">
        <v>29</v>
      </c>
    </row>
    <row r="212" spans="1:21" x14ac:dyDescent="0.35">
      <c r="A212" t="s">
        <v>26</v>
      </c>
      <c r="B212" s="1">
        <v>45232</v>
      </c>
      <c r="C212" t="s">
        <v>27</v>
      </c>
      <c r="D212">
        <v>0</v>
      </c>
      <c r="E212">
        <v>0</v>
      </c>
      <c r="F212">
        <v>0</v>
      </c>
      <c r="G212">
        <v>0</v>
      </c>
      <c r="H212">
        <v>0</v>
      </c>
      <c r="I212">
        <v>0</v>
      </c>
      <c r="J212">
        <v>0</v>
      </c>
      <c r="K212">
        <v>0</v>
      </c>
      <c r="L212">
        <v>0</v>
      </c>
      <c r="M212">
        <v>0</v>
      </c>
      <c r="N212">
        <v>33305</v>
      </c>
      <c r="O212">
        <v>86332</v>
      </c>
      <c r="P212">
        <v>44556</v>
      </c>
      <c r="Q212">
        <v>0</v>
      </c>
      <c r="R212">
        <v>0</v>
      </c>
      <c r="S212">
        <v>0</v>
      </c>
      <c r="T212">
        <v>12</v>
      </c>
      <c r="U212">
        <v>17</v>
      </c>
    </row>
    <row r="213" spans="1:21" x14ac:dyDescent="0.35">
      <c r="A213" t="s">
        <v>21</v>
      </c>
      <c r="B213" s="1">
        <v>44331</v>
      </c>
      <c r="C213" t="s">
        <v>27</v>
      </c>
      <c r="D213">
        <v>0.7</v>
      </c>
      <c r="E213">
        <v>0</v>
      </c>
      <c r="F213">
        <v>0</v>
      </c>
      <c r="G213">
        <v>0</v>
      </c>
      <c r="H213">
        <v>0</v>
      </c>
      <c r="I213">
        <v>0</v>
      </c>
      <c r="J213">
        <v>0</v>
      </c>
      <c r="K213">
        <v>0</v>
      </c>
      <c r="L213">
        <v>0</v>
      </c>
      <c r="M213">
        <v>0</v>
      </c>
      <c r="N213">
        <v>152721</v>
      </c>
      <c r="O213">
        <v>0</v>
      </c>
      <c r="P213">
        <v>0</v>
      </c>
      <c r="Q213">
        <v>1</v>
      </c>
      <c r="R213">
        <v>0</v>
      </c>
      <c r="S213">
        <v>0</v>
      </c>
      <c r="T213">
        <v>12</v>
      </c>
      <c r="U213">
        <v>17</v>
      </c>
    </row>
    <row r="214" spans="1:21" x14ac:dyDescent="0.35">
      <c r="A214" t="s">
        <v>26</v>
      </c>
      <c r="B214" s="1">
        <v>44512</v>
      </c>
      <c r="C214" t="s">
        <v>32</v>
      </c>
      <c r="D214">
        <v>3.1</v>
      </c>
      <c r="E214">
        <v>0</v>
      </c>
      <c r="F214">
        <v>0</v>
      </c>
      <c r="G214">
        <v>0</v>
      </c>
      <c r="H214">
        <v>0</v>
      </c>
      <c r="I214">
        <v>0</v>
      </c>
      <c r="J214">
        <v>0</v>
      </c>
      <c r="K214">
        <v>0</v>
      </c>
      <c r="L214">
        <v>0</v>
      </c>
      <c r="M214">
        <v>0</v>
      </c>
      <c r="N214">
        <v>162642</v>
      </c>
      <c r="O214">
        <v>0</v>
      </c>
      <c r="P214">
        <v>0</v>
      </c>
      <c r="Q214">
        <v>5</v>
      </c>
      <c r="R214">
        <v>0</v>
      </c>
      <c r="S214">
        <v>0</v>
      </c>
      <c r="T214">
        <v>0</v>
      </c>
      <c r="U214">
        <v>4</v>
      </c>
    </row>
    <row r="215" spans="1:21" x14ac:dyDescent="0.35">
      <c r="A215" t="s">
        <v>28</v>
      </c>
      <c r="B215" s="1">
        <v>44940</v>
      </c>
      <c r="C215" t="s">
        <v>32</v>
      </c>
      <c r="D215">
        <v>82.4</v>
      </c>
      <c r="E215">
        <v>4.3</v>
      </c>
      <c r="F215">
        <v>0</v>
      </c>
      <c r="G215">
        <v>19.2</v>
      </c>
      <c r="H215">
        <v>0</v>
      </c>
      <c r="I215">
        <v>0</v>
      </c>
      <c r="J215">
        <v>0</v>
      </c>
      <c r="K215">
        <v>0</v>
      </c>
      <c r="L215">
        <v>0</v>
      </c>
      <c r="M215">
        <v>0</v>
      </c>
      <c r="N215">
        <v>162642</v>
      </c>
      <c r="O215">
        <v>0</v>
      </c>
      <c r="P215">
        <v>0</v>
      </c>
      <c r="Q215">
        <v>134</v>
      </c>
      <c r="R215">
        <v>7</v>
      </c>
      <c r="S215">
        <v>0</v>
      </c>
      <c r="T215">
        <v>0</v>
      </c>
      <c r="U215">
        <v>4</v>
      </c>
    </row>
    <row r="216" spans="1:21" x14ac:dyDescent="0.35">
      <c r="A216" t="s">
        <v>26</v>
      </c>
      <c r="B216" s="1">
        <v>45054</v>
      </c>
      <c r="C216" t="s">
        <v>24</v>
      </c>
      <c r="D216">
        <v>0</v>
      </c>
      <c r="E216">
        <v>0</v>
      </c>
      <c r="F216">
        <v>0</v>
      </c>
      <c r="G216">
        <v>0</v>
      </c>
      <c r="H216">
        <v>0</v>
      </c>
      <c r="I216">
        <v>0</v>
      </c>
      <c r="J216">
        <v>0</v>
      </c>
      <c r="K216">
        <v>0</v>
      </c>
      <c r="L216">
        <v>0</v>
      </c>
      <c r="M216">
        <v>0</v>
      </c>
      <c r="N216">
        <v>89877</v>
      </c>
      <c r="O216">
        <v>82672</v>
      </c>
      <c r="P216">
        <v>21260</v>
      </c>
      <c r="Q216">
        <v>0</v>
      </c>
      <c r="R216">
        <v>0</v>
      </c>
      <c r="S216">
        <v>0</v>
      </c>
      <c r="T216">
        <v>5</v>
      </c>
      <c r="U216">
        <v>11</v>
      </c>
    </row>
    <row r="217" spans="1:21" x14ac:dyDescent="0.35">
      <c r="A217" t="s">
        <v>28</v>
      </c>
      <c r="B217" s="1">
        <v>44509</v>
      </c>
      <c r="C217" t="s">
        <v>29</v>
      </c>
      <c r="D217">
        <v>238.1</v>
      </c>
      <c r="E217">
        <v>78.900000000000006</v>
      </c>
      <c r="F217">
        <v>0</v>
      </c>
      <c r="G217">
        <v>3</v>
      </c>
      <c r="H217">
        <v>0</v>
      </c>
      <c r="I217">
        <v>0</v>
      </c>
      <c r="J217">
        <v>0</v>
      </c>
      <c r="K217">
        <v>0</v>
      </c>
      <c r="L217">
        <v>0</v>
      </c>
      <c r="M217">
        <v>0</v>
      </c>
      <c r="N217">
        <v>232678</v>
      </c>
      <c r="O217">
        <v>520775</v>
      </c>
      <c r="P217">
        <v>0</v>
      </c>
      <c r="Q217">
        <v>554</v>
      </c>
      <c r="R217">
        <v>411</v>
      </c>
      <c r="S217">
        <v>0</v>
      </c>
      <c r="T217">
        <v>30</v>
      </c>
      <c r="U217">
        <v>49</v>
      </c>
    </row>
    <row r="218" spans="1:21" x14ac:dyDescent="0.35">
      <c r="A218" t="s">
        <v>28</v>
      </c>
      <c r="B218" s="1">
        <v>44422</v>
      </c>
      <c r="C218" t="s">
        <v>25</v>
      </c>
      <c r="D218">
        <v>282</v>
      </c>
      <c r="E218">
        <v>127.8</v>
      </c>
      <c r="F218">
        <v>0</v>
      </c>
      <c r="G218">
        <v>2.2000000000000002</v>
      </c>
      <c r="H218">
        <v>0</v>
      </c>
      <c r="I218">
        <v>0</v>
      </c>
      <c r="J218">
        <v>0</v>
      </c>
      <c r="K218">
        <v>0</v>
      </c>
      <c r="L218">
        <v>0</v>
      </c>
      <c r="M218">
        <v>0</v>
      </c>
      <c r="N218">
        <v>201742</v>
      </c>
      <c r="O218">
        <v>285632</v>
      </c>
      <c r="P218">
        <v>0</v>
      </c>
      <c r="Q218">
        <v>569</v>
      </c>
      <c r="R218">
        <v>365</v>
      </c>
      <c r="S218">
        <v>0</v>
      </c>
      <c r="T218">
        <v>18</v>
      </c>
      <c r="U218">
        <v>29</v>
      </c>
    </row>
    <row r="219" spans="1:21" x14ac:dyDescent="0.35">
      <c r="A219" t="s">
        <v>28</v>
      </c>
      <c r="B219" s="1">
        <v>44947</v>
      </c>
      <c r="C219" t="s">
        <v>31</v>
      </c>
      <c r="D219">
        <v>153.6</v>
      </c>
      <c r="E219">
        <v>103.7</v>
      </c>
      <c r="F219">
        <v>132.80000000000001</v>
      </c>
      <c r="G219">
        <v>1.5</v>
      </c>
      <c r="H219">
        <v>1.2</v>
      </c>
      <c r="I219">
        <v>0</v>
      </c>
      <c r="J219">
        <v>0</v>
      </c>
      <c r="K219">
        <v>0</v>
      </c>
      <c r="L219">
        <v>0</v>
      </c>
      <c r="M219">
        <v>0</v>
      </c>
      <c r="N219">
        <v>40373</v>
      </c>
      <c r="O219">
        <v>43379</v>
      </c>
      <c r="P219">
        <v>171682</v>
      </c>
      <c r="Q219">
        <v>62</v>
      </c>
      <c r="R219">
        <v>45</v>
      </c>
      <c r="S219">
        <v>228</v>
      </c>
      <c r="T219">
        <v>65</v>
      </c>
      <c r="U219">
        <v>79</v>
      </c>
    </row>
    <row r="220" spans="1:21" x14ac:dyDescent="0.35">
      <c r="A220" t="s">
        <v>26</v>
      </c>
      <c r="B220" s="1">
        <v>44783</v>
      </c>
      <c r="C220" t="s">
        <v>30</v>
      </c>
      <c r="D220">
        <v>38.9</v>
      </c>
      <c r="E220">
        <v>70.3</v>
      </c>
      <c r="F220">
        <v>42.5</v>
      </c>
      <c r="G220">
        <v>0.6</v>
      </c>
      <c r="H220">
        <v>0.9</v>
      </c>
      <c r="I220">
        <v>0</v>
      </c>
      <c r="J220">
        <v>0</v>
      </c>
      <c r="K220">
        <v>0</v>
      </c>
      <c r="L220">
        <v>0</v>
      </c>
      <c r="M220">
        <v>0</v>
      </c>
      <c r="N220">
        <v>25733</v>
      </c>
      <c r="O220">
        <v>11377</v>
      </c>
      <c r="P220">
        <v>47048</v>
      </c>
      <c r="Q220">
        <v>10</v>
      </c>
      <c r="R220">
        <v>8</v>
      </c>
      <c r="S220">
        <v>20</v>
      </c>
      <c r="T220">
        <v>80</v>
      </c>
      <c r="U220">
        <v>200</v>
      </c>
    </row>
    <row r="221" spans="1:21" x14ac:dyDescent="0.35">
      <c r="A221" t="s">
        <v>28</v>
      </c>
      <c r="B221" s="1">
        <v>44684</v>
      </c>
      <c r="C221" t="s">
        <v>30</v>
      </c>
      <c r="D221">
        <v>25.8</v>
      </c>
      <c r="E221">
        <v>41.2</v>
      </c>
      <c r="F221">
        <v>33</v>
      </c>
      <c r="G221">
        <v>0.6</v>
      </c>
      <c r="H221">
        <v>0.8</v>
      </c>
      <c r="I221">
        <v>0</v>
      </c>
      <c r="J221">
        <v>0</v>
      </c>
      <c r="K221">
        <v>0</v>
      </c>
      <c r="L221">
        <v>0</v>
      </c>
      <c r="M221">
        <v>0</v>
      </c>
      <c r="N221">
        <v>27168</v>
      </c>
      <c r="O221">
        <v>14574</v>
      </c>
      <c r="P221">
        <v>42437</v>
      </c>
      <c r="Q221">
        <v>7</v>
      </c>
      <c r="R221">
        <v>6</v>
      </c>
      <c r="S221">
        <v>14</v>
      </c>
      <c r="T221">
        <v>80</v>
      </c>
      <c r="U221">
        <v>200</v>
      </c>
    </row>
    <row r="222" spans="1:21" x14ac:dyDescent="0.35">
      <c r="A222" t="s">
        <v>21</v>
      </c>
      <c r="B222" s="1">
        <v>44629</v>
      </c>
      <c r="C222" t="s">
        <v>24</v>
      </c>
      <c r="D222">
        <v>0</v>
      </c>
      <c r="E222">
        <v>0</v>
      </c>
      <c r="F222">
        <v>0</v>
      </c>
      <c r="G222">
        <v>0</v>
      </c>
      <c r="H222">
        <v>0</v>
      </c>
      <c r="I222">
        <v>0</v>
      </c>
      <c r="J222">
        <v>0</v>
      </c>
      <c r="K222">
        <v>0</v>
      </c>
      <c r="L222">
        <v>0</v>
      </c>
      <c r="M222">
        <v>0</v>
      </c>
      <c r="N222">
        <v>95528</v>
      </c>
      <c r="O222">
        <v>82574</v>
      </c>
      <c r="P222">
        <v>16920</v>
      </c>
      <c r="Q222">
        <v>0</v>
      </c>
      <c r="R222">
        <v>0</v>
      </c>
      <c r="S222">
        <v>0</v>
      </c>
      <c r="T222">
        <v>5</v>
      </c>
      <c r="U222">
        <v>11</v>
      </c>
    </row>
    <row r="223" spans="1:21" x14ac:dyDescent="0.35">
      <c r="A223" t="s">
        <v>26</v>
      </c>
      <c r="B223" s="1">
        <v>44906</v>
      </c>
      <c r="C223" t="s">
        <v>29</v>
      </c>
      <c r="D223">
        <v>13.7</v>
      </c>
      <c r="E223">
        <v>2.2000000000000002</v>
      </c>
      <c r="F223">
        <v>2.9</v>
      </c>
      <c r="G223">
        <v>6.2</v>
      </c>
      <c r="H223">
        <v>4.7</v>
      </c>
      <c r="I223">
        <v>0</v>
      </c>
      <c r="J223">
        <v>0</v>
      </c>
      <c r="K223">
        <v>0</v>
      </c>
      <c r="L223">
        <v>0</v>
      </c>
      <c r="M223">
        <v>0</v>
      </c>
      <c r="N223">
        <v>116651</v>
      </c>
      <c r="O223">
        <v>276645</v>
      </c>
      <c r="P223">
        <v>347072</v>
      </c>
      <c r="Q223">
        <v>16</v>
      </c>
      <c r="R223">
        <v>6</v>
      </c>
      <c r="S223">
        <v>10</v>
      </c>
      <c r="T223">
        <v>30</v>
      </c>
      <c r="U223">
        <v>49</v>
      </c>
    </row>
    <row r="224" spans="1:21" x14ac:dyDescent="0.35">
      <c r="A224" t="s">
        <v>26</v>
      </c>
      <c r="B224" s="1">
        <v>44485</v>
      </c>
      <c r="C224" t="s">
        <v>31</v>
      </c>
      <c r="D224">
        <v>32.9</v>
      </c>
      <c r="E224">
        <v>8.6999999999999993</v>
      </c>
      <c r="F224">
        <v>0</v>
      </c>
      <c r="G224">
        <v>3.8</v>
      </c>
      <c r="H224">
        <v>0</v>
      </c>
      <c r="I224">
        <v>0</v>
      </c>
      <c r="J224">
        <v>0</v>
      </c>
      <c r="K224">
        <v>0</v>
      </c>
      <c r="L224">
        <v>0</v>
      </c>
      <c r="M224">
        <v>0</v>
      </c>
      <c r="N224">
        <v>60852</v>
      </c>
      <c r="O224">
        <v>182996</v>
      </c>
      <c r="P224">
        <v>0</v>
      </c>
      <c r="Q224">
        <v>20</v>
      </c>
      <c r="R224">
        <v>16</v>
      </c>
      <c r="S224">
        <v>0</v>
      </c>
      <c r="T224">
        <v>65</v>
      </c>
      <c r="U224">
        <v>79</v>
      </c>
    </row>
    <row r="225" spans="1:21" x14ac:dyDescent="0.35">
      <c r="A225" t="s">
        <v>21</v>
      </c>
      <c r="B225" s="1">
        <v>45248</v>
      </c>
      <c r="C225" t="s">
        <v>30</v>
      </c>
      <c r="D225">
        <v>0</v>
      </c>
      <c r="E225">
        <v>0</v>
      </c>
      <c r="F225">
        <v>0</v>
      </c>
      <c r="G225">
        <v>0</v>
      </c>
      <c r="H225">
        <v>0</v>
      </c>
      <c r="I225">
        <v>0</v>
      </c>
      <c r="J225">
        <v>0</v>
      </c>
      <c r="K225">
        <v>0</v>
      </c>
      <c r="L225">
        <v>0</v>
      </c>
      <c r="M225">
        <v>0</v>
      </c>
      <c r="N225">
        <v>23945</v>
      </c>
      <c r="O225">
        <v>11637</v>
      </c>
      <c r="P225">
        <v>47321</v>
      </c>
      <c r="Q225">
        <v>0</v>
      </c>
      <c r="R225">
        <v>0</v>
      </c>
      <c r="S225">
        <v>0</v>
      </c>
      <c r="T225">
        <v>80</v>
      </c>
      <c r="U225">
        <v>200</v>
      </c>
    </row>
    <row r="226" spans="1:21" x14ac:dyDescent="0.35">
      <c r="A226" t="s">
        <v>26</v>
      </c>
      <c r="B226" s="1">
        <v>44338</v>
      </c>
      <c r="C226" t="s">
        <v>27</v>
      </c>
      <c r="D226">
        <v>0.7</v>
      </c>
      <c r="E226">
        <v>0</v>
      </c>
      <c r="F226">
        <v>0</v>
      </c>
      <c r="G226">
        <v>0</v>
      </c>
      <c r="H226">
        <v>0</v>
      </c>
      <c r="I226">
        <v>0</v>
      </c>
      <c r="J226">
        <v>0</v>
      </c>
      <c r="K226">
        <v>0</v>
      </c>
      <c r="L226">
        <v>0</v>
      </c>
      <c r="M226">
        <v>0</v>
      </c>
      <c r="N226">
        <v>136624</v>
      </c>
      <c r="O226">
        <v>0</v>
      </c>
      <c r="P226">
        <v>0</v>
      </c>
      <c r="Q226">
        <v>1</v>
      </c>
      <c r="R226">
        <v>0</v>
      </c>
      <c r="S226">
        <v>0</v>
      </c>
      <c r="T226">
        <v>12</v>
      </c>
      <c r="U226">
        <v>17</v>
      </c>
    </row>
    <row r="227" spans="1:21" x14ac:dyDescent="0.35">
      <c r="A227" t="s">
        <v>26</v>
      </c>
      <c r="B227" s="1">
        <v>45117</v>
      </c>
      <c r="C227" t="s">
        <v>22</v>
      </c>
      <c r="D227">
        <v>4.4000000000000004</v>
      </c>
      <c r="E227">
        <v>2.1</v>
      </c>
      <c r="F227">
        <v>3.8</v>
      </c>
      <c r="G227">
        <v>2.1</v>
      </c>
      <c r="H227">
        <v>1.2</v>
      </c>
      <c r="I227">
        <v>4.5999999999999996</v>
      </c>
      <c r="J227">
        <v>3.1</v>
      </c>
      <c r="K227">
        <v>2.5</v>
      </c>
      <c r="L227">
        <v>1.5</v>
      </c>
      <c r="M227">
        <v>1.8</v>
      </c>
      <c r="N227">
        <v>522040</v>
      </c>
      <c r="O227">
        <v>860669</v>
      </c>
      <c r="P227">
        <v>1041205</v>
      </c>
      <c r="Q227">
        <v>23</v>
      </c>
      <c r="R227">
        <v>18</v>
      </c>
      <c r="S227">
        <v>40</v>
      </c>
      <c r="T227">
        <v>999</v>
      </c>
      <c r="U227">
        <v>999</v>
      </c>
    </row>
    <row r="228" spans="1:21" x14ac:dyDescent="0.35">
      <c r="A228" t="s">
        <v>28</v>
      </c>
      <c r="B228" s="1">
        <v>44499</v>
      </c>
      <c r="C228" t="s">
        <v>25</v>
      </c>
      <c r="D228">
        <v>156.69999999999999</v>
      </c>
      <c r="E228">
        <v>55.8</v>
      </c>
      <c r="F228">
        <v>12.6</v>
      </c>
      <c r="G228">
        <v>2.8</v>
      </c>
      <c r="H228">
        <v>12.4</v>
      </c>
      <c r="I228">
        <v>0</v>
      </c>
      <c r="J228">
        <v>0</v>
      </c>
      <c r="K228">
        <v>0</v>
      </c>
      <c r="L228">
        <v>0</v>
      </c>
      <c r="M228">
        <v>0</v>
      </c>
      <c r="N228">
        <v>165307</v>
      </c>
      <c r="O228">
        <v>313568</v>
      </c>
      <c r="P228">
        <v>7958</v>
      </c>
      <c r="Q228">
        <v>259</v>
      </c>
      <c r="R228">
        <v>175</v>
      </c>
      <c r="S228">
        <v>1</v>
      </c>
      <c r="T228">
        <v>18</v>
      </c>
      <c r="U228">
        <v>29</v>
      </c>
    </row>
    <row r="229" spans="1:21" x14ac:dyDescent="0.35">
      <c r="A229" t="s">
        <v>26</v>
      </c>
      <c r="B229" s="1">
        <v>44548</v>
      </c>
      <c r="C229" t="s">
        <v>30</v>
      </c>
      <c r="D229">
        <v>141.6</v>
      </c>
      <c r="E229">
        <v>80.2</v>
      </c>
      <c r="F229">
        <v>6.4</v>
      </c>
      <c r="G229">
        <v>1.8</v>
      </c>
      <c r="H229">
        <v>22.1</v>
      </c>
      <c r="I229">
        <v>0</v>
      </c>
      <c r="J229">
        <v>0</v>
      </c>
      <c r="K229">
        <v>0</v>
      </c>
      <c r="L229">
        <v>0</v>
      </c>
      <c r="M229">
        <v>0</v>
      </c>
      <c r="N229">
        <v>28242</v>
      </c>
      <c r="O229">
        <v>24945</v>
      </c>
      <c r="P229">
        <v>31019</v>
      </c>
      <c r="Q229">
        <v>40</v>
      </c>
      <c r="R229">
        <v>20</v>
      </c>
      <c r="S229">
        <v>2</v>
      </c>
      <c r="T229">
        <v>80</v>
      </c>
      <c r="U229">
        <v>200</v>
      </c>
    </row>
    <row r="230" spans="1:21" x14ac:dyDescent="0.35">
      <c r="A230" t="s">
        <v>28</v>
      </c>
      <c r="B230" s="1">
        <v>44919</v>
      </c>
      <c r="C230" t="s">
        <v>27</v>
      </c>
      <c r="D230">
        <v>180.7</v>
      </c>
      <c r="E230">
        <v>75.400000000000006</v>
      </c>
      <c r="F230">
        <v>110</v>
      </c>
      <c r="G230">
        <v>2.4</v>
      </c>
      <c r="H230">
        <v>1.6</v>
      </c>
      <c r="I230">
        <v>0</v>
      </c>
      <c r="J230">
        <v>0</v>
      </c>
      <c r="K230">
        <v>0</v>
      </c>
      <c r="L230">
        <v>0</v>
      </c>
      <c r="M230">
        <v>0</v>
      </c>
      <c r="N230">
        <v>33751</v>
      </c>
      <c r="O230">
        <v>86182</v>
      </c>
      <c r="P230">
        <v>44535</v>
      </c>
      <c r="Q230">
        <v>61</v>
      </c>
      <c r="R230">
        <v>65</v>
      </c>
      <c r="S230">
        <v>49</v>
      </c>
      <c r="T230">
        <v>12</v>
      </c>
      <c r="U230">
        <v>17</v>
      </c>
    </row>
    <row r="231" spans="1:21" x14ac:dyDescent="0.35">
      <c r="A231" t="s">
        <v>26</v>
      </c>
      <c r="B231" s="1">
        <v>45232</v>
      </c>
      <c r="C231" t="s">
        <v>25</v>
      </c>
      <c r="D231">
        <v>7.8</v>
      </c>
      <c r="E231">
        <v>2.2999999999999998</v>
      </c>
      <c r="F231">
        <v>2.5</v>
      </c>
      <c r="G231">
        <v>3.4</v>
      </c>
      <c r="H231">
        <v>3.1</v>
      </c>
      <c r="I231">
        <v>0</v>
      </c>
      <c r="J231">
        <v>0</v>
      </c>
      <c r="K231">
        <v>0</v>
      </c>
      <c r="L231">
        <v>0</v>
      </c>
      <c r="M231">
        <v>0</v>
      </c>
      <c r="N231">
        <v>77378</v>
      </c>
      <c r="O231">
        <v>213351</v>
      </c>
      <c r="P231">
        <v>161644</v>
      </c>
      <c r="Q231">
        <v>6</v>
      </c>
      <c r="R231">
        <v>5</v>
      </c>
      <c r="S231">
        <v>4</v>
      </c>
      <c r="T231">
        <v>18</v>
      </c>
      <c r="U231">
        <v>29</v>
      </c>
    </row>
    <row r="232" spans="1:21" x14ac:dyDescent="0.35">
      <c r="A232" t="s">
        <v>26</v>
      </c>
      <c r="B232" s="1">
        <v>44772</v>
      </c>
      <c r="C232" t="s">
        <v>29</v>
      </c>
      <c r="D232">
        <v>8.6999999999999993</v>
      </c>
      <c r="E232">
        <v>5.4</v>
      </c>
      <c r="F232">
        <v>4.7</v>
      </c>
      <c r="G232">
        <v>1.6</v>
      </c>
      <c r="H232">
        <v>1.9</v>
      </c>
      <c r="I232">
        <v>0</v>
      </c>
      <c r="J232">
        <v>0</v>
      </c>
      <c r="K232">
        <v>0</v>
      </c>
      <c r="L232">
        <v>0</v>
      </c>
      <c r="M232">
        <v>0</v>
      </c>
      <c r="N232">
        <v>126589</v>
      </c>
      <c r="O232">
        <v>278749</v>
      </c>
      <c r="P232">
        <v>342597</v>
      </c>
      <c r="Q232">
        <v>11</v>
      </c>
      <c r="R232">
        <v>15</v>
      </c>
      <c r="S232">
        <v>16</v>
      </c>
      <c r="T232">
        <v>30</v>
      </c>
      <c r="U232">
        <v>49</v>
      </c>
    </row>
    <row r="233" spans="1:21" x14ac:dyDescent="0.35">
      <c r="A233" t="s">
        <v>26</v>
      </c>
      <c r="B233" s="1">
        <v>44793</v>
      </c>
      <c r="C233" t="s">
        <v>22</v>
      </c>
      <c r="D233">
        <v>15.6</v>
      </c>
      <c r="E233">
        <v>7.9</v>
      </c>
      <c r="F233">
        <v>8.6</v>
      </c>
      <c r="G233">
        <v>2</v>
      </c>
      <c r="H233">
        <v>1.8</v>
      </c>
      <c r="I233">
        <v>18.100000000000001</v>
      </c>
      <c r="J233">
        <v>10.6</v>
      </c>
      <c r="K233">
        <v>6.8</v>
      </c>
      <c r="L233">
        <v>1.7</v>
      </c>
      <c r="M233">
        <v>2.7</v>
      </c>
      <c r="N233">
        <v>608684</v>
      </c>
      <c r="O233">
        <v>846709</v>
      </c>
      <c r="P233">
        <v>1022491</v>
      </c>
      <c r="Q233">
        <v>95</v>
      </c>
      <c r="R233">
        <v>67</v>
      </c>
      <c r="S233">
        <v>88</v>
      </c>
      <c r="T233">
        <v>999</v>
      </c>
      <c r="U233">
        <v>999</v>
      </c>
    </row>
    <row r="234" spans="1:21" x14ac:dyDescent="0.35">
      <c r="A234" t="s">
        <v>26</v>
      </c>
      <c r="B234" s="1">
        <v>44786</v>
      </c>
      <c r="C234" t="s">
        <v>25</v>
      </c>
      <c r="D234">
        <v>9.8000000000000007</v>
      </c>
      <c r="E234">
        <v>4.2</v>
      </c>
      <c r="F234">
        <v>2.5</v>
      </c>
      <c r="G234">
        <v>2.2999999999999998</v>
      </c>
      <c r="H234">
        <v>3.9</v>
      </c>
      <c r="I234">
        <v>0</v>
      </c>
      <c r="J234">
        <v>0</v>
      </c>
      <c r="K234">
        <v>0</v>
      </c>
      <c r="L234">
        <v>0</v>
      </c>
      <c r="M234">
        <v>0</v>
      </c>
      <c r="N234">
        <v>91761</v>
      </c>
      <c r="O234">
        <v>212510</v>
      </c>
      <c r="P234">
        <v>159319</v>
      </c>
      <c r="Q234">
        <v>9</v>
      </c>
      <c r="R234">
        <v>9</v>
      </c>
      <c r="S234">
        <v>4</v>
      </c>
      <c r="T234">
        <v>18</v>
      </c>
      <c r="U234">
        <v>29</v>
      </c>
    </row>
    <row r="235" spans="1:21" x14ac:dyDescent="0.35">
      <c r="A235" t="s">
        <v>21</v>
      </c>
      <c r="B235" s="1">
        <v>44891</v>
      </c>
      <c r="C235" t="s">
        <v>27</v>
      </c>
      <c r="D235">
        <v>0</v>
      </c>
      <c r="E235">
        <v>0</v>
      </c>
      <c r="F235">
        <v>0</v>
      </c>
      <c r="G235">
        <v>0</v>
      </c>
      <c r="H235">
        <v>0</v>
      </c>
      <c r="I235">
        <v>0</v>
      </c>
      <c r="J235">
        <v>0</v>
      </c>
      <c r="K235">
        <v>0</v>
      </c>
      <c r="L235">
        <v>0</v>
      </c>
      <c r="M235">
        <v>0</v>
      </c>
      <c r="N235">
        <v>34061</v>
      </c>
      <c r="O235">
        <v>86072</v>
      </c>
      <c r="P235">
        <v>44511</v>
      </c>
      <c r="Q235">
        <v>0</v>
      </c>
      <c r="R235">
        <v>0</v>
      </c>
      <c r="S235">
        <v>0</v>
      </c>
      <c r="T235">
        <v>12</v>
      </c>
      <c r="U235">
        <v>17</v>
      </c>
    </row>
    <row r="236" spans="1:21" x14ac:dyDescent="0.35">
      <c r="A236" t="s">
        <v>26</v>
      </c>
      <c r="B236" s="1">
        <v>44856</v>
      </c>
      <c r="C236" t="s">
        <v>22</v>
      </c>
      <c r="D236">
        <v>9.8000000000000007</v>
      </c>
      <c r="E236">
        <v>4.0999999999999996</v>
      </c>
      <c r="F236">
        <v>8.6</v>
      </c>
      <c r="G236">
        <v>2.4</v>
      </c>
      <c r="H236">
        <v>1.1000000000000001</v>
      </c>
      <c r="I236">
        <v>13.3</v>
      </c>
      <c r="J236">
        <v>6.2</v>
      </c>
      <c r="K236">
        <v>6</v>
      </c>
      <c r="L236">
        <v>2.1</v>
      </c>
      <c r="M236">
        <v>2.2000000000000002</v>
      </c>
      <c r="N236">
        <v>580379</v>
      </c>
      <c r="O236">
        <v>845220</v>
      </c>
      <c r="P236">
        <v>1038858</v>
      </c>
      <c r="Q236">
        <v>57</v>
      </c>
      <c r="R236">
        <v>35</v>
      </c>
      <c r="S236">
        <v>89</v>
      </c>
      <c r="T236">
        <v>999</v>
      </c>
      <c r="U236">
        <v>999</v>
      </c>
    </row>
    <row r="237" spans="1:21" x14ac:dyDescent="0.35">
      <c r="A237" t="s">
        <v>21</v>
      </c>
      <c r="B237" s="1">
        <v>45136</v>
      </c>
      <c r="C237" t="s">
        <v>30</v>
      </c>
      <c r="D237">
        <v>0</v>
      </c>
      <c r="E237">
        <v>0</v>
      </c>
      <c r="F237">
        <v>2.1</v>
      </c>
      <c r="G237">
        <v>0</v>
      </c>
      <c r="H237">
        <v>0</v>
      </c>
      <c r="I237">
        <v>0</v>
      </c>
      <c r="J237">
        <v>0</v>
      </c>
      <c r="K237">
        <v>0</v>
      </c>
      <c r="L237">
        <v>0</v>
      </c>
      <c r="M237">
        <v>0</v>
      </c>
      <c r="N237">
        <v>24479</v>
      </c>
      <c r="O237">
        <v>11383</v>
      </c>
      <c r="P237">
        <v>47130</v>
      </c>
      <c r="Q237">
        <v>0</v>
      </c>
      <c r="R237">
        <v>0</v>
      </c>
      <c r="S237">
        <v>1</v>
      </c>
      <c r="T237">
        <v>80</v>
      </c>
      <c r="U237">
        <v>200</v>
      </c>
    </row>
    <row r="238" spans="1:21" x14ac:dyDescent="0.35">
      <c r="A238" t="s">
        <v>26</v>
      </c>
      <c r="B238" s="1">
        <v>44674</v>
      </c>
      <c r="C238" t="s">
        <v>29</v>
      </c>
      <c r="D238">
        <v>5.3</v>
      </c>
      <c r="E238">
        <v>2.1</v>
      </c>
      <c r="F238">
        <v>1.2</v>
      </c>
      <c r="G238">
        <v>2.5</v>
      </c>
      <c r="H238">
        <v>4.4000000000000004</v>
      </c>
      <c r="I238">
        <v>0</v>
      </c>
      <c r="J238">
        <v>0</v>
      </c>
      <c r="K238">
        <v>0</v>
      </c>
      <c r="L238">
        <v>0</v>
      </c>
      <c r="M238">
        <v>0</v>
      </c>
      <c r="N238">
        <v>131359</v>
      </c>
      <c r="O238">
        <v>287869</v>
      </c>
      <c r="P238">
        <v>329404</v>
      </c>
      <c r="Q238">
        <v>7</v>
      </c>
      <c r="R238">
        <v>6</v>
      </c>
      <c r="S238">
        <v>4</v>
      </c>
      <c r="T238">
        <v>30</v>
      </c>
      <c r="U238">
        <v>49</v>
      </c>
    </row>
    <row r="239" spans="1:21" x14ac:dyDescent="0.35">
      <c r="A239" t="s">
        <v>21</v>
      </c>
      <c r="B239" s="1">
        <v>44898</v>
      </c>
      <c r="C239" t="s">
        <v>24</v>
      </c>
      <c r="D239">
        <v>0</v>
      </c>
      <c r="E239">
        <v>0</v>
      </c>
      <c r="F239">
        <v>0</v>
      </c>
      <c r="G239">
        <v>0</v>
      </c>
      <c r="H239">
        <v>0</v>
      </c>
      <c r="I239">
        <v>0</v>
      </c>
      <c r="J239">
        <v>0</v>
      </c>
      <c r="K239">
        <v>0</v>
      </c>
      <c r="L239">
        <v>0</v>
      </c>
      <c r="M239">
        <v>0</v>
      </c>
      <c r="N239">
        <v>104915</v>
      </c>
      <c r="O239">
        <v>86398</v>
      </c>
      <c r="P239">
        <v>0</v>
      </c>
      <c r="Q239">
        <v>0</v>
      </c>
      <c r="R239">
        <v>0</v>
      </c>
      <c r="S239">
        <v>0</v>
      </c>
      <c r="T239">
        <v>5</v>
      </c>
      <c r="U239">
        <v>11</v>
      </c>
    </row>
    <row r="240" spans="1:21" x14ac:dyDescent="0.35">
      <c r="A240" t="s">
        <v>21</v>
      </c>
      <c r="B240" s="1">
        <v>44485</v>
      </c>
      <c r="C240" t="s">
        <v>31</v>
      </c>
      <c r="D240">
        <v>11.5</v>
      </c>
      <c r="E240">
        <v>1.1000000000000001</v>
      </c>
      <c r="F240">
        <v>0</v>
      </c>
      <c r="G240">
        <v>10.5</v>
      </c>
      <c r="H240">
        <v>0</v>
      </c>
      <c r="I240">
        <v>0</v>
      </c>
      <c r="J240">
        <v>0</v>
      </c>
      <c r="K240">
        <v>0</v>
      </c>
      <c r="L240">
        <v>0</v>
      </c>
      <c r="M240">
        <v>0</v>
      </c>
      <c r="N240">
        <v>60852</v>
      </c>
      <c r="O240">
        <v>182996</v>
      </c>
      <c r="P240">
        <v>0</v>
      </c>
      <c r="Q240">
        <v>7</v>
      </c>
      <c r="R240">
        <v>2</v>
      </c>
      <c r="S240">
        <v>0</v>
      </c>
      <c r="T240">
        <v>65</v>
      </c>
      <c r="U240">
        <v>79</v>
      </c>
    </row>
    <row r="241" spans="1:21" x14ac:dyDescent="0.35">
      <c r="A241" t="s">
        <v>28</v>
      </c>
      <c r="B241" s="1">
        <v>44966</v>
      </c>
      <c r="C241" t="s">
        <v>27</v>
      </c>
      <c r="D241">
        <v>50.4</v>
      </c>
      <c r="E241">
        <v>37</v>
      </c>
      <c r="F241">
        <v>26.9</v>
      </c>
      <c r="G241">
        <v>1.4</v>
      </c>
      <c r="H241">
        <v>1.9</v>
      </c>
      <c r="I241">
        <v>0</v>
      </c>
      <c r="J241">
        <v>0</v>
      </c>
      <c r="K241">
        <v>0</v>
      </c>
      <c r="L241">
        <v>0</v>
      </c>
      <c r="M241">
        <v>0</v>
      </c>
      <c r="N241">
        <v>31774</v>
      </c>
      <c r="O241">
        <v>86575</v>
      </c>
      <c r="P241">
        <v>44595</v>
      </c>
      <c r="Q241">
        <v>16</v>
      </c>
      <c r="R241">
        <v>32</v>
      </c>
      <c r="S241">
        <v>12</v>
      </c>
      <c r="T241">
        <v>12</v>
      </c>
      <c r="U241">
        <v>17</v>
      </c>
    </row>
    <row r="242" spans="1:21" x14ac:dyDescent="0.35">
      <c r="A242" t="s">
        <v>26</v>
      </c>
      <c r="B242" s="1">
        <v>45192</v>
      </c>
      <c r="C242" t="s">
        <v>23</v>
      </c>
      <c r="D242">
        <v>21.8</v>
      </c>
      <c r="E242">
        <v>8</v>
      </c>
      <c r="F242">
        <v>4.5</v>
      </c>
      <c r="G242">
        <v>2.7</v>
      </c>
      <c r="H242">
        <v>4.8</v>
      </c>
      <c r="I242">
        <v>0</v>
      </c>
      <c r="J242">
        <v>0</v>
      </c>
      <c r="K242">
        <v>0</v>
      </c>
      <c r="L242">
        <v>0</v>
      </c>
      <c r="M242">
        <v>0</v>
      </c>
      <c r="N242">
        <v>32105</v>
      </c>
      <c r="O242">
        <v>125718</v>
      </c>
      <c r="P242">
        <v>246945</v>
      </c>
      <c r="Q242">
        <v>7</v>
      </c>
      <c r="R242">
        <v>10</v>
      </c>
      <c r="S242">
        <v>11</v>
      </c>
      <c r="T242">
        <v>50</v>
      </c>
      <c r="U242">
        <v>64</v>
      </c>
    </row>
    <row r="243" spans="1:21" x14ac:dyDescent="0.35">
      <c r="A243" t="s">
        <v>28</v>
      </c>
      <c r="B243" s="1">
        <v>45268</v>
      </c>
      <c r="C243" t="s">
        <v>29</v>
      </c>
      <c r="D243">
        <v>47.5</v>
      </c>
      <c r="E243">
        <v>16.5</v>
      </c>
      <c r="F243">
        <v>24.2</v>
      </c>
      <c r="G243">
        <v>2.9</v>
      </c>
      <c r="H243">
        <v>2</v>
      </c>
      <c r="I243">
        <v>0</v>
      </c>
      <c r="J243">
        <v>0</v>
      </c>
      <c r="K243">
        <v>0</v>
      </c>
      <c r="L243">
        <v>0</v>
      </c>
      <c r="M243">
        <v>0</v>
      </c>
      <c r="N243">
        <v>107297</v>
      </c>
      <c r="O243">
        <v>278401</v>
      </c>
      <c r="P243">
        <v>347314</v>
      </c>
      <c r="Q243">
        <v>51</v>
      </c>
      <c r="R243">
        <v>46</v>
      </c>
      <c r="S243">
        <v>84</v>
      </c>
      <c r="T243">
        <v>30</v>
      </c>
      <c r="U243">
        <v>49</v>
      </c>
    </row>
    <row r="244" spans="1:21" x14ac:dyDescent="0.35">
      <c r="A244" t="s">
        <v>26</v>
      </c>
      <c r="B244" s="1">
        <v>44898</v>
      </c>
      <c r="C244" t="s">
        <v>23</v>
      </c>
      <c r="D244">
        <v>6.5</v>
      </c>
      <c r="E244">
        <v>2.8</v>
      </c>
      <c r="F244">
        <v>3.1</v>
      </c>
      <c r="G244">
        <v>2.2999999999999998</v>
      </c>
      <c r="H244">
        <v>2.1</v>
      </c>
      <c r="I244">
        <v>0</v>
      </c>
      <c r="J244">
        <v>0</v>
      </c>
      <c r="K244">
        <v>0</v>
      </c>
      <c r="L244">
        <v>0</v>
      </c>
      <c r="M244">
        <v>0</v>
      </c>
      <c r="N244">
        <v>46039</v>
      </c>
      <c r="O244">
        <v>142268</v>
      </c>
      <c r="P244">
        <v>222350</v>
      </c>
      <c r="Q244">
        <v>3</v>
      </c>
      <c r="R244">
        <v>4</v>
      </c>
      <c r="S244">
        <v>7</v>
      </c>
      <c r="T244">
        <v>50</v>
      </c>
      <c r="U244">
        <v>64</v>
      </c>
    </row>
    <row r="245" spans="1:21" x14ac:dyDescent="0.35">
      <c r="A245" t="s">
        <v>28</v>
      </c>
      <c r="B245" s="1">
        <v>44991</v>
      </c>
      <c r="C245" t="s">
        <v>23</v>
      </c>
      <c r="D245">
        <v>42.6</v>
      </c>
      <c r="E245">
        <v>7.2</v>
      </c>
      <c r="F245">
        <v>21.5</v>
      </c>
      <c r="G245">
        <v>5.9</v>
      </c>
      <c r="H245">
        <v>2</v>
      </c>
      <c r="I245">
        <v>0</v>
      </c>
      <c r="J245">
        <v>0</v>
      </c>
      <c r="K245">
        <v>0</v>
      </c>
      <c r="L245">
        <v>0</v>
      </c>
      <c r="M245">
        <v>0</v>
      </c>
      <c r="N245">
        <v>32855</v>
      </c>
      <c r="O245">
        <v>125745</v>
      </c>
      <c r="P245">
        <v>246913</v>
      </c>
      <c r="Q245">
        <v>14</v>
      </c>
      <c r="R245">
        <v>9</v>
      </c>
      <c r="S245">
        <v>53</v>
      </c>
      <c r="T245">
        <v>50</v>
      </c>
      <c r="U245">
        <v>64</v>
      </c>
    </row>
    <row r="246" spans="1:21" x14ac:dyDescent="0.35">
      <c r="A246" t="s">
        <v>28</v>
      </c>
      <c r="B246" s="1">
        <v>44765</v>
      </c>
      <c r="C246" t="s">
        <v>31</v>
      </c>
      <c r="D246">
        <v>269.10000000000002</v>
      </c>
      <c r="E246">
        <v>222.8</v>
      </c>
      <c r="F246">
        <v>228.3</v>
      </c>
      <c r="G246">
        <v>1.2</v>
      </c>
      <c r="H246">
        <v>1.2</v>
      </c>
      <c r="I246">
        <v>0</v>
      </c>
      <c r="J246">
        <v>0</v>
      </c>
      <c r="K246">
        <v>0</v>
      </c>
      <c r="L246">
        <v>0</v>
      </c>
      <c r="M246">
        <v>0</v>
      </c>
      <c r="N246">
        <v>46080</v>
      </c>
      <c r="O246">
        <v>45341</v>
      </c>
      <c r="P246">
        <v>168622</v>
      </c>
      <c r="Q246">
        <v>124</v>
      </c>
      <c r="R246">
        <v>101</v>
      </c>
      <c r="S246">
        <v>385</v>
      </c>
      <c r="T246">
        <v>65</v>
      </c>
      <c r="U246">
        <v>79</v>
      </c>
    </row>
    <row r="247" spans="1:21" x14ac:dyDescent="0.35">
      <c r="A247" t="s">
        <v>21</v>
      </c>
      <c r="B247" s="1">
        <v>44811</v>
      </c>
      <c r="C247" t="s">
        <v>22</v>
      </c>
      <c r="D247">
        <v>0.3</v>
      </c>
      <c r="E247">
        <v>0.1</v>
      </c>
      <c r="F247">
        <v>0.6</v>
      </c>
      <c r="G247">
        <v>3</v>
      </c>
      <c r="H247">
        <v>0.5</v>
      </c>
      <c r="I247">
        <v>0.3</v>
      </c>
      <c r="J247">
        <v>0.3</v>
      </c>
      <c r="K247">
        <v>0.4</v>
      </c>
      <c r="L247">
        <v>0.9</v>
      </c>
      <c r="M247">
        <v>0.7</v>
      </c>
      <c r="N247">
        <v>627781</v>
      </c>
      <c r="O247">
        <v>862137</v>
      </c>
      <c r="P247">
        <v>997177</v>
      </c>
      <c r="Q247">
        <v>2</v>
      </c>
      <c r="R247">
        <v>1</v>
      </c>
      <c r="S247">
        <v>6</v>
      </c>
      <c r="T247">
        <v>999</v>
      </c>
      <c r="U247">
        <v>999</v>
      </c>
    </row>
    <row r="248" spans="1:21" x14ac:dyDescent="0.35">
      <c r="A248" t="s">
        <v>26</v>
      </c>
      <c r="B248" s="1">
        <v>45178</v>
      </c>
      <c r="C248" t="s">
        <v>22</v>
      </c>
      <c r="D248">
        <v>4.7</v>
      </c>
      <c r="E248">
        <v>2.9</v>
      </c>
      <c r="F248">
        <v>6.5</v>
      </c>
      <c r="G248">
        <v>1.6</v>
      </c>
      <c r="H248">
        <v>0.7</v>
      </c>
      <c r="I248">
        <v>5.5</v>
      </c>
      <c r="J248">
        <v>3.8</v>
      </c>
      <c r="K248">
        <v>4.3</v>
      </c>
      <c r="L248">
        <v>1.4</v>
      </c>
      <c r="M248">
        <v>1.3</v>
      </c>
      <c r="N248">
        <v>526704</v>
      </c>
      <c r="O248">
        <v>860292</v>
      </c>
      <c r="P248">
        <v>1040817</v>
      </c>
      <c r="Q248">
        <v>25</v>
      </c>
      <c r="R248">
        <v>25</v>
      </c>
      <c r="S248">
        <v>68</v>
      </c>
      <c r="T248">
        <v>999</v>
      </c>
      <c r="U248">
        <v>999</v>
      </c>
    </row>
    <row r="249" spans="1:21" x14ac:dyDescent="0.35">
      <c r="A249" t="s">
        <v>21</v>
      </c>
      <c r="B249" s="1">
        <v>44509</v>
      </c>
      <c r="C249" t="s">
        <v>31</v>
      </c>
      <c r="D249">
        <v>10.8</v>
      </c>
      <c r="E249">
        <v>2.1</v>
      </c>
      <c r="F249">
        <v>0</v>
      </c>
      <c r="G249">
        <v>5.0999999999999996</v>
      </c>
      <c r="H249">
        <v>0</v>
      </c>
      <c r="I249">
        <v>0</v>
      </c>
      <c r="J249">
        <v>0</v>
      </c>
      <c r="K249">
        <v>0</v>
      </c>
      <c r="L249">
        <v>0</v>
      </c>
      <c r="M249">
        <v>0</v>
      </c>
      <c r="N249">
        <v>64570</v>
      </c>
      <c r="O249">
        <v>194208</v>
      </c>
      <c r="P249">
        <v>0</v>
      </c>
      <c r="Q249">
        <v>7</v>
      </c>
      <c r="R249">
        <v>4</v>
      </c>
      <c r="S249">
        <v>0</v>
      </c>
      <c r="T249">
        <v>65</v>
      </c>
      <c r="U249">
        <v>79</v>
      </c>
    </row>
    <row r="250" spans="1:21" x14ac:dyDescent="0.35">
      <c r="A250" t="s">
        <v>28</v>
      </c>
      <c r="B250" s="1">
        <v>44422</v>
      </c>
      <c r="C250" t="s">
        <v>30</v>
      </c>
      <c r="D250">
        <v>71.8</v>
      </c>
      <c r="E250">
        <v>47.4</v>
      </c>
      <c r="F250">
        <v>0</v>
      </c>
      <c r="G250">
        <v>1.5</v>
      </c>
      <c r="H250">
        <v>0</v>
      </c>
      <c r="I250">
        <v>0</v>
      </c>
      <c r="J250">
        <v>0</v>
      </c>
      <c r="K250">
        <v>0</v>
      </c>
      <c r="L250">
        <v>0</v>
      </c>
      <c r="M250">
        <v>0</v>
      </c>
      <c r="N250">
        <v>32042</v>
      </c>
      <c r="O250">
        <v>52760</v>
      </c>
      <c r="P250">
        <v>0</v>
      </c>
      <c r="Q250">
        <v>23</v>
      </c>
      <c r="R250">
        <v>25</v>
      </c>
      <c r="S250">
        <v>0</v>
      </c>
      <c r="T250">
        <v>80</v>
      </c>
      <c r="U250">
        <v>200</v>
      </c>
    </row>
    <row r="251" spans="1:21" x14ac:dyDescent="0.35">
      <c r="A251" t="s">
        <v>26</v>
      </c>
      <c r="B251" s="1">
        <v>44891</v>
      </c>
      <c r="C251" t="s">
        <v>31</v>
      </c>
      <c r="D251">
        <v>57.7</v>
      </c>
      <c r="E251">
        <v>46.1</v>
      </c>
      <c r="F251">
        <v>18.100000000000001</v>
      </c>
      <c r="G251">
        <v>1.3</v>
      </c>
      <c r="H251">
        <v>3.2</v>
      </c>
      <c r="I251">
        <v>0</v>
      </c>
      <c r="J251">
        <v>0</v>
      </c>
      <c r="K251">
        <v>0</v>
      </c>
      <c r="L251">
        <v>0</v>
      </c>
      <c r="M251">
        <v>0</v>
      </c>
      <c r="N251">
        <v>41575</v>
      </c>
      <c r="O251">
        <v>43350</v>
      </c>
      <c r="P251">
        <v>171612</v>
      </c>
      <c r="Q251">
        <v>24</v>
      </c>
      <c r="R251">
        <v>20</v>
      </c>
      <c r="S251">
        <v>31</v>
      </c>
      <c r="T251">
        <v>65</v>
      </c>
      <c r="U251">
        <v>79</v>
      </c>
    </row>
    <row r="252" spans="1:21" x14ac:dyDescent="0.35">
      <c r="A252" t="s">
        <v>21</v>
      </c>
      <c r="B252" s="1">
        <v>44422</v>
      </c>
      <c r="C252" t="s">
        <v>31</v>
      </c>
      <c r="D252">
        <v>10.3</v>
      </c>
      <c r="E252">
        <v>0</v>
      </c>
      <c r="F252">
        <v>0</v>
      </c>
      <c r="G252">
        <v>0</v>
      </c>
      <c r="H252">
        <v>0</v>
      </c>
      <c r="I252">
        <v>0</v>
      </c>
      <c r="J252">
        <v>0</v>
      </c>
      <c r="K252">
        <v>0</v>
      </c>
      <c r="L252">
        <v>0</v>
      </c>
      <c r="M252">
        <v>0</v>
      </c>
      <c r="N252">
        <v>67653</v>
      </c>
      <c r="O252">
        <v>193586</v>
      </c>
      <c r="P252">
        <v>0</v>
      </c>
      <c r="Q252">
        <v>7</v>
      </c>
      <c r="R252">
        <v>0</v>
      </c>
      <c r="S252">
        <v>0</v>
      </c>
      <c r="T252">
        <v>65</v>
      </c>
      <c r="U252">
        <v>79</v>
      </c>
    </row>
    <row r="253" spans="1:21" x14ac:dyDescent="0.35">
      <c r="A253" t="s">
        <v>28</v>
      </c>
      <c r="B253" s="1">
        <v>44897</v>
      </c>
      <c r="C253" t="s">
        <v>32</v>
      </c>
      <c r="D253">
        <v>131.6</v>
      </c>
      <c r="E253">
        <v>0</v>
      </c>
      <c r="F253">
        <v>0</v>
      </c>
      <c r="G253">
        <v>0</v>
      </c>
      <c r="H253">
        <v>0</v>
      </c>
      <c r="I253">
        <v>0</v>
      </c>
      <c r="J253">
        <v>0</v>
      </c>
      <c r="K253">
        <v>0</v>
      </c>
      <c r="L253">
        <v>0</v>
      </c>
      <c r="M253">
        <v>0</v>
      </c>
      <c r="N253">
        <v>162642</v>
      </c>
      <c r="O253">
        <v>0</v>
      </c>
      <c r="P253">
        <v>0</v>
      </c>
      <c r="Q253">
        <v>214</v>
      </c>
      <c r="R253">
        <v>0</v>
      </c>
      <c r="S253">
        <v>0</v>
      </c>
      <c r="T253">
        <v>0</v>
      </c>
      <c r="U253">
        <v>4</v>
      </c>
    </row>
    <row r="254" spans="1:21" x14ac:dyDescent="0.35">
      <c r="A254" t="s">
        <v>28</v>
      </c>
      <c r="B254" s="1">
        <v>45232</v>
      </c>
      <c r="C254" t="s">
        <v>24</v>
      </c>
      <c r="D254">
        <v>146.1</v>
      </c>
      <c r="E254">
        <v>168.2</v>
      </c>
      <c r="F254">
        <v>160.4</v>
      </c>
      <c r="G254">
        <v>0.9</v>
      </c>
      <c r="H254">
        <v>0.9</v>
      </c>
      <c r="I254">
        <v>0</v>
      </c>
      <c r="J254">
        <v>0</v>
      </c>
      <c r="K254">
        <v>0</v>
      </c>
      <c r="L254">
        <v>0</v>
      </c>
      <c r="M254">
        <v>0</v>
      </c>
      <c r="N254">
        <v>91730</v>
      </c>
      <c r="O254">
        <v>82035</v>
      </c>
      <c r="P254">
        <v>21195</v>
      </c>
      <c r="Q254">
        <v>134</v>
      </c>
      <c r="R254">
        <v>138</v>
      </c>
      <c r="S254">
        <v>34</v>
      </c>
      <c r="T254">
        <v>5</v>
      </c>
      <c r="U254">
        <v>11</v>
      </c>
    </row>
    <row r="255" spans="1:21" x14ac:dyDescent="0.35">
      <c r="A255" t="s">
        <v>26</v>
      </c>
      <c r="B255" s="1">
        <v>45233</v>
      </c>
      <c r="C255" t="s">
        <v>24</v>
      </c>
      <c r="D255">
        <v>0</v>
      </c>
      <c r="E255">
        <v>0</v>
      </c>
      <c r="F255">
        <v>0</v>
      </c>
      <c r="G255">
        <v>0</v>
      </c>
      <c r="H255">
        <v>0</v>
      </c>
      <c r="I255">
        <v>0</v>
      </c>
      <c r="J255">
        <v>0</v>
      </c>
      <c r="K255">
        <v>0</v>
      </c>
      <c r="L255">
        <v>0</v>
      </c>
      <c r="M255">
        <v>0</v>
      </c>
      <c r="N255">
        <v>91381</v>
      </c>
      <c r="O255">
        <v>82312</v>
      </c>
      <c r="P255">
        <v>21210</v>
      </c>
      <c r="Q255">
        <v>0</v>
      </c>
      <c r="R255">
        <v>0</v>
      </c>
      <c r="S255">
        <v>0</v>
      </c>
      <c r="T255">
        <v>5</v>
      </c>
      <c r="U255">
        <v>11</v>
      </c>
    </row>
    <row r="256" spans="1:21" x14ac:dyDescent="0.35">
      <c r="A256" t="s">
        <v>26</v>
      </c>
      <c r="B256" s="1">
        <v>44821</v>
      </c>
      <c r="C256" t="s">
        <v>29</v>
      </c>
      <c r="D256">
        <v>12.1</v>
      </c>
      <c r="E256">
        <v>2.9</v>
      </c>
      <c r="F256">
        <v>3.2</v>
      </c>
      <c r="G256">
        <v>4.2</v>
      </c>
      <c r="H256">
        <v>3.8</v>
      </c>
      <c r="I256">
        <v>0</v>
      </c>
      <c r="J256">
        <v>0</v>
      </c>
      <c r="K256">
        <v>0</v>
      </c>
      <c r="L256">
        <v>0</v>
      </c>
      <c r="M256">
        <v>0</v>
      </c>
      <c r="N256">
        <v>123875</v>
      </c>
      <c r="O256">
        <v>275892</v>
      </c>
      <c r="P256">
        <v>346825</v>
      </c>
      <c r="Q256">
        <v>15</v>
      </c>
      <c r="R256">
        <v>8</v>
      </c>
      <c r="S256">
        <v>11</v>
      </c>
      <c r="T256">
        <v>30</v>
      </c>
      <c r="U256">
        <v>49</v>
      </c>
    </row>
    <row r="257" spans="1:21" x14ac:dyDescent="0.35">
      <c r="A257" t="s">
        <v>26</v>
      </c>
      <c r="B257" s="1">
        <v>44947</v>
      </c>
      <c r="C257" t="s">
        <v>25</v>
      </c>
      <c r="D257">
        <v>10.199999999999999</v>
      </c>
      <c r="E257">
        <v>1.9</v>
      </c>
      <c r="F257">
        <v>1.2</v>
      </c>
      <c r="G257">
        <v>5.4</v>
      </c>
      <c r="H257">
        <v>8.5</v>
      </c>
      <c r="I257">
        <v>0</v>
      </c>
      <c r="J257">
        <v>0</v>
      </c>
      <c r="K257">
        <v>0</v>
      </c>
      <c r="L257">
        <v>0</v>
      </c>
      <c r="M257">
        <v>0</v>
      </c>
      <c r="N257">
        <v>78128</v>
      </c>
      <c r="O257">
        <v>213123</v>
      </c>
      <c r="P257">
        <v>161635</v>
      </c>
      <c r="Q257">
        <v>8</v>
      </c>
      <c r="R257">
        <v>4</v>
      </c>
      <c r="S257">
        <v>2</v>
      </c>
      <c r="T257">
        <v>18</v>
      </c>
      <c r="U257">
        <v>29</v>
      </c>
    </row>
    <row r="258" spans="1:21" x14ac:dyDescent="0.35">
      <c r="A258" t="s">
        <v>28</v>
      </c>
      <c r="B258" s="1">
        <v>45227</v>
      </c>
      <c r="C258" t="s">
        <v>32</v>
      </c>
      <c r="D258">
        <v>38.1</v>
      </c>
      <c r="E258">
        <v>1.8</v>
      </c>
      <c r="F258">
        <v>0</v>
      </c>
      <c r="G258">
        <v>21.2</v>
      </c>
      <c r="H258">
        <v>0</v>
      </c>
      <c r="I258">
        <v>0</v>
      </c>
      <c r="J258">
        <v>0</v>
      </c>
      <c r="K258">
        <v>0</v>
      </c>
      <c r="L258">
        <v>0</v>
      </c>
      <c r="M258">
        <v>0</v>
      </c>
      <c r="N258">
        <v>162642</v>
      </c>
      <c r="O258">
        <v>0</v>
      </c>
      <c r="P258">
        <v>0</v>
      </c>
      <c r="Q258">
        <v>62</v>
      </c>
      <c r="R258">
        <v>3</v>
      </c>
      <c r="S258">
        <v>0</v>
      </c>
      <c r="T258">
        <v>0</v>
      </c>
      <c r="U258">
        <v>4</v>
      </c>
    </row>
    <row r="259" spans="1:21" x14ac:dyDescent="0.35">
      <c r="A259" t="s">
        <v>21</v>
      </c>
      <c r="B259" s="1">
        <v>44849</v>
      </c>
      <c r="C259" t="s">
        <v>30</v>
      </c>
      <c r="D259">
        <v>19.5</v>
      </c>
      <c r="E259">
        <v>0</v>
      </c>
      <c r="F259">
        <v>0</v>
      </c>
      <c r="G259">
        <v>0</v>
      </c>
      <c r="H259">
        <v>0</v>
      </c>
      <c r="I259">
        <v>0</v>
      </c>
      <c r="J259">
        <v>0</v>
      </c>
      <c r="K259">
        <v>0</v>
      </c>
      <c r="L259">
        <v>0</v>
      </c>
      <c r="M259">
        <v>0</v>
      </c>
      <c r="N259">
        <v>25625</v>
      </c>
      <c r="O259">
        <v>11373</v>
      </c>
      <c r="P259">
        <v>47058</v>
      </c>
      <c r="Q259">
        <v>5</v>
      </c>
      <c r="R259">
        <v>0</v>
      </c>
      <c r="S259">
        <v>0</v>
      </c>
      <c r="T259">
        <v>80</v>
      </c>
      <c r="U259">
        <v>200</v>
      </c>
    </row>
    <row r="260" spans="1:21" x14ac:dyDescent="0.35">
      <c r="A260" t="s">
        <v>28</v>
      </c>
      <c r="B260" s="1">
        <v>45192</v>
      </c>
      <c r="C260" t="s">
        <v>27</v>
      </c>
      <c r="D260">
        <v>22.1</v>
      </c>
      <c r="E260">
        <v>10.4</v>
      </c>
      <c r="F260">
        <v>11.2</v>
      </c>
      <c r="G260">
        <v>2.1</v>
      </c>
      <c r="H260">
        <v>2</v>
      </c>
      <c r="I260">
        <v>0</v>
      </c>
      <c r="J260">
        <v>0</v>
      </c>
      <c r="K260">
        <v>0</v>
      </c>
      <c r="L260">
        <v>0</v>
      </c>
      <c r="M260">
        <v>0</v>
      </c>
      <c r="N260">
        <v>31692</v>
      </c>
      <c r="O260">
        <v>86574</v>
      </c>
      <c r="P260">
        <v>44597</v>
      </c>
      <c r="Q260">
        <v>7</v>
      </c>
      <c r="R260">
        <v>9</v>
      </c>
      <c r="S260">
        <v>5</v>
      </c>
      <c r="T260">
        <v>12</v>
      </c>
      <c r="U260">
        <v>17</v>
      </c>
    </row>
    <row r="261" spans="1:21" x14ac:dyDescent="0.35">
      <c r="A261" t="s">
        <v>28</v>
      </c>
      <c r="B261" s="1">
        <v>45122</v>
      </c>
      <c r="C261" t="s">
        <v>29</v>
      </c>
      <c r="D261">
        <v>13.9</v>
      </c>
      <c r="E261">
        <v>10.1</v>
      </c>
      <c r="F261">
        <v>13.5</v>
      </c>
      <c r="G261">
        <v>1.4</v>
      </c>
      <c r="H261">
        <v>1</v>
      </c>
      <c r="I261">
        <v>0</v>
      </c>
      <c r="J261">
        <v>0</v>
      </c>
      <c r="K261">
        <v>0</v>
      </c>
      <c r="L261">
        <v>0</v>
      </c>
      <c r="M261">
        <v>0</v>
      </c>
      <c r="N261">
        <v>107746</v>
      </c>
      <c r="O261">
        <v>278401</v>
      </c>
      <c r="P261">
        <v>347311</v>
      </c>
      <c r="Q261">
        <v>15</v>
      </c>
      <c r="R261">
        <v>28</v>
      </c>
      <c r="S261">
        <v>47</v>
      </c>
      <c r="T261">
        <v>30</v>
      </c>
      <c r="U261">
        <v>49</v>
      </c>
    </row>
    <row r="262" spans="1:21" x14ac:dyDescent="0.35">
      <c r="A262" t="s">
        <v>21</v>
      </c>
      <c r="B262" s="1">
        <v>44828</v>
      </c>
      <c r="C262" t="s">
        <v>22</v>
      </c>
      <c r="D262">
        <v>0.2</v>
      </c>
      <c r="E262">
        <v>0.2</v>
      </c>
      <c r="F262">
        <v>0.4</v>
      </c>
      <c r="G262">
        <v>1</v>
      </c>
      <c r="H262">
        <v>0.5</v>
      </c>
      <c r="I262">
        <v>0.1</v>
      </c>
      <c r="J262">
        <v>0.6</v>
      </c>
      <c r="K262">
        <v>0.3</v>
      </c>
      <c r="L262">
        <v>0.2</v>
      </c>
      <c r="M262">
        <v>0.5</v>
      </c>
      <c r="N262">
        <v>595648</v>
      </c>
      <c r="O262">
        <v>841554</v>
      </c>
      <c r="P262">
        <v>1036367</v>
      </c>
      <c r="Q262">
        <v>1</v>
      </c>
      <c r="R262">
        <v>2</v>
      </c>
      <c r="S262">
        <v>4</v>
      </c>
      <c r="T262">
        <v>999</v>
      </c>
      <c r="U262">
        <v>999</v>
      </c>
    </row>
    <row r="263" spans="1:21" x14ac:dyDescent="0.35">
      <c r="A263" t="s">
        <v>26</v>
      </c>
      <c r="B263" s="1">
        <v>44821</v>
      </c>
      <c r="C263" t="s">
        <v>27</v>
      </c>
      <c r="D263">
        <v>5.7</v>
      </c>
      <c r="E263">
        <v>2.2999999999999998</v>
      </c>
      <c r="F263">
        <v>0</v>
      </c>
      <c r="G263">
        <v>2.5</v>
      </c>
      <c r="H263">
        <v>0</v>
      </c>
      <c r="I263">
        <v>0</v>
      </c>
      <c r="J263">
        <v>0</v>
      </c>
      <c r="K263">
        <v>0</v>
      </c>
      <c r="L263">
        <v>0</v>
      </c>
      <c r="M263">
        <v>0</v>
      </c>
      <c r="N263">
        <v>35094</v>
      </c>
      <c r="O263">
        <v>85762</v>
      </c>
      <c r="P263">
        <v>44338</v>
      </c>
      <c r="Q263">
        <v>2</v>
      </c>
      <c r="R263">
        <v>2</v>
      </c>
      <c r="S263">
        <v>0</v>
      </c>
      <c r="T263">
        <v>12</v>
      </c>
      <c r="U263">
        <v>17</v>
      </c>
    </row>
    <row r="264" spans="1:21" x14ac:dyDescent="0.35">
      <c r="A264" t="s">
        <v>28</v>
      </c>
      <c r="B264" s="1">
        <v>44373</v>
      </c>
      <c r="C264" t="s">
        <v>30</v>
      </c>
      <c r="D264">
        <v>8.9</v>
      </c>
      <c r="E264">
        <v>2</v>
      </c>
      <c r="F264">
        <v>0</v>
      </c>
      <c r="G264">
        <v>4.4000000000000004</v>
      </c>
      <c r="H264">
        <v>0</v>
      </c>
      <c r="I264">
        <v>0</v>
      </c>
      <c r="J264">
        <v>0</v>
      </c>
      <c r="K264">
        <v>0</v>
      </c>
      <c r="L264">
        <v>0</v>
      </c>
      <c r="M264">
        <v>0</v>
      </c>
      <c r="N264">
        <v>33591</v>
      </c>
      <c r="O264">
        <v>50911</v>
      </c>
      <c r="P264">
        <v>0</v>
      </c>
      <c r="Q264">
        <v>3</v>
      </c>
      <c r="R264">
        <v>1</v>
      </c>
      <c r="S264">
        <v>0</v>
      </c>
      <c r="T264">
        <v>80</v>
      </c>
      <c r="U264">
        <v>200</v>
      </c>
    </row>
    <row r="265" spans="1:21" x14ac:dyDescent="0.35">
      <c r="A265" t="s">
        <v>28</v>
      </c>
      <c r="B265" s="1">
        <v>44793</v>
      </c>
      <c r="C265" t="s">
        <v>29</v>
      </c>
      <c r="D265">
        <v>236.3</v>
      </c>
      <c r="E265">
        <v>110.7</v>
      </c>
      <c r="F265">
        <v>187.1</v>
      </c>
      <c r="G265">
        <v>2.1</v>
      </c>
      <c r="H265">
        <v>1.3</v>
      </c>
      <c r="I265">
        <v>0</v>
      </c>
      <c r="J265">
        <v>0</v>
      </c>
      <c r="K265">
        <v>0</v>
      </c>
      <c r="L265">
        <v>0</v>
      </c>
      <c r="M265">
        <v>0</v>
      </c>
      <c r="N265">
        <v>125684</v>
      </c>
      <c r="O265">
        <v>277226</v>
      </c>
      <c r="P265">
        <v>344772</v>
      </c>
      <c r="Q265">
        <v>297</v>
      </c>
      <c r="R265">
        <v>307</v>
      </c>
      <c r="S265">
        <v>645</v>
      </c>
      <c r="T265">
        <v>30</v>
      </c>
      <c r="U265">
        <v>49</v>
      </c>
    </row>
    <row r="266" spans="1:21" x14ac:dyDescent="0.35">
      <c r="A266" t="s">
        <v>28</v>
      </c>
      <c r="B266" s="1">
        <v>44408</v>
      </c>
      <c r="C266" t="s">
        <v>27</v>
      </c>
      <c r="D266">
        <v>115.8</v>
      </c>
      <c r="E266">
        <v>12.4</v>
      </c>
      <c r="F266">
        <v>0</v>
      </c>
      <c r="G266">
        <v>9.3000000000000007</v>
      </c>
      <c r="H266">
        <v>0</v>
      </c>
      <c r="I266">
        <v>0</v>
      </c>
      <c r="J266">
        <v>0</v>
      </c>
      <c r="K266">
        <v>0</v>
      </c>
      <c r="L266">
        <v>0</v>
      </c>
      <c r="M266">
        <v>0</v>
      </c>
      <c r="N266">
        <v>94143</v>
      </c>
      <c r="O266">
        <v>64465</v>
      </c>
      <c r="P266">
        <v>0</v>
      </c>
      <c r="Q266">
        <v>109</v>
      </c>
      <c r="R266">
        <v>8</v>
      </c>
      <c r="S266">
        <v>0</v>
      </c>
      <c r="T266">
        <v>12</v>
      </c>
      <c r="U266">
        <v>17</v>
      </c>
    </row>
    <row r="267" spans="1:21" x14ac:dyDescent="0.35">
      <c r="A267" t="s">
        <v>21</v>
      </c>
      <c r="B267" s="1">
        <v>44385</v>
      </c>
      <c r="C267" t="s">
        <v>23</v>
      </c>
      <c r="D267">
        <v>3.1</v>
      </c>
      <c r="E267">
        <v>0</v>
      </c>
      <c r="F267">
        <v>0</v>
      </c>
      <c r="G267">
        <v>0</v>
      </c>
      <c r="H267">
        <v>0</v>
      </c>
      <c r="I267">
        <v>0</v>
      </c>
      <c r="J267">
        <v>0</v>
      </c>
      <c r="K267">
        <v>0</v>
      </c>
      <c r="L267">
        <v>0</v>
      </c>
      <c r="M267">
        <v>0</v>
      </c>
      <c r="N267">
        <v>96770</v>
      </c>
      <c r="O267">
        <v>316026</v>
      </c>
      <c r="P267">
        <v>0</v>
      </c>
      <c r="Q267">
        <v>3</v>
      </c>
      <c r="R267">
        <v>0</v>
      </c>
      <c r="S267">
        <v>0</v>
      </c>
      <c r="T267">
        <v>50</v>
      </c>
      <c r="U267">
        <v>64</v>
      </c>
    </row>
    <row r="268" spans="1:21" x14ac:dyDescent="0.35">
      <c r="A268" t="s">
        <v>28</v>
      </c>
      <c r="B268" s="1">
        <v>44774</v>
      </c>
      <c r="C268" t="s">
        <v>25</v>
      </c>
      <c r="D268">
        <v>2593.8000000000002</v>
      </c>
      <c r="E268">
        <v>1568.9</v>
      </c>
      <c r="F268">
        <v>1486.1</v>
      </c>
      <c r="G268">
        <v>1.7</v>
      </c>
      <c r="H268">
        <v>1.7</v>
      </c>
      <c r="I268">
        <v>0</v>
      </c>
      <c r="J268">
        <v>0</v>
      </c>
      <c r="K268">
        <v>0</v>
      </c>
      <c r="L268">
        <v>0</v>
      </c>
      <c r="M268">
        <v>0</v>
      </c>
      <c r="N268">
        <v>128651</v>
      </c>
      <c r="O268">
        <v>256042</v>
      </c>
      <c r="P268">
        <v>83774</v>
      </c>
      <c r="Q268">
        <v>3337</v>
      </c>
      <c r="R268">
        <v>4017</v>
      </c>
      <c r="S268">
        <v>1245</v>
      </c>
      <c r="T268">
        <v>18</v>
      </c>
      <c r="U268">
        <v>29</v>
      </c>
    </row>
    <row r="269" spans="1:21" x14ac:dyDescent="0.35">
      <c r="A269" t="s">
        <v>26</v>
      </c>
      <c r="B269" s="1">
        <v>45192</v>
      </c>
      <c r="C269" t="s">
        <v>25</v>
      </c>
      <c r="D269">
        <v>5.5</v>
      </c>
      <c r="E269">
        <v>0.5</v>
      </c>
      <c r="F269">
        <v>0.6</v>
      </c>
      <c r="G269">
        <v>11</v>
      </c>
      <c r="H269">
        <v>9.1999999999999993</v>
      </c>
      <c r="I269">
        <v>0</v>
      </c>
      <c r="J269">
        <v>0</v>
      </c>
      <c r="K269">
        <v>0</v>
      </c>
      <c r="L269">
        <v>0</v>
      </c>
      <c r="M269">
        <v>0</v>
      </c>
      <c r="N269">
        <v>72891</v>
      </c>
      <c r="O269">
        <v>214123</v>
      </c>
      <c r="P269">
        <v>161728</v>
      </c>
      <c r="Q269">
        <v>4</v>
      </c>
      <c r="R269">
        <v>1</v>
      </c>
      <c r="S269">
        <v>1</v>
      </c>
      <c r="T269">
        <v>18</v>
      </c>
      <c r="U269">
        <v>29</v>
      </c>
    </row>
    <row r="270" spans="1:21" x14ac:dyDescent="0.35">
      <c r="A270" t="s">
        <v>21</v>
      </c>
      <c r="B270" s="1">
        <v>45232</v>
      </c>
      <c r="C270" t="s">
        <v>23</v>
      </c>
      <c r="D270">
        <v>0</v>
      </c>
      <c r="E270">
        <v>0</v>
      </c>
      <c r="F270">
        <v>0.4</v>
      </c>
      <c r="G270">
        <v>0</v>
      </c>
      <c r="H270">
        <v>0</v>
      </c>
      <c r="I270">
        <v>0</v>
      </c>
      <c r="J270">
        <v>0</v>
      </c>
      <c r="K270">
        <v>0</v>
      </c>
      <c r="L270">
        <v>0</v>
      </c>
      <c r="M270">
        <v>0</v>
      </c>
      <c r="N270">
        <v>34058</v>
      </c>
      <c r="O270">
        <v>125536</v>
      </c>
      <c r="P270">
        <v>246859</v>
      </c>
      <c r="Q270">
        <v>0</v>
      </c>
      <c r="R270">
        <v>0</v>
      </c>
      <c r="S270">
        <v>1</v>
      </c>
      <c r="T270">
        <v>50</v>
      </c>
      <c r="U270">
        <v>64</v>
      </c>
    </row>
    <row r="271" spans="1:21" x14ac:dyDescent="0.35">
      <c r="A271" t="s">
        <v>26</v>
      </c>
      <c r="B271" s="1">
        <v>44966</v>
      </c>
      <c r="C271" t="s">
        <v>23</v>
      </c>
      <c r="D271">
        <v>18.600000000000001</v>
      </c>
      <c r="E271">
        <v>3.2</v>
      </c>
      <c r="F271">
        <v>3.2</v>
      </c>
      <c r="G271">
        <v>5.8</v>
      </c>
      <c r="H271">
        <v>5.8</v>
      </c>
      <c r="I271">
        <v>0</v>
      </c>
      <c r="J271">
        <v>0</v>
      </c>
      <c r="K271">
        <v>0</v>
      </c>
      <c r="L271">
        <v>0</v>
      </c>
      <c r="M271">
        <v>0</v>
      </c>
      <c r="N271">
        <v>32314</v>
      </c>
      <c r="O271">
        <v>125722</v>
      </c>
      <c r="P271">
        <v>246940</v>
      </c>
      <c r="Q271">
        <v>6</v>
      </c>
      <c r="R271">
        <v>4</v>
      </c>
      <c r="S271">
        <v>8</v>
      </c>
      <c r="T271">
        <v>50</v>
      </c>
      <c r="U271">
        <v>64</v>
      </c>
    </row>
    <row r="272" spans="1:21" x14ac:dyDescent="0.35">
      <c r="A272" t="s">
        <v>28</v>
      </c>
      <c r="B272" s="1">
        <v>44513</v>
      </c>
      <c r="C272" t="s">
        <v>24</v>
      </c>
      <c r="D272">
        <v>230</v>
      </c>
      <c r="E272">
        <v>0</v>
      </c>
      <c r="F272">
        <v>0</v>
      </c>
      <c r="G272">
        <v>0</v>
      </c>
      <c r="H272">
        <v>0</v>
      </c>
      <c r="I272">
        <v>0</v>
      </c>
      <c r="J272">
        <v>0</v>
      </c>
      <c r="K272">
        <v>0</v>
      </c>
      <c r="L272">
        <v>0</v>
      </c>
      <c r="M272">
        <v>0</v>
      </c>
      <c r="N272">
        <v>180456</v>
      </c>
      <c r="O272">
        <v>0</v>
      </c>
      <c r="P272">
        <v>0</v>
      </c>
      <c r="Q272">
        <v>415</v>
      </c>
      <c r="R272">
        <v>0</v>
      </c>
      <c r="S272">
        <v>0</v>
      </c>
      <c r="T272">
        <v>5</v>
      </c>
      <c r="U272">
        <v>11</v>
      </c>
    </row>
    <row r="273" spans="1:21" x14ac:dyDescent="0.35">
      <c r="A273" t="s">
        <v>26</v>
      </c>
      <c r="B273" s="1">
        <v>44618</v>
      </c>
      <c r="C273" t="s">
        <v>30</v>
      </c>
      <c r="D273">
        <v>18.399999999999999</v>
      </c>
      <c r="E273">
        <v>47.2</v>
      </c>
      <c r="F273">
        <v>7.1</v>
      </c>
      <c r="G273">
        <v>0.4</v>
      </c>
      <c r="H273">
        <v>2.6</v>
      </c>
      <c r="I273">
        <v>0</v>
      </c>
      <c r="J273">
        <v>0</v>
      </c>
      <c r="K273">
        <v>0</v>
      </c>
      <c r="L273">
        <v>0</v>
      </c>
      <c r="M273">
        <v>0</v>
      </c>
      <c r="N273">
        <v>27200</v>
      </c>
      <c r="O273">
        <v>14818</v>
      </c>
      <c r="P273">
        <v>42125</v>
      </c>
      <c r="Q273">
        <v>5</v>
      </c>
      <c r="R273">
        <v>7</v>
      </c>
      <c r="S273">
        <v>3</v>
      </c>
      <c r="T273">
        <v>80</v>
      </c>
      <c r="U273">
        <v>200</v>
      </c>
    </row>
    <row r="274" spans="1:21" x14ac:dyDescent="0.35">
      <c r="A274" t="s">
        <v>28</v>
      </c>
      <c r="B274" s="1">
        <v>44629</v>
      </c>
      <c r="C274" t="s">
        <v>32</v>
      </c>
      <c r="D274">
        <v>115</v>
      </c>
      <c r="E274">
        <v>1.8</v>
      </c>
      <c r="F274">
        <v>0</v>
      </c>
      <c r="G274">
        <v>63.9</v>
      </c>
      <c r="H274">
        <v>0</v>
      </c>
      <c r="I274">
        <v>0</v>
      </c>
      <c r="J274">
        <v>0</v>
      </c>
      <c r="K274">
        <v>0</v>
      </c>
      <c r="L274">
        <v>0</v>
      </c>
      <c r="M274">
        <v>0</v>
      </c>
      <c r="N274">
        <v>162642</v>
      </c>
      <c r="O274">
        <v>0</v>
      </c>
      <c r="P274">
        <v>0</v>
      </c>
      <c r="Q274">
        <v>187</v>
      </c>
      <c r="R274">
        <v>3</v>
      </c>
      <c r="S274">
        <v>0</v>
      </c>
      <c r="T274">
        <v>0</v>
      </c>
      <c r="U274">
        <v>4</v>
      </c>
    </row>
    <row r="275" spans="1:21" x14ac:dyDescent="0.35">
      <c r="A275" t="s">
        <v>26</v>
      </c>
      <c r="B275" s="1">
        <v>44639</v>
      </c>
      <c r="C275" t="s">
        <v>30</v>
      </c>
      <c r="D275">
        <v>11.1</v>
      </c>
      <c r="E275">
        <v>28.2</v>
      </c>
      <c r="F275">
        <v>9.3000000000000007</v>
      </c>
      <c r="G275">
        <v>0.4</v>
      </c>
      <c r="H275">
        <v>1.2</v>
      </c>
      <c r="I275">
        <v>0</v>
      </c>
      <c r="J275">
        <v>0</v>
      </c>
      <c r="K275">
        <v>0</v>
      </c>
      <c r="L275">
        <v>0</v>
      </c>
      <c r="M275">
        <v>0</v>
      </c>
      <c r="N275">
        <v>27097</v>
      </c>
      <c r="O275">
        <v>14172</v>
      </c>
      <c r="P275">
        <v>42943</v>
      </c>
      <c r="Q275">
        <v>3</v>
      </c>
      <c r="R275">
        <v>4</v>
      </c>
      <c r="S275">
        <v>4</v>
      </c>
      <c r="T275">
        <v>80</v>
      </c>
      <c r="U275">
        <v>200</v>
      </c>
    </row>
    <row r="276" spans="1:21" x14ac:dyDescent="0.35">
      <c r="A276" t="s">
        <v>28</v>
      </c>
      <c r="B276" s="1">
        <v>45045</v>
      </c>
      <c r="C276" t="s">
        <v>24</v>
      </c>
      <c r="D276">
        <v>47.3</v>
      </c>
      <c r="E276">
        <v>38.700000000000003</v>
      </c>
      <c r="F276">
        <v>98.9</v>
      </c>
      <c r="G276">
        <v>1.2</v>
      </c>
      <c r="H276">
        <v>0.5</v>
      </c>
      <c r="I276">
        <v>0</v>
      </c>
      <c r="J276">
        <v>0</v>
      </c>
      <c r="K276">
        <v>0</v>
      </c>
      <c r="L276">
        <v>0</v>
      </c>
      <c r="M276">
        <v>0</v>
      </c>
      <c r="N276">
        <v>90894</v>
      </c>
      <c r="O276">
        <v>82652</v>
      </c>
      <c r="P276">
        <v>21236</v>
      </c>
      <c r="Q276">
        <v>43</v>
      </c>
      <c r="R276">
        <v>32</v>
      </c>
      <c r="S276">
        <v>21</v>
      </c>
      <c r="T276">
        <v>5</v>
      </c>
      <c r="U276">
        <v>11</v>
      </c>
    </row>
    <row r="277" spans="1:21" x14ac:dyDescent="0.35">
      <c r="A277" t="s">
        <v>26</v>
      </c>
      <c r="B277" s="1">
        <v>44639</v>
      </c>
      <c r="C277" t="s">
        <v>24</v>
      </c>
      <c r="D277">
        <v>0</v>
      </c>
      <c r="E277">
        <v>1.1000000000000001</v>
      </c>
      <c r="F277">
        <v>0</v>
      </c>
      <c r="G277">
        <v>0</v>
      </c>
      <c r="H277">
        <v>0</v>
      </c>
      <c r="I277">
        <v>0</v>
      </c>
      <c r="J277">
        <v>0</v>
      </c>
      <c r="K277">
        <v>0</v>
      </c>
      <c r="L277">
        <v>0</v>
      </c>
      <c r="M277">
        <v>0</v>
      </c>
      <c r="N277">
        <v>104261</v>
      </c>
      <c r="O277">
        <v>88478</v>
      </c>
      <c r="P277">
        <v>0</v>
      </c>
      <c r="Q277">
        <v>0</v>
      </c>
      <c r="R277">
        <v>1</v>
      </c>
      <c r="S277">
        <v>0</v>
      </c>
      <c r="T277">
        <v>5</v>
      </c>
      <c r="U277">
        <v>11</v>
      </c>
    </row>
    <row r="278" spans="1:21" x14ac:dyDescent="0.35">
      <c r="A278" t="s">
        <v>28</v>
      </c>
      <c r="B278" s="1">
        <v>44940</v>
      </c>
      <c r="C278" t="s">
        <v>31</v>
      </c>
      <c r="D278">
        <v>205.2</v>
      </c>
      <c r="E278">
        <v>124.5</v>
      </c>
      <c r="F278">
        <v>142.69999999999999</v>
      </c>
      <c r="G278">
        <v>1.6</v>
      </c>
      <c r="H278">
        <v>1.4</v>
      </c>
      <c r="I278">
        <v>0</v>
      </c>
      <c r="J278">
        <v>0</v>
      </c>
      <c r="K278">
        <v>0</v>
      </c>
      <c r="L278">
        <v>0</v>
      </c>
      <c r="M278">
        <v>0</v>
      </c>
      <c r="N278">
        <v>40444</v>
      </c>
      <c r="O278">
        <v>43375</v>
      </c>
      <c r="P278">
        <v>171679</v>
      </c>
      <c r="Q278">
        <v>83</v>
      </c>
      <c r="R278">
        <v>54</v>
      </c>
      <c r="S278">
        <v>245</v>
      </c>
      <c r="T278">
        <v>65</v>
      </c>
      <c r="U278">
        <v>79</v>
      </c>
    </row>
    <row r="279" spans="1:21" x14ac:dyDescent="0.35">
      <c r="A279" t="s">
        <v>26</v>
      </c>
      <c r="B279" s="1">
        <v>44611</v>
      </c>
      <c r="C279" t="s">
        <v>25</v>
      </c>
      <c r="D279">
        <v>3.9</v>
      </c>
      <c r="E279">
        <v>1.4</v>
      </c>
      <c r="F279">
        <v>0.8</v>
      </c>
      <c r="G279">
        <v>2.8</v>
      </c>
      <c r="H279">
        <v>4.9000000000000004</v>
      </c>
      <c r="I279">
        <v>0</v>
      </c>
      <c r="J279">
        <v>0</v>
      </c>
      <c r="K279">
        <v>0</v>
      </c>
      <c r="L279">
        <v>0</v>
      </c>
      <c r="M279">
        <v>0</v>
      </c>
      <c r="N279">
        <v>103609</v>
      </c>
      <c r="O279">
        <v>221200</v>
      </c>
      <c r="P279">
        <v>133301</v>
      </c>
      <c r="Q279">
        <v>4</v>
      </c>
      <c r="R279">
        <v>3</v>
      </c>
      <c r="S279">
        <v>1</v>
      </c>
      <c r="T279">
        <v>18</v>
      </c>
      <c r="U279">
        <v>29</v>
      </c>
    </row>
    <row r="280" spans="1:21" x14ac:dyDescent="0.35">
      <c r="A280" t="s">
        <v>28</v>
      </c>
      <c r="B280" s="1">
        <v>44783</v>
      </c>
      <c r="C280" t="s">
        <v>32</v>
      </c>
      <c r="D280">
        <v>45.5</v>
      </c>
      <c r="E280">
        <v>7.4</v>
      </c>
      <c r="F280">
        <v>0</v>
      </c>
      <c r="G280">
        <v>6.1</v>
      </c>
      <c r="H280">
        <v>0</v>
      </c>
      <c r="I280">
        <v>0</v>
      </c>
      <c r="J280">
        <v>0</v>
      </c>
      <c r="K280">
        <v>0</v>
      </c>
      <c r="L280">
        <v>0</v>
      </c>
      <c r="M280">
        <v>0</v>
      </c>
      <c r="N280">
        <v>162642</v>
      </c>
      <c r="O280">
        <v>0</v>
      </c>
      <c r="P280">
        <v>0</v>
      </c>
      <c r="Q280">
        <v>74</v>
      </c>
      <c r="R280">
        <v>12</v>
      </c>
      <c r="S280">
        <v>0</v>
      </c>
      <c r="T280">
        <v>0</v>
      </c>
      <c r="U280">
        <v>4</v>
      </c>
    </row>
    <row r="281" spans="1:21" x14ac:dyDescent="0.35">
      <c r="A281" t="s">
        <v>28</v>
      </c>
      <c r="B281" s="1">
        <v>44358</v>
      </c>
      <c r="C281" t="s">
        <v>22</v>
      </c>
      <c r="D281">
        <v>183.3</v>
      </c>
      <c r="E281">
        <v>73.400000000000006</v>
      </c>
      <c r="F281">
        <v>24.9</v>
      </c>
      <c r="G281">
        <v>2.5</v>
      </c>
      <c r="H281">
        <v>7.4</v>
      </c>
      <c r="I281">
        <v>205.8</v>
      </c>
      <c r="J281">
        <v>60.6</v>
      </c>
      <c r="K281">
        <v>21.5</v>
      </c>
      <c r="L281">
        <v>3.4</v>
      </c>
      <c r="M281">
        <v>9.6</v>
      </c>
      <c r="N281">
        <v>953486</v>
      </c>
      <c r="O281">
        <v>1465628</v>
      </c>
      <c r="P281">
        <v>120427</v>
      </c>
      <c r="Q281">
        <v>1748</v>
      </c>
      <c r="R281">
        <v>1076</v>
      </c>
      <c r="S281">
        <v>30</v>
      </c>
      <c r="T281">
        <v>999</v>
      </c>
      <c r="U281">
        <v>999</v>
      </c>
    </row>
    <row r="282" spans="1:21" x14ac:dyDescent="0.35">
      <c r="A282" t="s">
        <v>28</v>
      </c>
      <c r="B282" s="1">
        <v>44884</v>
      </c>
      <c r="C282" t="s">
        <v>29</v>
      </c>
      <c r="D282">
        <v>186.3</v>
      </c>
      <c r="E282">
        <v>82.7</v>
      </c>
      <c r="F282">
        <v>104</v>
      </c>
      <c r="G282">
        <v>2.2999999999999998</v>
      </c>
      <c r="H282">
        <v>1.8</v>
      </c>
      <c r="I282">
        <v>0</v>
      </c>
      <c r="J282">
        <v>0</v>
      </c>
      <c r="K282">
        <v>0</v>
      </c>
      <c r="L282">
        <v>0</v>
      </c>
      <c r="M282">
        <v>0</v>
      </c>
      <c r="N282">
        <v>115941</v>
      </c>
      <c r="O282">
        <v>276754</v>
      </c>
      <c r="P282">
        <v>347089</v>
      </c>
      <c r="Q282">
        <v>216</v>
      </c>
      <c r="R282">
        <v>229</v>
      </c>
      <c r="S282">
        <v>361</v>
      </c>
      <c r="T282">
        <v>30</v>
      </c>
      <c r="U282">
        <v>49</v>
      </c>
    </row>
    <row r="283" spans="1:21" x14ac:dyDescent="0.35">
      <c r="A283" t="s">
        <v>26</v>
      </c>
      <c r="B283" s="1">
        <v>44473</v>
      </c>
      <c r="C283" t="s">
        <v>29</v>
      </c>
      <c r="D283">
        <v>17.600000000000001</v>
      </c>
      <c r="E283">
        <v>1.6</v>
      </c>
      <c r="F283">
        <v>0</v>
      </c>
      <c r="G283">
        <v>11</v>
      </c>
      <c r="H283">
        <v>0</v>
      </c>
      <c r="I283">
        <v>0</v>
      </c>
      <c r="J283">
        <v>0</v>
      </c>
      <c r="K283">
        <v>0</v>
      </c>
      <c r="L283">
        <v>0</v>
      </c>
      <c r="M283">
        <v>0</v>
      </c>
      <c r="N283">
        <v>455598</v>
      </c>
      <c r="O283">
        <v>123661</v>
      </c>
      <c r="P283">
        <v>0</v>
      </c>
      <c r="Q283">
        <v>80</v>
      </c>
      <c r="R283">
        <v>2</v>
      </c>
      <c r="S283">
        <v>0</v>
      </c>
      <c r="T283">
        <v>30</v>
      </c>
      <c r="U283">
        <v>49</v>
      </c>
    </row>
    <row r="284" spans="1:21" x14ac:dyDescent="0.35">
      <c r="A284" t="s">
        <v>28</v>
      </c>
      <c r="B284" s="1">
        <v>45054</v>
      </c>
      <c r="C284" t="s">
        <v>32</v>
      </c>
      <c r="D284">
        <v>24.6</v>
      </c>
      <c r="E284">
        <v>2.5</v>
      </c>
      <c r="F284">
        <v>0</v>
      </c>
      <c r="G284">
        <v>9.8000000000000007</v>
      </c>
      <c r="H284">
        <v>0</v>
      </c>
      <c r="I284">
        <v>0</v>
      </c>
      <c r="J284">
        <v>0</v>
      </c>
      <c r="K284">
        <v>0</v>
      </c>
      <c r="L284">
        <v>0</v>
      </c>
      <c r="M284">
        <v>0</v>
      </c>
      <c r="N284">
        <v>162642</v>
      </c>
      <c r="O284">
        <v>0</v>
      </c>
      <c r="P284">
        <v>0</v>
      </c>
      <c r="Q284">
        <v>40</v>
      </c>
      <c r="R284">
        <v>4</v>
      </c>
      <c r="S284">
        <v>0</v>
      </c>
      <c r="T284">
        <v>0</v>
      </c>
      <c r="U284">
        <v>4</v>
      </c>
    </row>
    <row r="285" spans="1:21" x14ac:dyDescent="0.35">
      <c r="A285" t="s">
        <v>28</v>
      </c>
      <c r="B285" s="1">
        <v>44871</v>
      </c>
      <c r="C285" t="s">
        <v>23</v>
      </c>
      <c r="D285">
        <v>423.6</v>
      </c>
      <c r="E285">
        <v>155.6</v>
      </c>
      <c r="F285">
        <v>238.1</v>
      </c>
      <c r="G285">
        <v>2.7</v>
      </c>
      <c r="H285">
        <v>1.8</v>
      </c>
      <c r="I285">
        <v>0</v>
      </c>
      <c r="J285">
        <v>0</v>
      </c>
      <c r="K285">
        <v>0</v>
      </c>
      <c r="L285">
        <v>0</v>
      </c>
      <c r="M285">
        <v>0</v>
      </c>
      <c r="N285">
        <v>42493</v>
      </c>
      <c r="O285">
        <v>131079</v>
      </c>
      <c r="P285">
        <v>238179</v>
      </c>
      <c r="Q285">
        <v>180</v>
      </c>
      <c r="R285">
        <v>204</v>
      </c>
      <c r="S285">
        <v>567</v>
      </c>
      <c r="T285">
        <v>50</v>
      </c>
      <c r="U285">
        <v>64</v>
      </c>
    </row>
    <row r="286" spans="1:21" x14ac:dyDescent="0.35">
      <c r="A286" t="s">
        <v>21</v>
      </c>
      <c r="B286" s="1">
        <v>44464</v>
      </c>
      <c r="C286" t="s">
        <v>22</v>
      </c>
      <c r="D286">
        <v>2.6</v>
      </c>
      <c r="E286">
        <v>0.3</v>
      </c>
      <c r="F286">
        <v>0</v>
      </c>
      <c r="G286">
        <v>8.6999999999999993</v>
      </c>
      <c r="H286">
        <v>0</v>
      </c>
      <c r="I286">
        <v>3.8</v>
      </c>
      <c r="J286">
        <v>0.3</v>
      </c>
      <c r="K286">
        <v>0</v>
      </c>
      <c r="L286">
        <v>14.5</v>
      </c>
      <c r="M286">
        <v>0</v>
      </c>
      <c r="N286">
        <v>1021435</v>
      </c>
      <c r="O286">
        <v>1498444</v>
      </c>
      <c r="P286">
        <v>0</v>
      </c>
      <c r="Q286">
        <v>27</v>
      </c>
      <c r="R286">
        <v>5</v>
      </c>
      <c r="S286">
        <v>0</v>
      </c>
      <c r="T286">
        <v>999</v>
      </c>
      <c r="U286">
        <v>999</v>
      </c>
    </row>
    <row r="287" spans="1:21" x14ac:dyDescent="0.35">
      <c r="A287" t="s">
        <v>21</v>
      </c>
      <c r="B287" s="1">
        <v>44548</v>
      </c>
      <c r="C287" t="s">
        <v>23</v>
      </c>
      <c r="D287">
        <v>26.4</v>
      </c>
      <c r="E287">
        <v>1.2</v>
      </c>
      <c r="F287">
        <v>0</v>
      </c>
      <c r="G287">
        <v>22</v>
      </c>
      <c r="H287">
        <v>0</v>
      </c>
      <c r="I287">
        <v>0</v>
      </c>
      <c r="J287">
        <v>0</v>
      </c>
      <c r="K287">
        <v>0</v>
      </c>
      <c r="L287">
        <v>0</v>
      </c>
      <c r="M287">
        <v>0</v>
      </c>
      <c r="N287">
        <v>60515</v>
      </c>
      <c r="O287">
        <v>241221</v>
      </c>
      <c r="P287">
        <v>110556</v>
      </c>
      <c r="Q287">
        <v>16</v>
      </c>
      <c r="R287">
        <v>3</v>
      </c>
      <c r="S287">
        <v>0</v>
      </c>
      <c r="T287">
        <v>50</v>
      </c>
      <c r="U287">
        <v>64</v>
      </c>
    </row>
    <row r="288" spans="1:21" x14ac:dyDescent="0.35">
      <c r="A288" t="s">
        <v>21</v>
      </c>
      <c r="B288" s="1">
        <v>45145</v>
      </c>
      <c r="C288" t="s">
        <v>23</v>
      </c>
      <c r="D288">
        <v>0</v>
      </c>
      <c r="E288">
        <v>0</v>
      </c>
      <c r="F288">
        <v>0</v>
      </c>
      <c r="G288">
        <v>0</v>
      </c>
      <c r="H288">
        <v>0</v>
      </c>
      <c r="I288">
        <v>0</v>
      </c>
      <c r="J288">
        <v>0</v>
      </c>
      <c r="K288">
        <v>0</v>
      </c>
      <c r="L288">
        <v>0</v>
      </c>
      <c r="M288">
        <v>0</v>
      </c>
      <c r="N288">
        <v>32640</v>
      </c>
      <c r="O288">
        <v>125730</v>
      </c>
      <c r="P288">
        <v>246931</v>
      </c>
      <c r="Q288">
        <v>0</v>
      </c>
      <c r="R288">
        <v>0</v>
      </c>
      <c r="S288">
        <v>0</v>
      </c>
      <c r="T288">
        <v>50</v>
      </c>
      <c r="U288">
        <v>64</v>
      </c>
    </row>
    <row r="289" spans="1:21" x14ac:dyDescent="0.35">
      <c r="A289" t="s">
        <v>28</v>
      </c>
      <c r="B289" s="1">
        <v>45059</v>
      </c>
      <c r="C289" t="s">
        <v>27</v>
      </c>
      <c r="D289">
        <v>61.3</v>
      </c>
      <c r="E289">
        <v>20.8</v>
      </c>
      <c r="F289">
        <v>15.7</v>
      </c>
      <c r="G289">
        <v>2.9</v>
      </c>
      <c r="H289">
        <v>3.9</v>
      </c>
      <c r="I289">
        <v>0</v>
      </c>
      <c r="J289">
        <v>0</v>
      </c>
      <c r="K289">
        <v>0</v>
      </c>
      <c r="L289">
        <v>0</v>
      </c>
      <c r="M289">
        <v>0</v>
      </c>
      <c r="N289">
        <v>32614</v>
      </c>
      <c r="O289">
        <v>86583</v>
      </c>
      <c r="P289">
        <v>44576</v>
      </c>
      <c r="Q289">
        <v>20</v>
      </c>
      <c r="R289">
        <v>18</v>
      </c>
      <c r="S289">
        <v>7</v>
      </c>
      <c r="T289">
        <v>12</v>
      </c>
      <c r="U289">
        <v>17</v>
      </c>
    </row>
    <row r="290" spans="1:21" x14ac:dyDescent="0.35">
      <c r="A290" t="s">
        <v>21</v>
      </c>
      <c r="B290" s="1">
        <v>44871</v>
      </c>
      <c r="C290" t="s">
        <v>23</v>
      </c>
      <c r="D290">
        <v>0</v>
      </c>
      <c r="E290">
        <v>0</v>
      </c>
      <c r="F290">
        <v>0</v>
      </c>
      <c r="G290">
        <v>0</v>
      </c>
      <c r="H290">
        <v>0</v>
      </c>
      <c r="I290">
        <v>0</v>
      </c>
      <c r="J290">
        <v>0</v>
      </c>
      <c r="K290">
        <v>0</v>
      </c>
      <c r="L290">
        <v>0</v>
      </c>
      <c r="M290">
        <v>0</v>
      </c>
      <c r="N290">
        <v>42493</v>
      </c>
      <c r="O290">
        <v>131079</v>
      </c>
      <c r="P290">
        <v>238179</v>
      </c>
      <c r="Q290">
        <v>0</v>
      </c>
      <c r="R290">
        <v>0</v>
      </c>
      <c r="S290">
        <v>0</v>
      </c>
      <c r="T290">
        <v>50</v>
      </c>
      <c r="U290">
        <v>64</v>
      </c>
    </row>
    <row r="291" spans="1:21" x14ac:dyDescent="0.35">
      <c r="A291" t="s">
        <v>21</v>
      </c>
      <c r="B291" s="1">
        <v>45241</v>
      </c>
      <c r="C291" t="s">
        <v>27</v>
      </c>
      <c r="D291">
        <v>0</v>
      </c>
      <c r="E291">
        <v>0</v>
      </c>
      <c r="F291">
        <v>0</v>
      </c>
      <c r="G291">
        <v>0</v>
      </c>
      <c r="H291">
        <v>0</v>
      </c>
      <c r="I291">
        <v>0</v>
      </c>
      <c r="J291">
        <v>0</v>
      </c>
      <c r="K291">
        <v>0</v>
      </c>
      <c r="L291">
        <v>0</v>
      </c>
      <c r="M291">
        <v>0</v>
      </c>
      <c r="N291">
        <v>31541</v>
      </c>
      <c r="O291">
        <v>86509</v>
      </c>
      <c r="P291">
        <v>44696</v>
      </c>
      <c r="Q291">
        <v>0</v>
      </c>
      <c r="R291">
        <v>0</v>
      </c>
      <c r="S291">
        <v>0</v>
      </c>
      <c r="T291">
        <v>12</v>
      </c>
      <c r="U291">
        <v>17</v>
      </c>
    </row>
    <row r="292" spans="1:21" x14ac:dyDescent="0.35">
      <c r="A292" t="s">
        <v>26</v>
      </c>
      <c r="B292" s="1">
        <v>44930</v>
      </c>
      <c r="C292" t="s">
        <v>32</v>
      </c>
      <c r="D292">
        <v>1.8</v>
      </c>
      <c r="E292">
        <v>0.6</v>
      </c>
      <c r="F292">
        <v>0</v>
      </c>
      <c r="G292">
        <v>3</v>
      </c>
      <c r="H292">
        <v>0</v>
      </c>
      <c r="I292">
        <v>0</v>
      </c>
      <c r="J292">
        <v>0</v>
      </c>
      <c r="K292">
        <v>0</v>
      </c>
      <c r="L292">
        <v>0</v>
      </c>
      <c r="M292">
        <v>0</v>
      </c>
      <c r="N292">
        <v>162642</v>
      </c>
      <c r="O292">
        <v>0</v>
      </c>
      <c r="P292">
        <v>0</v>
      </c>
      <c r="Q292">
        <v>3</v>
      </c>
      <c r="R292">
        <v>1</v>
      </c>
      <c r="S292">
        <v>0</v>
      </c>
      <c r="T292">
        <v>0</v>
      </c>
      <c r="U292">
        <v>4</v>
      </c>
    </row>
    <row r="293" spans="1:21" x14ac:dyDescent="0.35">
      <c r="A293" t="s">
        <v>26</v>
      </c>
      <c r="B293" s="1">
        <v>44596</v>
      </c>
      <c r="C293" t="s">
        <v>22</v>
      </c>
      <c r="D293">
        <v>2.7</v>
      </c>
      <c r="E293">
        <v>1.6</v>
      </c>
      <c r="F293">
        <v>1.3</v>
      </c>
      <c r="G293">
        <v>1.7</v>
      </c>
      <c r="H293">
        <v>2.1</v>
      </c>
      <c r="I293">
        <v>3.3</v>
      </c>
      <c r="J293">
        <v>1.8</v>
      </c>
      <c r="K293">
        <v>0.9</v>
      </c>
      <c r="L293">
        <v>1.8</v>
      </c>
      <c r="M293">
        <v>3.5</v>
      </c>
      <c r="N293">
        <v>657870</v>
      </c>
      <c r="O293">
        <v>901409</v>
      </c>
      <c r="P293">
        <v>932489</v>
      </c>
      <c r="Q293">
        <v>18</v>
      </c>
      <c r="R293">
        <v>14</v>
      </c>
      <c r="S293">
        <v>12</v>
      </c>
      <c r="T293">
        <v>999</v>
      </c>
      <c r="U293">
        <v>999</v>
      </c>
    </row>
    <row r="294" spans="1:21" x14ac:dyDescent="0.35">
      <c r="A294" t="s">
        <v>21</v>
      </c>
      <c r="B294" s="1">
        <v>44846</v>
      </c>
      <c r="C294" t="s">
        <v>30</v>
      </c>
      <c r="D294">
        <v>8</v>
      </c>
      <c r="E294">
        <v>0</v>
      </c>
      <c r="F294">
        <v>2.1</v>
      </c>
      <c r="G294">
        <v>0</v>
      </c>
      <c r="H294">
        <v>3.8</v>
      </c>
      <c r="I294">
        <v>0</v>
      </c>
      <c r="J294">
        <v>0</v>
      </c>
      <c r="K294">
        <v>0</v>
      </c>
      <c r="L294">
        <v>0</v>
      </c>
      <c r="M294">
        <v>0</v>
      </c>
      <c r="N294">
        <v>24925</v>
      </c>
      <c r="O294">
        <v>11373</v>
      </c>
      <c r="P294">
        <v>47104</v>
      </c>
      <c r="Q294">
        <v>2</v>
      </c>
      <c r="R294">
        <v>0</v>
      </c>
      <c r="S294">
        <v>1</v>
      </c>
      <c r="T294">
        <v>80</v>
      </c>
      <c r="U294">
        <v>200</v>
      </c>
    </row>
    <row r="295" spans="1:21" x14ac:dyDescent="0.35">
      <c r="A295" t="s">
        <v>21</v>
      </c>
      <c r="B295" s="1">
        <v>44800</v>
      </c>
      <c r="C295" t="s">
        <v>25</v>
      </c>
      <c r="D295">
        <v>0</v>
      </c>
      <c r="E295">
        <v>0.5</v>
      </c>
      <c r="F295">
        <v>0</v>
      </c>
      <c r="G295">
        <v>0</v>
      </c>
      <c r="H295">
        <v>0</v>
      </c>
      <c r="I295">
        <v>0</v>
      </c>
      <c r="J295">
        <v>0</v>
      </c>
      <c r="K295">
        <v>0</v>
      </c>
      <c r="L295">
        <v>0</v>
      </c>
      <c r="M295">
        <v>0</v>
      </c>
      <c r="N295">
        <v>91147</v>
      </c>
      <c r="O295">
        <v>211921</v>
      </c>
      <c r="P295">
        <v>160373</v>
      </c>
      <c r="Q295">
        <v>0</v>
      </c>
      <c r="R295">
        <v>1</v>
      </c>
      <c r="S295">
        <v>0</v>
      </c>
      <c r="T295">
        <v>18</v>
      </c>
      <c r="U295">
        <v>29</v>
      </c>
    </row>
    <row r="296" spans="1:21" x14ac:dyDescent="0.35">
      <c r="A296" t="s">
        <v>26</v>
      </c>
      <c r="B296" s="1">
        <v>44828</v>
      </c>
      <c r="C296" t="s">
        <v>32</v>
      </c>
      <c r="D296">
        <v>2.5</v>
      </c>
      <c r="E296">
        <v>0</v>
      </c>
      <c r="F296">
        <v>0</v>
      </c>
      <c r="G296">
        <v>0</v>
      </c>
      <c r="H296">
        <v>0</v>
      </c>
      <c r="I296">
        <v>0</v>
      </c>
      <c r="J296">
        <v>0</v>
      </c>
      <c r="K296">
        <v>0</v>
      </c>
      <c r="L296">
        <v>0</v>
      </c>
      <c r="M296">
        <v>0</v>
      </c>
      <c r="N296">
        <v>162642</v>
      </c>
      <c r="O296">
        <v>0</v>
      </c>
      <c r="P296">
        <v>0</v>
      </c>
      <c r="Q296">
        <v>4</v>
      </c>
      <c r="R296">
        <v>0</v>
      </c>
      <c r="S296">
        <v>0</v>
      </c>
      <c r="T296">
        <v>0</v>
      </c>
      <c r="U296">
        <v>4</v>
      </c>
    </row>
    <row r="297" spans="1:21" x14ac:dyDescent="0.35">
      <c r="A297" t="s">
        <v>21</v>
      </c>
      <c r="B297" s="1">
        <v>44709</v>
      </c>
      <c r="C297" t="s">
        <v>31</v>
      </c>
      <c r="D297">
        <v>2.1</v>
      </c>
      <c r="E297">
        <v>0</v>
      </c>
      <c r="F297">
        <v>0</v>
      </c>
      <c r="G297">
        <v>0</v>
      </c>
      <c r="H297">
        <v>0</v>
      </c>
      <c r="I297">
        <v>0</v>
      </c>
      <c r="J297">
        <v>0</v>
      </c>
      <c r="K297">
        <v>0</v>
      </c>
      <c r="L297">
        <v>0</v>
      </c>
      <c r="M297">
        <v>0</v>
      </c>
      <c r="N297">
        <v>47077</v>
      </c>
      <c r="O297">
        <v>47959</v>
      </c>
      <c r="P297">
        <v>164773</v>
      </c>
      <c r="Q297">
        <v>1</v>
      </c>
      <c r="R297">
        <v>0</v>
      </c>
      <c r="S297">
        <v>0</v>
      </c>
      <c r="T297">
        <v>65</v>
      </c>
      <c r="U297">
        <v>79</v>
      </c>
    </row>
    <row r="298" spans="1:21" x14ac:dyDescent="0.35">
      <c r="A298" t="s">
        <v>26</v>
      </c>
      <c r="B298" s="1">
        <v>45220</v>
      </c>
      <c r="C298" t="s">
        <v>27</v>
      </c>
      <c r="D298">
        <v>0</v>
      </c>
      <c r="E298">
        <v>2.2999999999999998</v>
      </c>
      <c r="F298">
        <v>0</v>
      </c>
      <c r="G298">
        <v>0</v>
      </c>
      <c r="H298">
        <v>0</v>
      </c>
      <c r="I298">
        <v>0</v>
      </c>
      <c r="J298">
        <v>0</v>
      </c>
      <c r="K298">
        <v>0</v>
      </c>
      <c r="L298">
        <v>0</v>
      </c>
      <c r="M298">
        <v>0</v>
      </c>
      <c r="N298">
        <v>31619</v>
      </c>
      <c r="O298">
        <v>86566</v>
      </c>
      <c r="P298">
        <v>44615</v>
      </c>
      <c r="Q298">
        <v>0</v>
      </c>
      <c r="R298">
        <v>2</v>
      </c>
      <c r="S298">
        <v>0</v>
      </c>
      <c r="T298">
        <v>12</v>
      </c>
      <c r="U298">
        <v>17</v>
      </c>
    </row>
    <row r="299" spans="1:21" x14ac:dyDescent="0.35">
      <c r="A299" t="s">
        <v>21</v>
      </c>
      <c r="B299" s="1">
        <v>44464</v>
      </c>
      <c r="C299" t="s">
        <v>23</v>
      </c>
      <c r="D299">
        <v>7.4</v>
      </c>
      <c r="E299">
        <v>0.3</v>
      </c>
      <c r="F299">
        <v>0</v>
      </c>
      <c r="G299">
        <v>24.7</v>
      </c>
      <c r="H299">
        <v>0</v>
      </c>
      <c r="I299">
        <v>0</v>
      </c>
      <c r="J299">
        <v>0</v>
      </c>
      <c r="K299">
        <v>0</v>
      </c>
      <c r="L299">
        <v>0</v>
      </c>
      <c r="M299">
        <v>0</v>
      </c>
      <c r="N299">
        <v>80946</v>
      </c>
      <c r="O299">
        <v>328443</v>
      </c>
      <c r="P299">
        <v>0</v>
      </c>
      <c r="Q299">
        <v>6</v>
      </c>
      <c r="R299">
        <v>1</v>
      </c>
      <c r="S299">
        <v>0</v>
      </c>
      <c r="T299">
        <v>50</v>
      </c>
      <c r="U299">
        <v>64</v>
      </c>
    </row>
    <row r="300" spans="1:21" x14ac:dyDescent="0.35">
      <c r="A300" t="s">
        <v>21</v>
      </c>
      <c r="B300" s="1">
        <v>45031</v>
      </c>
      <c r="C300" t="s">
        <v>29</v>
      </c>
      <c r="D300">
        <v>0</v>
      </c>
      <c r="E300">
        <v>0</v>
      </c>
      <c r="F300">
        <v>0</v>
      </c>
      <c r="G300">
        <v>0</v>
      </c>
      <c r="H300">
        <v>0</v>
      </c>
      <c r="I300">
        <v>0</v>
      </c>
      <c r="J300">
        <v>0</v>
      </c>
      <c r="K300">
        <v>0</v>
      </c>
      <c r="L300">
        <v>0</v>
      </c>
      <c r="M300">
        <v>0</v>
      </c>
      <c r="N300">
        <v>109559</v>
      </c>
      <c r="O300">
        <v>278257</v>
      </c>
      <c r="P300">
        <v>347286</v>
      </c>
      <c r="Q300">
        <v>0</v>
      </c>
      <c r="R300">
        <v>0</v>
      </c>
      <c r="S300">
        <v>0</v>
      </c>
      <c r="T300">
        <v>30</v>
      </c>
      <c r="U300">
        <v>49</v>
      </c>
    </row>
    <row r="301" spans="1:21" x14ac:dyDescent="0.35">
      <c r="A301" t="s">
        <v>26</v>
      </c>
      <c r="B301" s="1">
        <v>45010</v>
      </c>
      <c r="C301" t="s">
        <v>27</v>
      </c>
      <c r="D301">
        <v>0</v>
      </c>
      <c r="E301">
        <v>1.2</v>
      </c>
      <c r="F301">
        <v>2.2000000000000002</v>
      </c>
      <c r="G301">
        <v>0</v>
      </c>
      <c r="H301">
        <v>0</v>
      </c>
      <c r="I301">
        <v>0</v>
      </c>
      <c r="J301">
        <v>0</v>
      </c>
      <c r="K301">
        <v>0</v>
      </c>
      <c r="L301">
        <v>0</v>
      </c>
      <c r="M301">
        <v>0</v>
      </c>
      <c r="N301">
        <v>32972</v>
      </c>
      <c r="O301">
        <v>86480</v>
      </c>
      <c r="P301">
        <v>44563</v>
      </c>
      <c r="Q301">
        <v>0</v>
      </c>
      <c r="R301">
        <v>1</v>
      </c>
      <c r="S301">
        <v>1</v>
      </c>
      <c r="T301">
        <v>12</v>
      </c>
      <c r="U301">
        <v>17</v>
      </c>
    </row>
    <row r="302" spans="1:21" x14ac:dyDescent="0.35">
      <c r="A302" t="s">
        <v>28</v>
      </c>
      <c r="B302" s="1">
        <v>44720</v>
      </c>
      <c r="C302" t="s">
        <v>29</v>
      </c>
      <c r="D302">
        <v>312</v>
      </c>
      <c r="E302">
        <v>163.19999999999999</v>
      </c>
      <c r="F302">
        <v>238.8</v>
      </c>
      <c r="G302">
        <v>1.9</v>
      </c>
      <c r="H302">
        <v>1.3</v>
      </c>
      <c r="I302">
        <v>0</v>
      </c>
      <c r="J302">
        <v>0</v>
      </c>
      <c r="K302">
        <v>0</v>
      </c>
      <c r="L302">
        <v>0</v>
      </c>
      <c r="M302">
        <v>0</v>
      </c>
      <c r="N302">
        <v>126294</v>
      </c>
      <c r="O302">
        <v>278159</v>
      </c>
      <c r="P302">
        <v>343405</v>
      </c>
      <c r="Q302">
        <v>394</v>
      </c>
      <c r="R302">
        <v>454</v>
      </c>
      <c r="S302">
        <v>820</v>
      </c>
      <c r="T302">
        <v>30</v>
      </c>
      <c r="U302">
        <v>49</v>
      </c>
    </row>
    <row r="303" spans="1:21" x14ac:dyDescent="0.35">
      <c r="A303" t="s">
        <v>28</v>
      </c>
      <c r="B303" s="1">
        <v>45241</v>
      </c>
      <c r="C303" t="s">
        <v>25</v>
      </c>
      <c r="D303">
        <v>79.900000000000006</v>
      </c>
      <c r="E303">
        <v>20.399999999999999</v>
      </c>
      <c r="F303">
        <v>16</v>
      </c>
      <c r="G303">
        <v>3.9</v>
      </c>
      <c r="H303">
        <v>5</v>
      </c>
      <c r="I303">
        <v>0</v>
      </c>
      <c r="J303">
        <v>0</v>
      </c>
      <c r="K303">
        <v>0</v>
      </c>
      <c r="L303">
        <v>0</v>
      </c>
      <c r="M303">
        <v>0</v>
      </c>
      <c r="N303">
        <v>68798</v>
      </c>
      <c r="O303">
        <v>215294</v>
      </c>
      <c r="P303">
        <v>162511</v>
      </c>
      <c r="Q303">
        <v>55</v>
      </c>
      <c r="R303">
        <v>44</v>
      </c>
      <c r="S303">
        <v>26</v>
      </c>
      <c r="T303">
        <v>18</v>
      </c>
      <c r="U303">
        <v>29</v>
      </c>
    </row>
    <row r="304" spans="1:21" x14ac:dyDescent="0.35">
      <c r="A304" t="s">
        <v>21</v>
      </c>
      <c r="B304" s="1">
        <v>44310</v>
      </c>
      <c r="C304" t="s">
        <v>25</v>
      </c>
      <c r="D304">
        <v>0.3</v>
      </c>
      <c r="E304">
        <v>0</v>
      </c>
      <c r="F304">
        <v>0</v>
      </c>
      <c r="G304">
        <v>0</v>
      </c>
      <c r="H304">
        <v>0</v>
      </c>
      <c r="I304">
        <v>0</v>
      </c>
      <c r="J304">
        <v>0</v>
      </c>
      <c r="K304">
        <v>0</v>
      </c>
      <c r="L304">
        <v>0</v>
      </c>
      <c r="M304">
        <v>0</v>
      </c>
      <c r="N304">
        <v>301150</v>
      </c>
      <c r="O304">
        <v>85550</v>
      </c>
      <c r="P304">
        <v>0</v>
      </c>
      <c r="Q304">
        <v>1</v>
      </c>
      <c r="R304">
        <v>0</v>
      </c>
      <c r="S304">
        <v>0</v>
      </c>
      <c r="T304">
        <v>18</v>
      </c>
      <c r="U304">
        <v>29</v>
      </c>
    </row>
    <row r="305" spans="1:21" x14ac:dyDescent="0.35">
      <c r="A305" t="s">
        <v>21</v>
      </c>
      <c r="B305" s="1">
        <v>44906</v>
      </c>
      <c r="C305" t="s">
        <v>23</v>
      </c>
      <c r="D305">
        <v>0</v>
      </c>
      <c r="E305">
        <v>0.8</v>
      </c>
      <c r="F305">
        <v>0</v>
      </c>
      <c r="G305">
        <v>0</v>
      </c>
      <c r="H305">
        <v>0</v>
      </c>
      <c r="I305">
        <v>0</v>
      </c>
      <c r="J305">
        <v>0</v>
      </c>
      <c r="K305">
        <v>0</v>
      </c>
      <c r="L305">
        <v>0</v>
      </c>
      <c r="M305">
        <v>0</v>
      </c>
      <c r="N305">
        <v>36564</v>
      </c>
      <c r="O305">
        <v>125287</v>
      </c>
      <c r="P305">
        <v>246697</v>
      </c>
      <c r="Q305">
        <v>0</v>
      </c>
      <c r="R305">
        <v>1</v>
      </c>
      <c r="S305">
        <v>0</v>
      </c>
      <c r="T305">
        <v>50</v>
      </c>
      <c r="U305">
        <v>64</v>
      </c>
    </row>
    <row r="306" spans="1:21" x14ac:dyDescent="0.35">
      <c r="A306" t="s">
        <v>28</v>
      </c>
      <c r="B306" s="1">
        <v>45129</v>
      </c>
      <c r="C306" t="s">
        <v>27</v>
      </c>
      <c r="D306">
        <v>15.6</v>
      </c>
      <c r="E306">
        <v>2.2999999999999998</v>
      </c>
      <c r="F306">
        <v>2.2000000000000002</v>
      </c>
      <c r="G306">
        <v>6.8</v>
      </c>
      <c r="H306">
        <v>7.1</v>
      </c>
      <c r="I306">
        <v>0</v>
      </c>
      <c r="J306">
        <v>0</v>
      </c>
      <c r="K306">
        <v>0</v>
      </c>
      <c r="L306">
        <v>0</v>
      </c>
      <c r="M306">
        <v>0</v>
      </c>
      <c r="N306">
        <v>32134</v>
      </c>
      <c r="O306">
        <v>86577</v>
      </c>
      <c r="P306">
        <v>44590</v>
      </c>
      <c r="Q306">
        <v>5</v>
      </c>
      <c r="R306">
        <v>2</v>
      </c>
      <c r="S306">
        <v>1</v>
      </c>
      <c r="T306">
        <v>12</v>
      </c>
      <c r="U306">
        <v>17</v>
      </c>
    </row>
    <row r="307" spans="1:21" x14ac:dyDescent="0.35">
      <c r="A307" t="s">
        <v>26</v>
      </c>
      <c r="B307" s="1">
        <v>44639</v>
      </c>
      <c r="C307" t="s">
        <v>23</v>
      </c>
      <c r="D307">
        <v>10.9</v>
      </c>
      <c r="E307">
        <v>2.8</v>
      </c>
      <c r="F307">
        <v>0.4</v>
      </c>
      <c r="G307">
        <v>3.9</v>
      </c>
      <c r="H307">
        <v>27.2</v>
      </c>
      <c r="I307">
        <v>0</v>
      </c>
      <c r="J307">
        <v>0</v>
      </c>
      <c r="K307">
        <v>0</v>
      </c>
      <c r="L307">
        <v>0</v>
      </c>
      <c r="M307">
        <v>0</v>
      </c>
      <c r="N307">
        <v>45704</v>
      </c>
      <c r="O307">
        <v>140906</v>
      </c>
      <c r="P307">
        <v>224298</v>
      </c>
      <c r="Q307">
        <v>5</v>
      </c>
      <c r="R307">
        <v>4</v>
      </c>
      <c r="S307">
        <v>1</v>
      </c>
      <c r="T307">
        <v>50</v>
      </c>
      <c r="U307">
        <v>64</v>
      </c>
    </row>
    <row r="308" spans="1:21" x14ac:dyDescent="0.35">
      <c r="A308" t="s">
        <v>28</v>
      </c>
      <c r="B308" s="1">
        <v>44303</v>
      </c>
      <c r="C308" t="s">
        <v>31</v>
      </c>
      <c r="D308">
        <v>125</v>
      </c>
      <c r="E308">
        <v>20.9</v>
      </c>
      <c r="F308">
        <v>0</v>
      </c>
      <c r="G308">
        <v>6</v>
      </c>
      <c r="H308">
        <v>0</v>
      </c>
      <c r="I308">
        <v>0</v>
      </c>
      <c r="J308">
        <v>0</v>
      </c>
      <c r="K308">
        <v>0</v>
      </c>
      <c r="L308">
        <v>0</v>
      </c>
      <c r="M308">
        <v>0</v>
      </c>
      <c r="N308">
        <v>94416</v>
      </c>
      <c r="O308">
        <v>124678</v>
      </c>
      <c r="P308">
        <v>0</v>
      </c>
      <c r="Q308">
        <v>118</v>
      </c>
      <c r="R308">
        <v>26</v>
      </c>
      <c r="S308">
        <v>0</v>
      </c>
      <c r="T308">
        <v>65</v>
      </c>
      <c r="U308">
        <v>79</v>
      </c>
    </row>
    <row r="309" spans="1:21" x14ac:dyDescent="0.35">
      <c r="A309" t="s">
        <v>28</v>
      </c>
      <c r="B309" s="1">
        <v>44373</v>
      </c>
      <c r="C309" t="s">
        <v>27</v>
      </c>
      <c r="D309">
        <v>11.7</v>
      </c>
      <c r="E309">
        <v>0</v>
      </c>
      <c r="F309">
        <v>0</v>
      </c>
      <c r="G309">
        <v>0</v>
      </c>
      <c r="H309">
        <v>0</v>
      </c>
      <c r="I309">
        <v>0</v>
      </c>
      <c r="J309">
        <v>0</v>
      </c>
      <c r="K309">
        <v>0</v>
      </c>
      <c r="L309">
        <v>0</v>
      </c>
      <c r="M309">
        <v>0</v>
      </c>
      <c r="N309">
        <v>111069</v>
      </c>
      <c r="O309">
        <v>39779</v>
      </c>
      <c r="P309">
        <v>0</v>
      </c>
      <c r="Q309">
        <v>13</v>
      </c>
      <c r="R309">
        <v>0</v>
      </c>
      <c r="S309">
        <v>0</v>
      </c>
      <c r="T309">
        <v>12</v>
      </c>
      <c r="U309">
        <v>17</v>
      </c>
    </row>
    <row r="310" spans="1:21" x14ac:dyDescent="0.35">
      <c r="A310" t="s">
        <v>26</v>
      </c>
      <c r="B310" s="1">
        <v>44667</v>
      </c>
      <c r="C310" t="s">
        <v>24</v>
      </c>
      <c r="D310">
        <v>0</v>
      </c>
      <c r="E310">
        <v>0</v>
      </c>
      <c r="F310">
        <v>0</v>
      </c>
      <c r="G310">
        <v>0</v>
      </c>
      <c r="H310">
        <v>0</v>
      </c>
      <c r="I310">
        <v>0</v>
      </c>
      <c r="J310">
        <v>0</v>
      </c>
      <c r="K310">
        <v>0</v>
      </c>
      <c r="L310">
        <v>0</v>
      </c>
      <c r="M310">
        <v>0</v>
      </c>
      <c r="N310">
        <v>102695</v>
      </c>
      <c r="O310">
        <v>92456</v>
      </c>
      <c r="P310">
        <v>0</v>
      </c>
      <c r="Q310">
        <v>0</v>
      </c>
      <c r="R310">
        <v>0</v>
      </c>
      <c r="S310">
        <v>0</v>
      </c>
      <c r="T310">
        <v>5</v>
      </c>
      <c r="U310">
        <v>11</v>
      </c>
    </row>
    <row r="311" spans="1:21" x14ac:dyDescent="0.35">
      <c r="A311" t="s">
        <v>28</v>
      </c>
      <c r="B311" s="1">
        <v>44562</v>
      </c>
      <c r="C311" t="s">
        <v>30</v>
      </c>
      <c r="D311">
        <v>1063.3</v>
      </c>
      <c r="E311">
        <v>1662.4</v>
      </c>
      <c r="F311">
        <v>638.4</v>
      </c>
      <c r="G311">
        <v>0.6</v>
      </c>
      <c r="H311">
        <v>1.7</v>
      </c>
      <c r="I311">
        <v>0</v>
      </c>
      <c r="J311">
        <v>0</v>
      </c>
      <c r="K311">
        <v>0</v>
      </c>
      <c r="L311">
        <v>0</v>
      </c>
      <c r="M311">
        <v>0</v>
      </c>
      <c r="N311">
        <v>27932</v>
      </c>
      <c r="O311">
        <v>20693</v>
      </c>
      <c r="P311">
        <v>35560</v>
      </c>
      <c r="Q311">
        <v>297</v>
      </c>
      <c r="R311">
        <v>344</v>
      </c>
      <c r="S311">
        <v>227</v>
      </c>
      <c r="T311">
        <v>80</v>
      </c>
      <c r="U311">
        <v>200</v>
      </c>
    </row>
    <row r="312" spans="1:21" x14ac:dyDescent="0.35">
      <c r="A312" t="s">
        <v>21</v>
      </c>
      <c r="B312" s="1">
        <v>44954</v>
      </c>
      <c r="C312" t="s">
        <v>29</v>
      </c>
      <c r="D312">
        <v>0</v>
      </c>
      <c r="E312">
        <v>0</v>
      </c>
      <c r="F312">
        <v>0</v>
      </c>
      <c r="G312">
        <v>0</v>
      </c>
      <c r="H312">
        <v>0</v>
      </c>
      <c r="I312">
        <v>0</v>
      </c>
      <c r="J312">
        <v>0</v>
      </c>
      <c r="K312">
        <v>0</v>
      </c>
      <c r="L312">
        <v>0</v>
      </c>
      <c r="M312">
        <v>0</v>
      </c>
      <c r="N312">
        <v>111793</v>
      </c>
      <c r="O312">
        <v>277548</v>
      </c>
      <c r="P312">
        <v>347231</v>
      </c>
      <c r="Q312">
        <v>0</v>
      </c>
      <c r="R312">
        <v>0</v>
      </c>
      <c r="S312">
        <v>0</v>
      </c>
      <c r="T312">
        <v>30</v>
      </c>
      <c r="U312">
        <v>49</v>
      </c>
    </row>
    <row r="313" spans="1:21" x14ac:dyDescent="0.35">
      <c r="A313" t="s">
        <v>21</v>
      </c>
      <c r="B313" s="1">
        <v>44747</v>
      </c>
      <c r="C313" t="s">
        <v>23</v>
      </c>
      <c r="D313">
        <v>0</v>
      </c>
      <c r="E313">
        <v>0</v>
      </c>
      <c r="F313">
        <v>0.4</v>
      </c>
      <c r="G313">
        <v>0</v>
      </c>
      <c r="H313">
        <v>0</v>
      </c>
      <c r="I313">
        <v>0</v>
      </c>
      <c r="J313">
        <v>0</v>
      </c>
      <c r="K313">
        <v>0</v>
      </c>
      <c r="L313">
        <v>0</v>
      </c>
      <c r="M313">
        <v>0</v>
      </c>
      <c r="N313">
        <v>43830</v>
      </c>
      <c r="O313">
        <v>134524</v>
      </c>
      <c r="P313">
        <v>233206</v>
      </c>
      <c r="Q313">
        <v>0</v>
      </c>
      <c r="R313">
        <v>0</v>
      </c>
      <c r="S313">
        <v>1</v>
      </c>
      <c r="T313">
        <v>50</v>
      </c>
      <c r="U313">
        <v>64</v>
      </c>
    </row>
    <row r="314" spans="1:21" x14ac:dyDescent="0.35">
      <c r="A314" t="s">
        <v>26</v>
      </c>
      <c r="B314" s="1">
        <v>44366</v>
      </c>
      <c r="C314" t="s">
        <v>29</v>
      </c>
      <c r="D314">
        <v>4.0999999999999996</v>
      </c>
      <c r="E314">
        <v>0.2</v>
      </c>
      <c r="F314">
        <v>0</v>
      </c>
      <c r="G314">
        <v>20.5</v>
      </c>
      <c r="H314">
        <v>0</v>
      </c>
      <c r="I314">
        <v>0</v>
      </c>
      <c r="J314">
        <v>0</v>
      </c>
      <c r="K314">
        <v>0</v>
      </c>
      <c r="L314">
        <v>0</v>
      </c>
      <c r="M314">
        <v>0</v>
      </c>
      <c r="N314">
        <v>294504</v>
      </c>
      <c r="O314">
        <v>450450</v>
      </c>
      <c r="P314">
        <v>0</v>
      </c>
      <c r="Q314">
        <v>12</v>
      </c>
      <c r="R314">
        <v>1</v>
      </c>
      <c r="S314">
        <v>0</v>
      </c>
      <c r="T314">
        <v>30</v>
      </c>
      <c r="U314">
        <v>49</v>
      </c>
    </row>
    <row r="315" spans="1:21" x14ac:dyDescent="0.35">
      <c r="A315" t="s">
        <v>28</v>
      </c>
      <c r="B315" s="1">
        <v>44933</v>
      </c>
      <c r="C315" t="s">
        <v>25</v>
      </c>
      <c r="D315">
        <v>6.7</v>
      </c>
      <c r="E315">
        <v>5.0999999999999996</v>
      </c>
      <c r="F315">
        <v>11.1</v>
      </c>
      <c r="G315">
        <v>1.3</v>
      </c>
      <c r="H315">
        <v>0.6</v>
      </c>
      <c r="I315">
        <v>0</v>
      </c>
      <c r="J315">
        <v>0</v>
      </c>
      <c r="K315">
        <v>0</v>
      </c>
      <c r="L315">
        <v>0</v>
      </c>
      <c r="M315">
        <v>0</v>
      </c>
      <c r="N315">
        <v>74266</v>
      </c>
      <c r="O315">
        <v>214137</v>
      </c>
      <c r="P315">
        <v>161703</v>
      </c>
      <c r="Q315">
        <v>5</v>
      </c>
      <c r="R315">
        <v>11</v>
      </c>
      <c r="S315">
        <v>18</v>
      </c>
      <c r="T315">
        <v>18</v>
      </c>
      <c r="U315">
        <v>29</v>
      </c>
    </row>
    <row r="316" spans="1:21" x14ac:dyDescent="0.35">
      <c r="A316" t="s">
        <v>21</v>
      </c>
      <c r="B316" s="1">
        <v>45003</v>
      </c>
      <c r="C316" t="s">
        <v>31</v>
      </c>
      <c r="D316">
        <v>0</v>
      </c>
      <c r="E316">
        <v>0</v>
      </c>
      <c r="F316">
        <v>1.2</v>
      </c>
      <c r="G316">
        <v>0</v>
      </c>
      <c r="H316">
        <v>0</v>
      </c>
      <c r="I316">
        <v>0</v>
      </c>
      <c r="J316">
        <v>0</v>
      </c>
      <c r="K316">
        <v>0</v>
      </c>
      <c r="L316">
        <v>0</v>
      </c>
      <c r="M316">
        <v>0</v>
      </c>
      <c r="N316">
        <v>39970</v>
      </c>
      <c r="O316">
        <v>43416</v>
      </c>
      <c r="P316">
        <v>171710</v>
      </c>
      <c r="Q316">
        <v>0</v>
      </c>
      <c r="R316">
        <v>0</v>
      </c>
      <c r="S316">
        <v>2</v>
      </c>
      <c r="T316">
        <v>65</v>
      </c>
      <c r="U316">
        <v>79</v>
      </c>
    </row>
    <row r="317" spans="1:21" x14ac:dyDescent="0.35">
      <c r="A317" t="s">
        <v>21</v>
      </c>
      <c r="B317" s="1">
        <v>44548</v>
      </c>
      <c r="C317" t="s">
        <v>31</v>
      </c>
      <c r="D317">
        <v>35.5</v>
      </c>
      <c r="E317">
        <v>7.4</v>
      </c>
      <c r="F317">
        <v>0</v>
      </c>
      <c r="G317">
        <v>4.8</v>
      </c>
      <c r="H317">
        <v>0</v>
      </c>
      <c r="I317">
        <v>0</v>
      </c>
      <c r="J317">
        <v>0</v>
      </c>
      <c r="K317">
        <v>0</v>
      </c>
      <c r="L317">
        <v>0</v>
      </c>
      <c r="M317">
        <v>0</v>
      </c>
      <c r="N317">
        <v>53484</v>
      </c>
      <c r="O317">
        <v>94857</v>
      </c>
      <c r="P317">
        <v>110903</v>
      </c>
      <c r="Q317">
        <v>19</v>
      </c>
      <c r="R317">
        <v>7</v>
      </c>
      <c r="S317">
        <v>0</v>
      </c>
      <c r="T317">
        <v>65</v>
      </c>
      <c r="U317">
        <v>79</v>
      </c>
    </row>
    <row r="318" spans="1:21" x14ac:dyDescent="0.35">
      <c r="A318" t="s">
        <v>28</v>
      </c>
      <c r="B318" s="1">
        <v>44709</v>
      </c>
      <c r="C318" t="s">
        <v>22</v>
      </c>
      <c r="D318">
        <v>304.39999999999998</v>
      </c>
      <c r="E318">
        <v>214.4</v>
      </c>
      <c r="F318">
        <v>333.7</v>
      </c>
      <c r="G318">
        <v>1.4</v>
      </c>
      <c r="H318">
        <v>0.9</v>
      </c>
      <c r="I318">
        <v>343.4</v>
      </c>
      <c r="J318">
        <v>200.3</v>
      </c>
      <c r="K318">
        <v>361.7</v>
      </c>
      <c r="L318">
        <v>1.7</v>
      </c>
      <c r="M318">
        <v>0.9</v>
      </c>
      <c r="N318">
        <v>643200</v>
      </c>
      <c r="O318">
        <v>881598</v>
      </c>
      <c r="P318">
        <v>969242</v>
      </c>
      <c r="Q318">
        <v>1958</v>
      </c>
      <c r="R318">
        <v>1890</v>
      </c>
      <c r="S318">
        <v>3234</v>
      </c>
      <c r="T318">
        <v>999</v>
      </c>
      <c r="U318">
        <v>999</v>
      </c>
    </row>
    <row r="319" spans="1:21" x14ac:dyDescent="0.35">
      <c r="A319" t="s">
        <v>26</v>
      </c>
      <c r="B319" s="1">
        <v>44583</v>
      </c>
      <c r="C319" t="s">
        <v>31</v>
      </c>
      <c r="D319">
        <v>176.3</v>
      </c>
      <c r="E319">
        <v>121.2</v>
      </c>
      <c r="F319">
        <v>30.3</v>
      </c>
      <c r="G319">
        <v>1.5</v>
      </c>
      <c r="H319">
        <v>5.8</v>
      </c>
      <c r="I319">
        <v>0</v>
      </c>
      <c r="J319">
        <v>0</v>
      </c>
      <c r="K319">
        <v>0</v>
      </c>
      <c r="L319">
        <v>0</v>
      </c>
      <c r="M319">
        <v>0</v>
      </c>
      <c r="N319">
        <v>50480</v>
      </c>
      <c r="O319">
        <v>66009</v>
      </c>
      <c r="P319">
        <v>141953</v>
      </c>
      <c r="Q319">
        <v>89</v>
      </c>
      <c r="R319">
        <v>80</v>
      </c>
      <c r="S319">
        <v>43</v>
      </c>
      <c r="T319">
        <v>65</v>
      </c>
      <c r="U319">
        <v>79</v>
      </c>
    </row>
    <row r="320" spans="1:21" x14ac:dyDescent="0.35">
      <c r="A320" t="s">
        <v>21</v>
      </c>
      <c r="B320" s="1">
        <v>44555</v>
      </c>
      <c r="C320" t="s">
        <v>30</v>
      </c>
      <c r="D320">
        <v>67.7</v>
      </c>
      <c r="E320">
        <v>35.299999999999997</v>
      </c>
      <c r="F320">
        <v>3</v>
      </c>
      <c r="G320">
        <v>1.9</v>
      </c>
      <c r="H320">
        <v>22.6</v>
      </c>
      <c r="I320">
        <v>0</v>
      </c>
      <c r="J320">
        <v>0</v>
      </c>
      <c r="K320">
        <v>0</v>
      </c>
      <c r="L320">
        <v>0</v>
      </c>
      <c r="M320">
        <v>0</v>
      </c>
      <c r="N320">
        <v>28067</v>
      </c>
      <c r="O320">
        <v>22679</v>
      </c>
      <c r="P320">
        <v>33427</v>
      </c>
      <c r="Q320">
        <v>19</v>
      </c>
      <c r="R320">
        <v>8</v>
      </c>
      <c r="S320">
        <v>1</v>
      </c>
      <c r="T320">
        <v>80</v>
      </c>
      <c r="U320">
        <v>200</v>
      </c>
    </row>
    <row r="321" spans="1:21" x14ac:dyDescent="0.35">
      <c r="A321" t="s">
        <v>28</v>
      </c>
      <c r="B321" s="1">
        <v>44821</v>
      </c>
      <c r="C321" t="s">
        <v>25</v>
      </c>
      <c r="D321">
        <v>167</v>
      </c>
      <c r="E321">
        <v>53</v>
      </c>
      <c r="F321">
        <v>108.4</v>
      </c>
      <c r="G321">
        <v>3.2</v>
      </c>
      <c r="H321">
        <v>1.5</v>
      </c>
      <c r="I321">
        <v>0</v>
      </c>
      <c r="J321">
        <v>0</v>
      </c>
      <c r="K321">
        <v>0</v>
      </c>
      <c r="L321">
        <v>0</v>
      </c>
      <c r="M321">
        <v>0</v>
      </c>
      <c r="N321">
        <v>89805</v>
      </c>
      <c r="O321">
        <v>211472</v>
      </c>
      <c r="P321">
        <v>161406</v>
      </c>
      <c r="Q321">
        <v>150</v>
      </c>
      <c r="R321">
        <v>112</v>
      </c>
      <c r="S321">
        <v>175</v>
      </c>
      <c r="T321">
        <v>18</v>
      </c>
      <c r="U321">
        <v>29</v>
      </c>
    </row>
    <row r="322" spans="1:21" x14ac:dyDescent="0.35">
      <c r="A322" t="s">
        <v>21</v>
      </c>
      <c r="B322" s="1">
        <v>44599</v>
      </c>
      <c r="C322" t="s">
        <v>30</v>
      </c>
      <c r="D322">
        <v>3.8</v>
      </c>
      <c r="E322">
        <v>8.1999999999999993</v>
      </c>
      <c r="F322">
        <v>2.2000000000000002</v>
      </c>
      <c r="G322">
        <v>0.5</v>
      </c>
      <c r="H322">
        <v>1.7</v>
      </c>
      <c r="I322">
        <v>0</v>
      </c>
      <c r="J322">
        <v>0</v>
      </c>
      <c r="K322">
        <v>0</v>
      </c>
      <c r="L322">
        <v>0</v>
      </c>
      <c r="M322">
        <v>0</v>
      </c>
      <c r="N322">
        <v>26451</v>
      </c>
      <c r="O322">
        <v>12179</v>
      </c>
      <c r="P322">
        <v>45911</v>
      </c>
      <c r="Q322">
        <v>1</v>
      </c>
      <c r="R322">
        <v>1</v>
      </c>
      <c r="S322">
        <v>1</v>
      </c>
      <c r="T322">
        <v>80</v>
      </c>
      <c r="U322">
        <v>200</v>
      </c>
    </row>
    <row r="323" spans="1:21" x14ac:dyDescent="0.35">
      <c r="A323" t="s">
        <v>26</v>
      </c>
      <c r="B323" s="1">
        <v>45059</v>
      </c>
      <c r="C323" t="s">
        <v>25</v>
      </c>
      <c r="D323">
        <v>2.7</v>
      </c>
      <c r="E323">
        <v>0</v>
      </c>
      <c r="F323">
        <v>0</v>
      </c>
      <c r="G323">
        <v>0</v>
      </c>
      <c r="H323">
        <v>0</v>
      </c>
      <c r="I323">
        <v>0</v>
      </c>
      <c r="J323">
        <v>0</v>
      </c>
      <c r="K323">
        <v>0</v>
      </c>
      <c r="L323">
        <v>0</v>
      </c>
      <c r="M323">
        <v>0</v>
      </c>
      <c r="N323">
        <v>75158</v>
      </c>
      <c r="O323">
        <v>214134</v>
      </c>
      <c r="P323">
        <v>161690</v>
      </c>
      <c r="Q323">
        <v>2</v>
      </c>
      <c r="R323">
        <v>0</v>
      </c>
      <c r="S323">
        <v>0</v>
      </c>
      <c r="T323">
        <v>18</v>
      </c>
      <c r="U323">
        <v>29</v>
      </c>
    </row>
    <row r="324" spans="1:21" x14ac:dyDescent="0.35">
      <c r="A324" t="s">
        <v>21</v>
      </c>
      <c r="B324" s="1">
        <v>45018</v>
      </c>
      <c r="C324" t="s">
        <v>31</v>
      </c>
      <c r="D324">
        <v>2.5</v>
      </c>
      <c r="E324">
        <v>0</v>
      </c>
      <c r="F324">
        <v>0.6</v>
      </c>
      <c r="G324">
        <v>0</v>
      </c>
      <c r="H324">
        <v>4.2</v>
      </c>
      <c r="I324">
        <v>0</v>
      </c>
      <c r="J324">
        <v>0</v>
      </c>
      <c r="K324">
        <v>0</v>
      </c>
      <c r="L324">
        <v>0</v>
      </c>
      <c r="M324">
        <v>0</v>
      </c>
      <c r="N324">
        <v>40248</v>
      </c>
      <c r="O324">
        <v>43385</v>
      </c>
      <c r="P324">
        <v>171692</v>
      </c>
      <c r="Q324">
        <v>1</v>
      </c>
      <c r="R324">
        <v>0</v>
      </c>
      <c r="S324">
        <v>1</v>
      </c>
      <c r="T324">
        <v>65</v>
      </c>
      <c r="U324">
        <v>79</v>
      </c>
    </row>
    <row r="325" spans="1:21" x14ac:dyDescent="0.35">
      <c r="A325" t="s">
        <v>28</v>
      </c>
      <c r="B325" s="1">
        <v>44709</v>
      </c>
      <c r="C325" t="s">
        <v>27</v>
      </c>
      <c r="D325">
        <v>423.9</v>
      </c>
      <c r="E325">
        <v>256.7</v>
      </c>
      <c r="F325">
        <v>344.3</v>
      </c>
      <c r="G325">
        <v>1.7</v>
      </c>
      <c r="H325">
        <v>1.2</v>
      </c>
      <c r="I325">
        <v>0</v>
      </c>
      <c r="J325">
        <v>0</v>
      </c>
      <c r="K325">
        <v>0</v>
      </c>
      <c r="L325">
        <v>0</v>
      </c>
      <c r="M325">
        <v>0</v>
      </c>
      <c r="N325">
        <v>37034</v>
      </c>
      <c r="O325">
        <v>93497</v>
      </c>
      <c r="P325">
        <v>34850</v>
      </c>
      <c r="Q325">
        <v>157</v>
      </c>
      <c r="R325">
        <v>240</v>
      </c>
      <c r="S325">
        <v>120</v>
      </c>
      <c r="T325">
        <v>12</v>
      </c>
      <c r="U325">
        <v>17</v>
      </c>
    </row>
    <row r="326" spans="1:21" x14ac:dyDescent="0.35">
      <c r="A326" t="s">
        <v>21</v>
      </c>
      <c r="B326" s="1">
        <v>44919</v>
      </c>
      <c r="C326" t="s">
        <v>27</v>
      </c>
      <c r="D326">
        <v>0</v>
      </c>
      <c r="E326">
        <v>0</v>
      </c>
      <c r="F326">
        <v>0</v>
      </c>
      <c r="G326">
        <v>0</v>
      </c>
      <c r="H326">
        <v>0</v>
      </c>
      <c r="I326">
        <v>0</v>
      </c>
      <c r="J326">
        <v>0</v>
      </c>
      <c r="K326">
        <v>0</v>
      </c>
      <c r="L326">
        <v>0</v>
      </c>
      <c r="M326">
        <v>0</v>
      </c>
      <c r="N326">
        <v>33751</v>
      </c>
      <c r="O326">
        <v>86182</v>
      </c>
      <c r="P326">
        <v>44535</v>
      </c>
      <c r="Q326">
        <v>0</v>
      </c>
      <c r="R326">
        <v>0</v>
      </c>
      <c r="S326">
        <v>0</v>
      </c>
      <c r="T326">
        <v>12</v>
      </c>
      <c r="U326">
        <v>17</v>
      </c>
    </row>
    <row r="327" spans="1:21" x14ac:dyDescent="0.35">
      <c r="A327" t="s">
        <v>21</v>
      </c>
      <c r="B327" s="1">
        <v>44331</v>
      </c>
      <c r="C327" t="s">
        <v>29</v>
      </c>
      <c r="D327">
        <v>0.9</v>
      </c>
      <c r="E327">
        <v>0</v>
      </c>
      <c r="F327">
        <v>0</v>
      </c>
      <c r="G327">
        <v>0</v>
      </c>
      <c r="H327">
        <v>0</v>
      </c>
      <c r="I327">
        <v>0</v>
      </c>
      <c r="J327">
        <v>0</v>
      </c>
      <c r="K327">
        <v>0</v>
      </c>
      <c r="L327">
        <v>0</v>
      </c>
      <c r="M327">
        <v>0</v>
      </c>
      <c r="N327">
        <v>338871</v>
      </c>
      <c r="O327">
        <v>332283</v>
      </c>
      <c r="P327">
        <v>0</v>
      </c>
      <c r="Q327">
        <v>3</v>
      </c>
      <c r="R327">
        <v>0</v>
      </c>
      <c r="S327">
        <v>0</v>
      </c>
      <c r="T327">
        <v>30</v>
      </c>
      <c r="U327">
        <v>49</v>
      </c>
    </row>
    <row r="328" spans="1:21" x14ac:dyDescent="0.35">
      <c r="A328" t="s">
        <v>28</v>
      </c>
      <c r="B328" s="1">
        <v>44322</v>
      </c>
      <c r="C328" t="s">
        <v>31</v>
      </c>
      <c r="D328">
        <v>36.6</v>
      </c>
      <c r="E328">
        <v>6.7</v>
      </c>
      <c r="F328">
        <v>0</v>
      </c>
      <c r="G328">
        <v>5.5</v>
      </c>
      <c r="H328">
        <v>0</v>
      </c>
      <c r="I328">
        <v>0</v>
      </c>
      <c r="J328">
        <v>0</v>
      </c>
      <c r="K328">
        <v>0</v>
      </c>
      <c r="L328">
        <v>0</v>
      </c>
      <c r="M328">
        <v>0</v>
      </c>
      <c r="N328">
        <v>76606</v>
      </c>
      <c r="O328">
        <v>179075</v>
      </c>
      <c r="P328">
        <v>0</v>
      </c>
      <c r="Q328">
        <v>28</v>
      </c>
      <c r="R328">
        <v>12</v>
      </c>
      <c r="S328">
        <v>0</v>
      </c>
      <c r="T328">
        <v>65</v>
      </c>
      <c r="U328">
        <v>79</v>
      </c>
    </row>
    <row r="329" spans="1:21" x14ac:dyDescent="0.35">
      <c r="A329" t="s">
        <v>28</v>
      </c>
      <c r="B329" s="1">
        <v>45185</v>
      </c>
      <c r="C329" t="s">
        <v>29</v>
      </c>
      <c r="D329">
        <v>44</v>
      </c>
      <c r="E329">
        <v>29.1</v>
      </c>
      <c r="F329">
        <v>34.299999999999997</v>
      </c>
      <c r="G329">
        <v>1.5</v>
      </c>
      <c r="H329">
        <v>1.3</v>
      </c>
      <c r="I329">
        <v>0</v>
      </c>
      <c r="J329">
        <v>0</v>
      </c>
      <c r="K329">
        <v>0</v>
      </c>
      <c r="L329">
        <v>0</v>
      </c>
      <c r="M329">
        <v>0</v>
      </c>
      <c r="N329">
        <v>106807</v>
      </c>
      <c r="O329">
        <v>278395</v>
      </c>
      <c r="P329">
        <v>347325</v>
      </c>
      <c r="Q329">
        <v>47</v>
      </c>
      <c r="R329">
        <v>81</v>
      </c>
      <c r="S329">
        <v>119</v>
      </c>
      <c r="T329">
        <v>30</v>
      </c>
      <c r="U329">
        <v>49</v>
      </c>
    </row>
    <row r="330" spans="1:21" x14ac:dyDescent="0.35">
      <c r="A330" t="s">
        <v>21</v>
      </c>
      <c r="B330" s="1">
        <v>44991</v>
      </c>
      <c r="C330" t="s">
        <v>25</v>
      </c>
      <c r="D330">
        <v>0</v>
      </c>
      <c r="E330">
        <v>0</v>
      </c>
      <c r="F330">
        <v>0</v>
      </c>
      <c r="G330">
        <v>0</v>
      </c>
      <c r="H330">
        <v>0</v>
      </c>
      <c r="I330">
        <v>0</v>
      </c>
      <c r="J330">
        <v>0</v>
      </c>
      <c r="K330">
        <v>0</v>
      </c>
      <c r="L330">
        <v>0</v>
      </c>
      <c r="M330">
        <v>0</v>
      </c>
      <c r="N330">
        <v>74734</v>
      </c>
      <c r="O330">
        <v>214134</v>
      </c>
      <c r="P330">
        <v>161695</v>
      </c>
      <c r="Q330">
        <v>0</v>
      </c>
      <c r="R330">
        <v>0</v>
      </c>
      <c r="S330">
        <v>0</v>
      </c>
      <c r="T330">
        <v>18</v>
      </c>
      <c r="U330">
        <v>29</v>
      </c>
    </row>
    <row r="331" spans="1:21" x14ac:dyDescent="0.35">
      <c r="A331" t="s">
        <v>26</v>
      </c>
      <c r="B331" s="1">
        <v>44583</v>
      </c>
      <c r="C331" t="s">
        <v>30</v>
      </c>
      <c r="D331">
        <v>279.3</v>
      </c>
      <c r="E331">
        <v>286.10000000000002</v>
      </c>
      <c r="F331">
        <v>69.2</v>
      </c>
      <c r="G331">
        <v>1</v>
      </c>
      <c r="H331">
        <v>4</v>
      </c>
      <c r="I331">
        <v>0</v>
      </c>
      <c r="J331">
        <v>0</v>
      </c>
      <c r="K331">
        <v>0</v>
      </c>
      <c r="L331">
        <v>0</v>
      </c>
      <c r="M331">
        <v>0</v>
      </c>
      <c r="N331">
        <v>27573</v>
      </c>
      <c r="O331">
        <v>17479</v>
      </c>
      <c r="P331">
        <v>39032</v>
      </c>
      <c r="Q331">
        <v>77</v>
      </c>
      <c r="R331">
        <v>50</v>
      </c>
      <c r="S331">
        <v>27</v>
      </c>
      <c r="T331">
        <v>80</v>
      </c>
      <c r="U331">
        <v>200</v>
      </c>
    </row>
    <row r="332" spans="1:21" x14ac:dyDescent="0.35">
      <c r="A332" t="s">
        <v>26</v>
      </c>
      <c r="B332" s="1">
        <v>44473</v>
      </c>
      <c r="C332" t="s">
        <v>22</v>
      </c>
      <c r="D332">
        <v>17.600000000000001</v>
      </c>
      <c r="E332">
        <v>3</v>
      </c>
      <c r="F332">
        <v>0</v>
      </c>
      <c r="G332">
        <v>5.9</v>
      </c>
      <c r="H332">
        <v>0</v>
      </c>
      <c r="I332">
        <v>21.9</v>
      </c>
      <c r="J332">
        <v>1.8</v>
      </c>
      <c r="K332">
        <v>0</v>
      </c>
      <c r="L332">
        <v>12</v>
      </c>
      <c r="M332">
        <v>0</v>
      </c>
      <c r="N332">
        <v>1707958</v>
      </c>
      <c r="O332">
        <v>396727</v>
      </c>
      <c r="P332">
        <v>0</v>
      </c>
      <c r="Q332">
        <v>300</v>
      </c>
      <c r="R332">
        <v>12</v>
      </c>
      <c r="S332">
        <v>0</v>
      </c>
      <c r="T332">
        <v>999</v>
      </c>
      <c r="U332">
        <v>999</v>
      </c>
    </row>
    <row r="333" spans="1:21" x14ac:dyDescent="0.35">
      <c r="A333" t="s">
        <v>26</v>
      </c>
      <c r="B333" s="1">
        <v>44933</v>
      </c>
      <c r="C333" t="s">
        <v>23</v>
      </c>
      <c r="D333">
        <v>9.1999999999999993</v>
      </c>
      <c r="E333">
        <v>0</v>
      </c>
      <c r="F333">
        <v>0.4</v>
      </c>
      <c r="G333">
        <v>0</v>
      </c>
      <c r="H333">
        <v>23</v>
      </c>
      <c r="I333">
        <v>0</v>
      </c>
      <c r="J333">
        <v>0</v>
      </c>
      <c r="K333">
        <v>0</v>
      </c>
      <c r="L333">
        <v>0</v>
      </c>
      <c r="M333">
        <v>0</v>
      </c>
      <c r="N333">
        <v>32676</v>
      </c>
      <c r="O333">
        <v>125733</v>
      </c>
      <c r="P333">
        <v>246928</v>
      </c>
      <c r="Q333">
        <v>3</v>
      </c>
      <c r="R333">
        <v>0</v>
      </c>
      <c r="S333">
        <v>1</v>
      </c>
      <c r="T333">
        <v>50</v>
      </c>
      <c r="U333">
        <v>64</v>
      </c>
    </row>
    <row r="334" spans="1:21" x14ac:dyDescent="0.35">
      <c r="A334" t="s">
        <v>26</v>
      </c>
      <c r="B334" s="1">
        <v>44709</v>
      </c>
      <c r="C334" t="s">
        <v>23</v>
      </c>
      <c r="D334">
        <v>20.9</v>
      </c>
      <c r="E334">
        <v>10.6</v>
      </c>
      <c r="F334">
        <v>8.9</v>
      </c>
      <c r="G334">
        <v>2</v>
      </c>
      <c r="H334">
        <v>2.2999999999999998</v>
      </c>
      <c r="I334">
        <v>0</v>
      </c>
      <c r="J334">
        <v>0</v>
      </c>
      <c r="K334">
        <v>0</v>
      </c>
      <c r="L334">
        <v>0</v>
      </c>
      <c r="M334">
        <v>0</v>
      </c>
      <c r="N334">
        <v>42974</v>
      </c>
      <c r="O334">
        <v>132464</v>
      </c>
      <c r="P334">
        <v>236190</v>
      </c>
      <c r="Q334">
        <v>9</v>
      </c>
      <c r="R334">
        <v>14</v>
      </c>
      <c r="S334">
        <v>21</v>
      </c>
      <c r="T334">
        <v>50</v>
      </c>
      <c r="U334">
        <v>64</v>
      </c>
    </row>
    <row r="335" spans="1:21" x14ac:dyDescent="0.35">
      <c r="A335" t="s">
        <v>21</v>
      </c>
      <c r="B335" s="1">
        <v>45145</v>
      </c>
      <c r="C335" t="s">
        <v>24</v>
      </c>
      <c r="D335">
        <v>0</v>
      </c>
      <c r="E335">
        <v>0</v>
      </c>
      <c r="F335">
        <v>0</v>
      </c>
      <c r="G335">
        <v>0</v>
      </c>
      <c r="H335">
        <v>0</v>
      </c>
      <c r="I335">
        <v>0</v>
      </c>
      <c r="J335">
        <v>0</v>
      </c>
      <c r="K335">
        <v>0</v>
      </c>
      <c r="L335">
        <v>0</v>
      </c>
      <c r="M335">
        <v>0</v>
      </c>
      <c r="N335">
        <v>90204</v>
      </c>
      <c r="O335">
        <v>82670</v>
      </c>
      <c r="P335">
        <v>21257</v>
      </c>
      <c r="Q335">
        <v>0</v>
      </c>
      <c r="R335">
        <v>0</v>
      </c>
      <c r="S335">
        <v>0</v>
      </c>
      <c r="T335">
        <v>5</v>
      </c>
      <c r="U335">
        <v>11</v>
      </c>
    </row>
    <row r="336" spans="1:21" x14ac:dyDescent="0.35">
      <c r="A336" t="s">
        <v>28</v>
      </c>
      <c r="B336" s="1">
        <v>44692</v>
      </c>
      <c r="C336" t="s">
        <v>23</v>
      </c>
      <c r="D336">
        <v>333.4</v>
      </c>
      <c r="E336">
        <v>90.2</v>
      </c>
      <c r="F336">
        <v>124.9</v>
      </c>
      <c r="G336">
        <v>3.7</v>
      </c>
      <c r="H336">
        <v>2.7</v>
      </c>
      <c r="I336">
        <v>0</v>
      </c>
      <c r="J336">
        <v>0</v>
      </c>
      <c r="K336">
        <v>0</v>
      </c>
      <c r="L336">
        <v>0</v>
      </c>
      <c r="M336">
        <v>0</v>
      </c>
      <c r="N336">
        <v>36895</v>
      </c>
      <c r="O336">
        <v>125268</v>
      </c>
      <c r="P336">
        <v>246677</v>
      </c>
      <c r="Q336">
        <v>123</v>
      </c>
      <c r="R336">
        <v>113</v>
      </c>
      <c r="S336">
        <v>308</v>
      </c>
      <c r="T336">
        <v>50</v>
      </c>
      <c r="U336">
        <v>64</v>
      </c>
    </row>
    <row r="337" spans="1:21" x14ac:dyDescent="0.35">
      <c r="A337" t="s">
        <v>21</v>
      </c>
      <c r="B337" s="1">
        <v>44576</v>
      </c>
      <c r="C337" t="s">
        <v>29</v>
      </c>
      <c r="D337">
        <v>7.8</v>
      </c>
      <c r="E337">
        <v>0.3</v>
      </c>
      <c r="F337">
        <v>0</v>
      </c>
      <c r="G337">
        <v>26</v>
      </c>
      <c r="H337">
        <v>0</v>
      </c>
      <c r="I337">
        <v>0</v>
      </c>
      <c r="J337">
        <v>0</v>
      </c>
      <c r="K337">
        <v>0</v>
      </c>
      <c r="L337">
        <v>0</v>
      </c>
      <c r="M337">
        <v>0</v>
      </c>
      <c r="N337">
        <v>154759</v>
      </c>
      <c r="O337">
        <v>346990</v>
      </c>
      <c r="P337">
        <v>239415</v>
      </c>
      <c r="Q337">
        <v>12</v>
      </c>
      <c r="R337">
        <v>1</v>
      </c>
      <c r="S337">
        <v>0</v>
      </c>
      <c r="T337">
        <v>30</v>
      </c>
      <c r="U337">
        <v>49</v>
      </c>
    </row>
    <row r="338" spans="1:21" x14ac:dyDescent="0.35">
      <c r="A338" t="s">
        <v>21</v>
      </c>
      <c r="B338" s="1">
        <v>45136</v>
      </c>
      <c r="C338" t="s">
        <v>29</v>
      </c>
      <c r="D338">
        <v>0</v>
      </c>
      <c r="E338">
        <v>0</v>
      </c>
      <c r="F338">
        <v>0</v>
      </c>
      <c r="G338">
        <v>0</v>
      </c>
      <c r="H338">
        <v>0</v>
      </c>
      <c r="I338">
        <v>0</v>
      </c>
      <c r="J338">
        <v>0</v>
      </c>
      <c r="K338">
        <v>0</v>
      </c>
      <c r="L338">
        <v>0</v>
      </c>
      <c r="M338">
        <v>0</v>
      </c>
      <c r="N338">
        <v>107515</v>
      </c>
      <c r="O338">
        <v>278402</v>
      </c>
      <c r="P338">
        <v>347313</v>
      </c>
      <c r="Q338">
        <v>0</v>
      </c>
      <c r="R338">
        <v>0</v>
      </c>
      <c r="S338">
        <v>0</v>
      </c>
      <c r="T338">
        <v>30</v>
      </c>
      <c r="U338">
        <v>49</v>
      </c>
    </row>
    <row r="339" spans="1:21" x14ac:dyDescent="0.35">
      <c r="A339" t="s">
        <v>26</v>
      </c>
      <c r="B339" s="1">
        <v>44982</v>
      </c>
      <c r="C339" t="s">
        <v>27</v>
      </c>
      <c r="D339">
        <v>0</v>
      </c>
      <c r="E339">
        <v>0</v>
      </c>
      <c r="F339">
        <v>0</v>
      </c>
      <c r="G339">
        <v>0</v>
      </c>
      <c r="H339">
        <v>0</v>
      </c>
      <c r="I339">
        <v>0</v>
      </c>
      <c r="J339">
        <v>0</v>
      </c>
      <c r="K339">
        <v>0</v>
      </c>
      <c r="L339">
        <v>0</v>
      </c>
      <c r="M339">
        <v>0</v>
      </c>
      <c r="N339">
        <v>33176</v>
      </c>
      <c r="O339">
        <v>86371</v>
      </c>
      <c r="P339">
        <v>44558</v>
      </c>
      <c r="Q339">
        <v>0</v>
      </c>
      <c r="R339">
        <v>0</v>
      </c>
      <c r="S339">
        <v>0</v>
      </c>
      <c r="T339">
        <v>12</v>
      </c>
      <c r="U339">
        <v>17</v>
      </c>
    </row>
    <row r="340" spans="1:21" x14ac:dyDescent="0.35">
      <c r="A340" t="s">
        <v>21</v>
      </c>
      <c r="B340" s="1">
        <v>45038</v>
      </c>
      <c r="C340" t="s">
        <v>29</v>
      </c>
      <c r="D340">
        <v>0</v>
      </c>
      <c r="E340">
        <v>0</v>
      </c>
      <c r="F340">
        <v>0</v>
      </c>
      <c r="G340">
        <v>0</v>
      </c>
      <c r="H340">
        <v>0</v>
      </c>
      <c r="I340">
        <v>0</v>
      </c>
      <c r="J340">
        <v>0</v>
      </c>
      <c r="K340">
        <v>0</v>
      </c>
      <c r="L340">
        <v>0</v>
      </c>
      <c r="M340">
        <v>0</v>
      </c>
      <c r="N340">
        <v>109408</v>
      </c>
      <c r="O340">
        <v>278312</v>
      </c>
      <c r="P340">
        <v>347288</v>
      </c>
      <c r="Q340">
        <v>0</v>
      </c>
      <c r="R340">
        <v>0</v>
      </c>
      <c r="S340">
        <v>0</v>
      </c>
      <c r="T340">
        <v>30</v>
      </c>
      <c r="U340">
        <v>49</v>
      </c>
    </row>
    <row r="341" spans="1:21" x14ac:dyDescent="0.35">
      <c r="A341" t="s">
        <v>26</v>
      </c>
      <c r="B341" s="1">
        <v>44629</v>
      </c>
      <c r="C341" t="s">
        <v>24</v>
      </c>
      <c r="D341">
        <v>0</v>
      </c>
      <c r="E341">
        <v>0</v>
      </c>
      <c r="F341">
        <v>0</v>
      </c>
      <c r="G341">
        <v>0</v>
      </c>
      <c r="H341">
        <v>0</v>
      </c>
      <c r="I341">
        <v>0</v>
      </c>
      <c r="J341">
        <v>0</v>
      </c>
      <c r="K341">
        <v>0</v>
      </c>
      <c r="L341">
        <v>0</v>
      </c>
      <c r="M341">
        <v>0</v>
      </c>
      <c r="N341">
        <v>95528</v>
      </c>
      <c r="O341">
        <v>82574</v>
      </c>
      <c r="P341">
        <v>16920</v>
      </c>
      <c r="Q341">
        <v>0</v>
      </c>
      <c r="R341">
        <v>0</v>
      </c>
      <c r="S341">
        <v>0</v>
      </c>
      <c r="T341">
        <v>5</v>
      </c>
      <c r="U341">
        <v>11</v>
      </c>
    </row>
    <row r="342" spans="1:21" x14ac:dyDescent="0.35">
      <c r="A342" t="s">
        <v>26</v>
      </c>
      <c r="B342" s="1">
        <v>44562</v>
      </c>
      <c r="C342" t="s">
        <v>30</v>
      </c>
      <c r="D342">
        <v>365.2</v>
      </c>
      <c r="E342">
        <v>444.6</v>
      </c>
      <c r="F342">
        <v>106.9</v>
      </c>
      <c r="G342">
        <v>0.8</v>
      </c>
      <c r="H342">
        <v>3.4</v>
      </c>
      <c r="I342">
        <v>0</v>
      </c>
      <c r="J342">
        <v>0</v>
      </c>
      <c r="K342">
        <v>0</v>
      </c>
      <c r="L342">
        <v>0</v>
      </c>
      <c r="M342">
        <v>0</v>
      </c>
      <c r="N342">
        <v>27932</v>
      </c>
      <c r="O342">
        <v>20693</v>
      </c>
      <c r="P342">
        <v>35560</v>
      </c>
      <c r="Q342">
        <v>102</v>
      </c>
      <c r="R342">
        <v>92</v>
      </c>
      <c r="S342">
        <v>38</v>
      </c>
      <c r="T342">
        <v>80</v>
      </c>
      <c r="U342">
        <v>200</v>
      </c>
    </row>
    <row r="343" spans="1:21" x14ac:dyDescent="0.35">
      <c r="A343" t="s">
        <v>21</v>
      </c>
      <c r="B343" s="1">
        <v>44639</v>
      </c>
      <c r="C343" t="s">
        <v>22</v>
      </c>
      <c r="D343">
        <v>0.6</v>
      </c>
      <c r="E343">
        <v>0.3</v>
      </c>
      <c r="F343">
        <v>0</v>
      </c>
      <c r="G343">
        <v>2</v>
      </c>
      <c r="H343">
        <v>0</v>
      </c>
      <c r="I343">
        <v>0.8</v>
      </c>
      <c r="J343">
        <v>0.7</v>
      </c>
      <c r="K343">
        <v>0</v>
      </c>
      <c r="L343">
        <v>1.1000000000000001</v>
      </c>
      <c r="M343">
        <v>0</v>
      </c>
      <c r="N343">
        <v>662148</v>
      </c>
      <c r="O343">
        <v>905646</v>
      </c>
      <c r="P343">
        <v>919703</v>
      </c>
      <c r="Q343">
        <v>4</v>
      </c>
      <c r="R343">
        <v>3</v>
      </c>
      <c r="S343">
        <v>0</v>
      </c>
      <c r="T343">
        <v>999</v>
      </c>
      <c r="U343">
        <v>999</v>
      </c>
    </row>
    <row r="344" spans="1:21" x14ac:dyDescent="0.35">
      <c r="A344" t="s">
        <v>28</v>
      </c>
      <c r="B344" s="1">
        <v>45094</v>
      </c>
      <c r="C344" t="s">
        <v>27</v>
      </c>
      <c r="D344">
        <v>6.2</v>
      </c>
      <c r="E344">
        <v>1.2</v>
      </c>
      <c r="F344">
        <v>0</v>
      </c>
      <c r="G344">
        <v>5.2</v>
      </c>
      <c r="H344">
        <v>0</v>
      </c>
      <c r="I344">
        <v>0</v>
      </c>
      <c r="J344">
        <v>0</v>
      </c>
      <c r="K344">
        <v>0</v>
      </c>
      <c r="L344">
        <v>0</v>
      </c>
      <c r="M344">
        <v>0</v>
      </c>
      <c r="N344">
        <v>32372</v>
      </c>
      <c r="O344">
        <v>86577</v>
      </c>
      <c r="P344">
        <v>44586</v>
      </c>
      <c r="Q344">
        <v>2</v>
      </c>
      <c r="R344">
        <v>1</v>
      </c>
      <c r="S344">
        <v>0</v>
      </c>
      <c r="T344">
        <v>12</v>
      </c>
      <c r="U344">
        <v>17</v>
      </c>
    </row>
    <row r="345" spans="1:21" x14ac:dyDescent="0.35">
      <c r="A345" t="s">
        <v>26</v>
      </c>
      <c r="B345" s="1">
        <v>44436</v>
      </c>
      <c r="C345" t="s">
        <v>23</v>
      </c>
      <c r="D345">
        <v>62.7</v>
      </c>
      <c r="E345">
        <v>6.8</v>
      </c>
      <c r="F345">
        <v>0</v>
      </c>
      <c r="G345">
        <v>9.1999999999999993</v>
      </c>
      <c r="H345">
        <v>0</v>
      </c>
      <c r="I345">
        <v>0</v>
      </c>
      <c r="J345">
        <v>0</v>
      </c>
      <c r="K345">
        <v>0</v>
      </c>
      <c r="L345">
        <v>0</v>
      </c>
      <c r="M345">
        <v>0</v>
      </c>
      <c r="N345">
        <v>89285</v>
      </c>
      <c r="O345">
        <v>322178</v>
      </c>
      <c r="P345">
        <v>0</v>
      </c>
      <c r="Q345">
        <v>56</v>
      </c>
      <c r="R345">
        <v>22</v>
      </c>
      <c r="S345">
        <v>0</v>
      </c>
      <c r="T345">
        <v>50</v>
      </c>
      <c r="U345">
        <v>64</v>
      </c>
    </row>
    <row r="346" spans="1:21" x14ac:dyDescent="0.35">
      <c r="A346" t="s">
        <v>21</v>
      </c>
      <c r="B346" s="1">
        <v>44737</v>
      </c>
      <c r="C346" t="s">
        <v>27</v>
      </c>
      <c r="D346">
        <v>0</v>
      </c>
      <c r="E346">
        <v>0</v>
      </c>
      <c r="F346">
        <v>0</v>
      </c>
      <c r="G346">
        <v>0</v>
      </c>
      <c r="H346">
        <v>0</v>
      </c>
      <c r="I346">
        <v>0</v>
      </c>
      <c r="J346">
        <v>0</v>
      </c>
      <c r="K346">
        <v>0</v>
      </c>
      <c r="L346">
        <v>0</v>
      </c>
      <c r="M346">
        <v>0</v>
      </c>
      <c r="N346">
        <v>36604</v>
      </c>
      <c r="O346">
        <v>92093</v>
      </c>
      <c r="P346">
        <v>36756</v>
      </c>
      <c r="Q346">
        <v>0</v>
      </c>
      <c r="R346">
        <v>0</v>
      </c>
      <c r="S346">
        <v>0</v>
      </c>
      <c r="T346">
        <v>12</v>
      </c>
      <c r="U346">
        <v>17</v>
      </c>
    </row>
    <row r="347" spans="1:21" x14ac:dyDescent="0.35">
      <c r="A347" t="s">
        <v>26</v>
      </c>
      <c r="B347" s="1">
        <v>44408</v>
      </c>
      <c r="C347" t="s">
        <v>27</v>
      </c>
      <c r="D347">
        <v>1.1000000000000001</v>
      </c>
      <c r="E347">
        <v>0</v>
      </c>
      <c r="F347">
        <v>0</v>
      </c>
      <c r="G347">
        <v>0</v>
      </c>
      <c r="H347">
        <v>0</v>
      </c>
      <c r="I347">
        <v>0</v>
      </c>
      <c r="J347">
        <v>0</v>
      </c>
      <c r="K347">
        <v>0</v>
      </c>
      <c r="L347">
        <v>0</v>
      </c>
      <c r="M347">
        <v>0</v>
      </c>
      <c r="N347">
        <v>94143</v>
      </c>
      <c r="O347">
        <v>64465</v>
      </c>
      <c r="P347">
        <v>0</v>
      </c>
      <c r="Q347">
        <v>1</v>
      </c>
      <c r="R347">
        <v>0</v>
      </c>
      <c r="S347">
        <v>0</v>
      </c>
      <c r="T347">
        <v>12</v>
      </c>
      <c r="U347">
        <v>17</v>
      </c>
    </row>
    <row r="348" spans="1:21" x14ac:dyDescent="0.35">
      <c r="A348" t="s">
        <v>21</v>
      </c>
      <c r="B348" s="1">
        <v>44774</v>
      </c>
      <c r="C348" t="s">
        <v>22</v>
      </c>
      <c r="D348">
        <v>14.4</v>
      </c>
      <c r="E348">
        <v>5.8</v>
      </c>
      <c r="F348">
        <v>2.2000000000000002</v>
      </c>
      <c r="G348">
        <v>2.5</v>
      </c>
      <c r="H348">
        <v>6.5</v>
      </c>
      <c r="I348">
        <v>20</v>
      </c>
      <c r="J348">
        <v>7.7</v>
      </c>
      <c r="K348">
        <v>1.2</v>
      </c>
      <c r="L348">
        <v>2.6</v>
      </c>
      <c r="M348">
        <v>17</v>
      </c>
      <c r="N348">
        <v>771844</v>
      </c>
      <c r="O348">
        <v>1058475</v>
      </c>
      <c r="P348">
        <v>641998</v>
      </c>
      <c r="Q348">
        <v>111</v>
      </c>
      <c r="R348">
        <v>61</v>
      </c>
      <c r="S348">
        <v>14</v>
      </c>
      <c r="T348">
        <v>999</v>
      </c>
      <c r="U348">
        <v>999</v>
      </c>
    </row>
    <row r="349" spans="1:21" x14ac:dyDescent="0.35">
      <c r="A349" t="s">
        <v>28</v>
      </c>
      <c r="B349" s="1">
        <v>44298</v>
      </c>
      <c r="C349" t="s">
        <v>27</v>
      </c>
      <c r="D349">
        <v>685.6</v>
      </c>
      <c r="E349">
        <v>103.4</v>
      </c>
      <c r="F349">
        <v>0</v>
      </c>
      <c r="G349">
        <v>6.6</v>
      </c>
      <c r="H349">
        <v>0</v>
      </c>
      <c r="I349">
        <v>0</v>
      </c>
      <c r="J349">
        <v>0</v>
      </c>
      <c r="K349">
        <v>0</v>
      </c>
      <c r="L349">
        <v>0</v>
      </c>
      <c r="M349">
        <v>0</v>
      </c>
      <c r="N349">
        <v>58493</v>
      </c>
      <c r="O349">
        <v>105452</v>
      </c>
      <c r="P349">
        <v>0</v>
      </c>
      <c r="Q349">
        <v>401</v>
      </c>
      <c r="R349">
        <v>109</v>
      </c>
      <c r="S349">
        <v>0</v>
      </c>
      <c r="T349">
        <v>12</v>
      </c>
      <c r="U349">
        <v>17</v>
      </c>
    </row>
    <row r="350" spans="1:21" x14ac:dyDescent="0.35">
      <c r="A350" t="s">
        <v>26</v>
      </c>
      <c r="B350" s="1">
        <v>44846</v>
      </c>
      <c r="C350" t="s">
        <v>32</v>
      </c>
      <c r="D350">
        <v>3.1</v>
      </c>
      <c r="E350">
        <v>0</v>
      </c>
      <c r="F350">
        <v>0</v>
      </c>
      <c r="G350">
        <v>0</v>
      </c>
      <c r="H350">
        <v>0</v>
      </c>
      <c r="I350">
        <v>0</v>
      </c>
      <c r="J350">
        <v>0</v>
      </c>
      <c r="K350">
        <v>0</v>
      </c>
      <c r="L350">
        <v>0</v>
      </c>
      <c r="M350">
        <v>0</v>
      </c>
      <c r="N350">
        <v>162642</v>
      </c>
      <c r="O350">
        <v>0</v>
      </c>
      <c r="P350">
        <v>0</v>
      </c>
      <c r="Q350">
        <v>5</v>
      </c>
      <c r="R350">
        <v>0</v>
      </c>
      <c r="S350">
        <v>0</v>
      </c>
      <c r="T350">
        <v>0</v>
      </c>
      <c r="U350">
        <v>4</v>
      </c>
    </row>
    <row r="351" spans="1:21" x14ac:dyDescent="0.35">
      <c r="A351" t="s">
        <v>26</v>
      </c>
      <c r="B351" s="1">
        <v>44898</v>
      </c>
      <c r="C351" t="s">
        <v>24</v>
      </c>
      <c r="D351">
        <v>0</v>
      </c>
      <c r="E351">
        <v>0</v>
      </c>
      <c r="F351">
        <v>0</v>
      </c>
      <c r="G351">
        <v>0</v>
      </c>
      <c r="H351">
        <v>0</v>
      </c>
      <c r="I351">
        <v>0</v>
      </c>
      <c r="J351">
        <v>0</v>
      </c>
      <c r="K351">
        <v>0</v>
      </c>
      <c r="L351">
        <v>0</v>
      </c>
      <c r="M351">
        <v>0</v>
      </c>
      <c r="N351">
        <v>104915</v>
      </c>
      <c r="O351">
        <v>86398</v>
      </c>
      <c r="P351">
        <v>0</v>
      </c>
      <c r="Q351">
        <v>0</v>
      </c>
      <c r="R351">
        <v>0</v>
      </c>
      <c r="S351">
        <v>0</v>
      </c>
      <c r="T351">
        <v>5</v>
      </c>
      <c r="U351">
        <v>11</v>
      </c>
    </row>
    <row r="352" spans="1:21" x14ac:dyDescent="0.35">
      <c r="A352" t="s">
        <v>28</v>
      </c>
      <c r="B352" s="1">
        <v>44793</v>
      </c>
      <c r="C352" t="s">
        <v>30</v>
      </c>
      <c r="D352">
        <v>171.5</v>
      </c>
      <c r="E352">
        <v>267.60000000000002</v>
      </c>
      <c r="F352">
        <v>222.4</v>
      </c>
      <c r="G352">
        <v>0.6</v>
      </c>
      <c r="H352">
        <v>0.8</v>
      </c>
      <c r="I352">
        <v>0</v>
      </c>
      <c r="J352">
        <v>0</v>
      </c>
      <c r="K352">
        <v>0</v>
      </c>
      <c r="L352">
        <v>0</v>
      </c>
      <c r="M352">
        <v>0</v>
      </c>
      <c r="N352">
        <v>26236</v>
      </c>
      <c r="O352">
        <v>11583</v>
      </c>
      <c r="P352">
        <v>46759</v>
      </c>
      <c r="Q352">
        <v>45</v>
      </c>
      <c r="R352">
        <v>31</v>
      </c>
      <c r="S352">
        <v>104</v>
      </c>
      <c r="T352">
        <v>80</v>
      </c>
      <c r="U352">
        <v>200</v>
      </c>
    </row>
    <row r="353" spans="1:21" x14ac:dyDescent="0.35">
      <c r="A353" t="s">
        <v>21</v>
      </c>
      <c r="B353" s="1">
        <v>45248</v>
      </c>
      <c r="C353" t="s">
        <v>27</v>
      </c>
      <c r="D353">
        <v>0</v>
      </c>
      <c r="E353">
        <v>0</v>
      </c>
      <c r="F353">
        <v>0</v>
      </c>
      <c r="G353">
        <v>0</v>
      </c>
      <c r="H353">
        <v>0</v>
      </c>
      <c r="I353">
        <v>0</v>
      </c>
      <c r="J353">
        <v>0</v>
      </c>
      <c r="K353">
        <v>0</v>
      </c>
      <c r="L353">
        <v>0</v>
      </c>
      <c r="M353">
        <v>0</v>
      </c>
      <c r="N353">
        <v>31480</v>
      </c>
      <c r="O353">
        <v>86496</v>
      </c>
      <c r="P353">
        <v>44716</v>
      </c>
      <c r="Q353">
        <v>0</v>
      </c>
      <c r="R353">
        <v>0</v>
      </c>
      <c r="S353">
        <v>0</v>
      </c>
      <c r="T353">
        <v>12</v>
      </c>
      <c r="U353">
        <v>17</v>
      </c>
    </row>
    <row r="354" spans="1:21" x14ac:dyDescent="0.35">
      <c r="A354" t="s">
        <v>28</v>
      </c>
      <c r="B354" s="1">
        <v>44373</v>
      </c>
      <c r="C354" t="s">
        <v>25</v>
      </c>
      <c r="D354">
        <v>18.8</v>
      </c>
      <c r="E354">
        <v>4.7</v>
      </c>
      <c r="F354">
        <v>0</v>
      </c>
      <c r="G354">
        <v>4</v>
      </c>
      <c r="H354">
        <v>0</v>
      </c>
      <c r="I354">
        <v>0</v>
      </c>
      <c r="J354">
        <v>0</v>
      </c>
      <c r="K354">
        <v>0</v>
      </c>
      <c r="L354">
        <v>0</v>
      </c>
      <c r="M354">
        <v>0</v>
      </c>
      <c r="N354">
        <v>228136</v>
      </c>
      <c r="O354">
        <v>254744</v>
      </c>
      <c r="P354">
        <v>0</v>
      </c>
      <c r="Q354">
        <v>43</v>
      </c>
      <c r="R354">
        <v>12</v>
      </c>
      <c r="S354">
        <v>0</v>
      </c>
      <c r="T354">
        <v>18</v>
      </c>
      <c r="U354">
        <v>29</v>
      </c>
    </row>
    <row r="355" spans="1:21" x14ac:dyDescent="0.35">
      <c r="A355" t="s">
        <v>28</v>
      </c>
      <c r="B355" s="1">
        <v>45031</v>
      </c>
      <c r="C355" t="s">
        <v>23</v>
      </c>
      <c r="D355">
        <v>102</v>
      </c>
      <c r="E355">
        <v>41.4</v>
      </c>
      <c r="F355">
        <v>63.2</v>
      </c>
      <c r="G355">
        <v>2.5</v>
      </c>
      <c r="H355">
        <v>1.6</v>
      </c>
      <c r="I355">
        <v>0</v>
      </c>
      <c r="J355">
        <v>0</v>
      </c>
      <c r="K355">
        <v>0</v>
      </c>
      <c r="L355">
        <v>0</v>
      </c>
      <c r="M355">
        <v>0</v>
      </c>
      <c r="N355">
        <v>33349</v>
      </c>
      <c r="O355">
        <v>125709</v>
      </c>
      <c r="P355">
        <v>246898</v>
      </c>
      <c r="Q355">
        <v>34</v>
      </c>
      <c r="R355">
        <v>52</v>
      </c>
      <c r="S355">
        <v>156</v>
      </c>
      <c r="T355">
        <v>50</v>
      </c>
      <c r="U355">
        <v>64</v>
      </c>
    </row>
    <row r="356" spans="1:21" x14ac:dyDescent="0.35">
      <c r="A356" t="s">
        <v>28</v>
      </c>
      <c r="B356" s="1">
        <v>44492</v>
      </c>
      <c r="C356" t="s">
        <v>23</v>
      </c>
      <c r="D356">
        <v>192.9</v>
      </c>
      <c r="E356">
        <v>47.7</v>
      </c>
      <c r="F356">
        <v>30.3</v>
      </c>
      <c r="G356">
        <v>4</v>
      </c>
      <c r="H356">
        <v>6.4</v>
      </c>
      <c r="I356">
        <v>0</v>
      </c>
      <c r="J356">
        <v>0</v>
      </c>
      <c r="K356">
        <v>0</v>
      </c>
      <c r="L356">
        <v>0</v>
      </c>
      <c r="M356">
        <v>0</v>
      </c>
      <c r="N356">
        <v>74137</v>
      </c>
      <c r="O356">
        <v>326932</v>
      </c>
      <c r="P356">
        <v>13200</v>
      </c>
      <c r="Q356">
        <v>143</v>
      </c>
      <c r="R356">
        <v>156</v>
      </c>
      <c r="S356">
        <v>4</v>
      </c>
      <c r="T356">
        <v>50</v>
      </c>
      <c r="U356">
        <v>64</v>
      </c>
    </row>
    <row r="357" spans="1:21" x14ac:dyDescent="0.35">
      <c r="A357" t="s">
        <v>28</v>
      </c>
      <c r="B357" s="1">
        <v>44520</v>
      </c>
      <c r="C357" t="s">
        <v>22</v>
      </c>
      <c r="D357">
        <v>272.39999999999998</v>
      </c>
      <c r="E357">
        <v>114.4</v>
      </c>
      <c r="F357">
        <v>25.3</v>
      </c>
      <c r="G357">
        <v>2.4</v>
      </c>
      <c r="H357">
        <v>10.8</v>
      </c>
      <c r="I357">
        <v>310.10000000000002</v>
      </c>
      <c r="J357">
        <v>94.4</v>
      </c>
      <c r="K357">
        <v>25.9</v>
      </c>
      <c r="L357">
        <v>3.3</v>
      </c>
      <c r="M357">
        <v>12</v>
      </c>
      <c r="N357">
        <v>893891</v>
      </c>
      <c r="O357">
        <v>1383374</v>
      </c>
      <c r="P357">
        <v>221328</v>
      </c>
      <c r="Q357">
        <v>2435</v>
      </c>
      <c r="R357">
        <v>1582</v>
      </c>
      <c r="S357">
        <v>56</v>
      </c>
      <c r="T357">
        <v>999</v>
      </c>
      <c r="U357">
        <v>999</v>
      </c>
    </row>
    <row r="358" spans="1:21" x14ac:dyDescent="0.35">
      <c r="A358" t="s">
        <v>26</v>
      </c>
      <c r="B358" s="1">
        <v>44695</v>
      </c>
      <c r="C358" t="s">
        <v>30</v>
      </c>
      <c r="D358">
        <v>74.7</v>
      </c>
      <c r="E358">
        <v>84.5</v>
      </c>
      <c r="F358">
        <v>42.6</v>
      </c>
      <c r="G358">
        <v>0.9</v>
      </c>
      <c r="H358">
        <v>1.8</v>
      </c>
      <c r="I358">
        <v>0</v>
      </c>
      <c r="J358">
        <v>0</v>
      </c>
      <c r="K358">
        <v>0</v>
      </c>
      <c r="L358">
        <v>0</v>
      </c>
      <c r="M358">
        <v>0</v>
      </c>
      <c r="N358">
        <v>26763</v>
      </c>
      <c r="O358">
        <v>13025</v>
      </c>
      <c r="P358">
        <v>44628</v>
      </c>
      <c r="Q358">
        <v>20</v>
      </c>
      <c r="R358">
        <v>11</v>
      </c>
      <c r="S358">
        <v>19</v>
      </c>
      <c r="T358">
        <v>80</v>
      </c>
      <c r="U358">
        <v>200</v>
      </c>
    </row>
    <row r="359" spans="1:21" x14ac:dyDescent="0.35">
      <c r="A359" t="s">
        <v>28</v>
      </c>
      <c r="B359" s="1">
        <v>44358</v>
      </c>
      <c r="C359" t="s">
        <v>31</v>
      </c>
      <c r="D359">
        <v>123.9</v>
      </c>
      <c r="E359">
        <v>58.1</v>
      </c>
      <c r="F359">
        <v>16.7</v>
      </c>
      <c r="G359">
        <v>2.1</v>
      </c>
      <c r="H359">
        <v>7.4</v>
      </c>
      <c r="I359">
        <v>0</v>
      </c>
      <c r="J359">
        <v>0</v>
      </c>
      <c r="K359">
        <v>0</v>
      </c>
      <c r="L359">
        <v>0</v>
      </c>
      <c r="M359">
        <v>0</v>
      </c>
      <c r="N359">
        <v>58116</v>
      </c>
      <c r="O359">
        <v>160017</v>
      </c>
      <c r="P359">
        <v>41816</v>
      </c>
      <c r="Q359">
        <v>72</v>
      </c>
      <c r="R359">
        <v>93</v>
      </c>
      <c r="S359">
        <v>7</v>
      </c>
      <c r="T359">
        <v>65</v>
      </c>
      <c r="U359">
        <v>79</v>
      </c>
    </row>
    <row r="360" spans="1:21" x14ac:dyDescent="0.35">
      <c r="A360" t="s">
        <v>28</v>
      </c>
      <c r="B360" s="1">
        <v>44695</v>
      </c>
      <c r="C360" t="s">
        <v>31</v>
      </c>
      <c r="D360">
        <v>229.8</v>
      </c>
      <c r="E360">
        <v>157.69999999999999</v>
      </c>
      <c r="F360">
        <v>227.6</v>
      </c>
      <c r="G360">
        <v>1.5</v>
      </c>
      <c r="H360">
        <v>1</v>
      </c>
      <c r="I360">
        <v>0</v>
      </c>
      <c r="J360">
        <v>0</v>
      </c>
      <c r="K360">
        <v>0</v>
      </c>
      <c r="L360">
        <v>0</v>
      </c>
      <c r="M360">
        <v>0</v>
      </c>
      <c r="N360">
        <v>47442</v>
      </c>
      <c r="O360">
        <v>48816</v>
      </c>
      <c r="P360">
        <v>163445</v>
      </c>
      <c r="Q360">
        <v>109</v>
      </c>
      <c r="R360">
        <v>77</v>
      </c>
      <c r="S360">
        <v>372</v>
      </c>
      <c r="T360">
        <v>65</v>
      </c>
      <c r="U360">
        <v>79</v>
      </c>
    </row>
    <row r="361" spans="1:21" x14ac:dyDescent="0.35">
      <c r="A361" t="s">
        <v>28</v>
      </c>
      <c r="B361" s="1">
        <v>44548</v>
      </c>
      <c r="C361" t="s">
        <v>27</v>
      </c>
      <c r="D361">
        <v>1791</v>
      </c>
      <c r="E361">
        <v>505.9</v>
      </c>
      <c r="F361">
        <v>541.5</v>
      </c>
      <c r="G361">
        <v>3.5</v>
      </c>
      <c r="H361">
        <v>3.3</v>
      </c>
      <c r="I361">
        <v>0</v>
      </c>
      <c r="J361">
        <v>0</v>
      </c>
      <c r="K361">
        <v>0</v>
      </c>
      <c r="L361">
        <v>0</v>
      </c>
      <c r="M361">
        <v>0</v>
      </c>
      <c r="N361">
        <v>56227</v>
      </c>
      <c r="O361">
        <v>107530</v>
      </c>
      <c r="P361">
        <v>554</v>
      </c>
      <c r="Q361">
        <v>1007</v>
      </c>
      <c r="R361">
        <v>544</v>
      </c>
      <c r="S361">
        <v>3</v>
      </c>
      <c r="T361">
        <v>12</v>
      </c>
      <c r="U361">
        <v>17</v>
      </c>
    </row>
    <row r="362" spans="1:21" x14ac:dyDescent="0.35">
      <c r="A362" t="s">
        <v>26</v>
      </c>
      <c r="B362" s="1">
        <v>45054</v>
      </c>
      <c r="C362" t="s">
        <v>32</v>
      </c>
      <c r="D362">
        <v>2.5</v>
      </c>
      <c r="E362">
        <v>0</v>
      </c>
      <c r="F362">
        <v>0</v>
      </c>
      <c r="G362">
        <v>0</v>
      </c>
      <c r="H362">
        <v>0</v>
      </c>
      <c r="I362">
        <v>0</v>
      </c>
      <c r="J362">
        <v>0</v>
      </c>
      <c r="K362">
        <v>0</v>
      </c>
      <c r="L362">
        <v>0</v>
      </c>
      <c r="M362">
        <v>0</v>
      </c>
      <c r="N362">
        <v>162642</v>
      </c>
      <c r="O362">
        <v>0</v>
      </c>
      <c r="P362">
        <v>0</v>
      </c>
      <c r="Q362">
        <v>4</v>
      </c>
      <c r="R362">
        <v>0</v>
      </c>
      <c r="S362">
        <v>0</v>
      </c>
      <c r="T362">
        <v>0</v>
      </c>
      <c r="U362">
        <v>4</v>
      </c>
    </row>
    <row r="363" spans="1:21" x14ac:dyDescent="0.35">
      <c r="A363" t="s">
        <v>21</v>
      </c>
      <c r="B363" s="1">
        <v>44720</v>
      </c>
      <c r="C363" t="s">
        <v>22</v>
      </c>
      <c r="D363">
        <v>0.7</v>
      </c>
      <c r="E363">
        <v>0.2</v>
      </c>
      <c r="F363">
        <v>0.2</v>
      </c>
      <c r="G363">
        <v>3.5</v>
      </c>
      <c r="H363">
        <v>3.5</v>
      </c>
      <c r="I363">
        <v>0.8</v>
      </c>
      <c r="J363">
        <v>0.4</v>
      </c>
      <c r="K363">
        <v>0.1</v>
      </c>
      <c r="L363">
        <v>2</v>
      </c>
      <c r="M363">
        <v>6.3</v>
      </c>
      <c r="N363">
        <v>614334</v>
      </c>
      <c r="O363">
        <v>850591</v>
      </c>
      <c r="P363">
        <v>1014163</v>
      </c>
      <c r="Q363">
        <v>4</v>
      </c>
      <c r="R363">
        <v>2</v>
      </c>
      <c r="S363">
        <v>2</v>
      </c>
      <c r="T363">
        <v>999</v>
      </c>
      <c r="U363">
        <v>999</v>
      </c>
    </row>
    <row r="364" spans="1:21" x14ac:dyDescent="0.35">
      <c r="A364" t="s">
        <v>26</v>
      </c>
      <c r="B364" s="1">
        <v>45027</v>
      </c>
      <c r="C364" t="s">
        <v>27</v>
      </c>
      <c r="D364">
        <v>0</v>
      </c>
      <c r="E364">
        <v>0</v>
      </c>
      <c r="F364">
        <v>2.2000000000000002</v>
      </c>
      <c r="G364">
        <v>0</v>
      </c>
      <c r="H364">
        <v>0</v>
      </c>
      <c r="I364">
        <v>0</v>
      </c>
      <c r="J364">
        <v>0</v>
      </c>
      <c r="K364">
        <v>0</v>
      </c>
      <c r="L364">
        <v>0</v>
      </c>
      <c r="M364">
        <v>0</v>
      </c>
      <c r="N364">
        <v>31567</v>
      </c>
      <c r="O364">
        <v>86534</v>
      </c>
      <c r="P364">
        <v>44661</v>
      </c>
      <c r="Q364">
        <v>0</v>
      </c>
      <c r="R364">
        <v>0</v>
      </c>
      <c r="S364">
        <v>1</v>
      </c>
      <c r="T364">
        <v>12</v>
      </c>
      <c r="U364">
        <v>17</v>
      </c>
    </row>
    <row r="365" spans="1:21" x14ac:dyDescent="0.35">
      <c r="A365" t="s">
        <v>21</v>
      </c>
      <c r="B365" s="1">
        <v>44800</v>
      </c>
      <c r="C365" t="s">
        <v>27</v>
      </c>
      <c r="D365">
        <v>0</v>
      </c>
      <c r="E365">
        <v>0</v>
      </c>
      <c r="F365">
        <v>0</v>
      </c>
      <c r="G365">
        <v>0</v>
      </c>
      <c r="H365">
        <v>0</v>
      </c>
      <c r="I365">
        <v>0</v>
      </c>
      <c r="J365">
        <v>0</v>
      </c>
      <c r="K365">
        <v>0</v>
      </c>
      <c r="L365">
        <v>0</v>
      </c>
      <c r="M365">
        <v>0</v>
      </c>
      <c r="N365">
        <v>35352</v>
      </c>
      <c r="O365">
        <v>87164</v>
      </c>
      <c r="P365">
        <v>42657</v>
      </c>
      <c r="Q365">
        <v>0</v>
      </c>
      <c r="R365">
        <v>0</v>
      </c>
      <c r="S365">
        <v>0</v>
      </c>
      <c r="T365">
        <v>12</v>
      </c>
      <c r="U365">
        <v>17</v>
      </c>
    </row>
    <row r="366" spans="1:21" x14ac:dyDescent="0.35">
      <c r="A366" t="s">
        <v>26</v>
      </c>
      <c r="B366" s="1">
        <v>44800</v>
      </c>
      <c r="C366" t="s">
        <v>27</v>
      </c>
      <c r="D366">
        <v>2.8</v>
      </c>
      <c r="E366">
        <v>1.1000000000000001</v>
      </c>
      <c r="F366">
        <v>0</v>
      </c>
      <c r="G366">
        <v>2.5</v>
      </c>
      <c r="H366">
        <v>0</v>
      </c>
      <c r="I366">
        <v>0</v>
      </c>
      <c r="J366">
        <v>0</v>
      </c>
      <c r="K366">
        <v>0</v>
      </c>
      <c r="L366">
        <v>0</v>
      </c>
      <c r="M366">
        <v>0</v>
      </c>
      <c r="N366">
        <v>35352</v>
      </c>
      <c r="O366">
        <v>87164</v>
      </c>
      <c r="P366">
        <v>42657</v>
      </c>
      <c r="Q366">
        <v>1</v>
      </c>
      <c r="R366">
        <v>1</v>
      </c>
      <c r="S366">
        <v>0</v>
      </c>
      <c r="T366">
        <v>12</v>
      </c>
      <c r="U366">
        <v>17</v>
      </c>
    </row>
    <row r="367" spans="1:21" x14ac:dyDescent="0.35">
      <c r="A367" t="s">
        <v>26</v>
      </c>
      <c r="B367" s="1">
        <v>44695</v>
      </c>
      <c r="C367" t="s">
        <v>29</v>
      </c>
      <c r="D367">
        <v>10.8</v>
      </c>
      <c r="E367">
        <v>4.9000000000000004</v>
      </c>
      <c r="F367">
        <v>3.9</v>
      </c>
      <c r="G367">
        <v>2.2000000000000002</v>
      </c>
      <c r="H367">
        <v>2.8</v>
      </c>
      <c r="I367">
        <v>0</v>
      </c>
      <c r="J367">
        <v>0</v>
      </c>
      <c r="K367">
        <v>0</v>
      </c>
      <c r="L367">
        <v>0</v>
      </c>
      <c r="M367">
        <v>0</v>
      </c>
      <c r="N367">
        <v>130179</v>
      </c>
      <c r="O367">
        <v>285512</v>
      </c>
      <c r="P367">
        <v>332845</v>
      </c>
      <c r="Q367">
        <v>14</v>
      </c>
      <c r="R367">
        <v>14</v>
      </c>
      <c r="S367">
        <v>13</v>
      </c>
      <c r="T367">
        <v>30</v>
      </c>
      <c r="U367">
        <v>49</v>
      </c>
    </row>
    <row r="368" spans="1:21" x14ac:dyDescent="0.35">
      <c r="A368" t="s">
        <v>28</v>
      </c>
      <c r="B368" s="1">
        <v>44520</v>
      </c>
      <c r="C368" t="s">
        <v>31</v>
      </c>
      <c r="D368">
        <v>175.6</v>
      </c>
      <c r="E368">
        <v>83.8</v>
      </c>
      <c r="F368">
        <v>8.6</v>
      </c>
      <c r="G368">
        <v>2.1</v>
      </c>
      <c r="H368">
        <v>20.399999999999999</v>
      </c>
      <c r="I368">
        <v>0</v>
      </c>
      <c r="J368">
        <v>0</v>
      </c>
      <c r="K368">
        <v>0</v>
      </c>
      <c r="L368">
        <v>0</v>
      </c>
      <c r="M368">
        <v>0</v>
      </c>
      <c r="N368">
        <v>56364</v>
      </c>
      <c r="O368">
        <v>133667</v>
      </c>
      <c r="P368">
        <v>69658</v>
      </c>
      <c r="Q368">
        <v>99</v>
      </c>
      <c r="R368">
        <v>112</v>
      </c>
      <c r="S368">
        <v>6</v>
      </c>
      <c r="T368">
        <v>65</v>
      </c>
      <c r="U368">
        <v>79</v>
      </c>
    </row>
    <row r="369" spans="1:21" x14ac:dyDescent="0.35">
      <c r="A369" t="s">
        <v>26</v>
      </c>
      <c r="B369" s="1">
        <v>44473</v>
      </c>
      <c r="C369" t="s">
        <v>27</v>
      </c>
      <c r="D369">
        <v>2.2999999999999998</v>
      </c>
      <c r="E369">
        <v>0</v>
      </c>
      <c r="F369">
        <v>0</v>
      </c>
      <c r="G369">
        <v>0</v>
      </c>
      <c r="H369">
        <v>0</v>
      </c>
      <c r="I369">
        <v>0</v>
      </c>
      <c r="J369">
        <v>0</v>
      </c>
      <c r="K369">
        <v>0</v>
      </c>
      <c r="L369">
        <v>0</v>
      </c>
      <c r="M369">
        <v>0</v>
      </c>
      <c r="N369">
        <v>177522</v>
      </c>
      <c r="O369">
        <v>0</v>
      </c>
      <c r="P369">
        <v>0</v>
      </c>
      <c r="Q369">
        <v>4</v>
      </c>
      <c r="R369">
        <v>0</v>
      </c>
      <c r="S369">
        <v>0</v>
      </c>
      <c r="T369">
        <v>12</v>
      </c>
      <c r="U369">
        <v>17</v>
      </c>
    </row>
    <row r="370" spans="1:21" x14ac:dyDescent="0.35">
      <c r="A370" t="s">
        <v>21</v>
      </c>
      <c r="B370" s="1">
        <v>44548</v>
      </c>
      <c r="C370" t="s">
        <v>24</v>
      </c>
      <c r="D370">
        <v>0</v>
      </c>
      <c r="E370">
        <v>0</v>
      </c>
      <c r="F370">
        <v>0</v>
      </c>
      <c r="G370">
        <v>0</v>
      </c>
      <c r="H370">
        <v>0</v>
      </c>
      <c r="I370">
        <v>0</v>
      </c>
      <c r="J370">
        <v>0</v>
      </c>
      <c r="K370">
        <v>0</v>
      </c>
      <c r="L370">
        <v>0</v>
      </c>
      <c r="M370">
        <v>0</v>
      </c>
      <c r="N370">
        <v>147394</v>
      </c>
      <c r="O370">
        <v>24009</v>
      </c>
      <c r="P370">
        <v>0</v>
      </c>
      <c r="Q370">
        <v>0</v>
      </c>
      <c r="R370">
        <v>0</v>
      </c>
      <c r="S370">
        <v>0</v>
      </c>
      <c r="T370">
        <v>5</v>
      </c>
      <c r="U370">
        <v>11</v>
      </c>
    </row>
    <row r="371" spans="1:21" x14ac:dyDescent="0.35">
      <c r="A371" t="s">
        <v>26</v>
      </c>
      <c r="B371" s="1">
        <v>44919</v>
      </c>
      <c r="C371" t="s">
        <v>27</v>
      </c>
      <c r="D371">
        <v>0</v>
      </c>
      <c r="E371">
        <v>0</v>
      </c>
      <c r="F371">
        <v>0</v>
      </c>
      <c r="G371">
        <v>0</v>
      </c>
      <c r="H371">
        <v>0</v>
      </c>
      <c r="I371">
        <v>0</v>
      </c>
      <c r="J371">
        <v>0</v>
      </c>
      <c r="K371">
        <v>0</v>
      </c>
      <c r="L371">
        <v>0</v>
      </c>
      <c r="M371">
        <v>0</v>
      </c>
      <c r="N371">
        <v>33751</v>
      </c>
      <c r="O371">
        <v>86182</v>
      </c>
      <c r="P371">
        <v>44535</v>
      </c>
      <c r="Q371">
        <v>0</v>
      </c>
      <c r="R371">
        <v>0</v>
      </c>
      <c r="S371">
        <v>0</v>
      </c>
      <c r="T371">
        <v>12</v>
      </c>
      <c r="U371">
        <v>17</v>
      </c>
    </row>
    <row r="372" spans="1:21" x14ac:dyDescent="0.35">
      <c r="A372" t="s">
        <v>21</v>
      </c>
      <c r="B372" s="1">
        <v>45192</v>
      </c>
      <c r="C372" t="s">
        <v>27</v>
      </c>
      <c r="D372">
        <v>0</v>
      </c>
      <c r="E372">
        <v>0</v>
      </c>
      <c r="F372">
        <v>0</v>
      </c>
      <c r="G372">
        <v>0</v>
      </c>
      <c r="H372">
        <v>0</v>
      </c>
      <c r="I372">
        <v>0</v>
      </c>
      <c r="J372">
        <v>0</v>
      </c>
      <c r="K372">
        <v>0</v>
      </c>
      <c r="L372">
        <v>0</v>
      </c>
      <c r="M372">
        <v>0</v>
      </c>
      <c r="N372">
        <v>31692</v>
      </c>
      <c r="O372">
        <v>86574</v>
      </c>
      <c r="P372">
        <v>44597</v>
      </c>
      <c r="Q372">
        <v>0</v>
      </c>
      <c r="R372">
        <v>0</v>
      </c>
      <c r="S372">
        <v>0</v>
      </c>
      <c r="T372">
        <v>12</v>
      </c>
      <c r="U372">
        <v>17</v>
      </c>
    </row>
    <row r="373" spans="1:21" x14ac:dyDescent="0.35">
      <c r="A373" t="s">
        <v>26</v>
      </c>
      <c r="B373" s="1">
        <v>44912</v>
      </c>
      <c r="C373" t="s">
        <v>23</v>
      </c>
      <c r="D373">
        <v>36.9</v>
      </c>
      <c r="E373">
        <v>10.4</v>
      </c>
      <c r="F373">
        <v>13</v>
      </c>
      <c r="G373">
        <v>3.5</v>
      </c>
      <c r="H373">
        <v>2.8</v>
      </c>
      <c r="I373">
        <v>0</v>
      </c>
      <c r="J373">
        <v>0</v>
      </c>
      <c r="K373">
        <v>0</v>
      </c>
      <c r="L373">
        <v>0</v>
      </c>
      <c r="M373">
        <v>0</v>
      </c>
      <c r="N373">
        <v>35269</v>
      </c>
      <c r="O373">
        <v>125391</v>
      </c>
      <c r="P373">
        <v>246772</v>
      </c>
      <c r="Q373">
        <v>13</v>
      </c>
      <c r="R373">
        <v>13</v>
      </c>
      <c r="S373">
        <v>32</v>
      </c>
      <c r="T373">
        <v>50</v>
      </c>
      <c r="U373">
        <v>64</v>
      </c>
    </row>
    <row r="374" spans="1:21" x14ac:dyDescent="0.35">
      <c r="A374" t="s">
        <v>28</v>
      </c>
      <c r="B374" s="1">
        <v>45117</v>
      </c>
      <c r="C374" t="s">
        <v>29</v>
      </c>
      <c r="D374">
        <v>41</v>
      </c>
      <c r="E374">
        <v>18.7</v>
      </c>
      <c r="F374">
        <v>23.6</v>
      </c>
      <c r="G374">
        <v>2.2000000000000002</v>
      </c>
      <c r="H374">
        <v>1.7</v>
      </c>
      <c r="I374">
        <v>0</v>
      </c>
      <c r="J374">
        <v>0</v>
      </c>
      <c r="K374">
        <v>0</v>
      </c>
      <c r="L374">
        <v>0</v>
      </c>
      <c r="M374">
        <v>0</v>
      </c>
      <c r="N374">
        <v>104936</v>
      </c>
      <c r="O374">
        <v>278564</v>
      </c>
      <c r="P374">
        <v>347458</v>
      </c>
      <c r="Q374">
        <v>43</v>
      </c>
      <c r="R374">
        <v>52</v>
      </c>
      <c r="S374">
        <v>82</v>
      </c>
      <c r="T374">
        <v>30</v>
      </c>
      <c r="U374">
        <v>49</v>
      </c>
    </row>
    <row r="375" spans="1:21" x14ac:dyDescent="0.35">
      <c r="A375" t="s">
        <v>26</v>
      </c>
      <c r="B375" s="1">
        <v>44774</v>
      </c>
      <c r="C375" t="s">
        <v>23</v>
      </c>
      <c r="D375">
        <v>355.8</v>
      </c>
      <c r="E375">
        <v>76.7</v>
      </c>
      <c r="F375">
        <v>32.299999999999997</v>
      </c>
      <c r="G375">
        <v>4.5999999999999996</v>
      </c>
      <c r="H375">
        <v>11</v>
      </c>
      <c r="I375">
        <v>0</v>
      </c>
      <c r="J375">
        <v>0</v>
      </c>
      <c r="K375">
        <v>0</v>
      </c>
      <c r="L375">
        <v>0</v>
      </c>
      <c r="M375">
        <v>0</v>
      </c>
      <c r="N375">
        <v>54811</v>
      </c>
      <c r="O375">
        <v>194317</v>
      </c>
      <c r="P375">
        <v>160841</v>
      </c>
      <c r="Q375">
        <v>195</v>
      </c>
      <c r="R375">
        <v>149</v>
      </c>
      <c r="S375">
        <v>52</v>
      </c>
      <c r="T375">
        <v>50</v>
      </c>
      <c r="U375">
        <v>64</v>
      </c>
    </row>
    <row r="376" spans="1:21" x14ac:dyDescent="0.35">
      <c r="A376" t="s">
        <v>28</v>
      </c>
      <c r="B376" s="1">
        <v>44674</v>
      </c>
      <c r="C376" t="s">
        <v>25</v>
      </c>
      <c r="D376">
        <v>236.2</v>
      </c>
      <c r="E376">
        <v>109.8</v>
      </c>
      <c r="F376">
        <v>286.10000000000002</v>
      </c>
      <c r="G376">
        <v>2.2000000000000002</v>
      </c>
      <c r="H376">
        <v>0.8</v>
      </c>
      <c r="I376">
        <v>0</v>
      </c>
      <c r="J376">
        <v>0</v>
      </c>
      <c r="K376">
        <v>0</v>
      </c>
      <c r="L376">
        <v>0</v>
      </c>
      <c r="M376">
        <v>0</v>
      </c>
      <c r="N376">
        <v>97360</v>
      </c>
      <c r="O376">
        <v>218531</v>
      </c>
      <c r="P376">
        <v>149251</v>
      </c>
      <c r="Q376">
        <v>230</v>
      </c>
      <c r="R376">
        <v>240</v>
      </c>
      <c r="S376">
        <v>427</v>
      </c>
      <c r="T376">
        <v>18</v>
      </c>
      <c r="U376">
        <v>29</v>
      </c>
    </row>
    <row r="377" spans="1:21" x14ac:dyDescent="0.35">
      <c r="A377" t="s">
        <v>28</v>
      </c>
      <c r="B377" s="1">
        <v>45019</v>
      </c>
      <c r="C377" t="s">
        <v>23</v>
      </c>
      <c r="D377">
        <v>192.4</v>
      </c>
      <c r="E377">
        <v>65.3</v>
      </c>
      <c r="F377">
        <v>95.6</v>
      </c>
      <c r="G377">
        <v>2.9</v>
      </c>
      <c r="H377">
        <v>2</v>
      </c>
      <c r="I377">
        <v>0</v>
      </c>
      <c r="J377">
        <v>0</v>
      </c>
      <c r="K377">
        <v>0</v>
      </c>
      <c r="L377">
        <v>0</v>
      </c>
      <c r="M377">
        <v>0</v>
      </c>
      <c r="N377">
        <v>33780</v>
      </c>
      <c r="O377">
        <v>125603</v>
      </c>
      <c r="P377">
        <v>246874</v>
      </c>
      <c r="Q377">
        <v>65</v>
      </c>
      <c r="R377">
        <v>82</v>
      </c>
      <c r="S377">
        <v>236</v>
      </c>
      <c r="T377">
        <v>50</v>
      </c>
      <c r="U377">
        <v>64</v>
      </c>
    </row>
    <row r="378" spans="1:21" x14ac:dyDescent="0.35">
      <c r="A378" t="s">
        <v>28</v>
      </c>
      <c r="B378" s="1">
        <v>44611</v>
      </c>
      <c r="C378" t="s">
        <v>25</v>
      </c>
      <c r="D378">
        <v>191.1</v>
      </c>
      <c r="E378">
        <v>45.7</v>
      </c>
      <c r="F378">
        <v>78.8</v>
      </c>
      <c r="G378">
        <v>4.2</v>
      </c>
      <c r="H378">
        <v>2.4</v>
      </c>
      <c r="I378">
        <v>0</v>
      </c>
      <c r="J378">
        <v>0</v>
      </c>
      <c r="K378">
        <v>0</v>
      </c>
      <c r="L378">
        <v>0</v>
      </c>
      <c r="M378">
        <v>0</v>
      </c>
      <c r="N378">
        <v>103609</v>
      </c>
      <c r="O378">
        <v>221200</v>
      </c>
      <c r="P378">
        <v>133301</v>
      </c>
      <c r="Q378">
        <v>198</v>
      </c>
      <c r="R378">
        <v>101</v>
      </c>
      <c r="S378">
        <v>105</v>
      </c>
      <c r="T378">
        <v>18</v>
      </c>
      <c r="U378">
        <v>29</v>
      </c>
    </row>
    <row r="379" spans="1:21" x14ac:dyDescent="0.35">
      <c r="A379" t="s">
        <v>21</v>
      </c>
      <c r="B379" s="1">
        <v>44201</v>
      </c>
      <c r="C379" t="s">
        <v>29</v>
      </c>
      <c r="D379">
        <v>1.9</v>
      </c>
      <c r="E379">
        <v>0</v>
      </c>
      <c r="F379">
        <v>0</v>
      </c>
      <c r="G379">
        <v>0</v>
      </c>
      <c r="H379">
        <v>0</v>
      </c>
      <c r="I379">
        <v>0</v>
      </c>
      <c r="J379">
        <v>0</v>
      </c>
      <c r="K379">
        <v>0</v>
      </c>
      <c r="L379">
        <v>0</v>
      </c>
      <c r="M379">
        <v>0</v>
      </c>
      <c r="N379">
        <v>365119</v>
      </c>
      <c r="O379">
        <v>238588</v>
      </c>
      <c r="P379">
        <v>0</v>
      </c>
      <c r="Q379">
        <v>7</v>
      </c>
      <c r="R379">
        <v>0</v>
      </c>
      <c r="S379">
        <v>0</v>
      </c>
      <c r="T379">
        <v>30</v>
      </c>
      <c r="U379">
        <v>49</v>
      </c>
    </row>
    <row r="380" spans="1:21" x14ac:dyDescent="0.35">
      <c r="A380" t="s">
        <v>21</v>
      </c>
      <c r="B380" s="1">
        <v>44765</v>
      </c>
      <c r="C380" t="s">
        <v>22</v>
      </c>
      <c r="D380">
        <v>0.5</v>
      </c>
      <c r="E380">
        <v>0.7</v>
      </c>
      <c r="F380">
        <v>0.4</v>
      </c>
      <c r="G380">
        <v>0.7</v>
      </c>
      <c r="H380">
        <v>1.2</v>
      </c>
      <c r="I380">
        <v>0.7</v>
      </c>
      <c r="J380">
        <v>1.6</v>
      </c>
      <c r="K380">
        <v>0.3</v>
      </c>
      <c r="L380">
        <v>0.4</v>
      </c>
      <c r="M380">
        <v>2.5</v>
      </c>
      <c r="N380">
        <v>620290</v>
      </c>
      <c r="O380">
        <v>856799</v>
      </c>
      <c r="P380">
        <v>1004817</v>
      </c>
      <c r="Q380">
        <v>3</v>
      </c>
      <c r="R380">
        <v>6</v>
      </c>
      <c r="S380">
        <v>4</v>
      </c>
      <c r="T380">
        <v>999</v>
      </c>
      <c r="U380">
        <v>999</v>
      </c>
    </row>
    <row r="381" spans="1:21" x14ac:dyDescent="0.35">
      <c r="A381" t="s">
        <v>28</v>
      </c>
      <c r="B381" s="1">
        <v>44871</v>
      </c>
      <c r="C381" t="s">
        <v>32</v>
      </c>
      <c r="D381">
        <v>173.4</v>
      </c>
      <c r="E381">
        <v>0</v>
      </c>
      <c r="F381">
        <v>0</v>
      </c>
      <c r="G381">
        <v>0</v>
      </c>
      <c r="H381">
        <v>0</v>
      </c>
      <c r="I381">
        <v>0</v>
      </c>
      <c r="J381">
        <v>0</v>
      </c>
      <c r="K381">
        <v>0</v>
      </c>
      <c r="L381">
        <v>0</v>
      </c>
      <c r="M381">
        <v>0</v>
      </c>
      <c r="N381">
        <v>162642</v>
      </c>
      <c r="O381">
        <v>0</v>
      </c>
      <c r="P381">
        <v>0</v>
      </c>
      <c r="Q381">
        <v>282</v>
      </c>
      <c r="R381">
        <v>0</v>
      </c>
      <c r="S381">
        <v>0</v>
      </c>
      <c r="T381">
        <v>0</v>
      </c>
      <c r="U381">
        <v>4</v>
      </c>
    </row>
    <row r="382" spans="1:21" x14ac:dyDescent="0.35">
      <c r="A382" t="s">
        <v>28</v>
      </c>
      <c r="B382" s="1">
        <v>44926</v>
      </c>
      <c r="C382" t="s">
        <v>30</v>
      </c>
      <c r="D382">
        <v>185.3</v>
      </c>
      <c r="E382">
        <v>387.1</v>
      </c>
      <c r="F382">
        <v>299.3</v>
      </c>
      <c r="G382">
        <v>0.5</v>
      </c>
      <c r="H382">
        <v>0.6</v>
      </c>
      <c r="I382">
        <v>0</v>
      </c>
      <c r="J382">
        <v>0</v>
      </c>
      <c r="K382">
        <v>0</v>
      </c>
      <c r="L382">
        <v>0</v>
      </c>
      <c r="M382">
        <v>0</v>
      </c>
      <c r="N382">
        <v>24824</v>
      </c>
      <c r="O382">
        <v>11367</v>
      </c>
      <c r="P382">
        <v>47117</v>
      </c>
      <c r="Q382">
        <v>46</v>
      </c>
      <c r="R382">
        <v>44</v>
      </c>
      <c r="S382">
        <v>141</v>
      </c>
      <c r="T382">
        <v>80</v>
      </c>
      <c r="U382">
        <v>200</v>
      </c>
    </row>
    <row r="383" spans="1:21" x14ac:dyDescent="0.35">
      <c r="A383" t="s">
        <v>28</v>
      </c>
      <c r="B383" s="1">
        <v>44520</v>
      </c>
      <c r="C383" t="s">
        <v>32</v>
      </c>
      <c r="D383">
        <v>104.5</v>
      </c>
      <c r="E383">
        <v>0</v>
      </c>
      <c r="F383">
        <v>0</v>
      </c>
      <c r="G383">
        <v>0</v>
      </c>
      <c r="H383">
        <v>0</v>
      </c>
      <c r="I383">
        <v>0</v>
      </c>
      <c r="J383">
        <v>0</v>
      </c>
      <c r="K383">
        <v>0</v>
      </c>
      <c r="L383">
        <v>0</v>
      </c>
      <c r="M383">
        <v>0</v>
      </c>
      <c r="N383">
        <v>162642</v>
      </c>
      <c r="O383">
        <v>0</v>
      </c>
      <c r="P383">
        <v>0</v>
      </c>
      <c r="Q383">
        <v>170</v>
      </c>
      <c r="R383">
        <v>0</v>
      </c>
      <c r="S383">
        <v>0</v>
      </c>
      <c r="T383">
        <v>0</v>
      </c>
      <c r="U383">
        <v>4</v>
      </c>
    </row>
    <row r="384" spans="1:21" x14ac:dyDescent="0.35">
      <c r="A384" t="s">
        <v>28</v>
      </c>
      <c r="B384" s="1">
        <v>44562</v>
      </c>
      <c r="C384" t="s">
        <v>23</v>
      </c>
      <c r="D384">
        <v>3677.7</v>
      </c>
      <c r="E384">
        <v>1686.1</v>
      </c>
      <c r="F384">
        <v>1009.6</v>
      </c>
      <c r="G384">
        <v>2.2000000000000002</v>
      </c>
      <c r="H384">
        <v>3.6</v>
      </c>
      <c r="I384">
        <v>0</v>
      </c>
      <c r="J384">
        <v>0</v>
      </c>
      <c r="K384">
        <v>0</v>
      </c>
      <c r="L384">
        <v>0</v>
      </c>
      <c r="M384">
        <v>0</v>
      </c>
      <c r="N384">
        <v>56937</v>
      </c>
      <c r="O384">
        <v>206986</v>
      </c>
      <c r="P384">
        <v>147279</v>
      </c>
      <c r="Q384">
        <v>2094</v>
      </c>
      <c r="R384">
        <v>3490</v>
      </c>
      <c r="S384">
        <v>1487</v>
      </c>
      <c r="T384">
        <v>50</v>
      </c>
      <c r="U384">
        <v>64</v>
      </c>
    </row>
    <row r="385" spans="1:21" x14ac:dyDescent="0.35">
      <c r="A385" t="s">
        <v>21</v>
      </c>
      <c r="B385" s="1">
        <v>44681</v>
      </c>
      <c r="C385" t="s">
        <v>24</v>
      </c>
      <c r="D385">
        <v>0</v>
      </c>
      <c r="E385">
        <v>0</v>
      </c>
      <c r="F385">
        <v>0</v>
      </c>
      <c r="G385">
        <v>0</v>
      </c>
      <c r="H385">
        <v>0</v>
      </c>
      <c r="I385">
        <v>0</v>
      </c>
      <c r="J385">
        <v>0</v>
      </c>
      <c r="K385">
        <v>0</v>
      </c>
      <c r="L385">
        <v>0</v>
      </c>
      <c r="M385">
        <v>0</v>
      </c>
      <c r="N385">
        <v>102021</v>
      </c>
      <c r="O385">
        <v>93311</v>
      </c>
      <c r="P385">
        <v>0</v>
      </c>
      <c r="Q385">
        <v>0</v>
      </c>
      <c r="R385">
        <v>0</v>
      </c>
      <c r="S385">
        <v>0</v>
      </c>
      <c r="T385">
        <v>5</v>
      </c>
      <c r="U385">
        <v>11</v>
      </c>
    </row>
    <row r="386" spans="1:21" x14ac:dyDescent="0.35">
      <c r="A386" t="s">
        <v>28</v>
      </c>
      <c r="B386" s="1">
        <v>44772</v>
      </c>
      <c r="C386" t="s">
        <v>25</v>
      </c>
      <c r="D386">
        <v>371.1</v>
      </c>
      <c r="E386">
        <v>145.9</v>
      </c>
      <c r="F386">
        <v>228.2</v>
      </c>
      <c r="G386">
        <v>2.5</v>
      </c>
      <c r="H386">
        <v>1.6</v>
      </c>
      <c r="I386">
        <v>0</v>
      </c>
      <c r="J386">
        <v>0</v>
      </c>
      <c r="K386">
        <v>0</v>
      </c>
      <c r="L386">
        <v>0</v>
      </c>
      <c r="M386">
        <v>0</v>
      </c>
      <c r="N386">
        <v>92439</v>
      </c>
      <c r="O386">
        <v>213184</v>
      </c>
      <c r="P386">
        <v>158188</v>
      </c>
      <c r="Q386">
        <v>343</v>
      </c>
      <c r="R386">
        <v>311</v>
      </c>
      <c r="S386">
        <v>361</v>
      </c>
      <c r="T386">
        <v>18</v>
      </c>
      <c r="U386">
        <v>29</v>
      </c>
    </row>
    <row r="387" spans="1:21" x14ac:dyDescent="0.35">
      <c r="A387" t="s">
        <v>21</v>
      </c>
      <c r="B387" s="1">
        <v>44298</v>
      </c>
      <c r="C387" t="s">
        <v>27</v>
      </c>
      <c r="D387">
        <v>0</v>
      </c>
      <c r="E387">
        <v>0</v>
      </c>
      <c r="F387">
        <v>0</v>
      </c>
      <c r="G387">
        <v>0</v>
      </c>
      <c r="H387">
        <v>0</v>
      </c>
      <c r="I387">
        <v>0</v>
      </c>
      <c r="J387">
        <v>0</v>
      </c>
      <c r="K387">
        <v>0</v>
      </c>
      <c r="L387">
        <v>0</v>
      </c>
      <c r="M387">
        <v>0</v>
      </c>
      <c r="N387">
        <v>58493</v>
      </c>
      <c r="O387">
        <v>105452</v>
      </c>
      <c r="P387">
        <v>0</v>
      </c>
      <c r="Q387">
        <v>0</v>
      </c>
      <c r="R387">
        <v>0</v>
      </c>
      <c r="S387">
        <v>0</v>
      </c>
      <c r="T387">
        <v>12</v>
      </c>
      <c r="U387">
        <v>17</v>
      </c>
    </row>
    <row r="388" spans="1:21" x14ac:dyDescent="0.35">
      <c r="A388" t="s">
        <v>21</v>
      </c>
      <c r="B388" s="1">
        <v>44774</v>
      </c>
      <c r="C388" t="s">
        <v>30</v>
      </c>
      <c r="D388">
        <v>136.6</v>
      </c>
      <c r="E388">
        <v>108.8</v>
      </c>
      <c r="F388">
        <v>24.3</v>
      </c>
      <c r="G388">
        <v>1.3</v>
      </c>
      <c r="H388">
        <v>5.6</v>
      </c>
      <c r="I388">
        <v>0</v>
      </c>
      <c r="J388">
        <v>0</v>
      </c>
      <c r="K388">
        <v>0</v>
      </c>
      <c r="L388">
        <v>0</v>
      </c>
      <c r="M388">
        <v>0</v>
      </c>
      <c r="N388">
        <v>27814</v>
      </c>
      <c r="O388">
        <v>19309</v>
      </c>
      <c r="P388">
        <v>37045</v>
      </c>
      <c r="Q388">
        <v>38</v>
      </c>
      <c r="R388">
        <v>21</v>
      </c>
      <c r="S388">
        <v>9</v>
      </c>
      <c r="T388">
        <v>80</v>
      </c>
      <c r="U388">
        <v>200</v>
      </c>
    </row>
    <row r="389" spans="1:21" x14ac:dyDescent="0.35">
      <c r="A389" t="s">
        <v>28</v>
      </c>
      <c r="B389" s="1">
        <v>44449</v>
      </c>
      <c r="C389" t="s">
        <v>23</v>
      </c>
      <c r="D389">
        <v>193.6</v>
      </c>
      <c r="E389">
        <v>52.8</v>
      </c>
      <c r="F389">
        <v>0</v>
      </c>
      <c r="G389">
        <v>3.7</v>
      </c>
      <c r="H389">
        <v>0</v>
      </c>
      <c r="I389">
        <v>0</v>
      </c>
      <c r="J389">
        <v>0</v>
      </c>
      <c r="K389">
        <v>0</v>
      </c>
      <c r="L389">
        <v>0</v>
      </c>
      <c r="M389">
        <v>0</v>
      </c>
      <c r="N389">
        <v>77460</v>
      </c>
      <c r="O389">
        <v>331279</v>
      </c>
      <c r="P389">
        <v>0</v>
      </c>
      <c r="Q389">
        <v>150</v>
      </c>
      <c r="R389">
        <v>175</v>
      </c>
      <c r="S389">
        <v>0</v>
      </c>
      <c r="T389">
        <v>50</v>
      </c>
      <c r="U389">
        <v>64</v>
      </c>
    </row>
    <row r="390" spans="1:21" x14ac:dyDescent="0.35">
      <c r="A390" t="s">
        <v>21</v>
      </c>
      <c r="B390" s="1">
        <v>44758</v>
      </c>
      <c r="C390" t="s">
        <v>29</v>
      </c>
      <c r="D390">
        <v>0</v>
      </c>
      <c r="E390">
        <v>0</v>
      </c>
      <c r="F390">
        <v>0</v>
      </c>
      <c r="G390">
        <v>0</v>
      </c>
      <c r="H390">
        <v>0</v>
      </c>
      <c r="I390">
        <v>0</v>
      </c>
      <c r="J390">
        <v>0</v>
      </c>
      <c r="K390">
        <v>0</v>
      </c>
      <c r="L390">
        <v>0</v>
      </c>
      <c r="M390">
        <v>0</v>
      </c>
      <c r="N390">
        <v>127190</v>
      </c>
      <c r="O390">
        <v>279873</v>
      </c>
      <c r="P390">
        <v>341011</v>
      </c>
      <c r="Q390">
        <v>0</v>
      </c>
      <c r="R390">
        <v>0</v>
      </c>
      <c r="S390">
        <v>0</v>
      </c>
      <c r="T390">
        <v>30</v>
      </c>
      <c r="U390">
        <v>49</v>
      </c>
    </row>
    <row r="391" spans="1:21" x14ac:dyDescent="0.35">
      <c r="A391" t="s">
        <v>21</v>
      </c>
      <c r="B391" s="1">
        <v>44599</v>
      </c>
      <c r="C391" t="s">
        <v>25</v>
      </c>
      <c r="D391">
        <v>0</v>
      </c>
      <c r="E391">
        <v>0</v>
      </c>
      <c r="F391">
        <v>0</v>
      </c>
      <c r="G391">
        <v>0</v>
      </c>
      <c r="H391">
        <v>0</v>
      </c>
      <c r="I391">
        <v>0</v>
      </c>
      <c r="J391">
        <v>0</v>
      </c>
      <c r="K391">
        <v>0</v>
      </c>
      <c r="L391">
        <v>0</v>
      </c>
      <c r="M391">
        <v>0</v>
      </c>
      <c r="N391">
        <v>93769</v>
      </c>
      <c r="O391">
        <v>214617</v>
      </c>
      <c r="P391">
        <v>155854</v>
      </c>
      <c r="Q391">
        <v>0</v>
      </c>
      <c r="R391">
        <v>0</v>
      </c>
      <c r="S391">
        <v>0</v>
      </c>
      <c r="T391">
        <v>18</v>
      </c>
      <c r="U391">
        <v>29</v>
      </c>
    </row>
    <row r="392" spans="1:21" x14ac:dyDescent="0.35">
      <c r="A392" t="s">
        <v>26</v>
      </c>
      <c r="B392" s="1">
        <v>44765</v>
      </c>
      <c r="C392" t="s">
        <v>29</v>
      </c>
      <c r="D392">
        <v>18.100000000000001</v>
      </c>
      <c r="E392">
        <v>4.7</v>
      </c>
      <c r="F392">
        <v>5</v>
      </c>
      <c r="G392">
        <v>3.9</v>
      </c>
      <c r="H392">
        <v>3.6</v>
      </c>
      <c r="I392">
        <v>0</v>
      </c>
      <c r="J392">
        <v>0</v>
      </c>
      <c r="K392">
        <v>0</v>
      </c>
      <c r="L392">
        <v>0</v>
      </c>
      <c r="M392">
        <v>0</v>
      </c>
      <c r="N392">
        <v>126870</v>
      </c>
      <c r="O392">
        <v>279406</v>
      </c>
      <c r="P392">
        <v>341686</v>
      </c>
      <c r="Q392">
        <v>23</v>
      </c>
      <c r="R392">
        <v>13</v>
      </c>
      <c r="S392">
        <v>17</v>
      </c>
      <c r="T392">
        <v>30</v>
      </c>
      <c r="U392">
        <v>49</v>
      </c>
    </row>
    <row r="393" spans="1:21" x14ac:dyDescent="0.35">
      <c r="A393" t="s">
        <v>21</v>
      </c>
      <c r="B393" s="1">
        <v>44692</v>
      </c>
      <c r="C393" t="s">
        <v>25</v>
      </c>
      <c r="D393">
        <v>0</v>
      </c>
      <c r="E393">
        <v>0</v>
      </c>
      <c r="F393">
        <v>0</v>
      </c>
      <c r="G393">
        <v>0</v>
      </c>
      <c r="H393">
        <v>0</v>
      </c>
      <c r="I393">
        <v>0</v>
      </c>
      <c r="J393">
        <v>0</v>
      </c>
      <c r="K393">
        <v>0</v>
      </c>
      <c r="L393">
        <v>0</v>
      </c>
      <c r="M393">
        <v>0</v>
      </c>
      <c r="N393">
        <v>83590</v>
      </c>
      <c r="O393">
        <v>212234</v>
      </c>
      <c r="P393">
        <v>161534</v>
      </c>
      <c r="Q393">
        <v>0</v>
      </c>
      <c r="R393">
        <v>0</v>
      </c>
      <c r="S393">
        <v>0</v>
      </c>
      <c r="T393">
        <v>18</v>
      </c>
      <c r="U393">
        <v>29</v>
      </c>
    </row>
    <row r="394" spans="1:21" x14ac:dyDescent="0.35">
      <c r="A394" t="s">
        <v>28</v>
      </c>
      <c r="B394" s="1">
        <v>44730</v>
      </c>
      <c r="C394" t="s">
        <v>25</v>
      </c>
      <c r="D394">
        <v>273.5</v>
      </c>
      <c r="E394">
        <v>120.8</v>
      </c>
      <c r="F394">
        <v>237.8</v>
      </c>
      <c r="G394">
        <v>2.2999999999999998</v>
      </c>
      <c r="H394">
        <v>1.2</v>
      </c>
      <c r="I394">
        <v>0</v>
      </c>
      <c r="J394">
        <v>0</v>
      </c>
      <c r="K394">
        <v>0</v>
      </c>
      <c r="L394">
        <v>0</v>
      </c>
      <c r="M394">
        <v>0</v>
      </c>
      <c r="N394">
        <v>94340</v>
      </c>
      <c r="O394">
        <v>215224</v>
      </c>
      <c r="P394">
        <v>154755</v>
      </c>
      <c r="Q394">
        <v>258</v>
      </c>
      <c r="R394">
        <v>260</v>
      </c>
      <c r="S394">
        <v>368</v>
      </c>
      <c r="T394">
        <v>18</v>
      </c>
      <c r="U394">
        <v>29</v>
      </c>
    </row>
    <row r="395" spans="1:21" x14ac:dyDescent="0.35">
      <c r="A395" t="s">
        <v>21</v>
      </c>
      <c r="B395" s="1">
        <v>45199</v>
      </c>
      <c r="C395" t="s">
        <v>22</v>
      </c>
      <c r="D395">
        <v>0.2</v>
      </c>
      <c r="E395">
        <v>0.2</v>
      </c>
      <c r="F395">
        <v>0.3</v>
      </c>
      <c r="G395">
        <v>1</v>
      </c>
      <c r="H395">
        <v>0.7</v>
      </c>
      <c r="I395">
        <v>0.1</v>
      </c>
      <c r="J395">
        <v>0.4</v>
      </c>
      <c r="K395">
        <v>0.2</v>
      </c>
      <c r="L395">
        <v>0.3</v>
      </c>
      <c r="M395">
        <v>0.8</v>
      </c>
      <c r="N395">
        <v>524196</v>
      </c>
      <c r="O395">
        <v>860280</v>
      </c>
      <c r="P395">
        <v>1040855</v>
      </c>
      <c r="Q395">
        <v>1</v>
      </c>
      <c r="R395">
        <v>2</v>
      </c>
      <c r="S395">
        <v>3</v>
      </c>
      <c r="T395">
        <v>999</v>
      </c>
      <c r="U395">
        <v>999</v>
      </c>
    </row>
    <row r="396" spans="1:21" x14ac:dyDescent="0.35">
      <c r="A396" t="s">
        <v>21</v>
      </c>
      <c r="B396" s="1">
        <v>44422</v>
      </c>
      <c r="C396" t="s">
        <v>27</v>
      </c>
      <c r="D396">
        <v>0</v>
      </c>
      <c r="E396">
        <v>0</v>
      </c>
      <c r="F396">
        <v>0</v>
      </c>
      <c r="G396">
        <v>0</v>
      </c>
      <c r="H396">
        <v>0</v>
      </c>
      <c r="I396">
        <v>0</v>
      </c>
      <c r="J396">
        <v>0</v>
      </c>
      <c r="K396">
        <v>0</v>
      </c>
      <c r="L396">
        <v>0</v>
      </c>
      <c r="M396">
        <v>0</v>
      </c>
      <c r="N396">
        <v>85815</v>
      </c>
      <c r="O396">
        <v>69935</v>
      </c>
      <c r="P396">
        <v>0</v>
      </c>
      <c r="Q396">
        <v>0</v>
      </c>
      <c r="R396">
        <v>0</v>
      </c>
      <c r="S396">
        <v>0</v>
      </c>
      <c r="T396">
        <v>12</v>
      </c>
      <c r="U396">
        <v>17</v>
      </c>
    </row>
    <row r="397" spans="1:21" x14ac:dyDescent="0.35">
      <c r="A397" t="s">
        <v>21</v>
      </c>
      <c r="B397" s="1">
        <v>44457</v>
      </c>
      <c r="C397" t="s">
        <v>27</v>
      </c>
      <c r="D397">
        <v>0</v>
      </c>
      <c r="E397">
        <v>0</v>
      </c>
      <c r="F397">
        <v>0</v>
      </c>
      <c r="G397">
        <v>0</v>
      </c>
      <c r="H397">
        <v>0</v>
      </c>
      <c r="I397">
        <v>0</v>
      </c>
      <c r="J397">
        <v>0</v>
      </c>
      <c r="K397">
        <v>0</v>
      </c>
      <c r="L397">
        <v>0</v>
      </c>
      <c r="M397">
        <v>0</v>
      </c>
      <c r="N397">
        <v>71650</v>
      </c>
      <c r="O397">
        <v>87028</v>
      </c>
      <c r="P397">
        <v>0</v>
      </c>
      <c r="Q397">
        <v>0</v>
      </c>
      <c r="R397">
        <v>0</v>
      </c>
      <c r="S397">
        <v>0</v>
      </c>
      <c r="T397">
        <v>12</v>
      </c>
      <c r="U397">
        <v>17</v>
      </c>
    </row>
    <row r="398" spans="1:21" x14ac:dyDescent="0.35">
      <c r="A398" t="s">
        <v>26</v>
      </c>
      <c r="B398" s="1">
        <v>44926</v>
      </c>
      <c r="C398" t="s">
        <v>25</v>
      </c>
      <c r="D398">
        <v>6.3</v>
      </c>
      <c r="E398">
        <v>4.2</v>
      </c>
      <c r="F398">
        <v>0.6</v>
      </c>
      <c r="G398">
        <v>1.5</v>
      </c>
      <c r="H398">
        <v>10.5</v>
      </c>
      <c r="I398">
        <v>0</v>
      </c>
      <c r="J398">
        <v>0</v>
      </c>
      <c r="K398">
        <v>0</v>
      </c>
      <c r="L398">
        <v>0</v>
      </c>
      <c r="M398">
        <v>0</v>
      </c>
      <c r="N398">
        <v>79293</v>
      </c>
      <c r="O398">
        <v>212935</v>
      </c>
      <c r="P398">
        <v>161619</v>
      </c>
      <c r="Q398">
        <v>5</v>
      </c>
      <c r="R398">
        <v>9</v>
      </c>
      <c r="S398">
        <v>1</v>
      </c>
      <c r="T398">
        <v>18</v>
      </c>
      <c r="U398">
        <v>29</v>
      </c>
    </row>
    <row r="399" spans="1:21" x14ac:dyDescent="0.35">
      <c r="A399" t="s">
        <v>26</v>
      </c>
      <c r="B399" s="1">
        <v>44758</v>
      </c>
      <c r="C399" t="s">
        <v>23</v>
      </c>
      <c r="D399">
        <v>31.3</v>
      </c>
      <c r="E399">
        <v>10.9</v>
      </c>
      <c r="F399">
        <v>10.8</v>
      </c>
      <c r="G399">
        <v>2.9</v>
      </c>
      <c r="H399">
        <v>2.9</v>
      </c>
      <c r="I399">
        <v>0</v>
      </c>
      <c r="J399">
        <v>0</v>
      </c>
      <c r="K399">
        <v>0</v>
      </c>
      <c r="L399">
        <v>0</v>
      </c>
      <c r="M399">
        <v>0</v>
      </c>
      <c r="N399">
        <v>41521</v>
      </c>
      <c r="O399">
        <v>128806</v>
      </c>
      <c r="P399">
        <v>241470</v>
      </c>
      <c r="Q399">
        <v>13</v>
      </c>
      <c r="R399">
        <v>14</v>
      </c>
      <c r="S399">
        <v>26</v>
      </c>
      <c r="T399">
        <v>50</v>
      </c>
      <c r="U399">
        <v>64</v>
      </c>
    </row>
    <row r="400" spans="1:21" x14ac:dyDescent="0.35">
      <c r="A400" t="s">
        <v>28</v>
      </c>
      <c r="B400" s="1">
        <v>45031</v>
      </c>
      <c r="C400" t="s">
        <v>22</v>
      </c>
      <c r="D400">
        <v>63</v>
      </c>
      <c r="E400">
        <v>34</v>
      </c>
      <c r="F400">
        <v>53.4</v>
      </c>
      <c r="G400">
        <v>1.9</v>
      </c>
      <c r="H400">
        <v>1.2</v>
      </c>
      <c r="I400">
        <v>70.8</v>
      </c>
      <c r="J400">
        <v>35.5</v>
      </c>
      <c r="K400">
        <v>48.8</v>
      </c>
      <c r="L400">
        <v>2</v>
      </c>
      <c r="M400">
        <v>1.5</v>
      </c>
      <c r="N400">
        <v>539653</v>
      </c>
      <c r="O400">
        <v>859628</v>
      </c>
      <c r="P400">
        <v>1040581</v>
      </c>
      <c r="Q400">
        <v>340</v>
      </c>
      <c r="R400">
        <v>292</v>
      </c>
      <c r="S400">
        <v>556</v>
      </c>
      <c r="T400">
        <v>999</v>
      </c>
      <c r="U400">
        <v>999</v>
      </c>
    </row>
    <row r="401" spans="1:21" x14ac:dyDescent="0.35">
      <c r="A401" t="s">
        <v>21</v>
      </c>
      <c r="B401" s="1">
        <v>44783</v>
      </c>
      <c r="C401" t="s">
        <v>31</v>
      </c>
      <c r="D401">
        <v>2.2999999999999998</v>
      </c>
      <c r="E401">
        <v>2.2999999999999998</v>
      </c>
      <c r="F401">
        <v>0.6</v>
      </c>
      <c r="G401">
        <v>1</v>
      </c>
      <c r="H401">
        <v>3.8</v>
      </c>
      <c r="I401">
        <v>0</v>
      </c>
      <c r="J401">
        <v>0</v>
      </c>
      <c r="K401">
        <v>0</v>
      </c>
      <c r="L401">
        <v>0</v>
      </c>
      <c r="M401">
        <v>0</v>
      </c>
      <c r="N401">
        <v>43949</v>
      </c>
      <c r="O401">
        <v>43409</v>
      </c>
      <c r="P401">
        <v>171395</v>
      </c>
      <c r="Q401">
        <v>1</v>
      </c>
      <c r="R401">
        <v>1</v>
      </c>
      <c r="S401">
        <v>1</v>
      </c>
      <c r="T401">
        <v>65</v>
      </c>
      <c r="U401">
        <v>79</v>
      </c>
    </row>
    <row r="402" spans="1:21" x14ac:dyDescent="0.35">
      <c r="A402" t="s">
        <v>28</v>
      </c>
      <c r="B402" s="1">
        <v>44429</v>
      </c>
      <c r="C402" t="s">
        <v>30</v>
      </c>
      <c r="D402">
        <v>53.5</v>
      </c>
      <c r="E402">
        <v>51</v>
      </c>
      <c r="F402">
        <v>0</v>
      </c>
      <c r="G402">
        <v>1</v>
      </c>
      <c r="H402">
        <v>0</v>
      </c>
      <c r="I402">
        <v>0</v>
      </c>
      <c r="J402">
        <v>0</v>
      </c>
      <c r="K402">
        <v>0</v>
      </c>
      <c r="L402">
        <v>0</v>
      </c>
      <c r="M402">
        <v>0</v>
      </c>
      <c r="N402">
        <v>31765</v>
      </c>
      <c r="O402">
        <v>52936</v>
      </c>
      <c r="P402">
        <v>0</v>
      </c>
      <c r="Q402">
        <v>17</v>
      </c>
      <c r="R402">
        <v>27</v>
      </c>
      <c r="S402">
        <v>0</v>
      </c>
      <c r="T402">
        <v>80</v>
      </c>
      <c r="U402">
        <v>200</v>
      </c>
    </row>
    <row r="403" spans="1:21" x14ac:dyDescent="0.35">
      <c r="A403" t="s">
        <v>21</v>
      </c>
      <c r="B403" s="1">
        <v>44629</v>
      </c>
      <c r="C403" t="s">
        <v>32</v>
      </c>
      <c r="D403">
        <v>0</v>
      </c>
      <c r="E403">
        <v>0</v>
      </c>
      <c r="F403">
        <v>0</v>
      </c>
      <c r="G403">
        <v>0</v>
      </c>
      <c r="H403">
        <v>0</v>
      </c>
      <c r="I403">
        <v>0</v>
      </c>
      <c r="J403">
        <v>0</v>
      </c>
      <c r="K403">
        <v>0</v>
      </c>
      <c r="L403">
        <v>0</v>
      </c>
      <c r="M403">
        <v>0</v>
      </c>
      <c r="N403">
        <v>162642</v>
      </c>
      <c r="O403">
        <v>0</v>
      </c>
      <c r="P403">
        <v>0</v>
      </c>
      <c r="Q403">
        <v>0</v>
      </c>
      <c r="R403">
        <v>0</v>
      </c>
      <c r="S403">
        <v>0</v>
      </c>
      <c r="T403">
        <v>0</v>
      </c>
      <c r="U403">
        <v>4</v>
      </c>
    </row>
    <row r="404" spans="1:21" x14ac:dyDescent="0.35">
      <c r="A404" t="s">
        <v>26</v>
      </c>
      <c r="B404" s="1">
        <v>44385</v>
      </c>
      <c r="C404" t="s">
        <v>31</v>
      </c>
      <c r="D404">
        <v>32.1</v>
      </c>
      <c r="E404">
        <v>4.0999999999999996</v>
      </c>
      <c r="F404">
        <v>0</v>
      </c>
      <c r="G404">
        <v>7.8</v>
      </c>
      <c r="H404">
        <v>0</v>
      </c>
      <c r="I404">
        <v>0</v>
      </c>
      <c r="J404">
        <v>0</v>
      </c>
      <c r="K404">
        <v>0</v>
      </c>
      <c r="L404">
        <v>0</v>
      </c>
      <c r="M404">
        <v>0</v>
      </c>
      <c r="N404">
        <v>68485</v>
      </c>
      <c r="O404">
        <v>192863</v>
      </c>
      <c r="P404">
        <v>0</v>
      </c>
      <c r="Q404">
        <v>22</v>
      </c>
      <c r="R404">
        <v>8</v>
      </c>
      <c r="S404">
        <v>0</v>
      </c>
      <c r="T404">
        <v>65</v>
      </c>
      <c r="U404">
        <v>79</v>
      </c>
    </row>
    <row r="405" spans="1:21" x14ac:dyDescent="0.35">
      <c r="A405" t="s">
        <v>26</v>
      </c>
      <c r="B405" s="1">
        <v>45199</v>
      </c>
      <c r="C405" t="s">
        <v>27</v>
      </c>
      <c r="D405">
        <v>0</v>
      </c>
      <c r="E405">
        <v>0</v>
      </c>
      <c r="F405">
        <v>4.5</v>
      </c>
      <c r="G405">
        <v>0</v>
      </c>
      <c r="H405">
        <v>0</v>
      </c>
      <c r="I405">
        <v>0</v>
      </c>
      <c r="J405">
        <v>0</v>
      </c>
      <c r="K405">
        <v>0</v>
      </c>
      <c r="L405">
        <v>0</v>
      </c>
      <c r="M405">
        <v>0</v>
      </c>
      <c r="N405">
        <v>31687</v>
      </c>
      <c r="O405">
        <v>86573</v>
      </c>
      <c r="P405">
        <v>44598</v>
      </c>
      <c r="Q405">
        <v>0</v>
      </c>
      <c r="R405">
        <v>0</v>
      </c>
      <c r="S405">
        <v>2</v>
      </c>
      <c r="T405">
        <v>12</v>
      </c>
      <c r="U405">
        <v>17</v>
      </c>
    </row>
    <row r="406" spans="1:21" x14ac:dyDescent="0.35">
      <c r="A406" t="s">
        <v>26</v>
      </c>
      <c r="B406" s="1">
        <v>44811</v>
      </c>
      <c r="C406" t="s">
        <v>22</v>
      </c>
      <c r="D406">
        <v>12.1</v>
      </c>
      <c r="E406">
        <v>7.2</v>
      </c>
      <c r="F406">
        <v>10.9</v>
      </c>
      <c r="G406">
        <v>1.7</v>
      </c>
      <c r="H406">
        <v>1.1000000000000001</v>
      </c>
      <c r="I406">
        <v>15.5</v>
      </c>
      <c r="J406">
        <v>10.1</v>
      </c>
      <c r="K406">
        <v>8.4</v>
      </c>
      <c r="L406">
        <v>1.5</v>
      </c>
      <c r="M406">
        <v>1.8</v>
      </c>
      <c r="N406">
        <v>627781</v>
      </c>
      <c r="O406">
        <v>862137</v>
      </c>
      <c r="P406">
        <v>997177</v>
      </c>
      <c r="Q406">
        <v>76</v>
      </c>
      <c r="R406">
        <v>62</v>
      </c>
      <c r="S406">
        <v>109</v>
      </c>
      <c r="T406">
        <v>999</v>
      </c>
      <c r="U406">
        <v>999</v>
      </c>
    </row>
    <row r="407" spans="1:21" x14ac:dyDescent="0.35">
      <c r="A407" t="s">
        <v>21</v>
      </c>
      <c r="B407" s="1">
        <v>45019</v>
      </c>
      <c r="C407" t="s">
        <v>30</v>
      </c>
      <c r="D407">
        <v>4.0999999999999996</v>
      </c>
      <c r="E407">
        <v>8.8000000000000007</v>
      </c>
      <c r="F407">
        <v>4.2</v>
      </c>
      <c r="G407">
        <v>0.5</v>
      </c>
      <c r="H407">
        <v>1</v>
      </c>
      <c r="I407">
        <v>0</v>
      </c>
      <c r="J407">
        <v>0</v>
      </c>
      <c r="K407">
        <v>0</v>
      </c>
      <c r="L407">
        <v>0</v>
      </c>
      <c r="M407">
        <v>0</v>
      </c>
      <c r="N407">
        <v>24686</v>
      </c>
      <c r="O407">
        <v>11377</v>
      </c>
      <c r="P407">
        <v>47125</v>
      </c>
      <c r="Q407">
        <v>1</v>
      </c>
      <c r="R407">
        <v>1</v>
      </c>
      <c r="S407">
        <v>2</v>
      </c>
      <c r="T407">
        <v>80</v>
      </c>
      <c r="U407">
        <v>200</v>
      </c>
    </row>
    <row r="408" spans="1:21" x14ac:dyDescent="0.35">
      <c r="A408" t="s">
        <v>26</v>
      </c>
      <c r="B408" s="1">
        <v>45038</v>
      </c>
      <c r="C408" t="s">
        <v>23</v>
      </c>
      <c r="D408">
        <v>21</v>
      </c>
      <c r="E408">
        <v>0.8</v>
      </c>
      <c r="F408">
        <v>4.0999999999999996</v>
      </c>
      <c r="G408">
        <v>26.2</v>
      </c>
      <c r="H408">
        <v>5.0999999999999996</v>
      </c>
      <c r="I408">
        <v>0</v>
      </c>
      <c r="J408">
        <v>0</v>
      </c>
      <c r="K408">
        <v>0</v>
      </c>
      <c r="L408">
        <v>0</v>
      </c>
      <c r="M408">
        <v>0</v>
      </c>
      <c r="N408">
        <v>33280</v>
      </c>
      <c r="O408">
        <v>125718</v>
      </c>
      <c r="P408">
        <v>246902</v>
      </c>
      <c r="Q408">
        <v>7</v>
      </c>
      <c r="R408">
        <v>1</v>
      </c>
      <c r="S408">
        <v>10</v>
      </c>
      <c r="T408">
        <v>50</v>
      </c>
      <c r="U408">
        <v>64</v>
      </c>
    </row>
    <row r="409" spans="1:21" x14ac:dyDescent="0.35">
      <c r="A409" t="s">
        <v>28</v>
      </c>
      <c r="B409" s="1">
        <v>44298</v>
      </c>
      <c r="C409" t="s">
        <v>23</v>
      </c>
      <c r="D409">
        <v>671</v>
      </c>
      <c r="E409">
        <v>183.7</v>
      </c>
      <c r="F409">
        <v>34.200000000000003</v>
      </c>
      <c r="G409">
        <v>3.7</v>
      </c>
      <c r="H409">
        <v>19.600000000000001</v>
      </c>
      <c r="I409">
        <v>0</v>
      </c>
      <c r="J409">
        <v>0</v>
      </c>
      <c r="K409">
        <v>0</v>
      </c>
      <c r="L409">
        <v>0</v>
      </c>
      <c r="M409">
        <v>0</v>
      </c>
      <c r="N409">
        <v>64234</v>
      </c>
      <c r="O409">
        <v>270486</v>
      </c>
      <c r="P409">
        <v>79047</v>
      </c>
      <c r="Q409">
        <v>431</v>
      </c>
      <c r="R409">
        <v>497</v>
      </c>
      <c r="S409">
        <v>27</v>
      </c>
      <c r="T409">
        <v>50</v>
      </c>
      <c r="U409">
        <v>64</v>
      </c>
    </row>
    <row r="410" spans="1:21" x14ac:dyDescent="0.35">
      <c r="A410" t="s">
        <v>26</v>
      </c>
      <c r="B410" s="1">
        <v>44811</v>
      </c>
      <c r="C410" t="s">
        <v>31</v>
      </c>
      <c r="D410">
        <v>34.5</v>
      </c>
      <c r="E410">
        <v>19.600000000000001</v>
      </c>
      <c r="F410">
        <v>25.6</v>
      </c>
      <c r="G410">
        <v>1.8</v>
      </c>
      <c r="H410">
        <v>1.3</v>
      </c>
      <c r="I410">
        <v>0</v>
      </c>
      <c r="J410">
        <v>0</v>
      </c>
      <c r="K410">
        <v>0</v>
      </c>
      <c r="L410">
        <v>0</v>
      </c>
      <c r="M410">
        <v>0</v>
      </c>
      <c r="N410">
        <v>46385</v>
      </c>
      <c r="O410">
        <v>45832</v>
      </c>
      <c r="P410">
        <v>167927</v>
      </c>
      <c r="Q410">
        <v>16</v>
      </c>
      <c r="R410">
        <v>9</v>
      </c>
      <c r="S410">
        <v>43</v>
      </c>
      <c r="T410">
        <v>65</v>
      </c>
      <c r="U410">
        <v>79</v>
      </c>
    </row>
    <row r="411" spans="1:21" x14ac:dyDescent="0.35">
      <c r="A411" t="s">
        <v>26</v>
      </c>
      <c r="B411" s="1">
        <v>44401</v>
      </c>
      <c r="C411" t="s">
        <v>25</v>
      </c>
      <c r="D411">
        <v>7.4</v>
      </c>
      <c r="E411">
        <v>0.4</v>
      </c>
      <c r="F411">
        <v>0</v>
      </c>
      <c r="G411">
        <v>18.5</v>
      </c>
      <c r="H411">
        <v>0</v>
      </c>
      <c r="I411">
        <v>0</v>
      </c>
      <c r="J411">
        <v>0</v>
      </c>
      <c r="K411">
        <v>0</v>
      </c>
      <c r="L411">
        <v>0</v>
      </c>
      <c r="M411">
        <v>0</v>
      </c>
      <c r="N411">
        <v>215115</v>
      </c>
      <c r="O411">
        <v>275913</v>
      </c>
      <c r="P411">
        <v>0</v>
      </c>
      <c r="Q411">
        <v>16</v>
      </c>
      <c r="R411">
        <v>1</v>
      </c>
      <c r="S411">
        <v>0</v>
      </c>
      <c r="T411">
        <v>18</v>
      </c>
      <c r="U411">
        <v>29</v>
      </c>
    </row>
    <row r="412" spans="1:21" x14ac:dyDescent="0.35">
      <c r="A412" t="s">
        <v>28</v>
      </c>
      <c r="B412" s="1">
        <v>44695</v>
      </c>
      <c r="C412" t="s">
        <v>30</v>
      </c>
      <c r="D412">
        <v>130.80000000000001</v>
      </c>
      <c r="E412">
        <v>153.6</v>
      </c>
      <c r="F412">
        <v>246.5</v>
      </c>
      <c r="G412">
        <v>0.9</v>
      </c>
      <c r="H412">
        <v>0.5</v>
      </c>
      <c r="I412">
        <v>0</v>
      </c>
      <c r="J412">
        <v>0</v>
      </c>
      <c r="K412">
        <v>0</v>
      </c>
      <c r="L412">
        <v>0</v>
      </c>
      <c r="M412">
        <v>0</v>
      </c>
      <c r="N412">
        <v>26763</v>
      </c>
      <c r="O412">
        <v>13025</v>
      </c>
      <c r="P412">
        <v>44628</v>
      </c>
      <c r="Q412">
        <v>35</v>
      </c>
      <c r="R412">
        <v>20</v>
      </c>
      <c r="S412">
        <v>110</v>
      </c>
      <c r="T412">
        <v>80</v>
      </c>
      <c r="U412">
        <v>200</v>
      </c>
    </row>
    <row r="413" spans="1:21" x14ac:dyDescent="0.35">
      <c r="A413" t="s">
        <v>21</v>
      </c>
      <c r="B413" s="1">
        <v>45108</v>
      </c>
      <c r="C413" t="s">
        <v>30</v>
      </c>
      <c r="D413">
        <v>12.1</v>
      </c>
      <c r="E413">
        <v>8.8000000000000007</v>
      </c>
      <c r="F413">
        <v>6.4</v>
      </c>
      <c r="G413">
        <v>1.4</v>
      </c>
      <c r="H413">
        <v>1.9</v>
      </c>
      <c r="I413">
        <v>0</v>
      </c>
      <c r="J413">
        <v>0</v>
      </c>
      <c r="K413">
        <v>0</v>
      </c>
      <c r="L413">
        <v>0</v>
      </c>
      <c r="M413">
        <v>0</v>
      </c>
      <c r="N413">
        <v>24805</v>
      </c>
      <c r="O413">
        <v>11369</v>
      </c>
      <c r="P413">
        <v>47117</v>
      </c>
      <c r="Q413">
        <v>3</v>
      </c>
      <c r="R413">
        <v>1</v>
      </c>
      <c r="S413">
        <v>3</v>
      </c>
      <c r="T413">
        <v>80</v>
      </c>
      <c r="U413">
        <v>200</v>
      </c>
    </row>
    <row r="414" spans="1:21" x14ac:dyDescent="0.35">
      <c r="A414" t="s">
        <v>26</v>
      </c>
      <c r="B414" s="1">
        <v>44571</v>
      </c>
      <c r="C414" t="s">
        <v>25</v>
      </c>
      <c r="D414">
        <v>4.5</v>
      </c>
      <c r="E414">
        <v>1.9</v>
      </c>
      <c r="F414">
        <v>0.6</v>
      </c>
      <c r="G414">
        <v>2.4</v>
      </c>
      <c r="H414">
        <v>7.5</v>
      </c>
      <c r="I414">
        <v>0</v>
      </c>
      <c r="J414">
        <v>0</v>
      </c>
      <c r="K414">
        <v>0</v>
      </c>
      <c r="L414">
        <v>0</v>
      </c>
      <c r="M414">
        <v>0</v>
      </c>
      <c r="N414">
        <v>88079</v>
      </c>
      <c r="O414">
        <v>211686</v>
      </c>
      <c r="P414">
        <v>161454</v>
      </c>
      <c r="Q414">
        <v>4</v>
      </c>
      <c r="R414">
        <v>4</v>
      </c>
      <c r="S414">
        <v>1</v>
      </c>
      <c r="T414">
        <v>18</v>
      </c>
      <c r="U414">
        <v>29</v>
      </c>
    </row>
    <row r="415" spans="1:21" x14ac:dyDescent="0.35">
      <c r="A415" t="s">
        <v>26</v>
      </c>
      <c r="B415" s="1">
        <v>45094</v>
      </c>
      <c r="C415" t="s">
        <v>30</v>
      </c>
      <c r="D415">
        <v>8.1999999999999993</v>
      </c>
      <c r="E415">
        <v>0</v>
      </c>
      <c r="F415">
        <v>4.2</v>
      </c>
      <c r="G415">
        <v>0</v>
      </c>
      <c r="H415">
        <v>2</v>
      </c>
      <c r="I415">
        <v>0</v>
      </c>
      <c r="J415">
        <v>0</v>
      </c>
      <c r="K415">
        <v>0</v>
      </c>
      <c r="L415">
        <v>0</v>
      </c>
      <c r="M415">
        <v>0</v>
      </c>
      <c r="N415">
        <v>24516</v>
      </c>
      <c r="O415">
        <v>11383</v>
      </c>
      <c r="P415">
        <v>47130</v>
      </c>
      <c r="Q415">
        <v>2</v>
      </c>
      <c r="R415">
        <v>0</v>
      </c>
      <c r="S415">
        <v>2</v>
      </c>
      <c r="T415">
        <v>80</v>
      </c>
      <c r="U415">
        <v>200</v>
      </c>
    </row>
    <row r="416" spans="1:21" x14ac:dyDescent="0.35">
      <c r="A416" t="s">
        <v>28</v>
      </c>
      <c r="B416" s="1">
        <v>44436</v>
      </c>
      <c r="C416" t="s">
        <v>23</v>
      </c>
      <c r="D416">
        <v>272.2</v>
      </c>
      <c r="E416">
        <v>65.8</v>
      </c>
      <c r="F416">
        <v>0</v>
      </c>
      <c r="G416">
        <v>4.0999999999999996</v>
      </c>
      <c r="H416">
        <v>0</v>
      </c>
      <c r="I416">
        <v>0</v>
      </c>
      <c r="J416">
        <v>0</v>
      </c>
      <c r="K416">
        <v>0</v>
      </c>
      <c r="L416">
        <v>0</v>
      </c>
      <c r="M416">
        <v>0</v>
      </c>
      <c r="N416">
        <v>89285</v>
      </c>
      <c r="O416">
        <v>322178</v>
      </c>
      <c r="P416">
        <v>0</v>
      </c>
      <c r="Q416">
        <v>243</v>
      </c>
      <c r="R416">
        <v>212</v>
      </c>
      <c r="S416">
        <v>0</v>
      </c>
      <c r="T416">
        <v>50</v>
      </c>
      <c r="U416">
        <v>64</v>
      </c>
    </row>
    <row r="417" spans="1:21" x14ac:dyDescent="0.35">
      <c r="A417" t="s">
        <v>26</v>
      </c>
      <c r="B417" s="1">
        <v>44843</v>
      </c>
      <c r="C417" t="s">
        <v>31</v>
      </c>
      <c r="D417">
        <v>30.8</v>
      </c>
      <c r="E417">
        <v>23</v>
      </c>
      <c r="F417">
        <v>15.8</v>
      </c>
      <c r="G417">
        <v>1.3</v>
      </c>
      <c r="H417">
        <v>1.9</v>
      </c>
      <c r="I417">
        <v>0</v>
      </c>
      <c r="J417">
        <v>0</v>
      </c>
      <c r="K417">
        <v>0</v>
      </c>
      <c r="L417">
        <v>0</v>
      </c>
      <c r="M417">
        <v>0</v>
      </c>
      <c r="N417">
        <v>45457</v>
      </c>
      <c r="O417">
        <v>43539</v>
      </c>
      <c r="P417">
        <v>171141</v>
      </c>
      <c r="Q417">
        <v>14</v>
      </c>
      <c r="R417">
        <v>10</v>
      </c>
      <c r="S417">
        <v>27</v>
      </c>
      <c r="T417">
        <v>65</v>
      </c>
      <c r="U417">
        <v>79</v>
      </c>
    </row>
    <row r="418" spans="1:21" x14ac:dyDescent="0.35">
      <c r="A418" t="s">
        <v>28</v>
      </c>
      <c r="B418" s="1">
        <v>44966</v>
      </c>
      <c r="C418" t="s">
        <v>32</v>
      </c>
      <c r="D418">
        <v>56.6</v>
      </c>
      <c r="E418">
        <v>2.5</v>
      </c>
      <c r="F418">
        <v>0</v>
      </c>
      <c r="G418">
        <v>22.6</v>
      </c>
      <c r="H418">
        <v>0</v>
      </c>
      <c r="I418">
        <v>0</v>
      </c>
      <c r="J418">
        <v>0</v>
      </c>
      <c r="K418">
        <v>0</v>
      </c>
      <c r="L418">
        <v>0</v>
      </c>
      <c r="M418">
        <v>0</v>
      </c>
      <c r="N418">
        <v>162642</v>
      </c>
      <c r="O418">
        <v>0</v>
      </c>
      <c r="P418">
        <v>0</v>
      </c>
      <c r="Q418">
        <v>92</v>
      </c>
      <c r="R418">
        <v>4</v>
      </c>
      <c r="S418">
        <v>0</v>
      </c>
      <c r="T418">
        <v>0</v>
      </c>
      <c r="U418">
        <v>4</v>
      </c>
    </row>
    <row r="419" spans="1:21" x14ac:dyDescent="0.35">
      <c r="A419" t="s">
        <v>28</v>
      </c>
      <c r="B419" s="1">
        <v>44991</v>
      </c>
      <c r="C419" t="s">
        <v>22</v>
      </c>
      <c r="D419">
        <v>20</v>
      </c>
      <c r="E419">
        <v>8.5</v>
      </c>
      <c r="F419">
        <v>17.100000000000001</v>
      </c>
      <c r="G419">
        <v>2.4</v>
      </c>
      <c r="H419">
        <v>1.2</v>
      </c>
      <c r="I419">
        <v>21.5</v>
      </c>
      <c r="J419">
        <v>8.6999999999999993</v>
      </c>
      <c r="K419">
        <v>14.6</v>
      </c>
      <c r="L419">
        <v>2.5</v>
      </c>
      <c r="M419">
        <v>1.5</v>
      </c>
      <c r="N419">
        <v>534701</v>
      </c>
      <c r="O419">
        <v>860357</v>
      </c>
      <c r="P419">
        <v>1040674</v>
      </c>
      <c r="Q419">
        <v>107</v>
      </c>
      <c r="R419">
        <v>73</v>
      </c>
      <c r="S419">
        <v>178</v>
      </c>
      <c r="T419">
        <v>999</v>
      </c>
      <c r="U419">
        <v>999</v>
      </c>
    </row>
    <row r="420" spans="1:21" x14ac:dyDescent="0.35">
      <c r="A420" t="s">
        <v>21</v>
      </c>
      <c r="B420" s="1">
        <v>44618</v>
      </c>
      <c r="C420" t="s">
        <v>31</v>
      </c>
      <c r="D420">
        <v>6.1</v>
      </c>
      <c r="E420">
        <v>7.3</v>
      </c>
      <c r="F420">
        <v>0.6</v>
      </c>
      <c r="G420">
        <v>0.8</v>
      </c>
      <c r="H420">
        <v>10.199999999999999</v>
      </c>
      <c r="I420">
        <v>0</v>
      </c>
      <c r="J420">
        <v>0</v>
      </c>
      <c r="K420">
        <v>0</v>
      </c>
      <c r="L420">
        <v>0</v>
      </c>
      <c r="M420">
        <v>0</v>
      </c>
      <c r="N420">
        <v>49070</v>
      </c>
      <c r="O420">
        <v>54948</v>
      </c>
      <c r="P420">
        <v>154842</v>
      </c>
      <c r="Q420">
        <v>3</v>
      </c>
      <c r="R420">
        <v>4</v>
      </c>
      <c r="S420">
        <v>1</v>
      </c>
      <c r="T420">
        <v>65</v>
      </c>
      <c r="U420">
        <v>79</v>
      </c>
    </row>
    <row r="421" spans="1:21" x14ac:dyDescent="0.35">
      <c r="A421" t="s">
        <v>28</v>
      </c>
      <c r="B421" s="1">
        <v>45142</v>
      </c>
      <c r="C421" t="s">
        <v>22</v>
      </c>
      <c r="D421">
        <v>52.2</v>
      </c>
      <c r="E421">
        <v>25.5</v>
      </c>
      <c r="F421">
        <v>48.3</v>
      </c>
      <c r="G421">
        <v>2</v>
      </c>
      <c r="H421">
        <v>1.1000000000000001</v>
      </c>
      <c r="I421">
        <v>58.3</v>
      </c>
      <c r="J421">
        <v>27.5</v>
      </c>
      <c r="K421">
        <v>37.6</v>
      </c>
      <c r="L421">
        <v>2.1</v>
      </c>
      <c r="M421">
        <v>1.5</v>
      </c>
      <c r="N421">
        <v>540406</v>
      </c>
      <c r="O421">
        <v>859347</v>
      </c>
      <c r="P421">
        <v>1040563</v>
      </c>
      <c r="Q421">
        <v>282</v>
      </c>
      <c r="R421">
        <v>219</v>
      </c>
      <c r="S421">
        <v>503</v>
      </c>
      <c r="T421">
        <v>999</v>
      </c>
      <c r="U421">
        <v>999</v>
      </c>
    </row>
    <row r="422" spans="1:21" x14ac:dyDescent="0.35">
      <c r="A422" t="s">
        <v>26</v>
      </c>
      <c r="B422" s="1">
        <v>44926</v>
      </c>
      <c r="C422" t="s">
        <v>29</v>
      </c>
      <c r="D422">
        <v>17.7</v>
      </c>
      <c r="E422">
        <v>4.7</v>
      </c>
      <c r="F422">
        <v>3.2</v>
      </c>
      <c r="G422">
        <v>3.8</v>
      </c>
      <c r="H422">
        <v>5.5</v>
      </c>
      <c r="I422">
        <v>0</v>
      </c>
      <c r="J422">
        <v>0</v>
      </c>
      <c r="K422">
        <v>0</v>
      </c>
      <c r="L422">
        <v>0</v>
      </c>
      <c r="M422">
        <v>0</v>
      </c>
      <c r="N422">
        <v>113126</v>
      </c>
      <c r="O422">
        <v>277262</v>
      </c>
      <c r="P422">
        <v>347197</v>
      </c>
      <c r="Q422">
        <v>20</v>
      </c>
      <c r="R422">
        <v>13</v>
      </c>
      <c r="S422">
        <v>11</v>
      </c>
      <c r="T422">
        <v>30</v>
      </c>
      <c r="U422">
        <v>49</v>
      </c>
    </row>
    <row r="423" spans="1:21" x14ac:dyDescent="0.35">
      <c r="A423" t="s">
        <v>21</v>
      </c>
      <c r="B423" s="1">
        <v>45122</v>
      </c>
      <c r="C423" t="s">
        <v>29</v>
      </c>
      <c r="D423">
        <v>0.9</v>
      </c>
      <c r="E423">
        <v>0</v>
      </c>
      <c r="F423">
        <v>0</v>
      </c>
      <c r="G423">
        <v>0</v>
      </c>
      <c r="H423">
        <v>0</v>
      </c>
      <c r="I423">
        <v>0</v>
      </c>
      <c r="J423">
        <v>0</v>
      </c>
      <c r="K423">
        <v>0</v>
      </c>
      <c r="L423">
        <v>0</v>
      </c>
      <c r="M423">
        <v>0</v>
      </c>
      <c r="N423">
        <v>107746</v>
      </c>
      <c r="O423">
        <v>278401</v>
      </c>
      <c r="P423">
        <v>347311</v>
      </c>
      <c r="Q423">
        <v>1</v>
      </c>
      <c r="R423">
        <v>0</v>
      </c>
      <c r="S423">
        <v>0</v>
      </c>
      <c r="T423">
        <v>30</v>
      </c>
      <c r="U423">
        <v>49</v>
      </c>
    </row>
    <row r="424" spans="1:21" x14ac:dyDescent="0.35">
      <c r="A424" t="s">
        <v>28</v>
      </c>
      <c r="B424" s="1">
        <v>44737</v>
      </c>
      <c r="C424" t="s">
        <v>27</v>
      </c>
      <c r="D424">
        <v>90.2</v>
      </c>
      <c r="E424">
        <v>69.5</v>
      </c>
      <c r="F424">
        <v>133.30000000000001</v>
      </c>
      <c r="G424">
        <v>1.3</v>
      </c>
      <c r="H424">
        <v>0.7</v>
      </c>
      <c r="I424">
        <v>0</v>
      </c>
      <c r="J424">
        <v>0</v>
      </c>
      <c r="K424">
        <v>0</v>
      </c>
      <c r="L424">
        <v>0</v>
      </c>
      <c r="M424">
        <v>0</v>
      </c>
      <c r="N424">
        <v>36604</v>
      </c>
      <c r="O424">
        <v>92093</v>
      </c>
      <c r="P424">
        <v>36756</v>
      </c>
      <c r="Q424">
        <v>33</v>
      </c>
      <c r="R424">
        <v>64</v>
      </c>
      <c r="S424">
        <v>49</v>
      </c>
      <c r="T424">
        <v>12</v>
      </c>
      <c r="U424">
        <v>17</v>
      </c>
    </row>
    <row r="425" spans="1:21" x14ac:dyDescent="0.35">
      <c r="A425" t="s">
        <v>26</v>
      </c>
      <c r="B425" s="1">
        <v>44576</v>
      </c>
      <c r="C425" t="s">
        <v>30</v>
      </c>
      <c r="D425">
        <v>462.4</v>
      </c>
      <c r="E425">
        <v>426.1</v>
      </c>
      <c r="F425">
        <v>94.4</v>
      </c>
      <c r="G425">
        <v>1.1000000000000001</v>
      </c>
      <c r="H425">
        <v>4.9000000000000004</v>
      </c>
      <c r="I425">
        <v>0</v>
      </c>
      <c r="J425">
        <v>0</v>
      </c>
      <c r="K425">
        <v>0</v>
      </c>
      <c r="L425">
        <v>0</v>
      </c>
      <c r="M425">
        <v>0</v>
      </c>
      <c r="N425">
        <v>27679</v>
      </c>
      <c r="O425">
        <v>18306</v>
      </c>
      <c r="P425">
        <v>38129</v>
      </c>
      <c r="Q425">
        <v>128</v>
      </c>
      <c r="R425">
        <v>78</v>
      </c>
      <c r="S425">
        <v>36</v>
      </c>
      <c r="T425">
        <v>80</v>
      </c>
      <c r="U425">
        <v>200</v>
      </c>
    </row>
    <row r="426" spans="1:21" x14ac:dyDescent="0.35">
      <c r="A426" t="s">
        <v>21</v>
      </c>
      <c r="B426" s="1">
        <v>44394</v>
      </c>
      <c r="C426" t="s">
        <v>25</v>
      </c>
      <c r="D426">
        <v>0</v>
      </c>
      <c r="E426">
        <v>0</v>
      </c>
      <c r="F426">
        <v>0</v>
      </c>
      <c r="G426">
        <v>0</v>
      </c>
      <c r="H426">
        <v>0</v>
      </c>
      <c r="I426">
        <v>0</v>
      </c>
      <c r="J426">
        <v>0</v>
      </c>
      <c r="K426">
        <v>0</v>
      </c>
      <c r="L426">
        <v>0</v>
      </c>
      <c r="M426">
        <v>0</v>
      </c>
      <c r="N426">
        <v>218646</v>
      </c>
      <c r="O426">
        <v>272102</v>
      </c>
      <c r="P426">
        <v>0</v>
      </c>
      <c r="Q426">
        <v>0</v>
      </c>
      <c r="R426">
        <v>0</v>
      </c>
      <c r="S426">
        <v>0</v>
      </c>
      <c r="T426">
        <v>18</v>
      </c>
      <c r="U426">
        <v>29</v>
      </c>
    </row>
    <row r="427" spans="1:21" x14ac:dyDescent="0.35">
      <c r="A427" t="s">
        <v>26</v>
      </c>
      <c r="B427" s="1">
        <v>44906</v>
      </c>
      <c r="C427" t="s">
        <v>30</v>
      </c>
      <c r="D427">
        <v>83.5</v>
      </c>
      <c r="E427">
        <v>61.6</v>
      </c>
      <c r="F427">
        <v>51</v>
      </c>
      <c r="G427">
        <v>1.4</v>
      </c>
      <c r="H427">
        <v>1.6</v>
      </c>
      <c r="I427">
        <v>0</v>
      </c>
      <c r="J427">
        <v>0</v>
      </c>
      <c r="K427">
        <v>0</v>
      </c>
      <c r="L427">
        <v>0</v>
      </c>
      <c r="M427">
        <v>0</v>
      </c>
      <c r="N427">
        <v>25162</v>
      </c>
      <c r="O427">
        <v>11369</v>
      </c>
      <c r="P427">
        <v>47090</v>
      </c>
      <c r="Q427">
        <v>21</v>
      </c>
      <c r="R427">
        <v>7</v>
      </c>
      <c r="S427">
        <v>24</v>
      </c>
      <c r="T427">
        <v>80</v>
      </c>
      <c r="U427">
        <v>200</v>
      </c>
    </row>
    <row r="428" spans="1:21" x14ac:dyDescent="0.35">
      <c r="A428" t="s">
        <v>28</v>
      </c>
      <c r="B428" s="1">
        <v>44926</v>
      </c>
      <c r="C428" t="s">
        <v>31</v>
      </c>
      <c r="D428">
        <v>194.3</v>
      </c>
      <c r="E428">
        <v>191.4</v>
      </c>
      <c r="F428">
        <v>175.9</v>
      </c>
      <c r="G428">
        <v>1</v>
      </c>
      <c r="H428">
        <v>1.1000000000000001</v>
      </c>
      <c r="I428">
        <v>0</v>
      </c>
      <c r="J428">
        <v>0</v>
      </c>
      <c r="K428">
        <v>0</v>
      </c>
      <c r="L428">
        <v>0</v>
      </c>
      <c r="M428">
        <v>0</v>
      </c>
      <c r="N428">
        <v>40666</v>
      </c>
      <c r="O428">
        <v>43359</v>
      </c>
      <c r="P428">
        <v>171676</v>
      </c>
      <c r="Q428">
        <v>79</v>
      </c>
      <c r="R428">
        <v>83</v>
      </c>
      <c r="S428">
        <v>302</v>
      </c>
      <c r="T428">
        <v>65</v>
      </c>
      <c r="U428">
        <v>79</v>
      </c>
    </row>
    <row r="429" spans="1:21" x14ac:dyDescent="0.35">
      <c r="A429" t="s">
        <v>21</v>
      </c>
      <c r="B429" s="1">
        <v>44571</v>
      </c>
      <c r="C429" t="s">
        <v>25</v>
      </c>
      <c r="D429">
        <v>1.1000000000000001</v>
      </c>
      <c r="E429">
        <v>0</v>
      </c>
      <c r="F429">
        <v>0</v>
      </c>
      <c r="G429">
        <v>0</v>
      </c>
      <c r="H429">
        <v>0</v>
      </c>
      <c r="I429">
        <v>0</v>
      </c>
      <c r="J429">
        <v>0</v>
      </c>
      <c r="K429">
        <v>0</v>
      </c>
      <c r="L429">
        <v>0</v>
      </c>
      <c r="M429">
        <v>0</v>
      </c>
      <c r="N429">
        <v>88079</v>
      </c>
      <c r="O429">
        <v>211686</v>
      </c>
      <c r="P429">
        <v>161454</v>
      </c>
      <c r="Q429">
        <v>1</v>
      </c>
      <c r="R429">
        <v>0</v>
      </c>
      <c r="S429">
        <v>0</v>
      </c>
      <c r="T429">
        <v>18</v>
      </c>
      <c r="U429">
        <v>29</v>
      </c>
    </row>
    <row r="430" spans="1:21" x14ac:dyDescent="0.35">
      <c r="A430" t="s">
        <v>28</v>
      </c>
      <c r="B430" s="1">
        <v>44940</v>
      </c>
      <c r="C430" t="s">
        <v>29</v>
      </c>
      <c r="D430">
        <v>144.19999999999999</v>
      </c>
      <c r="E430">
        <v>69.900000000000006</v>
      </c>
      <c r="F430">
        <v>80.099999999999994</v>
      </c>
      <c r="G430">
        <v>2.1</v>
      </c>
      <c r="H430">
        <v>1.8</v>
      </c>
      <c r="I430">
        <v>0</v>
      </c>
      <c r="J430">
        <v>0</v>
      </c>
      <c r="K430">
        <v>0</v>
      </c>
      <c r="L430">
        <v>0</v>
      </c>
      <c r="M430">
        <v>0</v>
      </c>
      <c r="N430">
        <v>112361</v>
      </c>
      <c r="O430">
        <v>277385</v>
      </c>
      <c r="P430">
        <v>347213</v>
      </c>
      <c r="Q430">
        <v>162</v>
      </c>
      <c r="R430">
        <v>194</v>
      </c>
      <c r="S430">
        <v>278</v>
      </c>
      <c r="T430">
        <v>30</v>
      </c>
      <c r="U430">
        <v>49</v>
      </c>
    </row>
    <row r="431" spans="1:21" x14ac:dyDescent="0.35">
      <c r="A431" t="s">
        <v>26</v>
      </c>
      <c r="B431" s="1">
        <v>44509</v>
      </c>
      <c r="C431" t="s">
        <v>25</v>
      </c>
      <c r="D431">
        <v>12.4</v>
      </c>
      <c r="E431">
        <v>0.3</v>
      </c>
      <c r="F431">
        <v>0</v>
      </c>
      <c r="G431">
        <v>41.3</v>
      </c>
      <c r="H431">
        <v>0</v>
      </c>
      <c r="I431">
        <v>0</v>
      </c>
      <c r="J431">
        <v>0</v>
      </c>
      <c r="K431">
        <v>0</v>
      </c>
      <c r="L431">
        <v>0</v>
      </c>
      <c r="M431">
        <v>0</v>
      </c>
      <c r="N431">
        <v>185405</v>
      </c>
      <c r="O431">
        <v>298401</v>
      </c>
      <c r="P431">
        <v>0</v>
      </c>
      <c r="Q431">
        <v>23</v>
      </c>
      <c r="R431">
        <v>1</v>
      </c>
      <c r="S431">
        <v>0</v>
      </c>
      <c r="T431">
        <v>18</v>
      </c>
      <c r="U431">
        <v>29</v>
      </c>
    </row>
    <row r="432" spans="1:21" x14ac:dyDescent="0.35">
      <c r="A432" t="s">
        <v>28</v>
      </c>
      <c r="B432" s="1">
        <v>44629</v>
      </c>
      <c r="C432" t="s">
        <v>31</v>
      </c>
      <c r="D432">
        <v>177.7</v>
      </c>
      <c r="E432">
        <v>139.4</v>
      </c>
      <c r="F432">
        <v>149.80000000000001</v>
      </c>
      <c r="G432">
        <v>1.3</v>
      </c>
      <c r="H432">
        <v>1.2</v>
      </c>
      <c r="I432">
        <v>0</v>
      </c>
      <c r="J432">
        <v>0</v>
      </c>
      <c r="K432">
        <v>0</v>
      </c>
      <c r="L432">
        <v>0</v>
      </c>
      <c r="M432">
        <v>0</v>
      </c>
      <c r="N432">
        <v>45582</v>
      </c>
      <c r="O432">
        <v>43748</v>
      </c>
      <c r="P432">
        <v>170866</v>
      </c>
      <c r="Q432">
        <v>81</v>
      </c>
      <c r="R432">
        <v>61</v>
      </c>
      <c r="S432">
        <v>256</v>
      </c>
      <c r="T432">
        <v>65</v>
      </c>
      <c r="U432">
        <v>79</v>
      </c>
    </row>
    <row r="433" spans="1:21" x14ac:dyDescent="0.35">
      <c r="A433" t="s">
        <v>28</v>
      </c>
      <c r="B433" s="1">
        <v>45038</v>
      </c>
      <c r="C433" t="s">
        <v>27</v>
      </c>
      <c r="D433">
        <v>42.7</v>
      </c>
      <c r="E433">
        <v>23.1</v>
      </c>
      <c r="F433">
        <v>33.700000000000003</v>
      </c>
      <c r="G433">
        <v>1.8</v>
      </c>
      <c r="H433">
        <v>1.3</v>
      </c>
      <c r="I433">
        <v>0</v>
      </c>
      <c r="J433">
        <v>0</v>
      </c>
      <c r="K433">
        <v>0</v>
      </c>
      <c r="L433">
        <v>0</v>
      </c>
      <c r="M433">
        <v>0</v>
      </c>
      <c r="N433">
        <v>32777</v>
      </c>
      <c r="O433">
        <v>86544</v>
      </c>
      <c r="P433">
        <v>44574</v>
      </c>
      <c r="Q433">
        <v>14</v>
      </c>
      <c r="R433">
        <v>20</v>
      </c>
      <c r="S433">
        <v>15</v>
      </c>
      <c r="T433">
        <v>12</v>
      </c>
      <c r="U433">
        <v>17</v>
      </c>
    </row>
    <row r="434" spans="1:21" x14ac:dyDescent="0.35">
      <c r="A434" t="s">
        <v>21</v>
      </c>
      <c r="B434" s="1">
        <v>45027</v>
      </c>
      <c r="C434" t="s">
        <v>29</v>
      </c>
      <c r="D434">
        <v>0</v>
      </c>
      <c r="E434">
        <v>0</v>
      </c>
      <c r="F434">
        <v>0</v>
      </c>
      <c r="G434">
        <v>0</v>
      </c>
      <c r="H434">
        <v>0</v>
      </c>
      <c r="I434">
        <v>0</v>
      </c>
      <c r="J434">
        <v>0</v>
      </c>
      <c r="K434">
        <v>0</v>
      </c>
      <c r="L434">
        <v>0</v>
      </c>
      <c r="M434">
        <v>0</v>
      </c>
      <c r="N434">
        <v>101766</v>
      </c>
      <c r="O434">
        <v>279203</v>
      </c>
      <c r="P434">
        <v>348427</v>
      </c>
      <c r="Q434">
        <v>0</v>
      </c>
      <c r="R434">
        <v>0</v>
      </c>
      <c r="S434">
        <v>0</v>
      </c>
      <c r="T434">
        <v>30</v>
      </c>
      <c r="U434">
        <v>49</v>
      </c>
    </row>
    <row r="435" spans="1:21" x14ac:dyDescent="0.35">
      <c r="A435" t="s">
        <v>28</v>
      </c>
      <c r="B435" s="1">
        <v>44912</v>
      </c>
      <c r="C435" t="s">
        <v>23</v>
      </c>
      <c r="D435">
        <v>476.3</v>
      </c>
      <c r="E435">
        <v>153.1</v>
      </c>
      <c r="F435">
        <v>213.6</v>
      </c>
      <c r="G435">
        <v>3.1</v>
      </c>
      <c r="H435">
        <v>2.2000000000000002</v>
      </c>
      <c r="I435">
        <v>0</v>
      </c>
      <c r="J435">
        <v>0</v>
      </c>
      <c r="K435">
        <v>0</v>
      </c>
      <c r="L435">
        <v>0</v>
      </c>
      <c r="M435">
        <v>0</v>
      </c>
      <c r="N435">
        <v>35269</v>
      </c>
      <c r="O435">
        <v>125391</v>
      </c>
      <c r="P435">
        <v>246772</v>
      </c>
      <c r="Q435">
        <v>168</v>
      </c>
      <c r="R435">
        <v>192</v>
      </c>
      <c r="S435">
        <v>527</v>
      </c>
      <c r="T435">
        <v>50</v>
      </c>
      <c r="U435">
        <v>64</v>
      </c>
    </row>
    <row r="436" spans="1:21" x14ac:dyDescent="0.35">
      <c r="A436" t="s">
        <v>28</v>
      </c>
      <c r="B436" s="1">
        <v>44982</v>
      </c>
      <c r="C436" t="s">
        <v>24</v>
      </c>
      <c r="D436">
        <v>104.9</v>
      </c>
      <c r="E436">
        <v>120.5</v>
      </c>
      <c r="F436">
        <v>264.2</v>
      </c>
      <c r="G436">
        <v>0.9</v>
      </c>
      <c r="H436">
        <v>0.4</v>
      </c>
      <c r="I436">
        <v>0</v>
      </c>
      <c r="J436">
        <v>0</v>
      </c>
      <c r="K436">
        <v>0</v>
      </c>
      <c r="L436">
        <v>0</v>
      </c>
      <c r="M436">
        <v>0</v>
      </c>
      <c r="N436">
        <v>91529</v>
      </c>
      <c r="O436">
        <v>82191</v>
      </c>
      <c r="P436">
        <v>21200</v>
      </c>
      <c r="Q436">
        <v>96</v>
      </c>
      <c r="R436">
        <v>99</v>
      </c>
      <c r="S436">
        <v>56</v>
      </c>
      <c r="T436">
        <v>5</v>
      </c>
      <c r="U436">
        <v>11</v>
      </c>
    </row>
    <row r="437" spans="1:21" x14ac:dyDescent="0.35">
      <c r="A437" t="s">
        <v>26</v>
      </c>
      <c r="B437" s="1">
        <v>45145</v>
      </c>
      <c r="C437" t="s">
        <v>22</v>
      </c>
      <c r="D437">
        <v>1.3</v>
      </c>
      <c r="E437">
        <v>0.8</v>
      </c>
      <c r="F437">
        <v>0.8</v>
      </c>
      <c r="G437">
        <v>1.6</v>
      </c>
      <c r="H437">
        <v>1.6</v>
      </c>
      <c r="I437">
        <v>1.2</v>
      </c>
      <c r="J437">
        <v>1.1000000000000001</v>
      </c>
      <c r="K437">
        <v>0.5</v>
      </c>
      <c r="L437">
        <v>1</v>
      </c>
      <c r="M437">
        <v>2.4</v>
      </c>
      <c r="N437">
        <v>531904</v>
      </c>
      <c r="O437">
        <v>860327</v>
      </c>
      <c r="P437">
        <v>1040745</v>
      </c>
      <c r="Q437">
        <v>7</v>
      </c>
      <c r="R437">
        <v>7</v>
      </c>
      <c r="S437">
        <v>8</v>
      </c>
      <c r="T437">
        <v>999</v>
      </c>
      <c r="U437">
        <v>999</v>
      </c>
    </row>
    <row r="438" spans="1:21" x14ac:dyDescent="0.35">
      <c r="A438" t="s">
        <v>28</v>
      </c>
      <c r="B438" s="1">
        <v>45142</v>
      </c>
      <c r="C438" t="s">
        <v>27</v>
      </c>
      <c r="D438">
        <v>30.4</v>
      </c>
      <c r="E438">
        <v>13.9</v>
      </c>
      <c r="F438">
        <v>15.7</v>
      </c>
      <c r="G438">
        <v>2.2000000000000002</v>
      </c>
      <c r="H438">
        <v>1.9</v>
      </c>
      <c r="I438">
        <v>0</v>
      </c>
      <c r="J438">
        <v>0</v>
      </c>
      <c r="K438">
        <v>0</v>
      </c>
      <c r="L438">
        <v>0</v>
      </c>
      <c r="M438">
        <v>0</v>
      </c>
      <c r="N438">
        <v>32887</v>
      </c>
      <c r="O438">
        <v>86505</v>
      </c>
      <c r="P438">
        <v>44571</v>
      </c>
      <c r="Q438">
        <v>10</v>
      </c>
      <c r="R438">
        <v>12</v>
      </c>
      <c r="S438">
        <v>7</v>
      </c>
      <c r="T438">
        <v>12</v>
      </c>
      <c r="U438">
        <v>17</v>
      </c>
    </row>
    <row r="439" spans="1:21" x14ac:dyDescent="0.35">
      <c r="A439" t="s">
        <v>28</v>
      </c>
      <c r="B439" s="1">
        <v>44954</v>
      </c>
      <c r="C439" t="s">
        <v>30</v>
      </c>
      <c r="D439">
        <v>68.7</v>
      </c>
      <c r="E439">
        <v>123.1</v>
      </c>
      <c r="F439">
        <v>123.1</v>
      </c>
      <c r="G439">
        <v>0.6</v>
      </c>
      <c r="H439">
        <v>0.6</v>
      </c>
      <c r="I439">
        <v>0</v>
      </c>
      <c r="J439">
        <v>0</v>
      </c>
      <c r="K439">
        <v>0</v>
      </c>
      <c r="L439">
        <v>0</v>
      </c>
      <c r="M439">
        <v>0</v>
      </c>
      <c r="N439">
        <v>24736</v>
      </c>
      <c r="O439">
        <v>11376</v>
      </c>
      <c r="P439">
        <v>47117</v>
      </c>
      <c r="Q439">
        <v>17</v>
      </c>
      <c r="R439">
        <v>14</v>
      </c>
      <c r="S439">
        <v>58</v>
      </c>
      <c r="T439">
        <v>80</v>
      </c>
      <c r="U439">
        <v>200</v>
      </c>
    </row>
    <row r="440" spans="1:21" x14ac:dyDescent="0.35">
      <c r="A440" t="s">
        <v>28</v>
      </c>
      <c r="B440" s="1">
        <v>45108</v>
      </c>
      <c r="C440" t="s">
        <v>22</v>
      </c>
      <c r="D440">
        <v>125.7</v>
      </c>
      <c r="E440">
        <v>66.8</v>
      </c>
      <c r="F440">
        <v>114.2</v>
      </c>
      <c r="G440">
        <v>1.9</v>
      </c>
      <c r="H440">
        <v>1.1000000000000001</v>
      </c>
      <c r="I440">
        <v>157.80000000000001</v>
      </c>
      <c r="J440">
        <v>70.7</v>
      </c>
      <c r="K440">
        <v>92.5</v>
      </c>
      <c r="L440">
        <v>2.2000000000000002</v>
      </c>
      <c r="M440">
        <v>1.7</v>
      </c>
      <c r="N440">
        <v>553739</v>
      </c>
      <c r="O440">
        <v>854331</v>
      </c>
      <c r="P440">
        <v>1040190</v>
      </c>
      <c r="Q440">
        <v>696</v>
      </c>
      <c r="R440">
        <v>571</v>
      </c>
      <c r="S440">
        <v>1188</v>
      </c>
      <c r="T440">
        <v>999</v>
      </c>
      <c r="U440">
        <v>999</v>
      </c>
    </row>
    <row r="441" spans="1:21" x14ac:dyDescent="0.35">
      <c r="A441" t="s">
        <v>26</v>
      </c>
      <c r="B441" s="1">
        <v>44930</v>
      </c>
      <c r="C441" t="s">
        <v>29</v>
      </c>
      <c r="D441">
        <v>13.6</v>
      </c>
      <c r="E441">
        <v>2.2000000000000002</v>
      </c>
      <c r="F441">
        <v>2.2999999999999998</v>
      </c>
      <c r="G441">
        <v>6.2</v>
      </c>
      <c r="H441">
        <v>5.9</v>
      </c>
      <c r="I441">
        <v>0</v>
      </c>
      <c r="J441">
        <v>0</v>
      </c>
      <c r="K441">
        <v>0</v>
      </c>
      <c r="L441">
        <v>0</v>
      </c>
      <c r="M441">
        <v>0</v>
      </c>
      <c r="N441">
        <v>109912</v>
      </c>
      <c r="O441">
        <v>278121</v>
      </c>
      <c r="P441">
        <v>347279</v>
      </c>
      <c r="Q441">
        <v>15</v>
      </c>
      <c r="R441">
        <v>6</v>
      </c>
      <c r="S441">
        <v>8</v>
      </c>
      <c r="T441">
        <v>30</v>
      </c>
      <c r="U441">
        <v>49</v>
      </c>
    </row>
    <row r="442" spans="1:21" x14ac:dyDescent="0.35">
      <c r="A442" t="s">
        <v>26</v>
      </c>
      <c r="B442" s="1">
        <v>44413</v>
      </c>
      <c r="C442" t="s">
        <v>25</v>
      </c>
      <c r="D442">
        <v>9.1</v>
      </c>
      <c r="E442">
        <v>0.8</v>
      </c>
      <c r="F442">
        <v>0</v>
      </c>
      <c r="G442">
        <v>11.4</v>
      </c>
      <c r="H442">
        <v>0</v>
      </c>
      <c r="I442">
        <v>0</v>
      </c>
      <c r="J442">
        <v>0</v>
      </c>
      <c r="K442">
        <v>0</v>
      </c>
      <c r="L442">
        <v>0</v>
      </c>
      <c r="M442">
        <v>0</v>
      </c>
      <c r="N442">
        <v>274095</v>
      </c>
      <c r="O442">
        <v>132496</v>
      </c>
      <c r="P442">
        <v>0</v>
      </c>
      <c r="Q442">
        <v>25</v>
      </c>
      <c r="R442">
        <v>1</v>
      </c>
      <c r="S442">
        <v>0</v>
      </c>
      <c r="T442">
        <v>18</v>
      </c>
      <c r="U442">
        <v>29</v>
      </c>
    </row>
    <row r="443" spans="1:21" x14ac:dyDescent="0.35">
      <c r="A443" t="s">
        <v>28</v>
      </c>
      <c r="B443" s="1">
        <v>44464</v>
      </c>
      <c r="C443" t="s">
        <v>23</v>
      </c>
      <c r="D443">
        <v>182.8</v>
      </c>
      <c r="E443">
        <v>50.5</v>
      </c>
      <c r="F443">
        <v>0</v>
      </c>
      <c r="G443">
        <v>3.6</v>
      </c>
      <c r="H443">
        <v>0</v>
      </c>
      <c r="I443">
        <v>0</v>
      </c>
      <c r="J443">
        <v>0</v>
      </c>
      <c r="K443">
        <v>0</v>
      </c>
      <c r="L443">
        <v>0</v>
      </c>
      <c r="M443">
        <v>0</v>
      </c>
      <c r="N443">
        <v>80946</v>
      </c>
      <c r="O443">
        <v>328443</v>
      </c>
      <c r="P443">
        <v>0</v>
      </c>
      <c r="Q443">
        <v>148</v>
      </c>
      <c r="R443">
        <v>166</v>
      </c>
      <c r="S443">
        <v>0</v>
      </c>
      <c r="T443">
        <v>50</v>
      </c>
      <c r="U443">
        <v>64</v>
      </c>
    </row>
    <row r="444" spans="1:21" x14ac:dyDescent="0.35">
      <c r="A444" t="s">
        <v>21</v>
      </c>
      <c r="B444" s="1">
        <v>44674</v>
      </c>
      <c r="C444" t="s">
        <v>30</v>
      </c>
      <c r="D444">
        <v>0</v>
      </c>
      <c r="E444">
        <v>0</v>
      </c>
      <c r="F444">
        <v>0</v>
      </c>
      <c r="G444">
        <v>0</v>
      </c>
      <c r="H444">
        <v>0</v>
      </c>
      <c r="I444">
        <v>0</v>
      </c>
      <c r="J444">
        <v>0</v>
      </c>
      <c r="K444">
        <v>0</v>
      </c>
      <c r="L444">
        <v>0</v>
      </c>
      <c r="M444">
        <v>0</v>
      </c>
      <c r="N444">
        <v>26906</v>
      </c>
      <c r="O444">
        <v>13471</v>
      </c>
      <c r="P444">
        <v>43906</v>
      </c>
      <c r="Q444">
        <v>0</v>
      </c>
      <c r="R444">
        <v>0</v>
      </c>
      <c r="S444">
        <v>0</v>
      </c>
      <c r="T444">
        <v>80</v>
      </c>
      <c r="U444">
        <v>200</v>
      </c>
    </row>
    <row r="445" spans="1:21" x14ac:dyDescent="0.35">
      <c r="A445" t="s">
        <v>28</v>
      </c>
      <c r="B445" s="1">
        <v>44667</v>
      </c>
      <c r="C445" t="s">
        <v>27</v>
      </c>
      <c r="D445">
        <v>66</v>
      </c>
      <c r="E445">
        <v>34.700000000000003</v>
      </c>
      <c r="F445">
        <v>117.8</v>
      </c>
      <c r="G445">
        <v>1.9</v>
      </c>
      <c r="H445">
        <v>0.6</v>
      </c>
      <c r="I445">
        <v>0</v>
      </c>
      <c r="J445">
        <v>0</v>
      </c>
      <c r="K445">
        <v>0</v>
      </c>
      <c r="L445">
        <v>0</v>
      </c>
      <c r="M445">
        <v>0</v>
      </c>
      <c r="N445">
        <v>37876</v>
      </c>
      <c r="O445">
        <v>95178</v>
      </c>
      <c r="P445">
        <v>32264</v>
      </c>
      <c r="Q445">
        <v>25</v>
      </c>
      <c r="R445">
        <v>33</v>
      </c>
      <c r="S445">
        <v>38</v>
      </c>
      <c r="T445">
        <v>12</v>
      </c>
      <c r="U445">
        <v>17</v>
      </c>
    </row>
    <row r="446" spans="1:21" x14ac:dyDescent="0.35">
      <c r="A446" t="s">
        <v>28</v>
      </c>
      <c r="B446" s="1">
        <v>45205</v>
      </c>
      <c r="C446" t="s">
        <v>30</v>
      </c>
      <c r="D446">
        <v>12.2</v>
      </c>
      <c r="E446">
        <v>17.600000000000001</v>
      </c>
      <c r="F446">
        <v>14.9</v>
      </c>
      <c r="G446">
        <v>0.7</v>
      </c>
      <c r="H446">
        <v>0.8</v>
      </c>
      <c r="I446">
        <v>0</v>
      </c>
      <c r="J446">
        <v>0</v>
      </c>
      <c r="K446">
        <v>0</v>
      </c>
      <c r="L446">
        <v>0</v>
      </c>
      <c r="M446">
        <v>0</v>
      </c>
      <c r="N446">
        <v>24522</v>
      </c>
      <c r="O446">
        <v>11383</v>
      </c>
      <c r="P446">
        <v>47130</v>
      </c>
      <c r="Q446">
        <v>3</v>
      </c>
      <c r="R446">
        <v>2</v>
      </c>
      <c r="S446">
        <v>7</v>
      </c>
      <c r="T446">
        <v>80</v>
      </c>
      <c r="U446">
        <v>200</v>
      </c>
    </row>
    <row r="447" spans="1:21" x14ac:dyDescent="0.35">
      <c r="A447" t="s">
        <v>21</v>
      </c>
      <c r="B447" s="1">
        <v>44298</v>
      </c>
      <c r="C447" t="s">
        <v>30</v>
      </c>
      <c r="D447">
        <v>24.5</v>
      </c>
      <c r="E447">
        <v>10.1</v>
      </c>
      <c r="F447">
        <v>0</v>
      </c>
      <c r="G447">
        <v>2.4</v>
      </c>
      <c r="H447">
        <v>0</v>
      </c>
      <c r="I447">
        <v>0</v>
      </c>
      <c r="J447">
        <v>0</v>
      </c>
      <c r="K447">
        <v>0</v>
      </c>
      <c r="L447">
        <v>0</v>
      </c>
      <c r="M447">
        <v>0</v>
      </c>
      <c r="N447">
        <v>28623</v>
      </c>
      <c r="O447">
        <v>29758</v>
      </c>
      <c r="P447">
        <v>25961</v>
      </c>
      <c r="Q447">
        <v>7</v>
      </c>
      <c r="R447">
        <v>3</v>
      </c>
      <c r="S447">
        <v>0</v>
      </c>
      <c r="T447">
        <v>80</v>
      </c>
      <c r="U447">
        <v>200</v>
      </c>
    </row>
    <row r="448" spans="1:21" x14ac:dyDescent="0.35">
      <c r="A448" t="s">
        <v>28</v>
      </c>
      <c r="B448" s="1">
        <v>44646</v>
      </c>
      <c r="C448" t="s">
        <v>22</v>
      </c>
      <c r="D448">
        <v>58.8</v>
      </c>
      <c r="E448">
        <v>44.6</v>
      </c>
      <c r="F448">
        <v>81.599999999999994</v>
      </c>
      <c r="G448">
        <v>1.3</v>
      </c>
      <c r="H448">
        <v>0.7</v>
      </c>
      <c r="I448">
        <v>64.7</v>
      </c>
      <c r="J448">
        <v>42</v>
      </c>
      <c r="K448">
        <v>73.5</v>
      </c>
      <c r="L448">
        <v>1.5</v>
      </c>
      <c r="M448">
        <v>0.9</v>
      </c>
      <c r="N448">
        <v>659972</v>
      </c>
      <c r="O448">
        <v>904268</v>
      </c>
      <c r="P448">
        <v>925908</v>
      </c>
      <c r="Q448">
        <v>388</v>
      </c>
      <c r="R448">
        <v>403</v>
      </c>
      <c r="S448">
        <v>756</v>
      </c>
      <c r="T448">
        <v>999</v>
      </c>
      <c r="U448">
        <v>999</v>
      </c>
    </row>
    <row r="449" spans="1:21" x14ac:dyDescent="0.35">
      <c r="A449" t="s">
        <v>26</v>
      </c>
      <c r="B449" s="1">
        <v>45248</v>
      </c>
      <c r="C449" t="s">
        <v>23</v>
      </c>
      <c r="D449">
        <v>33.299999999999997</v>
      </c>
      <c r="E449">
        <v>3.2</v>
      </c>
      <c r="F449">
        <v>6</v>
      </c>
      <c r="G449">
        <v>10.4</v>
      </c>
      <c r="H449">
        <v>5.6</v>
      </c>
      <c r="I449">
        <v>0</v>
      </c>
      <c r="J449">
        <v>0</v>
      </c>
      <c r="K449">
        <v>0</v>
      </c>
      <c r="L449">
        <v>0</v>
      </c>
      <c r="M449">
        <v>0</v>
      </c>
      <c r="N449">
        <v>29998</v>
      </c>
      <c r="O449">
        <v>125698</v>
      </c>
      <c r="P449">
        <v>247977</v>
      </c>
      <c r="Q449">
        <v>10</v>
      </c>
      <c r="R449">
        <v>4</v>
      </c>
      <c r="S449">
        <v>15</v>
      </c>
      <c r="T449">
        <v>50</v>
      </c>
      <c r="U449">
        <v>64</v>
      </c>
    </row>
    <row r="450" spans="1:21" x14ac:dyDescent="0.35">
      <c r="A450" t="s">
        <v>28</v>
      </c>
      <c r="B450" s="1">
        <v>44492</v>
      </c>
      <c r="C450" t="s">
        <v>24</v>
      </c>
      <c r="D450">
        <v>111.7</v>
      </c>
      <c r="E450">
        <v>0</v>
      </c>
      <c r="F450">
        <v>0</v>
      </c>
      <c r="G450">
        <v>0</v>
      </c>
      <c r="H450">
        <v>0</v>
      </c>
      <c r="I450">
        <v>0</v>
      </c>
      <c r="J450">
        <v>0</v>
      </c>
      <c r="K450">
        <v>0</v>
      </c>
      <c r="L450">
        <v>0</v>
      </c>
      <c r="M450">
        <v>0</v>
      </c>
      <c r="N450">
        <v>210448</v>
      </c>
      <c r="O450">
        <v>0</v>
      </c>
      <c r="P450">
        <v>0</v>
      </c>
      <c r="Q450">
        <v>235</v>
      </c>
      <c r="R450">
        <v>0</v>
      </c>
      <c r="S450">
        <v>0</v>
      </c>
      <c r="T450">
        <v>5</v>
      </c>
      <c r="U450">
        <v>11</v>
      </c>
    </row>
    <row r="451" spans="1:21" x14ac:dyDescent="0.35">
      <c r="A451" t="s">
        <v>21</v>
      </c>
      <c r="B451" s="1">
        <v>44758</v>
      </c>
      <c r="C451" t="s">
        <v>22</v>
      </c>
      <c r="D451">
        <v>1</v>
      </c>
      <c r="E451">
        <v>0.1</v>
      </c>
      <c r="F451">
        <v>0.5</v>
      </c>
      <c r="G451">
        <v>10</v>
      </c>
      <c r="H451">
        <v>2</v>
      </c>
      <c r="I451">
        <v>0.9</v>
      </c>
      <c r="J451">
        <v>0.3</v>
      </c>
      <c r="K451">
        <v>0.3</v>
      </c>
      <c r="L451">
        <v>3.3</v>
      </c>
      <c r="M451">
        <v>2.7</v>
      </c>
      <c r="N451">
        <v>623694</v>
      </c>
      <c r="O451">
        <v>859285</v>
      </c>
      <c r="P451">
        <v>1001233</v>
      </c>
      <c r="Q451">
        <v>6</v>
      </c>
      <c r="R451">
        <v>1</v>
      </c>
      <c r="S451">
        <v>5</v>
      </c>
      <c r="T451">
        <v>999</v>
      </c>
      <c r="U451">
        <v>999</v>
      </c>
    </row>
    <row r="452" spans="1:21" x14ac:dyDescent="0.35">
      <c r="A452" t="s">
        <v>21</v>
      </c>
      <c r="B452" s="1">
        <v>44765</v>
      </c>
      <c r="C452" t="s">
        <v>32</v>
      </c>
      <c r="D452">
        <v>0</v>
      </c>
      <c r="E452">
        <v>0</v>
      </c>
      <c r="F452">
        <v>0</v>
      </c>
      <c r="G452">
        <v>0</v>
      </c>
      <c r="H452">
        <v>0</v>
      </c>
      <c r="I452">
        <v>0</v>
      </c>
      <c r="J452">
        <v>0</v>
      </c>
      <c r="K452">
        <v>0</v>
      </c>
      <c r="L452">
        <v>0</v>
      </c>
      <c r="M452">
        <v>0</v>
      </c>
      <c r="N452">
        <v>162642</v>
      </c>
      <c r="O452">
        <v>0</v>
      </c>
      <c r="P452">
        <v>0</v>
      </c>
      <c r="Q452">
        <v>0</v>
      </c>
      <c r="R452">
        <v>0</v>
      </c>
      <c r="S452">
        <v>0</v>
      </c>
      <c r="T452">
        <v>0</v>
      </c>
      <c r="U452">
        <v>4</v>
      </c>
    </row>
    <row r="453" spans="1:21" x14ac:dyDescent="0.35">
      <c r="A453" t="s">
        <v>21</v>
      </c>
      <c r="B453" s="1">
        <v>44912</v>
      </c>
      <c r="C453" t="s">
        <v>29</v>
      </c>
      <c r="D453">
        <v>0</v>
      </c>
      <c r="E453">
        <v>0</v>
      </c>
      <c r="F453">
        <v>0</v>
      </c>
      <c r="G453">
        <v>0</v>
      </c>
      <c r="H453">
        <v>0</v>
      </c>
      <c r="I453">
        <v>0</v>
      </c>
      <c r="J453">
        <v>0</v>
      </c>
      <c r="K453">
        <v>0</v>
      </c>
      <c r="L453">
        <v>0</v>
      </c>
      <c r="M453">
        <v>0</v>
      </c>
      <c r="N453">
        <v>113869</v>
      </c>
      <c r="O453">
        <v>277097</v>
      </c>
      <c r="P453">
        <v>347151</v>
      </c>
      <c r="Q453">
        <v>0</v>
      </c>
      <c r="R453">
        <v>0</v>
      </c>
      <c r="S453">
        <v>0</v>
      </c>
      <c r="T453">
        <v>30</v>
      </c>
      <c r="U453">
        <v>49</v>
      </c>
    </row>
    <row r="454" spans="1:21" x14ac:dyDescent="0.35">
      <c r="A454" t="s">
        <v>21</v>
      </c>
      <c r="B454" s="1">
        <v>44783</v>
      </c>
      <c r="C454" t="s">
        <v>22</v>
      </c>
      <c r="D454">
        <v>0.9</v>
      </c>
      <c r="E454">
        <v>0.4</v>
      </c>
      <c r="F454">
        <v>0.3</v>
      </c>
      <c r="G454">
        <v>2.2000000000000002</v>
      </c>
      <c r="H454">
        <v>3</v>
      </c>
      <c r="I454">
        <v>1.3</v>
      </c>
      <c r="J454">
        <v>0.6</v>
      </c>
      <c r="K454">
        <v>0.2</v>
      </c>
      <c r="L454">
        <v>2</v>
      </c>
      <c r="M454">
        <v>6</v>
      </c>
      <c r="N454">
        <v>588205</v>
      </c>
      <c r="O454">
        <v>843467</v>
      </c>
      <c r="P454">
        <v>1037728</v>
      </c>
      <c r="Q454">
        <v>5</v>
      </c>
      <c r="R454">
        <v>3</v>
      </c>
      <c r="S454">
        <v>3</v>
      </c>
      <c r="T454">
        <v>999</v>
      </c>
      <c r="U454">
        <v>999</v>
      </c>
    </row>
    <row r="455" spans="1:21" x14ac:dyDescent="0.35">
      <c r="A455" t="s">
        <v>26</v>
      </c>
      <c r="B455" s="1">
        <v>44667</v>
      </c>
      <c r="C455" t="s">
        <v>22</v>
      </c>
      <c r="D455">
        <v>3.5</v>
      </c>
      <c r="E455">
        <v>2.2000000000000002</v>
      </c>
      <c r="F455">
        <v>3.6</v>
      </c>
      <c r="G455">
        <v>1.6</v>
      </c>
      <c r="H455">
        <v>1</v>
      </c>
      <c r="I455">
        <v>4.3</v>
      </c>
      <c r="J455">
        <v>2.6</v>
      </c>
      <c r="K455">
        <v>2.6</v>
      </c>
      <c r="L455">
        <v>1.7</v>
      </c>
      <c r="M455">
        <v>1.7</v>
      </c>
      <c r="N455">
        <v>653769</v>
      </c>
      <c r="O455">
        <v>896402</v>
      </c>
      <c r="P455">
        <v>943061</v>
      </c>
      <c r="Q455">
        <v>23</v>
      </c>
      <c r="R455">
        <v>20</v>
      </c>
      <c r="S455">
        <v>34</v>
      </c>
      <c r="T455">
        <v>999</v>
      </c>
      <c r="U455">
        <v>999</v>
      </c>
    </row>
    <row r="456" spans="1:21" x14ac:dyDescent="0.35">
      <c r="A456" t="s">
        <v>28</v>
      </c>
      <c r="B456" s="1">
        <v>45066</v>
      </c>
      <c r="C456" t="s">
        <v>24</v>
      </c>
      <c r="D456">
        <v>22.1</v>
      </c>
      <c r="E456">
        <v>12.1</v>
      </c>
      <c r="F456">
        <v>9.4</v>
      </c>
      <c r="G456">
        <v>1.8</v>
      </c>
      <c r="H456">
        <v>2.4</v>
      </c>
      <c r="I456">
        <v>0</v>
      </c>
      <c r="J456">
        <v>0</v>
      </c>
      <c r="K456">
        <v>0</v>
      </c>
      <c r="L456">
        <v>0</v>
      </c>
      <c r="M456">
        <v>0</v>
      </c>
      <c r="N456">
        <v>90666</v>
      </c>
      <c r="O456">
        <v>82678</v>
      </c>
      <c r="P456">
        <v>21243</v>
      </c>
      <c r="Q456">
        <v>20</v>
      </c>
      <c r="R456">
        <v>10</v>
      </c>
      <c r="S456">
        <v>2</v>
      </c>
      <c r="T456">
        <v>5</v>
      </c>
      <c r="U456">
        <v>11</v>
      </c>
    </row>
    <row r="457" spans="1:21" x14ac:dyDescent="0.35">
      <c r="A457" t="s">
        <v>28</v>
      </c>
      <c r="B457" s="1">
        <v>44576</v>
      </c>
      <c r="C457" t="s">
        <v>31</v>
      </c>
      <c r="D457">
        <v>1116.3</v>
      </c>
      <c r="E457">
        <v>875.7</v>
      </c>
      <c r="F457">
        <v>528.4</v>
      </c>
      <c r="G457">
        <v>1.3</v>
      </c>
      <c r="H457">
        <v>2.1</v>
      </c>
      <c r="I457">
        <v>0</v>
      </c>
      <c r="J457">
        <v>0</v>
      </c>
      <c r="K457">
        <v>0</v>
      </c>
      <c r="L457">
        <v>0</v>
      </c>
      <c r="M457">
        <v>0</v>
      </c>
      <c r="N457">
        <v>50970</v>
      </c>
      <c r="O457">
        <v>69775</v>
      </c>
      <c r="P457">
        <v>137780</v>
      </c>
      <c r="Q457">
        <v>569</v>
      </c>
      <c r="R457">
        <v>611</v>
      </c>
      <c r="S457">
        <v>728</v>
      </c>
      <c r="T457">
        <v>65</v>
      </c>
      <c r="U457">
        <v>79</v>
      </c>
    </row>
    <row r="458" spans="1:21" x14ac:dyDescent="0.35">
      <c r="A458" t="s">
        <v>28</v>
      </c>
      <c r="B458" s="1">
        <v>45108</v>
      </c>
      <c r="C458" t="s">
        <v>24</v>
      </c>
      <c r="D458">
        <v>37.9</v>
      </c>
      <c r="E458">
        <v>22.1</v>
      </c>
      <c r="F458">
        <v>47.3</v>
      </c>
      <c r="G458">
        <v>1.7</v>
      </c>
      <c r="H458">
        <v>0.8</v>
      </c>
      <c r="I458">
        <v>0</v>
      </c>
      <c r="J458">
        <v>0</v>
      </c>
      <c r="K458">
        <v>0</v>
      </c>
      <c r="L458">
        <v>0</v>
      </c>
      <c r="M458">
        <v>0</v>
      </c>
      <c r="N458">
        <v>92294</v>
      </c>
      <c r="O458">
        <v>81623</v>
      </c>
      <c r="P458">
        <v>21161</v>
      </c>
      <c r="Q458">
        <v>35</v>
      </c>
      <c r="R458">
        <v>18</v>
      </c>
      <c r="S458">
        <v>10</v>
      </c>
      <c r="T458">
        <v>5</v>
      </c>
      <c r="U458">
        <v>11</v>
      </c>
    </row>
    <row r="459" spans="1:21" x14ac:dyDescent="0.35">
      <c r="A459" t="s">
        <v>28</v>
      </c>
      <c r="B459" s="1">
        <v>45045</v>
      </c>
      <c r="C459" t="s">
        <v>22</v>
      </c>
      <c r="D459">
        <v>52</v>
      </c>
      <c r="E459">
        <v>22.8</v>
      </c>
      <c r="F459">
        <v>36.6</v>
      </c>
      <c r="G459">
        <v>2.2999999999999998</v>
      </c>
      <c r="H459">
        <v>1.4</v>
      </c>
      <c r="I459">
        <v>61.7</v>
      </c>
      <c r="J459">
        <v>23.7</v>
      </c>
      <c r="K459">
        <v>37</v>
      </c>
      <c r="L459">
        <v>2.6</v>
      </c>
      <c r="M459">
        <v>1.7</v>
      </c>
      <c r="N459">
        <v>538163</v>
      </c>
      <c r="O459">
        <v>860165</v>
      </c>
      <c r="P459">
        <v>1040623</v>
      </c>
      <c r="Q459">
        <v>280</v>
      </c>
      <c r="R459">
        <v>196</v>
      </c>
      <c r="S459">
        <v>381</v>
      </c>
      <c r="T459">
        <v>999</v>
      </c>
      <c r="U459">
        <v>999</v>
      </c>
    </row>
    <row r="460" spans="1:21" x14ac:dyDescent="0.35">
      <c r="A460" t="s">
        <v>26</v>
      </c>
      <c r="B460" s="1">
        <v>44991</v>
      </c>
      <c r="C460" t="s">
        <v>31</v>
      </c>
      <c r="D460">
        <v>7.6</v>
      </c>
      <c r="E460">
        <v>4.5999999999999996</v>
      </c>
      <c r="F460">
        <v>6.4</v>
      </c>
      <c r="G460">
        <v>1.7</v>
      </c>
      <c r="H460">
        <v>1.2</v>
      </c>
      <c r="I460">
        <v>0</v>
      </c>
      <c r="J460">
        <v>0</v>
      </c>
      <c r="K460">
        <v>0</v>
      </c>
      <c r="L460">
        <v>0</v>
      </c>
      <c r="M460">
        <v>0</v>
      </c>
      <c r="N460">
        <v>39483</v>
      </c>
      <c r="O460">
        <v>43434</v>
      </c>
      <c r="P460">
        <v>171732</v>
      </c>
      <c r="Q460">
        <v>3</v>
      </c>
      <c r="R460">
        <v>2</v>
      </c>
      <c r="S460">
        <v>11</v>
      </c>
      <c r="T460">
        <v>65</v>
      </c>
      <c r="U460">
        <v>79</v>
      </c>
    </row>
    <row r="461" spans="1:21" x14ac:dyDescent="0.35">
      <c r="A461" t="s">
        <v>28</v>
      </c>
      <c r="B461" s="1">
        <v>44940</v>
      </c>
      <c r="C461" t="s">
        <v>24</v>
      </c>
      <c r="D461">
        <v>136.69999999999999</v>
      </c>
      <c r="E461">
        <v>107.7</v>
      </c>
      <c r="F461">
        <v>184.2</v>
      </c>
      <c r="G461">
        <v>1.3</v>
      </c>
      <c r="H461">
        <v>0.7</v>
      </c>
      <c r="I461">
        <v>0</v>
      </c>
      <c r="J461">
        <v>0</v>
      </c>
      <c r="K461">
        <v>0</v>
      </c>
      <c r="L461">
        <v>0</v>
      </c>
      <c r="M461">
        <v>0</v>
      </c>
      <c r="N461">
        <v>92141</v>
      </c>
      <c r="O461">
        <v>81692</v>
      </c>
      <c r="P461">
        <v>21167</v>
      </c>
      <c r="Q461">
        <v>126</v>
      </c>
      <c r="R461">
        <v>88</v>
      </c>
      <c r="S461">
        <v>39</v>
      </c>
      <c r="T461">
        <v>5</v>
      </c>
      <c r="U461">
        <v>11</v>
      </c>
    </row>
    <row r="462" spans="1:21" x14ac:dyDescent="0.35">
      <c r="A462" t="s">
        <v>26</v>
      </c>
      <c r="B462" s="1">
        <v>45003</v>
      </c>
      <c r="C462" t="s">
        <v>32</v>
      </c>
      <c r="D462">
        <v>1.8</v>
      </c>
      <c r="E462">
        <v>0</v>
      </c>
      <c r="F462">
        <v>0</v>
      </c>
      <c r="G462">
        <v>0</v>
      </c>
      <c r="H462">
        <v>0</v>
      </c>
      <c r="I462">
        <v>0</v>
      </c>
      <c r="J462">
        <v>0</v>
      </c>
      <c r="K462">
        <v>0</v>
      </c>
      <c r="L462">
        <v>0</v>
      </c>
      <c r="M462">
        <v>0</v>
      </c>
      <c r="N462">
        <v>162642</v>
      </c>
      <c r="O462">
        <v>0</v>
      </c>
      <c r="P462">
        <v>0</v>
      </c>
      <c r="Q462">
        <v>3</v>
      </c>
      <c r="R462">
        <v>0</v>
      </c>
      <c r="S462">
        <v>0</v>
      </c>
      <c r="T462">
        <v>0</v>
      </c>
      <c r="U462">
        <v>4</v>
      </c>
    </row>
    <row r="463" spans="1:21" x14ac:dyDescent="0.35">
      <c r="A463" t="s">
        <v>21</v>
      </c>
      <c r="B463" s="1">
        <v>44611</v>
      </c>
      <c r="C463" t="s">
        <v>27</v>
      </c>
      <c r="D463">
        <v>0</v>
      </c>
      <c r="E463">
        <v>0</v>
      </c>
      <c r="F463">
        <v>0</v>
      </c>
      <c r="G463">
        <v>0</v>
      </c>
      <c r="H463">
        <v>0</v>
      </c>
      <c r="I463">
        <v>0</v>
      </c>
      <c r="J463">
        <v>0</v>
      </c>
      <c r="K463">
        <v>0</v>
      </c>
      <c r="L463">
        <v>0</v>
      </c>
      <c r="M463">
        <v>0</v>
      </c>
      <c r="N463">
        <v>40355</v>
      </c>
      <c r="O463">
        <v>95758</v>
      </c>
      <c r="P463">
        <v>23968</v>
      </c>
      <c r="Q463">
        <v>0</v>
      </c>
      <c r="R463">
        <v>0</v>
      </c>
      <c r="S463">
        <v>0</v>
      </c>
      <c r="T463">
        <v>12</v>
      </c>
      <c r="U463">
        <v>17</v>
      </c>
    </row>
    <row r="464" spans="1:21" x14ac:dyDescent="0.35">
      <c r="A464" t="s">
        <v>21</v>
      </c>
      <c r="B464" s="1">
        <v>45199</v>
      </c>
      <c r="C464" t="s">
        <v>23</v>
      </c>
      <c r="D464">
        <v>0</v>
      </c>
      <c r="E464">
        <v>0</v>
      </c>
      <c r="F464">
        <v>0.8</v>
      </c>
      <c r="G464">
        <v>0</v>
      </c>
      <c r="H464">
        <v>0</v>
      </c>
      <c r="I464">
        <v>0</v>
      </c>
      <c r="J464">
        <v>0</v>
      </c>
      <c r="K464">
        <v>0</v>
      </c>
      <c r="L464">
        <v>0</v>
      </c>
      <c r="M464">
        <v>0</v>
      </c>
      <c r="N464">
        <v>31939</v>
      </c>
      <c r="O464">
        <v>125717</v>
      </c>
      <c r="P464">
        <v>246950</v>
      </c>
      <c r="Q464">
        <v>0</v>
      </c>
      <c r="R464">
        <v>0</v>
      </c>
      <c r="S464">
        <v>2</v>
      </c>
      <c r="T464">
        <v>50</v>
      </c>
      <c r="U464">
        <v>64</v>
      </c>
    </row>
    <row r="465" spans="1:21" x14ac:dyDescent="0.35">
      <c r="A465" t="s">
        <v>21</v>
      </c>
      <c r="B465" s="1">
        <v>44322</v>
      </c>
      <c r="C465" t="s">
        <v>22</v>
      </c>
      <c r="D465">
        <v>2.6</v>
      </c>
      <c r="E465">
        <v>0.2</v>
      </c>
      <c r="F465">
        <v>0</v>
      </c>
      <c r="G465">
        <v>13</v>
      </c>
      <c r="H465">
        <v>0</v>
      </c>
      <c r="I465">
        <v>3.9</v>
      </c>
      <c r="J465">
        <v>0.1</v>
      </c>
      <c r="K465">
        <v>0</v>
      </c>
      <c r="L465">
        <v>37.9</v>
      </c>
      <c r="M465">
        <v>0</v>
      </c>
      <c r="N465">
        <v>1279034</v>
      </c>
      <c r="O465">
        <v>1158544</v>
      </c>
      <c r="P465">
        <v>0</v>
      </c>
      <c r="Q465">
        <v>33</v>
      </c>
      <c r="R465">
        <v>2</v>
      </c>
      <c r="S465">
        <v>0</v>
      </c>
      <c r="T465">
        <v>999</v>
      </c>
      <c r="U465">
        <v>999</v>
      </c>
    </row>
    <row r="466" spans="1:21" x14ac:dyDescent="0.35">
      <c r="A466" t="s">
        <v>28</v>
      </c>
      <c r="B466" s="1">
        <v>44683</v>
      </c>
      <c r="C466" t="s">
        <v>30</v>
      </c>
      <c r="D466">
        <v>98.6</v>
      </c>
      <c r="E466">
        <v>243.6</v>
      </c>
      <c r="F466">
        <v>105.7</v>
      </c>
      <c r="G466">
        <v>0.4</v>
      </c>
      <c r="H466">
        <v>0.9</v>
      </c>
      <c r="I466">
        <v>0</v>
      </c>
      <c r="J466">
        <v>0</v>
      </c>
      <c r="K466">
        <v>0</v>
      </c>
      <c r="L466">
        <v>0</v>
      </c>
      <c r="M466">
        <v>0</v>
      </c>
      <c r="N466">
        <v>27390</v>
      </c>
      <c r="O466">
        <v>16013</v>
      </c>
      <c r="P466">
        <v>40692</v>
      </c>
      <c r="Q466">
        <v>27</v>
      </c>
      <c r="R466">
        <v>39</v>
      </c>
      <c r="S466">
        <v>43</v>
      </c>
      <c r="T466">
        <v>80</v>
      </c>
      <c r="U466">
        <v>200</v>
      </c>
    </row>
    <row r="467" spans="1:21" x14ac:dyDescent="0.35">
      <c r="A467" t="s">
        <v>21</v>
      </c>
      <c r="B467" s="1">
        <v>44702</v>
      </c>
      <c r="C467" t="s">
        <v>25</v>
      </c>
      <c r="D467">
        <v>0</v>
      </c>
      <c r="E467">
        <v>0</v>
      </c>
      <c r="F467">
        <v>0</v>
      </c>
      <c r="G467">
        <v>0</v>
      </c>
      <c r="H467">
        <v>0</v>
      </c>
      <c r="I467">
        <v>0</v>
      </c>
      <c r="J467">
        <v>0</v>
      </c>
      <c r="K467">
        <v>0</v>
      </c>
      <c r="L467">
        <v>0</v>
      </c>
      <c r="M467">
        <v>0</v>
      </c>
      <c r="N467">
        <v>95759</v>
      </c>
      <c r="O467">
        <v>216738</v>
      </c>
      <c r="P467">
        <v>152215</v>
      </c>
      <c r="Q467">
        <v>0</v>
      </c>
      <c r="R467">
        <v>0</v>
      </c>
      <c r="S467">
        <v>0</v>
      </c>
      <c r="T467">
        <v>18</v>
      </c>
      <c r="U467">
        <v>29</v>
      </c>
    </row>
    <row r="468" spans="1:21" x14ac:dyDescent="0.35">
      <c r="A468" t="s">
        <v>26</v>
      </c>
      <c r="B468" s="1">
        <v>45117</v>
      </c>
      <c r="C468" t="s">
        <v>29</v>
      </c>
      <c r="D468">
        <v>1.9</v>
      </c>
      <c r="E468">
        <v>2.2000000000000002</v>
      </c>
      <c r="F468">
        <v>0.3</v>
      </c>
      <c r="G468">
        <v>0.9</v>
      </c>
      <c r="H468">
        <v>6.3</v>
      </c>
      <c r="I468">
        <v>0</v>
      </c>
      <c r="J468">
        <v>0</v>
      </c>
      <c r="K468">
        <v>0</v>
      </c>
      <c r="L468">
        <v>0</v>
      </c>
      <c r="M468">
        <v>0</v>
      </c>
      <c r="N468">
        <v>104936</v>
      </c>
      <c r="O468">
        <v>278564</v>
      </c>
      <c r="P468">
        <v>347458</v>
      </c>
      <c r="Q468">
        <v>2</v>
      </c>
      <c r="R468">
        <v>6</v>
      </c>
      <c r="S468">
        <v>1</v>
      </c>
      <c r="T468">
        <v>30</v>
      </c>
      <c r="U468">
        <v>49</v>
      </c>
    </row>
    <row r="469" spans="1:21" x14ac:dyDescent="0.35">
      <c r="A469" t="s">
        <v>26</v>
      </c>
      <c r="B469" s="1">
        <v>44512</v>
      </c>
      <c r="C469" t="s">
        <v>29</v>
      </c>
      <c r="D469">
        <v>46.4</v>
      </c>
      <c r="E469">
        <v>5.7</v>
      </c>
      <c r="F469">
        <v>1.6</v>
      </c>
      <c r="G469">
        <v>8.1</v>
      </c>
      <c r="H469">
        <v>29</v>
      </c>
      <c r="I469">
        <v>0</v>
      </c>
      <c r="J469">
        <v>0</v>
      </c>
      <c r="K469">
        <v>0</v>
      </c>
      <c r="L469">
        <v>0</v>
      </c>
      <c r="M469">
        <v>0</v>
      </c>
      <c r="N469">
        <v>181110</v>
      </c>
      <c r="O469">
        <v>452975</v>
      </c>
      <c r="P469">
        <v>121631</v>
      </c>
      <c r="Q469">
        <v>84</v>
      </c>
      <c r="R469">
        <v>26</v>
      </c>
      <c r="S469">
        <v>2</v>
      </c>
      <c r="T469">
        <v>30</v>
      </c>
      <c r="U469">
        <v>49</v>
      </c>
    </row>
    <row r="470" spans="1:21" x14ac:dyDescent="0.35">
      <c r="A470" t="s">
        <v>26</v>
      </c>
      <c r="B470" s="1">
        <v>45227</v>
      </c>
      <c r="C470" t="s">
        <v>24</v>
      </c>
      <c r="D470">
        <v>1.1000000000000001</v>
      </c>
      <c r="E470">
        <v>0</v>
      </c>
      <c r="F470">
        <v>0</v>
      </c>
      <c r="G470">
        <v>0</v>
      </c>
      <c r="H470">
        <v>0</v>
      </c>
      <c r="I470">
        <v>0</v>
      </c>
      <c r="J470">
        <v>0</v>
      </c>
      <c r="K470">
        <v>0</v>
      </c>
      <c r="L470">
        <v>0</v>
      </c>
      <c r="M470">
        <v>0</v>
      </c>
      <c r="N470">
        <v>88935</v>
      </c>
      <c r="O470">
        <v>82498</v>
      </c>
      <c r="P470">
        <v>21516</v>
      </c>
      <c r="Q470">
        <v>1</v>
      </c>
      <c r="R470">
        <v>0</v>
      </c>
      <c r="S470">
        <v>0</v>
      </c>
      <c r="T470">
        <v>5</v>
      </c>
      <c r="U470">
        <v>11</v>
      </c>
    </row>
    <row r="471" spans="1:21" x14ac:dyDescent="0.35">
      <c r="A471" t="s">
        <v>21</v>
      </c>
      <c r="B471" s="1">
        <v>45205</v>
      </c>
      <c r="C471" t="s">
        <v>22</v>
      </c>
      <c r="D471">
        <v>0.2</v>
      </c>
      <c r="E471">
        <v>0</v>
      </c>
      <c r="F471">
        <v>0.2</v>
      </c>
      <c r="G471">
        <v>0</v>
      </c>
      <c r="H471">
        <v>1</v>
      </c>
      <c r="I471">
        <v>0.4</v>
      </c>
      <c r="J471">
        <v>0</v>
      </c>
      <c r="K471">
        <v>0.1</v>
      </c>
      <c r="L471">
        <v>0</v>
      </c>
      <c r="M471">
        <v>4</v>
      </c>
      <c r="N471">
        <v>534086</v>
      </c>
      <c r="O471">
        <v>860351</v>
      </c>
      <c r="P471">
        <v>1040691</v>
      </c>
      <c r="Q471">
        <v>1</v>
      </c>
      <c r="R471">
        <v>0</v>
      </c>
      <c r="S471">
        <v>2</v>
      </c>
      <c r="T471">
        <v>999</v>
      </c>
      <c r="U471">
        <v>999</v>
      </c>
    </row>
    <row r="472" spans="1:21" x14ac:dyDescent="0.35">
      <c r="A472" t="s">
        <v>28</v>
      </c>
      <c r="B472" s="1">
        <v>44436</v>
      </c>
      <c r="C472" t="s">
        <v>22</v>
      </c>
      <c r="D472">
        <v>212.3</v>
      </c>
      <c r="E472">
        <v>79.599999999999994</v>
      </c>
      <c r="F472">
        <v>0</v>
      </c>
      <c r="G472">
        <v>2.7</v>
      </c>
      <c r="H472">
        <v>0</v>
      </c>
      <c r="I472">
        <v>236.6</v>
      </c>
      <c r="J472">
        <v>64.900000000000006</v>
      </c>
      <c r="K472">
        <v>0</v>
      </c>
      <c r="L472">
        <v>3.6</v>
      </c>
      <c r="M472">
        <v>0</v>
      </c>
      <c r="N472">
        <v>1076102</v>
      </c>
      <c r="O472">
        <v>1450111</v>
      </c>
      <c r="P472">
        <v>0</v>
      </c>
      <c r="Q472">
        <v>2285</v>
      </c>
      <c r="R472">
        <v>1155</v>
      </c>
      <c r="S472">
        <v>0</v>
      </c>
      <c r="T472">
        <v>999</v>
      </c>
      <c r="U472">
        <v>999</v>
      </c>
    </row>
    <row r="473" spans="1:21" x14ac:dyDescent="0.35">
      <c r="A473" t="s">
        <v>26</v>
      </c>
      <c r="B473" s="1">
        <v>44793</v>
      </c>
      <c r="C473" t="s">
        <v>24</v>
      </c>
      <c r="D473">
        <v>0</v>
      </c>
      <c r="E473">
        <v>2.4</v>
      </c>
      <c r="F473">
        <v>7.1</v>
      </c>
      <c r="G473">
        <v>0</v>
      </c>
      <c r="H473">
        <v>0</v>
      </c>
      <c r="I473">
        <v>0</v>
      </c>
      <c r="J473">
        <v>0</v>
      </c>
      <c r="K473">
        <v>0</v>
      </c>
      <c r="L473">
        <v>0</v>
      </c>
      <c r="M473">
        <v>0</v>
      </c>
      <c r="N473">
        <v>96145</v>
      </c>
      <c r="O473">
        <v>84646</v>
      </c>
      <c r="P473">
        <v>14013</v>
      </c>
      <c r="Q473">
        <v>0</v>
      </c>
      <c r="R473">
        <v>2</v>
      </c>
      <c r="S473">
        <v>1</v>
      </c>
      <c r="T473">
        <v>5</v>
      </c>
      <c r="U473">
        <v>11</v>
      </c>
    </row>
    <row r="474" spans="1:21" x14ac:dyDescent="0.35">
      <c r="A474" t="s">
        <v>26</v>
      </c>
      <c r="B474" s="1">
        <v>44571</v>
      </c>
      <c r="C474" t="s">
        <v>30</v>
      </c>
      <c r="D474">
        <v>34.799999999999997</v>
      </c>
      <c r="E474">
        <v>70.3</v>
      </c>
      <c r="F474">
        <v>61.6</v>
      </c>
      <c r="G474">
        <v>0.5</v>
      </c>
      <c r="H474">
        <v>0.6</v>
      </c>
      <c r="I474">
        <v>0</v>
      </c>
      <c r="J474">
        <v>0</v>
      </c>
      <c r="K474">
        <v>0</v>
      </c>
      <c r="L474">
        <v>0</v>
      </c>
      <c r="M474">
        <v>0</v>
      </c>
      <c r="N474">
        <v>25857</v>
      </c>
      <c r="O474">
        <v>11380</v>
      </c>
      <c r="P474">
        <v>47042</v>
      </c>
      <c r="Q474">
        <v>9</v>
      </c>
      <c r="R474">
        <v>8</v>
      </c>
      <c r="S474">
        <v>29</v>
      </c>
      <c r="T474">
        <v>80</v>
      </c>
      <c r="U474">
        <v>200</v>
      </c>
    </row>
    <row r="475" spans="1:21" x14ac:dyDescent="0.35">
      <c r="A475" t="s">
        <v>21</v>
      </c>
      <c r="B475" s="1">
        <v>44720</v>
      </c>
      <c r="C475" t="s">
        <v>27</v>
      </c>
      <c r="D475">
        <v>0</v>
      </c>
      <c r="E475">
        <v>0</v>
      </c>
      <c r="F475">
        <v>0</v>
      </c>
      <c r="G475">
        <v>0</v>
      </c>
      <c r="H475">
        <v>0</v>
      </c>
      <c r="I475">
        <v>0</v>
      </c>
      <c r="J475">
        <v>0</v>
      </c>
      <c r="K475">
        <v>0</v>
      </c>
      <c r="L475">
        <v>0</v>
      </c>
      <c r="M475">
        <v>0</v>
      </c>
      <c r="N475">
        <v>35790</v>
      </c>
      <c r="O475">
        <v>89217</v>
      </c>
      <c r="P475">
        <v>40287</v>
      </c>
      <c r="Q475">
        <v>0</v>
      </c>
      <c r="R475">
        <v>0</v>
      </c>
      <c r="S475">
        <v>0</v>
      </c>
      <c r="T475">
        <v>12</v>
      </c>
      <c r="U475">
        <v>17</v>
      </c>
    </row>
    <row r="476" spans="1:21" x14ac:dyDescent="0.35">
      <c r="A476" t="s">
        <v>21</v>
      </c>
      <c r="B476" s="1">
        <v>44310</v>
      </c>
      <c r="C476" t="s">
        <v>23</v>
      </c>
      <c r="D476">
        <v>8.3000000000000007</v>
      </c>
      <c r="E476">
        <v>0.7</v>
      </c>
      <c r="F476">
        <v>0</v>
      </c>
      <c r="G476">
        <v>11.9</v>
      </c>
      <c r="H476">
        <v>0</v>
      </c>
      <c r="I476">
        <v>0</v>
      </c>
      <c r="J476">
        <v>0</v>
      </c>
      <c r="K476">
        <v>0</v>
      </c>
      <c r="L476">
        <v>0</v>
      </c>
      <c r="M476">
        <v>0</v>
      </c>
      <c r="N476">
        <v>168402</v>
      </c>
      <c r="O476">
        <v>134446</v>
      </c>
      <c r="P476">
        <v>0</v>
      </c>
      <c r="Q476">
        <v>14</v>
      </c>
      <c r="R476">
        <v>1</v>
      </c>
      <c r="S476">
        <v>0</v>
      </c>
      <c r="T476">
        <v>50</v>
      </c>
      <c r="U476">
        <v>64</v>
      </c>
    </row>
    <row r="477" spans="1:21" x14ac:dyDescent="0.35">
      <c r="A477" t="s">
        <v>21</v>
      </c>
      <c r="B477" s="1">
        <v>44262</v>
      </c>
      <c r="C477" t="s">
        <v>31</v>
      </c>
      <c r="D477">
        <v>4.0999999999999996</v>
      </c>
      <c r="E477">
        <v>0</v>
      </c>
      <c r="F477">
        <v>0</v>
      </c>
      <c r="G477">
        <v>0</v>
      </c>
      <c r="H477">
        <v>0</v>
      </c>
      <c r="I477">
        <v>0</v>
      </c>
      <c r="J477">
        <v>0</v>
      </c>
      <c r="K477">
        <v>0</v>
      </c>
      <c r="L477">
        <v>0</v>
      </c>
      <c r="M477">
        <v>0</v>
      </c>
      <c r="N477">
        <v>72516</v>
      </c>
      <c r="O477">
        <v>187809</v>
      </c>
      <c r="P477">
        <v>0</v>
      </c>
      <c r="Q477">
        <v>3</v>
      </c>
      <c r="R477">
        <v>0</v>
      </c>
      <c r="S477">
        <v>0</v>
      </c>
      <c r="T477">
        <v>65</v>
      </c>
      <c r="U477">
        <v>79</v>
      </c>
    </row>
    <row r="478" spans="1:21" x14ac:dyDescent="0.35">
      <c r="A478" t="s">
        <v>28</v>
      </c>
      <c r="B478" s="1">
        <v>45241</v>
      </c>
      <c r="C478" t="s">
        <v>27</v>
      </c>
      <c r="D478">
        <v>47.6</v>
      </c>
      <c r="E478">
        <v>22</v>
      </c>
      <c r="F478">
        <v>31.3</v>
      </c>
      <c r="G478">
        <v>2.2000000000000002</v>
      </c>
      <c r="H478">
        <v>1.5</v>
      </c>
      <c r="I478">
        <v>0</v>
      </c>
      <c r="J478">
        <v>0</v>
      </c>
      <c r="K478">
        <v>0</v>
      </c>
      <c r="L478">
        <v>0</v>
      </c>
      <c r="M478">
        <v>0</v>
      </c>
      <c r="N478">
        <v>31541</v>
      </c>
      <c r="O478">
        <v>86509</v>
      </c>
      <c r="P478">
        <v>44696</v>
      </c>
      <c r="Q478">
        <v>15</v>
      </c>
      <c r="R478">
        <v>19</v>
      </c>
      <c r="S478">
        <v>14</v>
      </c>
      <c r="T478">
        <v>12</v>
      </c>
      <c r="U478">
        <v>17</v>
      </c>
    </row>
    <row r="479" spans="1:21" x14ac:dyDescent="0.35">
      <c r="A479" t="s">
        <v>28</v>
      </c>
      <c r="B479" s="1">
        <v>44611</v>
      </c>
      <c r="C479" t="s">
        <v>27</v>
      </c>
      <c r="D479">
        <v>99.1</v>
      </c>
      <c r="E479">
        <v>43.9</v>
      </c>
      <c r="F479">
        <v>62.6</v>
      </c>
      <c r="G479">
        <v>2.2999999999999998</v>
      </c>
      <c r="H479">
        <v>1.6</v>
      </c>
      <c r="I479">
        <v>0</v>
      </c>
      <c r="J479">
        <v>0</v>
      </c>
      <c r="K479">
        <v>0</v>
      </c>
      <c r="L479">
        <v>0</v>
      </c>
      <c r="M479">
        <v>0</v>
      </c>
      <c r="N479">
        <v>40355</v>
      </c>
      <c r="O479">
        <v>95758</v>
      </c>
      <c r="P479">
        <v>23968</v>
      </c>
      <c r="Q479">
        <v>40</v>
      </c>
      <c r="R479">
        <v>42</v>
      </c>
      <c r="S479">
        <v>15</v>
      </c>
      <c r="T479">
        <v>12</v>
      </c>
      <c r="U479">
        <v>17</v>
      </c>
    </row>
    <row r="480" spans="1:21" x14ac:dyDescent="0.35">
      <c r="A480" t="s">
        <v>21</v>
      </c>
      <c r="B480" s="1">
        <v>44485</v>
      </c>
      <c r="C480" t="s">
        <v>22</v>
      </c>
      <c r="D480">
        <v>2</v>
      </c>
      <c r="E480">
        <v>0.3</v>
      </c>
      <c r="F480">
        <v>0</v>
      </c>
      <c r="G480">
        <v>6.7</v>
      </c>
      <c r="H480">
        <v>0</v>
      </c>
      <c r="I480">
        <v>2.9</v>
      </c>
      <c r="J480">
        <v>0.2</v>
      </c>
      <c r="K480">
        <v>0</v>
      </c>
      <c r="L480">
        <v>15</v>
      </c>
      <c r="M480">
        <v>0</v>
      </c>
      <c r="N480">
        <v>987934</v>
      </c>
      <c r="O480">
        <v>1507974</v>
      </c>
      <c r="P480">
        <v>0</v>
      </c>
      <c r="Q480">
        <v>20</v>
      </c>
      <c r="R480">
        <v>4</v>
      </c>
      <c r="S480">
        <v>0</v>
      </c>
      <c r="T480">
        <v>999</v>
      </c>
      <c r="U480">
        <v>999</v>
      </c>
    </row>
    <row r="481" spans="1:21" x14ac:dyDescent="0.35">
      <c r="A481" t="s">
        <v>26</v>
      </c>
      <c r="B481" s="1">
        <v>45220</v>
      </c>
      <c r="C481" t="s">
        <v>24</v>
      </c>
      <c r="D481">
        <v>0</v>
      </c>
      <c r="E481">
        <v>0</v>
      </c>
      <c r="F481">
        <v>0</v>
      </c>
      <c r="G481">
        <v>0</v>
      </c>
      <c r="H481">
        <v>0</v>
      </c>
      <c r="I481">
        <v>0</v>
      </c>
      <c r="J481">
        <v>0</v>
      </c>
      <c r="K481">
        <v>0</v>
      </c>
      <c r="L481">
        <v>0</v>
      </c>
      <c r="M481">
        <v>0</v>
      </c>
      <c r="N481">
        <v>89096</v>
      </c>
      <c r="O481">
        <v>82596</v>
      </c>
      <c r="P481">
        <v>21371</v>
      </c>
      <c r="Q481">
        <v>0</v>
      </c>
      <c r="R481">
        <v>0</v>
      </c>
      <c r="S481">
        <v>0</v>
      </c>
      <c r="T481">
        <v>5</v>
      </c>
      <c r="U481">
        <v>11</v>
      </c>
    </row>
    <row r="482" spans="1:21" x14ac:dyDescent="0.35">
      <c r="A482" t="s">
        <v>21</v>
      </c>
      <c r="B482" s="1">
        <v>45108</v>
      </c>
      <c r="C482" t="s">
        <v>27</v>
      </c>
      <c r="D482">
        <v>0</v>
      </c>
      <c r="E482">
        <v>0</v>
      </c>
      <c r="F482">
        <v>0</v>
      </c>
      <c r="G482">
        <v>0</v>
      </c>
      <c r="H482">
        <v>0</v>
      </c>
      <c r="I482">
        <v>0</v>
      </c>
      <c r="J482">
        <v>0</v>
      </c>
      <c r="K482">
        <v>0</v>
      </c>
      <c r="L482">
        <v>0</v>
      </c>
      <c r="M482">
        <v>0</v>
      </c>
      <c r="N482">
        <v>33600</v>
      </c>
      <c r="O482">
        <v>86240</v>
      </c>
      <c r="P482">
        <v>44537</v>
      </c>
      <c r="Q482">
        <v>0</v>
      </c>
      <c r="R482">
        <v>0</v>
      </c>
      <c r="S482">
        <v>0</v>
      </c>
      <c r="T482">
        <v>12</v>
      </c>
      <c r="U482">
        <v>17</v>
      </c>
    </row>
    <row r="483" spans="1:21" x14ac:dyDescent="0.35">
      <c r="A483" t="s">
        <v>28</v>
      </c>
      <c r="B483" s="1">
        <v>45199</v>
      </c>
      <c r="C483" t="s">
        <v>30</v>
      </c>
      <c r="D483">
        <v>45.1</v>
      </c>
      <c r="E483">
        <v>87.9</v>
      </c>
      <c r="F483">
        <v>101.8</v>
      </c>
      <c r="G483">
        <v>0.5</v>
      </c>
      <c r="H483">
        <v>0.4</v>
      </c>
      <c r="I483">
        <v>0</v>
      </c>
      <c r="J483">
        <v>0</v>
      </c>
      <c r="K483">
        <v>0</v>
      </c>
      <c r="L483">
        <v>0</v>
      </c>
      <c r="M483">
        <v>0</v>
      </c>
      <c r="N483">
        <v>24398</v>
      </c>
      <c r="O483">
        <v>11382</v>
      </c>
      <c r="P483">
        <v>47134</v>
      </c>
      <c r="Q483">
        <v>11</v>
      </c>
      <c r="R483">
        <v>10</v>
      </c>
      <c r="S483">
        <v>48</v>
      </c>
      <c r="T483">
        <v>80</v>
      </c>
      <c r="U483">
        <v>200</v>
      </c>
    </row>
    <row r="484" spans="1:21" x14ac:dyDescent="0.35">
      <c r="A484" t="s">
        <v>26</v>
      </c>
      <c r="B484" s="1">
        <v>44912</v>
      </c>
      <c r="C484" t="s">
        <v>24</v>
      </c>
      <c r="D484">
        <v>1.1000000000000001</v>
      </c>
      <c r="E484">
        <v>0</v>
      </c>
      <c r="F484">
        <v>0</v>
      </c>
      <c r="G484">
        <v>0</v>
      </c>
      <c r="H484">
        <v>0</v>
      </c>
      <c r="I484">
        <v>0</v>
      </c>
      <c r="J484">
        <v>0</v>
      </c>
      <c r="K484">
        <v>0</v>
      </c>
      <c r="L484">
        <v>0</v>
      </c>
      <c r="M484">
        <v>0</v>
      </c>
      <c r="N484">
        <v>92628</v>
      </c>
      <c r="O484">
        <v>81328</v>
      </c>
      <c r="P484">
        <v>21134</v>
      </c>
      <c r="Q484">
        <v>1</v>
      </c>
      <c r="R484">
        <v>0</v>
      </c>
      <c r="S484">
        <v>0</v>
      </c>
      <c r="T484">
        <v>5</v>
      </c>
      <c r="U484">
        <v>11</v>
      </c>
    </row>
    <row r="485" spans="1:21" x14ac:dyDescent="0.35">
      <c r="A485" t="s">
        <v>21</v>
      </c>
      <c r="B485" s="1">
        <v>45027</v>
      </c>
      <c r="C485" t="s">
        <v>23</v>
      </c>
      <c r="D485">
        <v>0</v>
      </c>
      <c r="E485">
        <v>0</v>
      </c>
      <c r="F485">
        <v>0</v>
      </c>
      <c r="G485">
        <v>0</v>
      </c>
      <c r="H485">
        <v>0</v>
      </c>
      <c r="I485">
        <v>0</v>
      </c>
      <c r="J485">
        <v>0</v>
      </c>
      <c r="K485">
        <v>0</v>
      </c>
      <c r="L485">
        <v>0</v>
      </c>
      <c r="M485">
        <v>0</v>
      </c>
      <c r="N485">
        <v>30620</v>
      </c>
      <c r="O485">
        <v>125775</v>
      </c>
      <c r="P485">
        <v>247617</v>
      </c>
      <c r="Q485">
        <v>0</v>
      </c>
      <c r="R485">
        <v>0</v>
      </c>
      <c r="S485">
        <v>0</v>
      </c>
      <c r="T485">
        <v>50</v>
      </c>
      <c r="U485">
        <v>64</v>
      </c>
    </row>
    <row r="486" spans="1:21" x14ac:dyDescent="0.35">
      <c r="A486" t="s">
        <v>26</v>
      </c>
      <c r="B486" s="1">
        <v>44536</v>
      </c>
      <c r="C486" t="s">
        <v>22</v>
      </c>
      <c r="D486">
        <v>5.9</v>
      </c>
      <c r="E486">
        <v>0.8</v>
      </c>
      <c r="F486">
        <v>0</v>
      </c>
      <c r="G486">
        <v>7.4</v>
      </c>
      <c r="H486">
        <v>0</v>
      </c>
      <c r="I486">
        <v>7.9</v>
      </c>
      <c r="J486">
        <v>0.6</v>
      </c>
      <c r="K486">
        <v>0</v>
      </c>
      <c r="L486">
        <v>14.2</v>
      </c>
      <c r="M486">
        <v>0</v>
      </c>
      <c r="N486">
        <v>1257017</v>
      </c>
      <c r="O486">
        <v>1201445</v>
      </c>
      <c r="P486">
        <v>0</v>
      </c>
      <c r="Q486">
        <v>74</v>
      </c>
      <c r="R486">
        <v>10</v>
      </c>
      <c r="S486">
        <v>0</v>
      </c>
      <c r="T486">
        <v>999</v>
      </c>
      <c r="U486">
        <v>999</v>
      </c>
    </row>
    <row r="487" spans="1:21" x14ac:dyDescent="0.35">
      <c r="A487" t="s">
        <v>28</v>
      </c>
      <c r="B487" s="1">
        <v>44485</v>
      </c>
      <c r="C487" t="s">
        <v>22</v>
      </c>
      <c r="D487">
        <v>125.4</v>
      </c>
      <c r="E487">
        <v>50.5</v>
      </c>
      <c r="F487">
        <v>0</v>
      </c>
      <c r="G487">
        <v>2.5</v>
      </c>
      <c r="H487">
        <v>0</v>
      </c>
      <c r="I487">
        <v>142.30000000000001</v>
      </c>
      <c r="J487">
        <v>41.3</v>
      </c>
      <c r="K487">
        <v>0</v>
      </c>
      <c r="L487">
        <v>3.4</v>
      </c>
      <c r="M487">
        <v>0</v>
      </c>
      <c r="N487">
        <v>987934</v>
      </c>
      <c r="O487">
        <v>1507974</v>
      </c>
      <c r="P487">
        <v>0</v>
      </c>
      <c r="Q487">
        <v>1239</v>
      </c>
      <c r="R487">
        <v>761</v>
      </c>
      <c r="S487">
        <v>0</v>
      </c>
      <c r="T487">
        <v>999</v>
      </c>
      <c r="U487">
        <v>999</v>
      </c>
    </row>
    <row r="488" spans="1:21" x14ac:dyDescent="0.35">
      <c r="A488" t="s">
        <v>21</v>
      </c>
      <c r="B488" s="1">
        <v>44891</v>
      </c>
      <c r="C488" t="s">
        <v>30</v>
      </c>
      <c r="D488">
        <v>8</v>
      </c>
      <c r="E488">
        <v>0</v>
      </c>
      <c r="F488">
        <v>2.1</v>
      </c>
      <c r="G488">
        <v>0</v>
      </c>
      <c r="H488">
        <v>3.8</v>
      </c>
      <c r="I488">
        <v>0</v>
      </c>
      <c r="J488">
        <v>0</v>
      </c>
      <c r="K488">
        <v>0</v>
      </c>
      <c r="L488">
        <v>0</v>
      </c>
      <c r="M488">
        <v>0</v>
      </c>
      <c r="N488">
        <v>25033</v>
      </c>
      <c r="O488">
        <v>11373</v>
      </c>
      <c r="P488">
        <v>47096</v>
      </c>
      <c r="Q488">
        <v>2</v>
      </c>
      <c r="R488">
        <v>0</v>
      </c>
      <c r="S488">
        <v>1</v>
      </c>
      <c r="T488">
        <v>80</v>
      </c>
      <c r="U488">
        <v>200</v>
      </c>
    </row>
    <row r="489" spans="1:21" x14ac:dyDescent="0.35">
      <c r="A489" t="s">
        <v>21</v>
      </c>
      <c r="B489" s="1">
        <v>44709</v>
      </c>
      <c r="C489" t="s">
        <v>27</v>
      </c>
      <c r="D489">
        <v>0</v>
      </c>
      <c r="E489">
        <v>0</v>
      </c>
      <c r="F489">
        <v>0</v>
      </c>
      <c r="G489">
        <v>0</v>
      </c>
      <c r="H489">
        <v>0</v>
      </c>
      <c r="I489">
        <v>0</v>
      </c>
      <c r="J489">
        <v>0</v>
      </c>
      <c r="K489">
        <v>0</v>
      </c>
      <c r="L489">
        <v>0</v>
      </c>
      <c r="M489">
        <v>0</v>
      </c>
      <c r="N489">
        <v>37034</v>
      </c>
      <c r="O489">
        <v>93497</v>
      </c>
      <c r="P489">
        <v>34850</v>
      </c>
      <c r="Q489">
        <v>0</v>
      </c>
      <c r="R489">
        <v>0</v>
      </c>
      <c r="S489">
        <v>0</v>
      </c>
      <c r="T489">
        <v>12</v>
      </c>
      <c r="U489">
        <v>17</v>
      </c>
    </row>
    <row r="490" spans="1:21" x14ac:dyDescent="0.35">
      <c r="A490" t="s">
        <v>28</v>
      </c>
      <c r="B490" s="1">
        <v>45117</v>
      </c>
      <c r="C490" t="s">
        <v>25</v>
      </c>
      <c r="D490">
        <v>41.7</v>
      </c>
      <c r="E490">
        <v>11.7</v>
      </c>
      <c r="F490">
        <v>16.7</v>
      </c>
      <c r="G490">
        <v>3.6</v>
      </c>
      <c r="H490">
        <v>2.5</v>
      </c>
      <c r="I490">
        <v>0</v>
      </c>
      <c r="J490">
        <v>0</v>
      </c>
      <c r="K490">
        <v>0</v>
      </c>
      <c r="L490">
        <v>0</v>
      </c>
      <c r="M490">
        <v>0</v>
      </c>
      <c r="N490">
        <v>71968</v>
      </c>
      <c r="O490">
        <v>214276</v>
      </c>
      <c r="P490">
        <v>161803</v>
      </c>
      <c r="Q490">
        <v>30</v>
      </c>
      <c r="R490">
        <v>25</v>
      </c>
      <c r="S490">
        <v>27</v>
      </c>
      <c r="T490">
        <v>18</v>
      </c>
      <c r="U490">
        <v>29</v>
      </c>
    </row>
    <row r="491" spans="1:21" x14ac:dyDescent="0.35">
      <c r="A491" t="s">
        <v>21</v>
      </c>
      <c r="B491" s="1">
        <v>44774</v>
      </c>
      <c r="C491" t="s">
        <v>24</v>
      </c>
      <c r="D491">
        <v>0</v>
      </c>
      <c r="E491">
        <v>0</v>
      </c>
      <c r="F491">
        <v>0</v>
      </c>
      <c r="G491">
        <v>0</v>
      </c>
      <c r="H491">
        <v>0</v>
      </c>
      <c r="I491">
        <v>0</v>
      </c>
      <c r="J491">
        <v>0</v>
      </c>
      <c r="K491">
        <v>0</v>
      </c>
      <c r="L491">
        <v>0</v>
      </c>
      <c r="M491">
        <v>0</v>
      </c>
      <c r="N491">
        <v>132228</v>
      </c>
      <c r="O491">
        <v>46476</v>
      </c>
      <c r="P491">
        <v>0</v>
      </c>
      <c r="Q491">
        <v>0</v>
      </c>
      <c r="R491">
        <v>0</v>
      </c>
      <c r="S491">
        <v>0</v>
      </c>
      <c r="T491">
        <v>5</v>
      </c>
      <c r="U491">
        <v>11</v>
      </c>
    </row>
    <row r="492" spans="1:21" x14ac:dyDescent="0.35">
      <c r="A492" t="s">
        <v>26</v>
      </c>
      <c r="B492" s="1">
        <v>44786</v>
      </c>
      <c r="C492" t="s">
        <v>23</v>
      </c>
      <c r="D492">
        <v>41.8</v>
      </c>
      <c r="E492">
        <v>15.8</v>
      </c>
      <c r="F492">
        <v>10.199999999999999</v>
      </c>
      <c r="G492">
        <v>2.6</v>
      </c>
      <c r="H492">
        <v>4.0999999999999996</v>
      </c>
      <c r="I492">
        <v>0</v>
      </c>
      <c r="J492">
        <v>0</v>
      </c>
      <c r="K492">
        <v>0</v>
      </c>
      <c r="L492">
        <v>0</v>
      </c>
      <c r="M492">
        <v>0</v>
      </c>
      <c r="N492">
        <v>40677</v>
      </c>
      <c r="O492">
        <v>126700</v>
      </c>
      <c r="P492">
        <v>244360</v>
      </c>
      <c r="Q492">
        <v>17</v>
      </c>
      <c r="R492">
        <v>20</v>
      </c>
      <c r="S492">
        <v>25</v>
      </c>
      <c r="T492">
        <v>50</v>
      </c>
      <c r="U492">
        <v>64</v>
      </c>
    </row>
    <row r="493" spans="1:21" x14ac:dyDescent="0.35">
      <c r="A493" t="s">
        <v>21</v>
      </c>
      <c r="B493" s="1">
        <v>45045</v>
      </c>
      <c r="C493" t="s">
        <v>31</v>
      </c>
      <c r="D493">
        <v>0</v>
      </c>
      <c r="E493">
        <v>0</v>
      </c>
      <c r="F493">
        <v>0</v>
      </c>
      <c r="G493">
        <v>0</v>
      </c>
      <c r="H493">
        <v>0</v>
      </c>
      <c r="I493">
        <v>0</v>
      </c>
      <c r="J493">
        <v>0</v>
      </c>
      <c r="K493">
        <v>0</v>
      </c>
      <c r="L493">
        <v>0</v>
      </c>
      <c r="M493">
        <v>0</v>
      </c>
      <c r="N493">
        <v>39684</v>
      </c>
      <c r="O493">
        <v>43437</v>
      </c>
      <c r="P493">
        <v>171725</v>
      </c>
      <c r="Q493">
        <v>0</v>
      </c>
      <c r="R493">
        <v>0</v>
      </c>
      <c r="S493">
        <v>0</v>
      </c>
      <c r="T493">
        <v>65</v>
      </c>
      <c r="U493">
        <v>79</v>
      </c>
    </row>
    <row r="494" spans="1:21" x14ac:dyDescent="0.35">
      <c r="A494" t="s">
        <v>21</v>
      </c>
      <c r="B494" s="1">
        <v>44758</v>
      </c>
      <c r="C494" t="s">
        <v>32</v>
      </c>
      <c r="D494">
        <v>0</v>
      </c>
      <c r="E494">
        <v>0</v>
      </c>
      <c r="F494">
        <v>0</v>
      </c>
      <c r="G494">
        <v>0</v>
      </c>
      <c r="H494">
        <v>0</v>
      </c>
      <c r="I494">
        <v>0</v>
      </c>
      <c r="J494">
        <v>0</v>
      </c>
      <c r="K494">
        <v>0</v>
      </c>
      <c r="L494">
        <v>0</v>
      </c>
      <c r="M494">
        <v>0</v>
      </c>
      <c r="N494">
        <v>162642</v>
      </c>
      <c r="O494">
        <v>0</v>
      </c>
      <c r="P494">
        <v>0</v>
      </c>
      <c r="Q494">
        <v>0</v>
      </c>
      <c r="R494">
        <v>0</v>
      </c>
      <c r="S494">
        <v>0</v>
      </c>
      <c r="T494">
        <v>0</v>
      </c>
      <c r="U494">
        <v>4</v>
      </c>
    </row>
    <row r="495" spans="1:21" x14ac:dyDescent="0.35">
      <c r="A495" t="s">
        <v>26</v>
      </c>
      <c r="B495" s="1">
        <v>44385</v>
      </c>
      <c r="C495" t="s">
        <v>25</v>
      </c>
      <c r="D495">
        <v>8.3000000000000007</v>
      </c>
      <c r="E495">
        <v>1.4</v>
      </c>
      <c r="F495">
        <v>0</v>
      </c>
      <c r="G495">
        <v>5.9</v>
      </c>
      <c r="H495">
        <v>0</v>
      </c>
      <c r="I495">
        <v>0</v>
      </c>
      <c r="J495">
        <v>0</v>
      </c>
      <c r="K495">
        <v>0</v>
      </c>
      <c r="L495">
        <v>0</v>
      </c>
      <c r="M495">
        <v>0</v>
      </c>
      <c r="N495">
        <v>206013</v>
      </c>
      <c r="O495">
        <v>282729</v>
      </c>
      <c r="P495">
        <v>0</v>
      </c>
      <c r="Q495">
        <v>17</v>
      </c>
      <c r="R495">
        <v>4</v>
      </c>
      <c r="S495">
        <v>0</v>
      </c>
      <c r="T495">
        <v>18</v>
      </c>
      <c r="U495">
        <v>29</v>
      </c>
    </row>
    <row r="496" spans="1:21" x14ac:dyDescent="0.35">
      <c r="A496" t="s">
        <v>28</v>
      </c>
      <c r="B496" s="1">
        <v>44808</v>
      </c>
      <c r="C496" t="s">
        <v>24</v>
      </c>
      <c r="D496">
        <v>79.599999999999994</v>
      </c>
      <c r="E496">
        <v>233.1</v>
      </c>
      <c r="F496">
        <v>0</v>
      </c>
      <c r="G496">
        <v>0.3</v>
      </c>
      <c r="H496">
        <v>0</v>
      </c>
      <c r="I496">
        <v>0</v>
      </c>
      <c r="J496">
        <v>0</v>
      </c>
      <c r="K496">
        <v>0</v>
      </c>
      <c r="L496">
        <v>0</v>
      </c>
      <c r="M496">
        <v>0</v>
      </c>
      <c r="N496">
        <v>103071</v>
      </c>
      <c r="O496">
        <v>91818</v>
      </c>
      <c r="P496">
        <v>0</v>
      </c>
      <c r="Q496">
        <v>82</v>
      </c>
      <c r="R496">
        <v>214</v>
      </c>
      <c r="S496">
        <v>0</v>
      </c>
      <c r="T496">
        <v>5</v>
      </c>
      <c r="U496">
        <v>11</v>
      </c>
    </row>
    <row r="497" spans="1:21" x14ac:dyDescent="0.35">
      <c r="A497" t="s">
        <v>26</v>
      </c>
      <c r="B497" s="1">
        <v>44590</v>
      </c>
      <c r="C497" t="s">
        <v>23</v>
      </c>
      <c r="D497">
        <v>86.5</v>
      </c>
      <c r="E497">
        <v>15.7</v>
      </c>
      <c r="F497">
        <v>10.9</v>
      </c>
      <c r="G497">
        <v>5.5</v>
      </c>
      <c r="H497">
        <v>7.9</v>
      </c>
      <c r="I497">
        <v>0</v>
      </c>
      <c r="J497">
        <v>0</v>
      </c>
      <c r="K497">
        <v>0</v>
      </c>
      <c r="L497">
        <v>0</v>
      </c>
      <c r="M497">
        <v>0</v>
      </c>
      <c r="N497">
        <v>49696</v>
      </c>
      <c r="O497">
        <v>165132</v>
      </c>
      <c r="P497">
        <v>193153</v>
      </c>
      <c r="Q497">
        <v>43</v>
      </c>
      <c r="R497">
        <v>26</v>
      </c>
      <c r="S497">
        <v>21</v>
      </c>
      <c r="T497">
        <v>50</v>
      </c>
      <c r="U497">
        <v>64</v>
      </c>
    </row>
    <row r="498" spans="1:21" x14ac:dyDescent="0.35">
      <c r="A498" t="s">
        <v>28</v>
      </c>
      <c r="B498" s="1">
        <v>44413</v>
      </c>
      <c r="C498" t="s">
        <v>30</v>
      </c>
      <c r="D498">
        <v>107.5</v>
      </c>
      <c r="E498">
        <v>13.6</v>
      </c>
      <c r="F498">
        <v>0</v>
      </c>
      <c r="G498">
        <v>7.9</v>
      </c>
      <c r="H498">
        <v>0</v>
      </c>
      <c r="I498">
        <v>0</v>
      </c>
      <c r="J498">
        <v>0</v>
      </c>
      <c r="K498">
        <v>0</v>
      </c>
      <c r="L498">
        <v>0</v>
      </c>
      <c r="M498">
        <v>0</v>
      </c>
      <c r="N498">
        <v>36289</v>
      </c>
      <c r="O498">
        <v>44240</v>
      </c>
      <c r="P498">
        <v>0</v>
      </c>
      <c r="Q498">
        <v>39</v>
      </c>
      <c r="R498">
        <v>6</v>
      </c>
      <c r="S498">
        <v>0</v>
      </c>
      <c r="T498">
        <v>80</v>
      </c>
      <c r="U498">
        <v>200</v>
      </c>
    </row>
    <row r="499" spans="1:21" x14ac:dyDescent="0.35">
      <c r="A499" t="s">
        <v>26</v>
      </c>
      <c r="B499" s="1">
        <v>44898</v>
      </c>
      <c r="C499" t="s">
        <v>25</v>
      </c>
      <c r="D499">
        <v>1</v>
      </c>
      <c r="E499">
        <v>0.5</v>
      </c>
      <c r="F499">
        <v>0.7</v>
      </c>
      <c r="G499">
        <v>2</v>
      </c>
      <c r="H499">
        <v>1.4</v>
      </c>
      <c r="I499">
        <v>0</v>
      </c>
      <c r="J499">
        <v>0</v>
      </c>
      <c r="K499">
        <v>0</v>
      </c>
      <c r="L499">
        <v>0</v>
      </c>
      <c r="M499">
        <v>0</v>
      </c>
      <c r="N499">
        <v>100487</v>
      </c>
      <c r="O499">
        <v>221043</v>
      </c>
      <c r="P499">
        <v>142046</v>
      </c>
      <c r="Q499">
        <v>1</v>
      </c>
      <c r="R499">
        <v>1</v>
      </c>
      <c r="S499">
        <v>1</v>
      </c>
      <c r="T499">
        <v>18</v>
      </c>
      <c r="U499">
        <v>29</v>
      </c>
    </row>
    <row r="500" spans="1:21" x14ac:dyDescent="0.35">
      <c r="A500" t="s">
        <v>21</v>
      </c>
      <c r="B500" s="1">
        <v>45094</v>
      </c>
      <c r="C500" t="s">
        <v>25</v>
      </c>
      <c r="D500">
        <v>0</v>
      </c>
      <c r="E500">
        <v>0</v>
      </c>
      <c r="F500">
        <v>0</v>
      </c>
      <c r="G500">
        <v>0</v>
      </c>
      <c r="H500">
        <v>0</v>
      </c>
      <c r="I500">
        <v>0</v>
      </c>
      <c r="J500">
        <v>0</v>
      </c>
      <c r="K500">
        <v>0</v>
      </c>
      <c r="L500">
        <v>0</v>
      </c>
      <c r="M500">
        <v>0</v>
      </c>
      <c r="N500">
        <v>74493</v>
      </c>
      <c r="O500">
        <v>214135</v>
      </c>
      <c r="P500">
        <v>161700</v>
      </c>
      <c r="Q500">
        <v>0</v>
      </c>
      <c r="R500">
        <v>0</v>
      </c>
      <c r="S500">
        <v>0</v>
      </c>
      <c r="T500">
        <v>18</v>
      </c>
      <c r="U500">
        <v>29</v>
      </c>
    </row>
    <row r="501" spans="1:21" x14ac:dyDescent="0.35">
      <c r="A501" t="s">
        <v>28</v>
      </c>
      <c r="B501" s="1">
        <v>44536</v>
      </c>
      <c r="C501" t="s">
        <v>25</v>
      </c>
      <c r="D501">
        <v>38</v>
      </c>
      <c r="E501">
        <v>3.8</v>
      </c>
      <c r="F501">
        <v>0</v>
      </c>
      <c r="G501">
        <v>10</v>
      </c>
      <c r="H501">
        <v>0</v>
      </c>
      <c r="I501">
        <v>0</v>
      </c>
      <c r="J501">
        <v>0</v>
      </c>
      <c r="K501">
        <v>0</v>
      </c>
      <c r="L501">
        <v>0</v>
      </c>
      <c r="M501">
        <v>0</v>
      </c>
      <c r="N501">
        <v>236542</v>
      </c>
      <c r="O501">
        <v>236566</v>
      </c>
      <c r="P501">
        <v>0</v>
      </c>
      <c r="Q501">
        <v>90</v>
      </c>
      <c r="R501">
        <v>9</v>
      </c>
      <c r="S501">
        <v>0</v>
      </c>
      <c r="T501">
        <v>18</v>
      </c>
      <c r="U501">
        <v>29</v>
      </c>
    </row>
    <row r="502" spans="1:21" x14ac:dyDescent="0.35">
      <c r="A502" t="s">
        <v>26</v>
      </c>
      <c r="B502" s="1">
        <v>45248</v>
      </c>
      <c r="C502" t="s">
        <v>27</v>
      </c>
      <c r="D502">
        <v>0</v>
      </c>
      <c r="E502">
        <v>0</v>
      </c>
      <c r="F502">
        <v>0</v>
      </c>
      <c r="G502">
        <v>0</v>
      </c>
      <c r="H502">
        <v>0</v>
      </c>
      <c r="I502">
        <v>0</v>
      </c>
      <c r="J502">
        <v>0</v>
      </c>
      <c r="K502">
        <v>0</v>
      </c>
      <c r="L502">
        <v>0</v>
      </c>
      <c r="M502">
        <v>0</v>
      </c>
      <c r="N502">
        <v>31480</v>
      </c>
      <c r="O502">
        <v>86496</v>
      </c>
      <c r="P502">
        <v>44716</v>
      </c>
      <c r="Q502">
        <v>0</v>
      </c>
      <c r="R502">
        <v>0</v>
      </c>
      <c r="S502">
        <v>0</v>
      </c>
      <c r="T502">
        <v>12</v>
      </c>
      <c r="U502">
        <v>17</v>
      </c>
    </row>
    <row r="503" spans="1:21" x14ac:dyDescent="0.35">
      <c r="A503" t="s">
        <v>26</v>
      </c>
      <c r="B503" s="1">
        <v>44201</v>
      </c>
      <c r="C503" t="s">
        <v>23</v>
      </c>
      <c r="D503">
        <v>61.8</v>
      </c>
      <c r="E503">
        <v>2.4</v>
      </c>
      <c r="F503">
        <v>0</v>
      </c>
      <c r="G503">
        <v>25.8</v>
      </c>
      <c r="H503">
        <v>0</v>
      </c>
      <c r="I503">
        <v>0</v>
      </c>
      <c r="J503">
        <v>0</v>
      </c>
      <c r="K503">
        <v>0</v>
      </c>
      <c r="L503">
        <v>0</v>
      </c>
      <c r="M503">
        <v>0</v>
      </c>
      <c r="N503">
        <v>155412</v>
      </c>
      <c r="O503">
        <v>166702</v>
      </c>
      <c r="P503">
        <v>0</v>
      </c>
      <c r="Q503">
        <v>96</v>
      </c>
      <c r="R503">
        <v>4</v>
      </c>
      <c r="S503">
        <v>0</v>
      </c>
      <c r="T503">
        <v>50</v>
      </c>
      <c r="U503">
        <v>64</v>
      </c>
    </row>
    <row r="504" spans="1:21" x14ac:dyDescent="0.35">
      <c r="A504" t="s">
        <v>28</v>
      </c>
      <c r="B504" s="1">
        <v>44702</v>
      </c>
      <c r="C504" t="s">
        <v>30</v>
      </c>
      <c r="D504">
        <v>142.4</v>
      </c>
      <c r="E504">
        <v>186.1</v>
      </c>
      <c r="F504">
        <v>276.60000000000002</v>
      </c>
      <c r="G504">
        <v>0.8</v>
      </c>
      <c r="H504">
        <v>0.5</v>
      </c>
      <c r="I504">
        <v>0</v>
      </c>
      <c r="J504">
        <v>0</v>
      </c>
      <c r="K504">
        <v>0</v>
      </c>
      <c r="L504">
        <v>0</v>
      </c>
      <c r="M504">
        <v>0</v>
      </c>
      <c r="N504">
        <v>26685</v>
      </c>
      <c r="O504">
        <v>12893</v>
      </c>
      <c r="P504">
        <v>44830</v>
      </c>
      <c r="Q504">
        <v>38</v>
      </c>
      <c r="R504">
        <v>24</v>
      </c>
      <c r="S504">
        <v>124</v>
      </c>
      <c r="T504">
        <v>80</v>
      </c>
      <c r="U504">
        <v>200</v>
      </c>
    </row>
    <row r="505" spans="1:21" x14ac:dyDescent="0.35">
      <c r="A505" t="s">
        <v>26</v>
      </c>
      <c r="B505" s="1">
        <v>44800</v>
      </c>
      <c r="C505" t="s">
        <v>25</v>
      </c>
      <c r="D505">
        <v>12.1</v>
      </c>
      <c r="E505">
        <v>1.9</v>
      </c>
      <c r="F505">
        <v>1.9</v>
      </c>
      <c r="G505">
        <v>6.4</v>
      </c>
      <c r="H505">
        <v>6.4</v>
      </c>
      <c r="I505">
        <v>0</v>
      </c>
      <c r="J505">
        <v>0</v>
      </c>
      <c r="K505">
        <v>0</v>
      </c>
      <c r="L505">
        <v>0</v>
      </c>
      <c r="M505">
        <v>0</v>
      </c>
      <c r="N505">
        <v>91147</v>
      </c>
      <c r="O505">
        <v>211921</v>
      </c>
      <c r="P505">
        <v>160373</v>
      </c>
      <c r="Q505">
        <v>11</v>
      </c>
      <c r="R505">
        <v>4</v>
      </c>
      <c r="S505">
        <v>3</v>
      </c>
      <c r="T505">
        <v>18</v>
      </c>
      <c r="U505">
        <v>29</v>
      </c>
    </row>
    <row r="506" spans="1:21" x14ac:dyDescent="0.35">
      <c r="A506" t="s">
        <v>28</v>
      </c>
      <c r="B506" s="1">
        <v>45117</v>
      </c>
      <c r="C506" t="s">
        <v>22</v>
      </c>
      <c r="D506">
        <v>34.5</v>
      </c>
      <c r="E506">
        <v>15.3</v>
      </c>
      <c r="F506">
        <v>31.5</v>
      </c>
      <c r="G506">
        <v>2.2999999999999998</v>
      </c>
      <c r="H506">
        <v>1.1000000000000001</v>
      </c>
      <c r="I506">
        <v>38.5</v>
      </c>
      <c r="J506">
        <v>16.100000000000001</v>
      </c>
      <c r="K506">
        <v>24.4</v>
      </c>
      <c r="L506">
        <v>2.4</v>
      </c>
      <c r="M506">
        <v>1.6</v>
      </c>
      <c r="N506">
        <v>522040</v>
      </c>
      <c r="O506">
        <v>860669</v>
      </c>
      <c r="P506">
        <v>1041205</v>
      </c>
      <c r="Q506">
        <v>180</v>
      </c>
      <c r="R506">
        <v>132</v>
      </c>
      <c r="S506">
        <v>328</v>
      </c>
      <c r="T506">
        <v>999</v>
      </c>
      <c r="U506">
        <v>999</v>
      </c>
    </row>
    <row r="507" spans="1:21" x14ac:dyDescent="0.35">
      <c r="A507" t="s">
        <v>26</v>
      </c>
      <c r="B507" s="1">
        <v>44772</v>
      </c>
      <c r="C507" t="s">
        <v>23</v>
      </c>
      <c r="D507">
        <v>43.8</v>
      </c>
      <c r="E507">
        <v>9.4</v>
      </c>
      <c r="F507">
        <v>7</v>
      </c>
      <c r="G507">
        <v>4.7</v>
      </c>
      <c r="H507">
        <v>6.3</v>
      </c>
      <c r="I507">
        <v>0</v>
      </c>
      <c r="J507">
        <v>0</v>
      </c>
      <c r="K507">
        <v>0</v>
      </c>
      <c r="L507">
        <v>0</v>
      </c>
      <c r="M507">
        <v>0</v>
      </c>
      <c r="N507">
        <v>41078</v>
      </c>
      <c r="O507">
        <v>127792</v>
      </c>
      <c r="P507">
        <v>242873</v>
      </c>
      <c r="Q507">
        <v>18</v>
      </c>
      <c r="R507">
        <v>12</v>
      </c>
      <c r="S507">
        <v>17</v>
      </c>
      <c r="T507">
        <v>50</v>
      </c>
      <c r="U507">
        <v>64</v>
      </c>
    </row>
    <row r="508" spans="1:21" x14ac:dyDescent="0.35">
      <c r="A508" t="s">
        <v>28</v>
      </c>
      <c r="B508" s="1">
        <v>45213</v>
      </c>
      <c r="C508" t="s">
        <v>22</v>
      </c>
      <c r="D508">
        <v>36.4</v>
      </c>
      <c r="E508">
        <v>16.3</v>
      </c>
      <c r="F508">
        <v>32.200000000000003</v>
      </c>
      <c r="G508">
        <v>2.2000000000000002</v>
      </c>
      <c r="H508">
        <v>1.1000000000000001</v>
      </c>
      <c r="I508">
        <v>42.7</v>
      </c>
      <c r="J508">
        <v>17.3</v>
      </c>
      <c r="K508">
        <v>25.3</v>
      </c>
      <c r="L508">
        <v>2.5</v>
      </c>
      <c r="M508">
        <v>1.7</v>
      </c>
      <c r="N508">
        <v>519565</v>
      </c>
      <c r="O508">
        <v>861107</v>
      </c>
      <c r="P508">
        <v>1041683</v>
      </c>
      <c r="Q508">
        <v>189</v>
      </c>
      <c r="R508">
        <v>140</v>
      </c>
      <c r="S508">
        <v>335</v>
      </c>
      <c r="T508">
        <v>999</v>
      </c>
      <c r="U508">
        <v>999</v>
      </c>
    </row>
    <row r="509" spans="1:21" x14ac:dyDescent="0.35">
      <c r="A509" t="s">
        <v>21</v>
      </c>
      <c r="B509" s="1">
        <v>44966</v>
      </c>
      <c r="C509" t="s">
        <v>25</v>
      </c>
      <c r="D509">
        <v>0</v>
      </c>
      <c r="E509">
        <v>0</v>
      </c>
      <c r="F509">
        <v>0</v>
      </c>
      <c r="G509">
        <v>0</v>
      </c>
      <c r="H509">
        <v>0</v>
      </c>
      <c r="I509">
        <v>0</v>
      </c>
      <c r="J509">
        <v>0</v>
      </c>
      <c r="K509">
        <v>0</v>
      </c>
      <c r="L509">
        <v>0</v>
      </c>
      <c r="M509">
        <v>0</v>
      </c>
      <c r="N509">
        <v>73298</v>
      </c>
      <c r="O509">
        <v>214129</v>
      </c>
      <c r="P509">
        <v>161722</v>
      </c>
      <c r="Q509">
        <v>0</v>
      </c>
      <c r="R509">
        <v>0</v>
      </c>
      <c r="S509">
        <v>0</v>
      </c>
      <c r="T509">
        <v>18</v>
      </c>
      <c r="U509">
        <v>29</v>
      </c>
    </row>
    <row r="510" spans="1:21" x14ac:dyDescent="0.35">
      <c r="A510" t="s">
        <v>26</v>
      </c>
      <c r="B510" s="1">
        <v>44906</v>
      </c>
      <c r="C510" t="s">
        <v>25</v>
      </c>
      <c r="D510">
        <v>13.3</v>
      </c>
      <c r="E510">
        <v>1.9</v>
      </c>
      <c r="F510">
        <v>0.6</v>
      </c>
      <c r="G510">
        <v>7</v>
      </c>
      <c r="H510">
        <v>22.2</v>
      </c>
      <c r="I510">
        <v>0</v>
      </c>
      <c r="J510">
        <v>0</v>
      </c>
      <c r="K510">
        <v>0</v>
      </c>
      <c r="L510">
        <v>0</v>
      </c>
      <c r="M510">
        <v>0</v>
      </c>
      <c r="N510">
        <v>82776</v>
      </c>
      <c r="O510">
        <v>212328</v>
      </c>
      <c r="P510">
        <v>161549</v>
      </c>
      <c r="Q510">
        <v>11</v>
      </c>
      <c r="R510">
        <v>4</v>
      </c>
      <c r="S510">
        <v>1</v>
      </c>
      <c r="T510">
        <v>18</v>
      </c>
      <c r="U510">
        <v>29</v>
      </c>
    </row>
    <row r="511" spans="1:21" x14ac:dyDescent="0.35">
      <c r="A511" t="s">
        <v>28</v>
      </c>
      <c r="B511" s="1">
        <v>44758</v>
      </c>
      <c r="C511" t="s">
        <v>24</v>
      </c>
      <c r="D511">
        <v>104.5</v>
      </c>
      <c r="E511">
        <v>122.3</v>
      </c>
      <c r="F511">
        <v>236.3</v>
      </c>
      <c r="G511">
        <v>0.9</v>
      </c>
      <c r="H511">
        <v>0.4</v>
      </c>
      <c r="I511">
        <v>0</v>
      </c>
      <c r="J511">
        <v>0</v>
      </c>
      <c r="K511">
        <v>0</v>
      </c>
      <c r="L511">
        <v>0</v>
      </c>
      <c r="M511">
        <v>0</v>
      </c>
      <c r="N511">
        <v>98597</v>
      </c>
      <c r="O511">
        <v>88329</v>
      </c>
      <c r="P511">
        <v>8887</v>
      </c>
      <c r="Q511">
        <v>103</v>
      </c>
      <c r="R511">
        <v>108</v>
      </c>
      <c r="S511">
        <v>21</v>
      </c>
      <c r="T511">
        <v>5</v>
      </c>
      <c r="U511">
        <v>11</v>
      </c>
    </row>
    <row r="512" spans="1:21" x14ac:dyDescent="0.35">
      <c r="A512" t="s">
        <v>28</v>
      </c>
      <c r="B512" s="1">
        <v>44702</v>
      </c>
      <c r="C512" t="s">
        <v>24</v>
      </c>
      <c r="D512">
        <v>295.89999999999998</v>
      </c>
      <c r="E512">
        <v>504.4</v>
      </c>
      <c r="F512">
        <v>729.9</v>
      </c>
      <c r="G512">
        <v>0.6</v>
      </c>
      <c r="H512">
        <v>0.4</v>
      </c>
      <c r="I512">
        <v>0</v>
      </c>
      <c r="J512">
        <v>0</v>
      </c>
      <c r="K512">
        <v>0</v>
      </c>
      <c r="L512">
        <v>0</v>
      </c>
      <c r="M512">
        <v>0</v>
      </c>
      <c r="N512">
        <v>101061</v>
      </c>
      <c r="O512">
        <v>94369</v>
      </c>
      <c r="P512">
        <v>411</v>
      </c>
      <c r="Q512">
        <v>299</v>
      </c>
      <c r="R512">
        <v>476</v>
      </c>
      <c r="S512">
        <v>3</v>
      </c>
      <c r="T512">
        <v>5</v>
      </c>
      <c r="U512">
        <v>11</v>
      </c>
    </row>
    <row r="513" spans="1:21" x14ac:dyDescent="0.35">
      <c r="A513" t="s">
        <v>28</v>
      </c>
      <c r="B513" s="1">
        <v>44476</v>
      </c>
      <c r="C513" t="s">
        <v>22</v>
      </c>
      <c r="D513">
        <v>24.4</v>
      </c>
      <c r="E513">
        <v>8.8000000000000007</v>
      </c>
      <c r="F513">
        <v>0</v>
      </c>
      <c r="G513">
        <v>2.8</v>
      </c>
      <c r="H513">
        <v>0</v>
      </c>
      <c r="I513">
        <v>25.3</v>
      </c>
      <c r="J513">
        <v>7</v>
      </c>
      <c r="K513">
        <v>0</v>
      </c>
      <c r="L513">
        <v>3.6</v>
      </c>
      <c r="M513">
        <v>0</v>
      </c>
      <c r="N513">
        <v>1194853</v>
      </c>
      <c r="O513">
        <v>1348222</v>
      </c>
      <c r="P513">
        <v>0</v>
      </c>
      <c r="Q513">
        <v>292</v>
      </c>
      <c r="R513">
        <v>118</v>
      </c>
      <c r="S513">
        <v>0</v>
      </c>
      <c r="T513">
        <v>999</v>
      </c>
      <c r="U513">
        <v>999</v>
      </c>
    </row>
    <row r="514" spans="1:21" x14ac:dyDescent="0.35">
      <c r="A514" t="s">
        <v>26</v>
      </c>
      <c r="B514" s="1">
        <v>45108</v>
      </c>
      <c r="C514" t="s">
        <v>24</v>
      </c>
      <c r="D514">
        <v>1.1000000000000001</v>
      </c>
      <c r="E514">
        <v>0</v>
      </c>
      <c r="F514">
        <v>0</v>
      </c>
      <c r="G514">
        <v>0</v>
      </c>
      <c r="H514">
        <v>0</v>
      </c>
      <c r="I514">
        <v>0</v>
      </c>
      <c r="J514">
        <v>0</v>
      </c>
      <c r="K514">
        <v>0</v>
      </c>
      <c r="L514">
        <v>0</v>
      </c>
      <c r="M514">
        <v>0</v>
      </c>
      <c r="N514">
        <v>92294</v>
      </c>
      <c r="O514">
        <v>81623</v>
      </c>
      <c r="P514">
        <v>21161</v>
      </c>
      <c r="Q514">
        <v>1</v>
      </c>
      <c r="R514">
        <v>0</v>
      </c>
      <c r="S514">
        <v>0</v>
      </c>
      <c r="T514">
        <v>5</v>
      </c>
      <c r="U514">
        <v>11</v>
      </c>
    </row>
    <row r="515" spans="1:21" x14ac:dyDescent="0.35">
      <c r="A515" t="s">
        <v>26</v>
      </c>
      <c r="B515" s="1">
        <v>44926</v>
      </c>
      <c r="C515" t="s">
        <v>27</v>
      </c>
      <c r="D515">
        <v>5.9</v>
      </c>
      <c r="E515">
        <v>2.2999999999999998</v>
      </c>
      <c r="F515">
        <v>0</v>
      </c>
      <c r="G515">
        <v>2.6</v>
      </c>
      <c r="H515">
        <v>0</v>
      </c>
      <c r="I515">
        <v>0</v>
      </c>
      <c r="J515">
        <v>0</v>
      </c>
      <c r="K515">
        <v>0</v>
      </c>
      <c r="L515">
        <v>0</v>
      </c>
      <c r="M515">
        <v>0</v>
      </c>
      <c r="N515">
        <v>33668</v>
      </c>
      <c r="O515">
        <v>86208</v>
      </c>
      <c r="P515">
        <v>44537</v>
      </c>
      <c r="Q515">
        <v>2</v>
      </c>
      <c r="R515">
        <v>2</v>
      </c>
      <c r="S515">
        <v>0</v>
      </c>
      <c r="T515">
        <v>12</v>
      </c>
      <c r="U515">
        <v>17</v>
      </c>
    </row>
    <row r="516" spans="1:21" x14ac:dyDescent="0.35">
      <c r="A516" t="s">
        <v>28</v>
      </c>
      <c r="B516" s="1">
        <v>44684</v>
      </c>
      <c r="C516" t="s">
        <v>29</v>
      </c>
      <c r="D516">
        <v>61.2</v>
      </c>
      <c r="E516">
        <v>22</v>
      </c>
      <c r="F516">
        <v>52.2</v>
      </c>
      <c r="G516">
        <v>2.8</v>
      </c>
      <c r="H516">
        <v>1.2</v>
      </c>
      <c r="I516">
        <v>0</v>
      </c>
      <c r="J516">
        <v>0</v>
      </c>
      <c r="K516">
        <v>0</v>
      </c>
      <c r="L516">
        <v>0</v>
      </c>
      <c r="M516">
        <v>0</v>
      </c>
      <c r="N516">
        <v>135567</v>
      </c>
      <c r="O516">
        <v>295387</v>
      </c>
      <c r="P516">
        <v>314346</v>
      </c>
      <c r="Q516">
        <v>83</v>
      </c>
      <c r="R516">
        <v>65</v>
      </c>
      <c r="S516">
        <v>164</v>
      </c>
      <c r="T516">
        <v>30</v>
      </c>
      <c r="U516">
        <v>49</v>
      </c>
    </row>
    <row r="517" spans="1:21" x14ac:dyDescent="0.35">
      <c r="A517" t="s">
        <v>21</v>
      </c>
      <c r="B517" s="1">
        <v>44966</v>
      </c>
      <c r="C517" t="s">
        <v>24</v>
      </c>
      <c r="D517">
        <v>0</v>
      </c>
      <c r="E517">
        <v>0</v>
      </c>
      <c r="F517">
        <v>0</v>
      </c>
      <c r="G517">
        <v>0</v>
      </c>
      <c r="H517">
        <v>0</v>
      </c>
      <c r="I517">
        <v>0</v>
      </c>
      <c r="J517">
        <v>0</v>
      </c>
      <c r="K517">
        <v>0</v>
      </c>
      <c r="L517">
        <v>0</v>
      </c>
      <c r="M517">
        <v>0</v>
      </c>
      <c r="N517">
        <v>89489</v>
      </c>
      <c r="O517">
        <v>82669</v>
      </c>
      <c r="P517">
        <v>21265</v>
      </c>
      <c r="Q517">
        <v>0</v>
      </c>
      <c r="R517">
        <v>0</v>
      </c>
      <c r="S517">
        <v>0</v>
      </c>
      <c r="T517">
        <v>5</v>
      </c>
      <c r="U517">
        <v>11</v>
      </c>
    </row>
    <row r="518" spans="1:21" x14ac:dyDescent="0.35">
      <c r="A518" t="s">
        <v>28</v>
      </c>
      <c r="B518" s="1">
        <v>44695</v>
      </c>
      <c r="C518" t="s">
        <v>25</v>
      </c>
      <c r="D518">
        <v>388.8</v>
      </c>
      <c r="E518">
        <v>196.2</v>
      </c>
      <c r="F518">
        <v>432.3</v>
      </c>
      <c r="G518">
        <v>2</v>
      </c>
      <c r="H518">
        <v>0.9</v>
      </c>
      <c r="I518">
        <v>0</v>
      </c>
      <c r="J518">
        <v>0</v>
      </c>
      <c r="K518">
        <v>0</v>
      </c>
      <c r="L518">
        <v>0</v>
      </c>
      <c r="M518">
        <v>0</v>
      </c>
      <c r="N518">
        <v>96186</v>
      </c>
      <c r="O518">
        <v>217174</v>
      </c>
      <c r="P518">
        <v>151504</v>
      </c>
      <c r="Q518">
        <v>374</v>
      </c>
      <c r="R518">
        <v>426</v>
      </c>
      <c r="S518">
        <v>655</v>
      </c>
      <c r="T518">
        <v>18</v>
      </c>
      <c r="U518">
        <v>29</v>
      </c>
    </row>
    <row r="519" spans="1:21" x14ac:dyDescent="0.35">
      <c r="A519" t="s">
        <v>21</v>
      </c>
      <c r="B519" s="1">
        <v>44747</v>
      </c>
      <c r="C519" t="s">
        <v>22</v>
      </c>
      <c r="D519">
        <v>0.2</v>
      </c>
      <c r="E519">
        <v>0.1</v>
      </c>
      <c r="F519">
        <v>0.2</v>
      </c>
      <c r="G519">
        <v>2</v>
      </c>
      <c r="H519">
        <v>1</v>
      </c>
      <c r="I519">
        <v>0.2</v>
      </c>
      <c r="J519">
        <v>0.2</v>
      </c>
      <c r="K519">
        <v>0.1</v>
      </c>
      <c r="L519">
        <v>1</v>
      </c>
      <c r="M519">
        <v>1.4</v>
      </c>
      <c r="N519">
        <v>648754</v>
      </c>
      <c r="O519">
        <v>888946</v>
      </c>
      <c r="P519">
        <v>956808</v>
      </c>
      <c r="Q519">
        <v>1</v>
      </c>
      <c r="R519">
        <v>1</v>
      </c>
      <c r="S519">
        <v>2</v>
      </c>
      <c r="T519">
        <v>999</v>
      </c>
      <c r="U519">
        <v>999</v>
      </c>
    </row>
    <row r="520" spans="1:21" x14ac:dyDescent="0.35">
      <c r="A520" t="s">
        <v>26</v>
      </c>
      <c r="B520" s="1">
        <v>45142</v>
      </c>
      <c r="C520" t="s">
        <v>25</v>
      </c>
      <c r="D520">
        <v>2.6</v>
      </c>
      <c r="E520">
        <v>0</v>
      </c>
      <c r="F520">
        <v>1.2</v>
      </c>
      <c r="G520">
        <v>0</v>
      </c>
      <c r="H520">
        <v>2.2000000000000002</v>
      </c>
      <c r="I520">
        <v>0</v>
      </c>
      <c r="J520">
        <v>0</v>
      </c>
      <c r="K520">
        <v>0</v>
      </c>
      <c r="L520">
        <v>0</v>
      </c>
      <c r="M520">
        <v>0</v>
      </c>
      <c r="N520">
        <v>75926</v>
      </c>
      <c r="O520">
        <v>213911</v>
      </c>
      <c r="P520">
        <v>161680</v>
      </c>
      <c r="Q520">
        <v>2</v>
      </c>
      <c r="R520">
        <v>0</v>
      </c>
      <c r="S520">
        <v>2</v>
      </c>
      <c r="T520">
        <v>18</v>
      </c>
      <c r="U520">
        <v>29</v>
      </c>
    </row>
    <row r="521" spans="1:21" x14ac:dyDescent="0.35">
      <c r="A521" t="s">
        <v>26</v>
      </c>
      <c r="B521" s="1">
        <v>44509</v>
      </c>
      <c r="C521" t="s">
        <v>23</v>
      </c>
      <c r="D521">
        <v>55.4</v>
      </c>
      <c r="E521">
        <v>4</v>
      </c>
      <c r="F521">
        <v>0</v>
      </c>
      <c r="G521">
        <v>13.8</v>
      </c>
      <c r="H521">
        <v>0</v>
      </c>
      <c r="I521">
        <v>0</v>
      </c>
      <c r="J521">
        <v>0</v>
      </c>
      <c r="K521">
        <v>0</v>
      </c>
      <c r="L521">
        <v>0</v>
      </c>
      <c r="M521">
        <v>0</v>
      </c>
      <c r="N521">
        <v>84837</v>
      </c>
      <c r="O521">
        <v>325536</v>
      </c>
      <c r="P521">
        <v>0</v>
      </c>
      <c r="Q521">
        <v>47</v>
      </c>
      <c r="R521">
        <v>13</v>
      </c>
      <c r="S521">
        <v>0</v>
      </c>
      <c r="T521">
        <v>50</v>
      </c>
      <c r="U521">
        <v>64</v>
      </c>
    </row>
    <row r="522" spans="1:21" x14ac:dyDescent="0.35">
      <c r="A522" t="s">
        <v>21</v>
      </c>
      <c r="B522" s="1">
        <v>45066</v>
      </c>
      <c r="C522" t="s">
        <v>31</v>
      </c>
      <c r="D522">
        <v>0</v>
      </c>
      <c r="E522">
        <v>0</v>
      </c>
      <c r="F522">
        <v>0</v>
      </c>
      <c r="G522">
        <v>0</v>
      </c>
      <c r="H522">
        <v>0</v>
      </c>
      <c r="I522">
        <v>0</v>
      </c>
      <c r="J522">
        <v>0</v>
      </c>
      <c r="K522">
        <v>0</v>
      </c>
      <c r="L522">
        <v>0</v>
      </c>
      <c r="M522">
        <v>0</v>
      </c>
      <c r="N522">
        <v>39539</v>
      </c>
      <c r="O522">
        <v>43437</v>
      </c>
      <c r="P522">
        <v>171728</v>
      </c>
      <c r="Q522">
        <v>0</v>
      </c>
      <c r="R522">
        <v>0</v>
      </c>
      <c r="S522">
        <v>0</v>
      </c>
      <c r="T522">
        <v>65</v>
      </c>
      <c r="U522">
        <v>79</v>
      </c>
    </row>
    <row r="523" spans="1:21" x14ac:dyDescent="0.35">
      <c r="A523" t="s">
        <v>21</v>
      </c>
      <c r="B523" s="1">
        <v>44201</v>
      </c>
      <c r="C523" t="s">
        <v>23</v>
      </c>
      <c r="D523">
        <v>7.7</v>
      </c>
      <c r="E523">
        <v>0</v>
      </c>
      <c r="F523">
        <v>0</v>
      </c>
      <c r="G523">
        <v>0</v>
      </c>
      <c r="H523">
        <v>0</v>
      </c>
      <c r="I523">
        <v>0</v>
      </c>
      <c r="J523">
        <v>0</v>
      </c>
      <c r="K523">
        <v>0</v>
      </c>
      <c r="L523">
        <v>0</v>
      </c>
      <c r="M523">
        <v>0</v>
      </c>
      <c r="N523">
        <v>155412</v>
      </c>
      <c r="O523">
        <v>166702</v>
      </c>
      <c r="P523">
        <v>0</v>
      </c>
      <c r="Q523">
        <v>12</v>
      </c>
      <c r="R523">
        <v>0</v>
      </c>
      <c r="S523">
        <v>0</v>
      </c>
      <c r="T523">
        <v>50</v>
      </c>
      <c r="U523">
        <v>64</v>
      </c>
    </row>
    <row r="524" spans="1:21" x14ac:dyDescent="0.35">
      <c r="A524" t="s">
        <v>28</v>
      </c>
      <c r="B524" s="1">
        <v>44940</v>
      </c>
      <c r="C524" t="s">
        <v>22</v>
      </c>
      <c r="D524">
        <v>143.1</v>
      </c>
      <c r="E524">
        <v>75.900000000000006</v>
      </c>
      <c r="F524">
        <v>103.5</v>
      </c>
      <c r="G524">
        <v>1.9</v>
      </c>
      <c r="H524">
        <v>1.4</v>
      </c>
      <c r="I524">
        <v>161.19999999999999</v>
      </c>
      <c r="J524">
        <v>78.8</v>
      </c>
      <c r="K524">
        <v>97.6</v>
      </c>
      <c r="L524">
        <v>2</v>
      </c>
      <c r="M524">
        <v>1.7</v>
      </c>
      <c r="N524">
        <v>552001</v>
      </c>
      <c r="O524">
        <v>854759</v>
      </c>
      <c r="P524">
        <v>1040217</v>
      </c>
      <c r="Q524">
        <v>790</v>
      </c>
      <c r="R524">
        <v>649</v>
      </c>
      <c r="S524">
        <v>1077</v>
      </c>
      <c r="T524">
        <v>999</v>
      </c>
      <c r="U524">
        <v>999</v>
      </c>
    </row>
    <row r="525" spans="1:21" x14ac:dyDescent="0.35">
      <c r="A525" t="s">
        <v>26</v>
      </c>
      <c r="B525" s="1">
        <v>45003</v>
      </c>
      <c r="C525" t="s">
        <v>31</v>
      </c>
      <c r="D525">
        <v>20</v>
      </c>
      <c r="E525">
        <v>13.8</v>
      </c>
      <c r="F525">
        <v>11.1</v>
      </c>
      <c r="G525">
        <v>1.4</v>
      </c>
      <c r="H525">
        <v>1.8</v>
      </c>
      <c r="I525">
        <v>0</v>
      </c>
      <c r="J525">
        <v>0</v>
      </c>
      <c r="K525">
        <v>0</v>
      </c>
      <c r="L525">
        <v>0</v>
      </c>
      <c r="M525">
        <v>0</v>
      </c>
      <c r="N525">
        <v>39970</v>
      </c>
      <c r="O525">
        <v>43416</v>
      </c>
      <c r="P525">
        <v>171710</v>
      </c>
      <c r="Q525">
        <v>8</v>
      </c>
      <c r="R525">
        <v>6</v>
      </c>
      <c r="S525">
        <v>19</v>
      </c>
      <c r="T525">
        <v>65</v>
      </c>
      <c r="U525">
        <v>79</v>
      </c>
    </row>
    <row r="526" spans="1:21" x14ac:dyDescent="0.35">
      <c r="A526" t="s">
        <v>21</v>
      </c>
      <c r="B526" s="1">
        <v>44720</v>
      </c>
      <c r="C526" t="s">
        <v>32</v>
      </c>
      <c r="D526">
        <v>0</v>
      </c>
      <c r="E526">
        <v>0</v>
      </c>
      <c r="F526">
        <v>0</v>
      </c>
      <c r="G526">
        <v>0</v>
      </c>
      <c r="H526">
        <v>0</v>
      </c>
      <c r="I526">
        <v>0</v>
      </c>
      <c r="J526">
        <v>0</v>
      </c>
      <c r="K526">
        <v>0</v>
      </c>
      <c r="L526">
        <v>0</v>
      </c>
      <c r="M526">
        <v>0</v>
      </c>
      <c r="N526">
        <v>162642</v>
      </c>
      <c r="O526">
        <v>0</v>
      </c>
      <c r="P526">
        <v>0</v>
      </c>
      <c r="Q526">
        <v>0</v>
      </c>
      <c r="R526">
        <v>0</v>
      </c>
      <c r="S526">
        <v>0</v>
      </c>
      <c r="T526">
        <v>0</v>
      </c>
      <c r="U526">
        <v>4</v>
      </c>
    </row>
    <row r="527" spans="1:21" x14ac:dyDescent="0.35">
      <c r="A527" t="s">
        <v>28</v>
      </c>
      <c r="B527" s="1">
        <v>44295</v>
      </c>
      <c r="C527" t="s">
        <v>29</v>
      </c>
      <c r="D527">
        <v>268.10000000000002</v>
      </c>
      <c r="E527">
        <v>93.4</v>
      </c>
      <c r="F527">
        <v>0</v>
      </c>
      <c r="G527">
        <v>2.9</v>
      </c>
      <c r="H527">
        <v>0</v>
      </c>
      <c r="I527">
        <v>0</v>
      </c>
      <c r="J527">
        <v>0</v>
      </c>
      <c r="K527">
        <v>0</v>
      </c>
      <c r="L527">
        <v>0</v>
      </c>
      <c r="M527">
        <v>0</v>
      </c>
      <c r="N527">
        <v>237570</v>
      </c>
      <c r="O527">
        <v>516114</v>
      </c>
      <c r="P527">
        <v>0</v>
      </c>
      <c r="Q527">
        <v>637</v>
      </c>
      <c r="R527">
        <v>482</v>
      </c>
      <c r="S527">
        <v>0</v>
      </c>
      <c r="T527">
        <v>30</v>
      </c>
      <c r="U527">
        <v>49</v>
      </c>
    </row>
    <row r="528" spans="1:21" x14ac:dyDescent="0.35">
      <c r="A528" t="s">
        <v>28</v>
      </c>
      <c r="B528" s="1">
        <v>45010</v>
      </c>
      <c r="C528" t="s">
        <v>24</v>
      </c>
      <c r="D528">
        <v>86.6</v>
      </c>
      <c r="E528">
        <v>98.2</v>
      </c>
      <c r="F528">
        <v>103.7</v>
      </c>
      <c r="G528">
        <v>0.9</v>
      </c>
      <c r="H528">
        <v>0.8</v>
      </c>
      <c r="I528">
        <v>0</v>
      </c>
      <c r="J528">
        <v>0</v>
      </c>
      <c r="K528">
        <v>0</v>
      </c>
      <c r="L528">
        <v>0</v>
      </c>
      <c r="M528">
        <v>0</v>
      </c>
      <c r="N528">
        <v>91234</v>
      </c>
      <c r="O528">
        <v>82443</v>
      </c>
      <c r="P528">
        <v>21217</v>
      </c>
      <c r="Q528">
        <v>79</v>
      </c>
      <c r="R528">
        <v>81</v>
      </c>
      <c r="S528">
        <v>22</v>
      </c>
      <c r="T528">
        <v>5</v>
      </c>
      <c r="U528">
        <v>11</v>
      </c>
    </row>
    <row r="529" spans="1:21" x14ac:dyDescent="0.35">
      <c r="A529" t="s">
        <v>21</v>
      </c>
      <c r="B529" s="1">
        <v>45003</v>
      </c>
      <c r="C529" t="s">
        <v>30</v>
      </c>
      <c r="D529">
        <v>4.0999999999999996</v>
      </c>
      <c r="E529">
        <v>17.600000000000001</v>
      </c>
      <c r="F529">
        <v>0</v>
      </c>
      <c r="G529">
        <v>0.2</v>
      </c>
      <c r="H529">
        <v>0</v>
      </c>
      <c r="I529">
        <v>0</v>
      </c>
      <c r="J529">
        <v>0</v>
      </c>
      <c r="K529">
        <v>0</v>
      </c>
      <c r="L529">
        <v>0</v>
      </c>
      <c r="M529">
        <v>0</v>
      </c>
      <c r="N529">
        <v>24655</v>
      </c>
      <c r="O529">
        <v>11380</v>
      </c>
      <c r="P529">
        <v>47126</v>
      </c>
      <c r="Q529">
        <v>1</v>
      </c>
      <c r="R529">
        <v>2</v>
      </c>
      <c r="S529">
        <v>0</v>
      </c>
      <c r="T529">
        <v>80</v>
      </c>
      <c r="U529">
        <v>200</v>
      </c>
    </row>
    <row r="530" spans="1:21" x14ac:dyDescent="0.35">
      <c r="A530" t="s">
        <v>21</v>
      </c>
      <c r="B530" s="1">
        <v>44576</v>
      </c>
      <c r="C530" t="s">
        <v>24</v>
      </c>
      <c r="D530">
        <v>0</v>
      </c>
      <c r="E530">
        <v>0</v>
      </c>
      <c r="F530">
        <v>0</v>
      </c>
      <c r="G530">
        <v>0</v>
      </c>
      <c r="H530">
        <v>0</v>
      </c>
      <c r="I530">
        <v>0</v>
      </c>
      <c r="J530">
        <v>0</v>
      </c>
      <c r="K530">
        <v>0</v>
      </c>
      <c r="L530">
        <v>0</v>
      </c>
      <c r="M530">
        <v>0</v>
      </c>
      <c r="N530">
        <v>125146</v>
      </c>
      <c r="O530">
        <v>50035</v>
      </c>
      <c r="P530">
        <v>0</v>
      </c>
      <c r="Q530">
        <v>0</v>
      </c>
      <c r="R530">
        <v>0</v>
      </c>
      <c r="S530">
        <v>0</v>
      </c>
      <c r="T530">
        <v>5</v>
      </c>
      <c r="U530">
        <v>11</v>
      </c>
    </row>
    <row r="531" spans="1:21" x14ac:dyDescent="0.35">
      <c r="A531" t="s">
        <v>21</v>
      </c>
      <c r="B531" s="1">
        <v>44555</v>
      </c>
      <c r="C531" t="s">
        <v>23</v>
      </c>
      <c r="D531">
        <v>23.8</v>
      </c>
      <c r="E531">
        <v>5.8</v>
      </c>
      <c r="F531">
        <v>0</v>
      </c>
      <c r="G531">
        <v>4.0999999999999996</v>
      </c>
      <c r="H531">
        <v>0</v>
      </c>
      <c r="I531">
        <v>0</v>
      </c>
      <c r="J531">
        <v>0</v>
      </c>
      <c r="K531">
        <v>0</v>
      </c>
      <c r="L531">
        <v>0</v>
      </c>
      <c r="M531">
        <v>0</v>
      </c>
      <c r="N531">
        <v>58797</v>
      </c>
      <c r="O531">
        <v>223663</v>
      </c>
      <c r="P531">
        <v>129378</v>
      </c>
      <c r="Q531">
        <v>14</v>
      </c>
      <c r="R531">
        <v>13</v>
      </c>
      <c r="S531">
        <v>0</v>
      </c>
      <c r="T531">
        <v>50</v>
      </c>
      <c r="U531">
        <v>64</v>
      </c>
    </row>
    <row r="532" spans="1:21" x14ac:dyDescent="0.35">
      <c r="A532" t="s">
        <v>28</v>
      </c>
      <c r="B532" s="1">
        <v>45227</v>
      </c>
      <c r="C532" t="s">
        <v>24</v>
      </c>
      <c r="D532">
        <v>11.2</v>
      </c>
      <c r="E532">
        <v>12.1</v>
      </c>
      <c r="F532">
        <v>9.3000000000000007</v>
      </c>
      <c r="G532">
        <v>0.9</v>
      </c>
      <c r="H532">
        <v>1.2</v>
      </c>
      <c r="I532">
        <v>0</v>
      </c>
      <c r="J532">
        <v>0</v>
      </c>
      <c r="K532">
        <v>0</v>
      </c>
      <c r="L532">
        <v>0</v>
      </c>
      <c r="M532">
        <v>0</v>
      </c>
      <c r="N532">
        <v>88935</v>
      </c>
      <c r="O532">
        <v>82498</v>
      </c>
      <c r="P532">
        <v>21516</v>
      </c>
      <c r="Q532">
        <v>10</v>
      </c>
      <c r="R532">
        <v>10</v>
      </c>
      <c r="S532">
        <v>2</v>
      </c>
      <c r="T532">
        <v>5</v>
      </c>
      <c r="U532">
        <v>11</v>
      </c>
    </row>
    <row r="533" spans="1:21" x14ac:dyDescent="0.35">
      <c r="A533" t="s">
        <v>21</v>
      </c>
      <c r="B533" s="1">
        <v>44966</v>
      </c>
      <c r="C533" t="s">
        <v>23</v>
      </c>
      <c r="D533">
        <v>0</v>
      </c>
      <c r="E533">
        <v>0</v>
      </c>
      <c r="F533">
        <v>0</v>
      </c>
      <c r="G533">
        <v>0</v>
      </c>
      <c r="H533">
        <v>0</v>
      </c>
      <c r="I533">
        <v>0</v>
      </c>
      <c r="J533">
        <v>0</v>
      </c>
      <c r="K533">
        <v>0</v>
      </c>
      <c r="L533">
        <v>0</v>
      </c>
      <c r="M533">
        <v>0</v>
      </c>
      <c r="N533">
        <v>32314</v>
      </c>
      <c r="O533">
        <v>125722</v>
      </c>
      <c r="P533">
        <v>246940</v>
      </c>
      <c r="Q533">
        <v>0</v>
      </c>
      <c r="R533">
        <v>0</v>
      </c>
      <c r="S533">
        <v>0</v>
      </c>
      <c r="T533">
        <v>50</v>
      </c>
      <c r="U533">
        <v>64</v>
      </c>
    </row>
    <row r="534" spans="1:21" x14ac:dyDescent="0.35">
      <c r="A534" t="s">
        <v>21</v>
      </c>
      <c r="B534" s="1">
        <v>44828</v>
      </c>
      <c r="C534" t="s">
        <v>25</v>
      </c>
      <c r="D534">
        <v>0</v>
      </c>
      <c r="E534">
        <v>0</v>
      </c>
      <c r="F534">
        <v>0</v>
      </c>
      <c r="G534">
        <v>0</v>
      </c>
      <c r="H534">
        <v>0</v>
      </c>
      <c r="I534">
        <v>0</v>
      </c>
      <c r="J534">
        <v>0</v>
      </c>
      <c r="K534">
        <v>0</v>
      </c>
      <c r="L534">
        <v>0</v>
      </c>
      <c r="M534">
        <v>0</v>
      </c>
      <c r="N534">
        <v>89038</v>
      </c>
      <c r="O534">
        <v>211579</v>
      </c>
      <c r="P534">
        <v>161435</v>
      </c>
      <c r="Q534">
        <v>0</v>
      </c>
      <c r="R534">
        <v>0</v>
      </c>
      <c r="S534">
        <v>0</v>
      </c>
      <c r="T534">
        <v>18</v>
      </c>
      <c r="U534">
        <v>29</v>
      </c>
    </row>
    <row r="535" spans="1:21" x14ac:dyDescent="0.35">
      <c r="A535" t="s">
        <v>28</v>
      </c>
      <c r="B535" s="1">
        <v>44571</v>
      </c>
      <c r="C535" t="s">
        <v>30</v>
      </c>
      <c r="D535">
        <v>96.7</v>
      </c>
      <c r="E535">
        <v>105.4</v>
      </c>
      <c r="F535">
        <v>161.6</v>
      </c>
      <c r="G535">
        <v>0.9</v>
      </c>
      <c r="H535">
        <v>0.6</v>
      </c>
      <c r="I535">
        <v>0</v>
      </c>
      <c r="J535">
        <v>0</v>
      </c>
      <c r="K535">
        <v>0</v>
      </c>
      <c r="L535">
        <v>0</v>
      </c>
      <c r="M535">
        <v>0</v>
      </c>
      <c r="N535">
        <v>25857</v>
      </c>
      <c r="O535">
        <v>11380</v>
      </c>
      <c r="P535">
        <v>47042</v>
      </c>
      <c r="Q535">
        <v>25</v>
      </c>
      <c r="R535">
        <v>12</v>
      </c>
      <c r="S535">
        <v>76</v>
      </c>
      <c r="T535">
        <v>80</v>
      </c>
      <c r="U535">
        <v>200</v>
      </c>
    </row>
    <row r="536" spans="1:21" x14ac:dyDescent="0.35">
      <c r="A536" t="s">
        <v>26</v>
      </c>
      <c r="B536" s="1">
        <v>44966</v>
      </c>
      <c r="C536" t="s">
        <v>31</v>
      </c>
      <c r="D536">
        <v>7.7</v>
      </c>
      <c r="E536">
        <v>6.9</v>
      </c>
      <c r="F536">
        <v>8.6999999999999993</v>
      </c>
      <c r="G536">
        <v>1.1000000000000001</v>
      </c>
      <c r="H536">
        <v>0.9</v>
      </c>
      <c r="I536">
        <v>0</v>
      </c>
      <c r="J536">
        <v>0</v>
      </c>
      <c r="K536">
        <v>0</v>
      </c>
      <c r="L536">
        <v>0</v>
      </c>
      <c r="M536">
        <v>0</v>
      </c>
      <c r="N536">
        <v>39162</v>
      </c>
      <c r="O536">
        <v>43414</v>
      </c>
      <c r="P536">
        <v>171755</v>
      </c>
      <c r="Q536">
        <v>3</v>
      </c>
      <c r="R536">
        <v>3</v>
      </c>
      <c r="S536">
        <v>15</v>
      </c>
      <c r="T536">
        <v>65</v>
      </c>
      <c r="U536">
        <v>79</v>
      </c>
    </row>
    <row r="537" spans="1:21" x14ac:dyDescent="0.35">
      <c r="A537" t="s">
        <v>28</v>
      </c>
      <c r="B537" s="1">
        <v>44720</v>
      </c>
      <c r="C537" t="s">
        <v>22</v>
      </c>
      <c r="D537">
        <v>256.7</v>
      </c>
      <c r="E537">
        <v>149.9</v>
      </c>
      <c r="F537">
        <v>231.3</v>
      </c>
      <c r="G537">
        <v>1.7</v>
      </c>
      <c r="H537">
        <v>1.1000000000000001</v>
      </c>
      <c r="I537">
        <v>295.7</v>
      </c>
      <c r="J537">
        <v>144.19999999999999</v>
      </c>
      <c r="K537">
        <v>196.9</v>
      </c>
      <c r="L537">
        <v>2.1</v>
      </c>
      <c r="M537">
        <v>1.5</v>
      </c>
      <c r="N537">
        <v>614334</v>
      </c>
      <c r="O537">
        <v>850591</v>
      </c>
      <c r="P537">
        <v>1014163</v>
      </c>
      <c r="Q537">
        <v>1577</v>
      </c>
      <c r="R537">
        <v>1275</v>
      </c>
      <c r="S537">
        <v>2346</v>
      </c>
      <c r="T537">
        <v>999</v>
      </c>
      <c r="U537">
        <v>999</v>
      </c>
    </row>
    <row r="538" spans="1:21" x14ac:dyDescent="0.35">
      <c r="A538" t="s">
        <v>26</v>
      </c>
      <c r="B538" s="1">
        <v>44800</v>
      </c>
      <c r="C538" t="s">
        <v>24</v>
      </c>
      <c r="D538">
        <v>0</v>
      </c>
      <c r="E538">
        <v>0</v>
      </c>
      <c r="F538">
        <v>0</v>
      </c>
      <c r="G538">
        <v>0</v>
      </c>
      <c r="H538">
        <v>0</v>
      </c>
      <c r="I538">
        <v>0</v>
      </c>
      <c r="J538">
        <v>0</v>
      </c>
      <c r="K538">
        <v>0</v>
      </c>
      <c r="L538">
        <v>0</v>
      </c>
      <c r="M538">
        <v>0</v>
      </c>
      <c r="N538">
        <v>95812</v>
      </c>
      <c r="O538">
        <v>83661</v>
      </c>
      <c r="P538">
        <v>15377</v>
      </c>
      <c r="Q538">
        <v>0</v>
      </c>
      <c r="R538">
        <v>0</v>
      </c>
      <c r="S538">
        <v>0</v>
      </c>
      <c r="T538">
        <v>5</v>
      </c>
      <c r="U538">
        <v>11</v>
      </c>
    </row>
    <row r="539" spans="1:21" x14ac:dyDescent="0.35">
      <c r="A539" t="s">
        <v>28</v>
      </c>
      <c r="B539" s="1">
        <v>44527</v>
      </c>
      <c r="C539" t="s">
        <v>25</v>
      </c>
      <c r="D539">
        <v>287.3</v>
      </c>
      <c r="E539">
        <v>114.6</v>
      </c>
      <c r="F539">
        <v>16.2</v>
      </c>
      <c r="G539">
        <v>2.5</v>
      </c>
      <c r="H539">
        <v>17.7</v>
      </c>
      <c r="I539">
        <v>0</v>
      </c>
      <c r="J539">
        <v>0</v>
      </c>
      <c r="K539">
        <v>0</v>
      </c>
      <c r="L539">
        <v>0</v>
      </c>
      <c r="M539">
        <v>0</v>
      </c>
      <c r="N539">
        <v>154874</v>
      </c>
      <c r="O539">
        <v>305350</v>
      </c>
      <c r="P539">
        <v>24726</v>
      </c>
      <c r="Q539">
        <v>445</v>
      </c>
      <c r="R539">
        <v>350</v>
      </c>
      <c r="S539">
        <v>4</v>
      </c>
      <c r="T539">
        <v>18</v>
      </c>
      <c r="U539">
        <v>29</v>
      </c>
    </row>
    <row r="540" spans="1:21" x14ac:dyDescent="0.35">
      <c r="A540" t="s">
        <v>21</v>
      </c>
      <c r="B540" s="1">
        <v>44520</v>
      </c>
      <c r="C540" t="s">
        <v>25</v>
      </c>
      <c r="D540">
        <v>0</v>
      </c>
      <c r="E540">
        <v>0</v>
      </c>
      <c r="F540">
        <v>0</v>
      </c>
      <c r="G540">
        <v>0</v>
      </c>
      <c r="H540">
        <v>0</v>
      </c>
      <c r="I540">
        <v>0</v>
      </c>
      <c r="J540">
        <v>0</v>
      </c>
      <c r="K540">
        <v>0</v>
      </c>
      <c r="L540">
        <v>0</v>
      </c>
      <c r="M540">
        <v>0</v>
      </c>
      <c r="N540">
        <v>157265</v>
      </c>
      <c r="O540">
        <v>308782</v>
      </c>
      <c r="P540">
        <v>19377</v>
      </c>
      <c r="Q540">
        <v>0</v>
      </c>
      <c r="R540">
        <v>0</v>
      </c>
      <c r="S540">
        <v>0</v>
      </c>
      <c r="T540">
        <v>18</v>
      </c>
      <c r="U540">
        <v>29</v>
      </c>
    </row>
    <row r="541" spans="1:21" x14ac:dyDescent="0.35">
      <c r="A541" t="s">
        <v>21</v>
      </c>
      <c r="B541" s="1">
        <v>44646</v>
      </c>
      <c r="C541" t="s">
        <v>31</v>
      </c>
      <c r="D541">
        <v>4.0999999999999996</v>
      </c>
      <c r="E541">
        <v>3.8</v>
      </c>
      <c r="F541">
        <v>0.6</v>
      </c>
      <c r="G541">
        <v>1.1000000000000001</v>
      </c>
      <c r="H541">
        <v>6.8</v>
      </c>
      <c r="I541">
        <v>0</v>
      </c>
      <c r="J541">
        <v>0</v>
      </c>
      <c r="K541">
        <v>0</v>
      </c>
      <c r="L541">
        <v>0</v>
      </c>
      <c r="M541">
        <v>0</v>
      </c>
      <c r="N541">
        <v>48633</v>
      </c>
      <c r="O541">
        <v>52066</v>
      </c>
      <c r="P541">
        <v>158525</v>
      </c>
      <c r="Q541">
        <v>2</v>
      </c>
      <c r="R541">
        <v>2</v>
      </c>
      <c r="S541">
        <v>1</v>
      </c>
      <c r="T541">
        <v>65</v>
      </c>
      <c r="U541">
        <v>79</v>
      </c>
    </row>
    <row r="542" spans="1:21" x14ac:dyDescent="0.35">
      <c r="A542" t="s">
        <v>28</v>
      </c>
      <c r="B542" s="1">
        <v>44611</v>
      </c>
      <c r="C542" t="s">
        <v>22</v>
      </c>
      <c r="D542">
        <v>109.8</v>
      </c>
      <c r="E542">
        <v>55.8</v>
      </c>
      <c r="F542">
        <v>66.599999999999994</v>
      </c>
      <c r="G542">
        <v>2</v>
      </c>
      <c r="H542">
        <v>1.6</v>
      </c>
      <c r="I542">
        <v>119</v>
      </c>
      <c r="J542">
        <v>55.3</v>
      </c>
      <c r="K542">
        <v>57.4</v>
      </c>
      <c r="L542">
        <v>2.2000000000000002</v>
      </c>
      <c r="M542">
        <v>2.1</v>
      </c>
      <c r="N542">
        <v>677481</v>
      </c>
      <c r="O542">
        <v>910869</v>
      </c>
      <c r="P542">
        <v>868745</v>
      </c>
      <c r="Q542">
        <v>744</v>
      </c>
      <c r="R542">
        <v>508</v>
      </c>
      <c r="S542">
        <v>579</v>
      </c>
      <c r="T542">
        <v>999</v>
      </c>
      <c r="U542">
        <v>999</v>
      </c>
    </row>
    <row r="543" spans="1:21" x14ac:dyDescent="0.35">
      <c r="A543" t="s">
        <v>21</v>
      </c>
      <c r="B543" s="1">
        <v>44954</v>
      </c>
      <c r="C543" t="s">
        <v>32</v>
      </c>
      <c r="D543">
        <v>0</v>
      </c>
      <c r="E543">
        <v>0</v>
      </c>
      <c r="F543">
        <v>0</v>
      </c>
      <c r="G543">
        <v>0</v>
      </c>
      <c r="H543">
        <v>0</v>
      </c>
      <c r="I543">
        <v>0</v>
      </c>
      <c r="J543">
        <v>0</v>
      </c>
      <c r="K543">
        <v>0</v>
      </c>
      <c r="L543">
        <v>0</v>
      </c>
      <c r="M543">
        <v>0</v>
      </c>
      <c r="N543">
        <v>162642</v>
      </c>
      <c r="O543">
        <v>0</v>
      </c>
      <c r="P543">
        <v>0</v>
      </c>
      <c r="Q543">
        <v>0</v>
      </c>
      <c r="R543">
        <v>0</v>
      </c>
      <c r="S543">
        <v>0</v>
      </c>
      <c r="T543">
        <v>0</v>
      </c>
      <c r="U543">
        <v>4</v>
      </c>
    </row>
    <row r="544" spans="1:21" x14ac:dyDescent="0.35">
      <c r="A544" t="s">
        <v>28</v>
      </c>
      <c r="B544" s="1">
        <v>44975</v>
      </c>
      <c r="C544" t="s">
        <v>22</v>
      </c>
      <c r="D544">
        <v>135.9</v>
      </c>
      <c r="E544">
        <v>71.900000000000006</v>
      </c>
      <c r="F544">
        <v>96.5</v>
      </c>
      <c r="G544">
        <v>1.9</v>
      </c>
      <c r="H544">
        <v>1.4</v>
      </c>
      <c r="I544">
        <v>155.1</v>
      </c>
      <c r="J544">
        <v>75.2</v>
      </c>
      <c r="K544">
        <v>94.4</v>
      </c>
      <c r="L544">
        <v>2.1</v>
      </c>
      <c r="M544">
        <v>1.6</v>
      </c>
      <c r="N544">
        <v>546175</v>
      </c>
      <c r="O544">
        <v>856948</v>
      </c>
      <c r="P544">
        <v>1040388</v>
      </c>
      <c r="Q544">
        <v>742</v>
      </c>
      <c r="R544">
        <v>616</v>
      </c>
      <c r="S544">
        <v>1004</v>
      </c>
      <c r="T544">
        <v>999</v>
      </c>
      <c r="U544">
        <v>999</v>
      </c>
    </row>
    <row r="545" spans="1:21" x14ac:dyDescent="0.35">
      <c r="A545" t="s">
        <v>28</v>
      </c>
      <c r="B545" s="1">
        <v>44692</v>
      </c>
      <c r="C545" t="s">
        <v>24</v>
      </c>
      <c r="D545">
        <v>134.5</v>
      </c>
      <c r="E545">
        <v>94.2</v>
      </c>
      <c r="F545">
        <v>128.5</v>
      </c>
      <c r="G545">
        <v>1.4</v>
      </c>
      <c r="H545">
        <v>1</v>
      </c>
      <c r="I545">
        <v>0</v>
      </c>
      <c r="J545">
        <v>0</v>
      </c>
      <c r="K545">
        <v>0</v>
      </c>
      <c r="L545">
        <v>0</v>
      </c>
      <c r="M545">
        <v>0</v>
      </c>
      <c r="N545">
        <v>93672</v>
      </c>
      <c r="O545">
        <v>80665</v>
      </c>
      <c r="P545">
        <v>21005</v>
      </c>
      <c r="Q545">
        <v>126</v>
      </c>
      <c r="R545">
        <v>76</v>
      </c>
      <c r="S545">
        <v>27</v>
      </c>
      <c r="T545">
        <v>5</v>
      </c>
      <c r="U545">
        <v>11</v>
      </c>
    </row>
    <row r="546" spans="1:21" x14ac:dyDescent="0.35">
      <c r="A546" t="s">
        <v>21</v>
      </c>
      <c r="B546" s="1">
        <v>44821</v>
      </c>
      <c r="C546" t="s">
        <v>31</v>
      </c>
      <c r="D546">
        <v>0</v>
      </c>
      <c r="E546">
        <v>0</v>
      </c>
      <c r="F546">
        <v>0.6</v>
      </c>
      <c r="G546">
        <v>0</v>
      </c>
      <c r="H546">
        <v>0</v>
      </c>
      <c r="I546">
        <v>0</v>
      </c>
      <c r="J546">
        <v>0</v>
      </c>
      <c r="K546">
        <v>0</v>
      </c>
      <c r="L546">
        <v>0</v>
      </c>
      <c r="M546">
        <v>0</v>
      </c>
      <c r="N546">
        <v>45164</v>
      </c>
      <c r="O546">
        <v>43419</v>
      </c>
      <c r="P546">
        <v>171309</v>
      </c>
      <c r="Q546">
        <v>0</v>
      </c>
      <c r="R546">
        <v>0</v>
      </c>
      <c r="S546">
        <v>1</v>
      </c>
      <c r="T546">
        <v>65</v>
      </c>
      <c r="U546">
        <v>79</v>
      </c>
    </row>
    <row r="547" spans="1:21" x14ac:dyDescent="0.35">
      <c r="A547" t="s">
        <v>26</v>
      </c>
      <c r="B547" s="1">
        <v>44632</v>
      </c>
      <c r="C547" t="s">
        <v>23</v>
      </c>
      <c r="D547">
        <v>55.9</v>
      </c>
      <c r="E547">
        <v>18.3</v>
      </c>
      <c r="F547">
        <v>7.7</v>
      </c>
      <c r="G547">
        <v>3.1</v>
      </c>
      <c r="H547">
        <v>7.3</v>
      </c>
      <c r="I547">
        <v>0</v>
      </c>
      <c r="J547">
        <v>0</v>
      </c>
      <c r="K547">
        <v>0</v>
      </c>
      <c r="L547">
        <v>0</v>
      </c>
      <c r="M547">
        <v>0</v>
      </c>
      <c r="N547">
        <v>35761</v>
      </c>
      <c r="O547">
        <v>125353</v>
      </c>
      <c r="P547">
        <v>246742</v>
      </c>
      <c r="Q547">
        <v>20</v>
      </c>
      <c r="R547">
        <v>23</v>
      </c>
      <c r="S547">
        <v>19</v>
      </c>
      <c r="T547">
        <v>50</v>
      </c>
      <c r="U547">
        <v>64</v>
      </c>
    </row>
    <row r="548" spans="1:21" x14ac:dyDescent="0.35">
      <c r="A548" t="s">
        <v>21</v>
      </c>
      <c r="B548" s="1">
        <v>44473</v>
      </c>
      <c r="C548" t="s">
        <v>23</v>
      </c>
      <c r="D548">
        <v>5.3</v>
      </c>
      <c r="E548">
        <v>0</v>
      </c>
      <c r="F548">
        <v>0</v>
      </c>
      <c r="G548">
        <v>0</v>
      </c>
      <c r="H548">
        <v>0</v>
      </c>
      <c r="I548">
        <v>0</v>
      </c>
      <c r="J548">
        <v>0</v>
      </c>
      <c r="K548">
        <v>0</v>
      </c>
      <c r="L548">
        <v>0</v>
      </c>
      <c r="M548">
        <v>0</v>
      </c>
      <c r="N548">
        <v>207234</v>
      </c>
      <c r="O548">
        <v>80426</v>
      </c>
      <c r="P548">
        <v>0</v>
      </c>
      <c r="Q548">
        <v>11</v>
      </c>
      <c r="R548">
        <v>0</v>
      </c>
      <c r="S548">
        <v>0</v>
      </c>
      <c r="T548">
        <v>50</v>
      </c>
      <c r="U548">
        <v>64</v>
      </c>
    </row>
    <row r="549" spans="1:21" x14ac:dyDescent="0.35">
      <c r="A549" t="s">
        <v>26</v>
      </c>
      <c r="B549" s="1">
        <v>44947</v>
      </c>
      <c r="C549" t="s">
        <v>30</v>
      </c>
      <c r="D549">
        <v>44.4</v>
      </c>
      <c r="E549">
        <v>70.3</v>
      </c>
      <c r="F549">
        <v>44.6</v>
      </c>
      <c r="G549">
        <v>0.6</v>
      </c>
      <c r="H549">
        <v>1</v>
      </c>
      <c r="I549">
        <v>0</v>
      </c>
      <c r="J549">
        <v>0</v>
      </c>
      <c r="K549">
        <v>0</v>
      </c>
      <c r="L549">
        <v>0</v>
      </c>
      <c r="M549">
        <v>0</v>
      </c>
      <c r="N549">
        <v>24751</v>
      </c>
      <c r="O549">
        <v>11374</v>
      </c>
      <c r="P549">
        <v>47117</v>
      </c>
      <c r="Q549">
        <v>11</v>
      </c>
      <c r="R549">
        <v>8</v>
      </c>
      <c r="S549">
        <v>21</v>
      </c>
      <c r="T549">
        <v>80</v>
      </c>
      <c r="U549">
        <v>200</v>
      </c>
    </row>
    <row r="550" spans="1:21" x14ac:dyDescent="0.35">
      <c r="A550" t="s">
        <v>26</v>
      </c>
      <c r="B550" s="1">
        <v>44709</v>
      </c>
      <c r="C550" t="s">
        <v>22</v>
      </c>
      <c r="D550">
        <v>11</v>
      </c>
      <c r="E550">
        <v>4.9000000000000004</v>
      </c>
      <c r="F550">
        <v>8.3000000000000007</v>
      </c>
      <c r="G550">
        <v>2.2000000000000002</v>
      </c>
      <c r="H550">
        <v>1.3</v>
      </c>
      <c r="I550">
        <v>14.1</v>
      </c>
      <c r="J550">
        <v>6.6</v>
      </c>
      <c r="K550">
        <v>5.5</v>
      </c>
      <c r="L550">
        <v>2.1</v>
      </c>
      <c r="M550">
        <v>2.6</v>
      </c>
      <c r="N550">
        <v>643200</v>
      </c>
      <c r="O550">
        <v>881598</v>
      </c>
      <c r="P550">
        <v>969242</v>
      </c>
      <c r="Q550">
        <v>71</v>
      </c>
      <c r="R550">
        <v>43</v>
      </c>
      <c r="S550">
        <v>80</v>
      </c>
      <c r="T550">
        <v>999</v>
      </c>
      <c r="U550">
        <v>999</v>
      </c>
    </row>
    <row r="551" spans="1:21" x14ac:dyDescent="0.35">
      <c r="A551" t="s">
        <v>26</v>
      </c>
      <c r="B551" s="1">
        <v>44786</v>
      </c>
      <c r="C551" t="s">
        <v>31</v>
      </c>
      <c r="D551">
        <v>45.9</v>
      </c>
      <c r="E551">
        <v>33.799999999999997</v>
      </c>
      <c r="F551">
        <v>28.8</v>
      </c>
      <c r="G551">
        <v>1.4</v>
      </c>
      <c r="H551">
        <v>1.6</v>
      </c>
      <c r="I551">
        <v>0</v>
      </c>
      <c r="J551">
        <v>0</v>
      </c>
      <c r="K551">
        <v>0</v>
      </c>
      <c r="L551">
        <v>0</v>
      </c>
      <c r="M551">
        <v>0</v>
      </c>
      <c r="N551">
        <v>45801</v>
      </c>
      <c r="O551">
        <v>44391</v>
      </c>
      <c r="P551">
        <v>169993</v>
      </c>
      <c r="Q551">
        <v>21</v>
      </c>
      <c r="R551">
        <v>15</v>
      </c>
      <c r="S551">
        <v>49</v>
      </c>
      <c r="T551">
        <v>65</v>
      </c>
      <c r="U551">
        <v>79</v>
      </c>
    </row>
    <row r="552" spans="1:21" x14ac:dyDescent="0.35">
      <c r="A552" t="s">
        <v>28</v>
      </c>
      <c r="B552" s="1">
        <v>44492</v>
      </c>
      <c r="C552" t="s">
        <v>27</v>
      </c>
      <c r="D552">
        <v>181.6</v>
      </c>
      <c r="E552">
        <v>15.1</v>
      </c>
      <c r="F552">
        <v>0</v>
      </c>
      <c r="G552">
        <v>12</v>
      </c>
      <c r="H552">
        <v>0</v>
      </c>
      <c r="I552">
        <v>0</v>
      </c>
      <c r="J552">
        <v>0</v>
      </c>
      <c r="K552">
        <v>0</v>
      </c>
      <c r="L552">
        <v>0</v>
      </c>
      <c r="M552">
        <v>0</v>
      </c>
      <c r="N552">
        <v>64979</v>
      </c>
      <c r="O552">
        <v>99081</v>
      </c>
      <c r="P552">
        <v>0</v>
      </c>
      <c r="Q552">
        <v>118</v>
      </c>
      <c r="R552">
        <v>15</v>
      </c>
      <c r="S552">
        <v>0</v>
      </c>
      <c r="T552">
        <v>12</v>
      </c>
      <c r="U552">
        <v>17</v>
      </c>
    </row>
    <row r="553" spans="1:21" x14ac:dyDescent="0.35">
      <c r="A553" t="s">
        <v>26</v>
      </c>
      <c r="B553" s="1">
        <v>45248</v>
      </c>
      <c r="C553" t="s">
        <v>22</v>
      </c>
      <c r="D553">
        <v>8.5</v>
      </c>
      <c r="E553">
        <v>3</v>
      </c>
      <c r="F553">
        <v>6.9</v>
      </c>
      <c r="G553">
        <v>2.8</v>
      </c>
      <c r="H553">
        <v>1.2</v>
      </c>
      <c r="I553">
        <v>10.4</v>
      </c>
      <c r="J553">
        <v>4.5</v>
      </c>
      <c r="K553">
        <v>4.5999999999999996</v>
      </c>
      <c r="L553">
        <v>2.2999999999999998</v>
      </c>
      <c r="M553">
        <v>2.2000000000000002</v>
      </c>
      <c r="N553">
        <v>507068</v>
      </c>
      <c r="O553">
        <v>862707</v>
      </c>
      <c r="P553">
        <v>1047121</v>
      </c>
      <c r="Q553">
        <v>43</v>
      </c>
      <c r="R553">
        <v>26</v>
      </c>
      <c r="S553">
        <v>72</v>
      </c>
      <c r="T553">
        <v>999</v>
      </c>
      <c r="U553">
        <v>999</v>
      </c>
    </row>
    <row r="554" spans="1:21" x14ac:dyDescent="0.35">
      <c r="A554" t="s">
        <v>26</v>
      </c>
      <c r="B554" s="1">
        <v>44919</v>
      </c>
      <c r="C554" t="s">
        <v>23</v>
      </c>
      <c r="D554">
        <v>68.5</v>
      </c>
      <c r="E554">
        <v>8.8000000000000007</v>
      </c>
      <c r="F554">
        <v>8.9</v>
      </c>
      <c r="G554">
        <v>7.8</v>
      </c>
      <c r="H554">
        <v>7.7</v>
      </c>
      <c r="I554">
        <v>0</v>
      </c>
      <c r="J554">
        <v>0</v>
      </c>
      <c r="K554">
        <v>0</v>
      </c>
      <c r="L554">
        <v>0</v>
      </c>
      <c r="M554">
        <v>0</v>
      </c>
      <c r="N554">
        <v>35058</v>
      </c>
      <c r="O554">
        <v>125409</v>
      </c>
      <c r="P554">
        <v>246789</v>
      </c>
      <c r="Q554">
        <v>24</v>
      </c>
      <c r="R554">
        <v>11</v>
      </c>
      <c r="S554">
        <v>22</v>
      </c>
      <c r="T554">
        <v>50</v>
      </c>
      <c r="U554">
        <v>64</v>
      </c>
    </row>
    <row r="555" spans="1:21" x14ac:dyDescent="0.35">
      <c r="A555" t="s">
        <v>28</v>
      </c>
      <c r="B555" s="1">
        <v>44898</v>
      </c>
      <c r="C555" t="s">
        <v>22</v>
      </c>
      <c r="D555">
        <v>47.4</v>
      </c>
      <c r="E555">
        <v>22.7</v>
      </c>
      <c r="F555">
        <v>40.700000000000003</v>
      </c>
      <c r="G555">
        <v>2.1</v>
      </c>
      <c r="H555">
        <v>1.2</v>
      </c>
      <c r="I555">
        <v>52.2</v>
      </c>
      <c r="J555">
        <v>22</v>
      </c>
      <c r="K555">
        <v>35.9</v>
      </c>
      <c r="L555">
        <v>2.4</v>
      </c>
      <c r="M555">
        <v>1.5</v>
      </c>
      <c r="N555">
        <v>664996</v>
      </c>
      <c r="O555">
        <v>907380</v>
      </c>
      <c r="P555">
        <v>911102</v>
      </c>
      <c r="Q555">
        <v>315</v>
      </c>
      <c r="R555">
        <v>206</v>
      </c>
      <c r="S555">
        <v>371</v>
      </c>
      <c r="T555">
        <v>999</v>
      </c>
      <c r="U555">
        <v>999</v>
      </c>
    </row>
    <row r="556" spans="1:21" x14ac:dyDescent="0.35">
      <c r="A556" t="s">
        <v>21</v>
      </c>
      <c r="B556" s="1">
        <v>44843</v>
      </c>
      <c r="C556" t="s">
        <v>29</v>
      </c>
      <c r="D556">
        <v>0</v>
      </c>
      <c r="E556">
        <v>0.4</v>
      </c>
      <c r="F556">
        <v>0</v>
      </c>
      <c r="G556">
        <v>0</v>
      </c>
      <c r="H556">
        <v>0</v>
      </c>
      <c r="I556">
        <v>0</v>
      </c>
      <c r="J556">
        <v>0</v>
      </c>
      <c r="K556">
        <v>0</v>
      </c>
      <c r="L556">
        <v>0</v>
      </c>
      <c r="M556">
        <v>0</v>
      </c>
      <c r="N556">
        <v>124669</v>
      </c>
      <c r="O556">
        <v>276027</v>
      </c>
      <c r="P556">
        <v>346520</v>
      </c>
      <c r="Q556">
        <v>0</v>
      </c>
      <c r="R556">
        <v>1</v>
      </c>
      <c r="S556">
        <v>0</v>
      </c>
      <c r="T556">
        <v>30</v>
      </c>
      <c r="U556">
        <v>49</v>
      </c>
    </row>
    <row r="557" spans="1:21" x14ac:dyDescent="0.35">
      <c r="A557" t="s">
        <v>21</v>
      </c>
      <c r="B557" s="1">
        <v>44871</v>
      </c>
      <c r="C557" t="s">
        <v>29</v>
      </c>
      <c r="D557">
        <v>0</v>
      </c>
      <c r="E557">
        <v>0</v>
      </c>
      <c r="F557">
        <v>0</v>
      </c>
      <c r="G557">
        <v>0</v>
      </c>
      <c r="H557">
        <v>0</v>
      </c>
      <c r="I557">
        <v>0</v>
      </c>
      <c r="J557">
        <v>0</v>
      </c>
      <c r="K557">
        <v>0</v>
      </c>
      <c r="L557">
        <v>0</v>
      </c>
      <c r="M557">
        <v>0</v>
      </c>
      <c r="N557">
        <v>128697</v>
      </c>
      <c r="O557">
        <v>282377</v>
      </c>
      <c r="P557">
        <v>337248</v>
      </c>
      <c r="Q557">
        <v>0</v>
      </c>
      <c r="R557">
        <v>0</v>
      </c>
      <c r="S557">
        <v>0</v>
      </c>
      <c r="T557">
        <v>30</v>
      </c>
      <c r="U557">
        <v>49</v>
      </c>
    </row>
    <row r="558" spans="1:21" x14ac:dyDescent="0.35">
      <c r="A558" t="s">
        <v>21</v>
      </c>
      <c r="B558" s="1">
        <v>44954</v>
      </c>
      <c r="C558" t="s">
        <v>25</v>
      </c>
      <c r="D558">
        <v>0</v>
      </c>
      <c r="E558">
        <v>0</v>
      </c>
      <c r="F558">
        <v>0</v>
      </c>
      <c r="G558">
        <v>0</v>
      </c>
      <c r="H558">
        <v>0</v>
      </c>
      <c r="I558">
        <v>0</v>
      </c>
      <c r="J558">
        <v>0</v>
      </c>
      <c r="K558">
        <v>0</v>
      </c>
      <c r="L558">
        <v>0</v>
      </c>
      <c r="M558">
        <v>0</v>
      </c>
      <c r="N558">
        <v>77858</v>
      </c>
      <c r="O558">
        <v>213199</v>
      </c>
      <c r="P558">
        <v>161636</v>
      </c>
      <c r="Q558">
        <v>0</v>
      </c>
      <c r="R558">
        <v>0</v>
      </c>
      <c r="S558">
        <v>0</v>
      </c>
      <c r="T558">
        <v>18</v>
      </c>
      <c r="U558">
        <v>29</v>
      </c>
    </row>
    <row r="559" spans="1:21" x14ac:dyDescent="0.35">
      <c r="A559" t="s">
        <v>21</v>
      </c>
      <c r="B559" s="1">
        <v>44583</v>
      </c>
      <c r="C559" t="s">
        <v>27</v>
      </c>
      <c r="D559">
        <v>0</v>
      </c>
      <c r="E559">
        <v>0</v>
      </c>
      <c r="F559">
        <v>0</v>
      </c>
      <c r="G559">
        <v>0</v>
      </c>
      <c r="H559">
        <v>0</v>
      </c>
      <c r="I559">
        <v>0</v>
      </c>
      <c r="J559">
        <v>0</v>
      </c>
      <c r="K559">
        <v>0</v>
      </c>
      <c r="L559">
        <v>0</v>
      </c>
      <c r="M559">
        <v>0</v>
      </c>
      <c r="N559">
        <v>46018</v>
      </c>
      <c r="O559">
        <v>104354</v>
      </c>
      <c r="P559">
        <v>8581</v>
      </c>
      <c r="Q559">
        <v>0</v>
      </c>
      <c r="R559">
        <v>0</v>
      </c>
      <c r="S559">
        <v>0</v>
      </c>
      <c r="T559">
        <v>12</v>
      </c>
      <c r="U559">
        <v>17</v>
      </c>
    </row>
    <row r="560" spans="1:21" x14ac:dyDescent="0.35">
      <c r="A560" t="s">
        <v>26</v>
      </c>
      <c r="B560" s="1">
        <v>45082</v>
      </c>
      <c r="C560" t="s">
        <v>27</v>
      </c>
      <c r="D560">
        <v>0</v>
      </c>
      <c r="E560">
        <v>0</v>
      </c>
      <c r="F560">
        <v>0</v>
      </c>
      <c r="G560">
        <v>0</v>
      </c>
      <c r="H560">
        <v>0</v>
      </c>
      <c r="I560">
        <v>0</v>
      </c>
      <c r="J560">
        <v>0</v>
      </c>
      <c r="K560">
        <v>0</v>
      </c>
      <c r="L560">
        <v>0</v>
      </c>
      <c r="M560">
        <v>0</v>
      </c>
      <c r="N560">
        <v>32685</v>
      </c>
      <c r="O560">
        <v>86582</v>
      </c>
      <c r="P560">
        <v>44575</v>
      </c>
      <c r="Q560">
        <v>0</v>
      </c>
      <c r="R560">
        <v>0</v>
      </c>
      <c r="S560">
        <v>0</v>
      </c>
      <c r="T560">
        <v>12</v>
      </c>
      <c r="U560">
        <v>17</v>
      </c>
    </row>
    <row r="561" spans="1:21" x14ac:dyDescent="0.35">
      <c r="A561" t="s">
        <v>28</v>
      </c>
      <c r="B561" s="1">
        <v>44201</v>
      </c>
      <c r="C561" t="s">
        <v>32</v>
      </c>
      <c r="D561">
        <v>58.4</v>
      </c>
      <c r="E561">
        <v>0</v>
      </c>
      <c r="F561">
        <v>0</v>
      </c>
      <c r="G561">
        <v>0</v>
      </c>
      <c r="H561">
        <v>0</v>
      </c>
      <c r="I561">
        <v>0</v>
      </c>
      <c r="J561">
        <v>0</v>
      </c>
      <c r="K561">
        <v>0</v>
      </c>
      <c r="L561">
        <v>0</v>
      </c>
      <c r="M561">
        <v>0</v>
      </c>
      <c r="N561">
        <v>162642</v>
      </c>
      <c r="O561">
        <v>0</v>
      </c>
      <c r="P561">
        <v>0</v>
      </c>
      <c r="Q561">
        <v>95</v>
      </c>
      <c r="R561">
        <v>0</v>
      </c>
      <c r="S561">
        <v>0</v>
      </c>
      <c r="T561">
        <v>0</v>
      </c>
      <c r="U561">
        <v>4</v>
      </c>
    </row>
    <row r="562" spans="1:21" x14ac:dyDescent="0.35">
      <c r="A562" t="s">
        <v>28</v>
      </c>
      <c r="B562" s="1">
        <v>45233</v>
      </c>
      <c r="C562" t="s">
        <v>27</v>
      </c>
      <c r="D562">
        <v>117.8</v>
      </c>
      <c r="E562">
        <v>62.5</v>
      </c>
      <c r="F562">
        <v>49.4</v>
      </c>
      <c r="G562">
        <v>1.9</v>
      </c>
      <c r="H562">
        <v>2.4</v>
      </c>
      <c r="I562">
        <v>0</v>
      </c>
      <c r="J562">
        <v>0</v>
      </c>
      <c r="K562">
        <v>0</v>
      </c>
      <c r="L562">
        <v>0</v>
      </c>
      <c r="M562">
        <v>0</v>
      </c>
      <c r="N562">
        <v>33097</v>
      </c>
      <c r="O562">
        <v>86429</v>
      </c>
      <c r="P562">
        <v>44562</v>
      </c>
      <c r="Q562">
        <v>39</v>
      </c>
      <c r="R562">
        <v>54</v>
      </c>
      <c r="S562">
        <v>22</v>
      </c>
      <c r="T562">
        <v>12</v>
      </c>
      <c r="U562">
        <v>17</v>
      </c>
    </row>
    <row r="563" spans="1:21" x14ac:dyDescent="0.35">
      <c r="A563" t="s">
        <v>28</v>
      </c>
      <c r="B563" s="1">
        <v>44590</v>
      </c>
      <c r="C563" t="s">
        <v>29</v>
      </c>
      <c r="D563">
        <v>394.8</v>
      </c>
      <c r="E563">
        <v>220.9</v>
      </c>
      <c r="F563">
        <v>267.60000000000002</v>
      </c>
      <c r="G563">
        <v>1.8</v>
      </c>
      <c r="H563">
        <v>1.5</v>
      </c>
      <c r="I563">
        <v>0</v>
      </c>
      <c r="J563">
        <v>0</v>
      </c>
      <c r="K563">
        <v>0</v>
      </c>
      <c r="L563">
        <v>0</v>
      </c>
      <c r="M563">
        <v>0</v>
      </c>
      <c r="N563">
        <v>145400</v>
      </c>
      <c r="O563">
        <v>318707</v>
      </c>
      <c r="P563">
        <v>273200</v>
      </c>
      <c r="Q563">
        <v>574</v>
      </c>
      <c r="R563">
        <v>704</v>
      </c>
      <c r="S563">
        <v>731</v>
      </c>
      <c r="T563">
        <v>30</v>
      </c>
      <c r="U563">
        <v>49</v>
      </c>
    </row>
    <row r="564" spans="1:21" x14ac:dyDescent="0.35">
      <c r="A564" t="s">
        <v>28</v>
      </c>
      <c r="B564" s="1">
        <v>45255</v>
      </c>
      <c r="C564" t="s">
        <v>31</v>
      </c>
      <c r="D564">
        <v>67.099999999999994</v>
      </c>
      <c r="E564">
        <v>65.5</v>
      </c>
      <c r="F564">
        <v>89.2</v>
      </c>
      <c r="G564">
        <v>1</v>
      </c>
      <c r="H564">
        <v>0.8</v>
      </c>
      <c r="I564">
        <v>0</v>
      </c>
      <c r="J564">
        <v>0</v>
      </c>
      <c r="K564">
        <v>0</v>
      </c>
      <c r="L564">
        <v>0</v>
      </c>
      <c r="M564">
        <v>0</v>
      </c>
      <c r="N564">
        <v>37243</v>
      </c>
      <c r="O564">
        <v>44248</v>
      </c>
      <c r="P564">
        <v>172629</v>
      </c>
      <c r="Q564">
        <v>25</v>
      </c>
      <c r="R564">
        <v>29</v>
      </c>
      <c r="S564">
        <v>154</v>
      </c>
      <c r="T564">
        <v>65</v>
      </c>
      <c r="U564">
        <v>79</v>
      </c>
    </row>
    <row r="565" spans="1:21" x14ac:dyDescent="0.35">
      <c r="A565" t="s">
        <v>26</v>
      </c>
      <c r="B565" s="1">
        <v>44408</v>
      </c>
      <c r="C565" t="s">
        <v>22</v>
      </c>
      <c r="D565">
        <v>9.6999999999999993</v>
      </c>
      <c r="E565">
        <v>2.1</v>
      </c>
      <c r="F565">
        <v>0</v>
      </c>
      <c r="G565">
        <v>4.5999999999999996</v>
      </c>
      <c r="H565">
        <v>0</v>
      </c>
      <c r="I565">
        <v>13.2</v>
      </c>
      <c r="J565">
        <v>1.6</v>
      </c>
      <c r="K565">
        <v>0</v>
      </c>
      <c r="L565">
        <v>8.3000000000000007</v>
      </c>
      <c r="M565">
        <v>0</v>
      </c>
      <c r="N565">
        <v>1148000</v>
      </c>
      <c r="O565">
        <v>1398829</v>
      </c>
      <c r="P565">
        <v>0</v>
      </c>
      <c r="Q565">
        <v>111</v>
      </c>
      <c r="R565">
        <v>29</v>
      </c>
      <c r="S565">
        <v>0</v>
      </c>
      <c r="T565">
        <v>999</v>
      </c>
      <c r="U565">
        <v>999</v>
      </c>
    </row>
    <row r="566" spans="1:21" x14ac:dyDescent="0.35">
      <c r="A566" t="s">
        <v>21</v>
      </c>
      <c r="B566" s="1">
        <v>45010</v>
      </c>
      <c r="C566" t="s">
        <v>27</v>
      </c>
      <c r="D566">
        <v>0</v>
      </c>
      <c r="E566">
        <v>0</v>
      </c>
      <c r="F566">
        <v>0</v>
      </c>
      <c r="G566">
        <v>0</v>
      </c>
      <c r="H566">
        <v>0</v>
      </c>
      <c r="I566">
        <v>0</v>
      </c>
      <c r="J566">
        <v>0</v>
      </c>
      <c r="K566">
        <v>0</v>
      </c>
      <c r="L566">
        <v>0</v>
      </c>
      <c r="M566">
        <v>0</v>
      </c>
      <c r="N566">
        <v>32972</v>
      </c>
      <c r="O566">
        <v>86480</v>
      </c>
      <c r="P566">
        <v>44563</v>
      </c>
      <c r="Q566">
        <v>0</v>
      </c>
      <c r="R566">
        <v>0</v>
      </c>
      <c r="S566">
        <v>0</v>
      </c>
      <c r="T566">
        <v>12</v>
      </c>
      <c r="U566">
        <v>17</v>
      </c>
    </row>
    <row r="567" spans="1:21" x14ac:dyDescent="0.35">
      <c r="A567" t="s">
        <v>28</v>
      </c>
      <c r="B567" s="1">
        <v>44846</v>
      </c>
      <c r="C567" t="s">
        <v>27</v>
      </c>
      <c r="D567">
        <v>221.3</v>
      </c>
      <c r="E567">
        <v>104.5</v>
      </c>
      <c r="F567">
        <v>134.80000000000001</v>
      </c>
      <c r="G567">
        <v>2.1</v>
      </c>
      <c r="H567">
        <v>1.6</v>
      </c>
      <c r="I567">
        <v>0</v>
      </c>
      <c r="J567">
        <v>0</v>
      </c>
      <c r="K567">
        <v>0</v>
      </c>
      <c r="L567">
        <v>0</v>
      </c>
      <c r="M567">
        <v>0</v>
      </c>
      <c r="N567">
        <v>33887</v>
      </c>
      <c r="O567">
        <v>86131</v>
      </c>
      <c r="P567">
        <v>44514</v>
      </c>
      <c r="Q567">
        <v>75</v>
      </c>
      <c r="R567">
        <v>90</v>
      </c>
      <c r="S567">
        <v>60</v>
      </c>
      <c r="T567">
        <v>12</v>
      </c>
      <c r="U567">
        <v>17</v>
      </c>
    </row>
    <row r="568" spans="1:21" x14ac:dyDescent="0.35">
      <c r="A568" t="s">
        <v>26</v>
      </c>
      <c r="B568" s="1">
        <v>45199</v>
      </c>
      <c r="C568" t="s">
        <v>24</v>
      </c>
      <c r="D568">
        <v>0</v>
      </c>
      <c r="E568">
        <v>0</v>
      </c>
      <c r="F568">
        <v>0</v>
      </c>
      <c r="G568">
        <v>0</v>
      </c>
      <c r="H568">
        <v>0</v>
      </c>
      <c r="I568">
        <v>0</v>
      </c>
      <c r="J568">
        <v>0</v>
      </c>
      <c r="K568">
        <v>0</v>
      </c>
      <c r="L568">
        <v>0</v>
      </c>
      <c r="M568">
        <v>0</v>
      </c>
      <c r="N568">
        <v>89396</v>
      </c>
      <c r="O568">
        <v>82669</v>
      </c>
      <c r="P568">
        <v>21266</v>
      </c>
      <c r="Q568">
        <v>0</v>
      </c>
      <c r="R568">
        <v>0</v>
      </c>
      <c r="S568">
        <v>0</v>
      </c>
      <c r="T568">
        <v>5</v>
      </c>
      <c r="U568">
        <v>11</v>
      </c>
    </row>
    <row r="569" spans="1:21" x14ac:dyDescent="0.35">
      <c r="A569" t="s">
        <v>21</v>
      </c>
      <c r="B569" s="1">
        <v>44683</v>
      </c>
      <c r="C569" t="s">
        <v>31</v>
      </c>
      <c r="D569">
        <v>24.1</v>
      </c>
      <c r="E569">
        <v>30.1</v>
      </c>
      <c r="F569">
        <v>7.4</v>
      </c>
      <c r="G569">
        <v>0.8</v>
      </c>
      <c r="H569">
        <v>3.3</v>
      </c>
      <c r="I569">
        <v>0</v>
      </c>
      <c r="J569">
        <v>0</v>
      </c>
      <c r="K569">
        <v>0</v>
      </c>
      <c r="L569">
        <v>0</v>
      </c>
      <c r="M569">
        <v>0</v>
      </c>
      <c r="N569">
        <v>49755</v>
      </c>
      <c r="O569">
        <v>59749</v>
      </c>
      <c r="P569">
        <v>148949</v>
      </c>
      <c r="Q569">
        <v>12</v>
      </c>
      <c r="R569">
        <v>18</v>
      </c>
      <c r="S569">
        <v>11</v>
      </c>
      <c r="T569">
        <v>65</v>
      </c>
      <c r="U569">
        <v>79</v>
      </c>
    </row>
    <row r="570" spans="1:21" x14ac:dyDescent="0.35">
      <c r="A570" t="s">
        <v>28</v>
      </c>
      <c r="B570" s="1">
        <v>44259</v>
      </c>
      <c r="C570" t="s">
        <v>32</v>
      </c>
      <c r="D570">
        <v>73.8</v>
      </c>
      <c r="E570">
        <v>0</v>
      </c>
      <c r="F570">
        <v>0</v>
      </c>
      <c r="G570">
        <v>0</v>
      </c>
      <c r="H570">
        <v>0</v>
      </c>
      <c r="I570">
        <v>0</v>
      </c>
      <c r="J570">
        <v>0</v>
      </c>
      <c r="K570">
        <v>0</v>
      </c>
      <c r="L570">
        <v>0</v>
      </c>
      <c r="M570">
        <v>0</v>
      </c>
      <c r="N570">
        <v>162642</v>
      </c>
      <c r="O570">
        <v>0</v>
      </c>
      <c r="P570">
        <v>0</v>
      </c>
      <c r="Q570">
        <v>120</v>
      </c>
      <c r="R570">
        <v>0</v>
      </c>
      <c r="S570">
        <v>0</v>
      </c>
      <c r="T570">
        <v>0</v>
      </c>
      <c r="U570">
        <v>4</v>
      </c>
    </row>
    <row r="571" spans="1:21" x14ac:dyDescent="0.35">
      <c r="A571" t="s">
        <v>28</v>
      </c>
      <c r="B571" s="1">
        <v>44657</v>
      </c>
      <c r="C571" t="s">
        <v>24</v>
      </c>
      <c r="D571">
        <v>250.9</v>
      </c>
      <c r="E571">
        <v>390.3</v>
      </c>
      <c r="F571">
        <v>335.2</v>
      </c>
      <c r="G571">
        <v>0.6</v>
      </c>
      <c r="H571">
        <v>0.7</v>
      </c>
      <c r="I571">
        <v>0</v>
      </c>
      <c r="J571">
        <v>0</v>
      </c>
      <c r="K571">
        <v>0</v>
      </c>
      <c r="L571">
        <v>0</v>
      </c>
      <c r="M571">
        <v>0</v>
      </c>
      <c r="N571">
        <v>100456</v>
      </c>
      <c r="O571">
        <v>94553</v>
      </c>
      <c r="P571">
        <v>895</v>
      </c>
      <c r="Q571">
        <v>252</v>
      </c>
      <c r="R571">
        <v>369</v>
      </c>
      <c r="S571">
        <v>3</v>
      </c>
      <c r="T571">
        <v>5</v>
      </c>
      <c r="U571">
        <v>11</v>
      </c>
    </row>
    <row r="572" spans="1:21" x14ac:dyDescent="0.35">
      <c r="A572" t="s">
        <v>21</v>
      </c>
      <c r="B572" s="1">
        <v>44599</v>
      </c>
      <c r="C572" t="s">
        <v>32</v>
      </c>
      <c r="D572">
        <v>0</v>
      </c>
      <c r="E572">
        <v>0</v>
      </c>
      <c r="F572">
        <v>0</v>
      </c>
      <c r="G572">
        <v>0</v>
      </c>
      <c r="H572">
        <v>0</v>
      </c>
      <c r="I572">
        <v>0</v>
      </c>
      <c r="J572">
        <v>0</v>
      </c>
      <c r="K572">
        <v>0</v>
      </c>
      <c r="L572">
        <v>0</v>
      </c>
      <c r="M572">
        <v>0</v>
      </c>
      <c r="N572">
        <v>162642</v>
      </c>
      <c r="O572">
        <v>0</v>
      </c>
      <c r="P572">
        <v>0</v>
      </c>
      <c r="Q572">
        <v>0</v>
      </c>
      <c r="R572">
        <v>0</v>
      </c>
      <c r="S572">
        <v>0</v>
      </c>
      <c r="T572">
        <v>0</v>
      </c>
      <c r="U572">
        <v>4</v>
      </c>
    </row>
    <row r="573" spans="1:21" x14ac:dyDescent="0.35">
      <c r="A573" t="s">
        <v>26</v>
      </c>
      <c r="B573" s="1">
        <v>44385</v>
      </c>
      <c r="C573" t="s">
        <v>23</v>
      </c>
      <c r="D573">
        <v>34.1</v>
      </c>
      <c r="E573">
        <v>2.2000000000000002</v>
      </c>
      <c r="F573">
        <v>0</v>
      </c>
      <c r="G573">
        <v>15.5</v>
      </c>
      <c r="H573">
        <v>0</v>
      </c>
      <c r="I573">
        <v>0</v>
      </c>
      <c r="J573">
        <v>0</v>
      </c>
      <c r="K573">
        <v>0</v>
      </c>
      <c r="L573">
        <v>0</v>
      </c>
      <c r="M573">
        <v>0</v>
      </c>
      <c r="N573">
        <v>96770</v>
      </c>
      <c r="O573">
        <v>316026</v>
      </c>
      <c r="P573">
        <v>0</v>
      </c>
      <c r="Q573">
        <v>33</v>
      </c>
      <c r="R573">
        <v>7</v>
      </c>
      <c r="S573">
        <v>0</v>
      </c>
      <c r="T573">
        <v>50</v>
      </c>
      <c r="U573">
        <v>64</v>
      </c>
    </row>
    <row r="574" spans="1:21" x14ac:dyDescent="0.35">
      <c r="A574" t="s">
        <v>26</v>
      </c>
      <c r="B574" s="1">
        <v>44954</v>
      </c>
      <c r="C574" t="s">
        <v>30</v>
      </c>
      <c r="D574">
        <v>20.2</v>
      </c>
      <c r="E574">
        <v>70.3</v>
      </c>
      <c r="F574">
        <v>38.200000000000003</v>
      </c>
      <c r="G574">
        <v>0.3</v>
      </c>
      <c r="H574">
        <v>0.5</v>
      </c>
      <c r="I574">
        <v>0</v>
      </c>
      <c r="J574">
        <v>0</v>
      </c>
      <c r="K574">
        <v>0</v>
      </c>
      <c r="L574">
        <v>0</v>
      </c>
      <c r="M574">
        <v>0</v>
      </c>
      <c r="N574">
        <v>24736</v>
      </c>
      <c r="O574">
        <v>11376</v>
      </c>
      <c r="P574">
        <v>47117</v>
      </c>
      <c r="Q574">
        <v>5</v>
      </c>
      <c r="R574">
        <v>8</v>
      </c>
      <c r="S574">
        <v>18</v>
      </c>
      <c r="T574">
        <v>80</v>
      </c>
      <c r="U574">
        <v>200</v>
      </c>
    </row>
    <row r="575" spans="1:21" x14ac:dyDescent="0.35">
      <c r="A575" t="s">
        <v>26</v>
      </c>
      <c r="B575" s="1">
        <v>44683</v>
      </c>
      <c r="C575" t="s">
        <v>29</v>
      </c>
      <c r="D575">
        <v>12.7</v>
      </c>
      <c r="E575">
        <v>5.2</v>
      </c>
      <c r="F575">
        <v>2.8</v>
      </c>
      <c r="G575">
        <v>2.4</v>
      </c>
      <c r="H575">
        <v>4.5</v>
      </c>
      <c r="I575">
        <v>0</v>
      </c>
      <c r="J575">
        <v>0</v>
      </c>
      <c r="K575">
        <v>0</v>
      </c>
      <c r="L575">
        <v>0</v>
      </c>
      <c r="M575">
        <v>0</v>
      </c>
      <c r="N575">
        <v>142252</v>
      </c>
      <c r="O575">
        <v>308500</v>
      </c>
      <c r="P575">
        <v>286318</v>
      </c>
      <c r="Q575">
        <v>18</v>
      </c>
      <c r="R575">
        <v>16</v>
      </c>
      <c r="S575">
        <v>8</v>
      </c>
      <c r="T575">
        <v>30</v>
      </c>
      <c r="U575">
        <v>49</v>
      </c>
    </row>
    <row r="576" spans="1:21" x14ac:dyDescent="0.35">
      <c r="A576" t="s">
        <v>21</v>
      </c>
      <c r="B576" s="1">
        <v>45164</v>
      </c>
      <c r="C576" t="s">
        <v>23</v>
      </c>
      <c r="D576">
        <v>0</v>
      </c>
      <c r="E576">
        <v>0</v>
      </c>
      <c r="F576">
        <v>0</v>
      </c>
      <c r="G576">
        <v>0</v>
      </c>
      <c r="H576">
        <v>0</v>
      </c>
      <c r="I576">
        <v>0</v>
      </c>
      <c r="J576">
        <v>0</v>
      </c>
      <c r="K576">
        <v>0</v>
      </c>
      <c r="L576">
        <v>0</v>
      </c>
      <c r="M576">
        <v>0</v>
      </c>
      <c r="N576">
        <v>32353</v>
      </c>
      <c r="O576">
        <v>125723</v>
      </c>
      <c r="P576">
        <v>246939</v>
      </c>
      <c r="Q576">
        <v>0</v>
      </c>
      <c r="R576">
        <v>0</v>
      </c>
      <c r="S576">
        <v>0</v>
      </c>
      <c r="T576">
        <v>50</v>
      </c>
      <c r="U576">
        <v>64</v>
      </c>
    </row>
    <row r="577" spans="1:21" x14ac:dyDescent="0.35">
      <c r="A577" t="s">
        <v>21</v>
      </c>
      <c r="B577" s="1">
        <v>44898</v>
      </c>
      <c r="C577" t="s">
        <v>22</v>
      </c>
      <c r="D577">
        <v>1.2</v>
      </c>
      <c r="E577">
        <v>0.7</v>
      </c>
      <c r="F577">
        <v>0.2</v>
      </c>
      <c r="G577">
        <v>1.7</v>
      </c>
      <c r="H577">
        <v>6</v>
      </c>
      <c r="I577">
        <v>1.3</v>
      </c>
      <c r="J577">
        <v>1.1000000000000001</v>
      </c>
      <c r="K577">
        <v>0.1</v>
      </c>
      <c r="L577">
        <v>1.2</v>
      </c>
      <c r="M577">
        <v>11.3</v>
      </c>
      <c r="N577">
        <v>664996</v>
      </c>
      <c r="O577">
        <v>907380</v>
      </c>
      <c r="P577">
        <v>911102</v>
      </c>
      <c r="Q577">
        <v>8</v>
      </c>
      <c r="R577">
        <v>6</v>
      </c>
      <c r="S577">
        <v>2</v>
      </c>
      <c r="T577">
        <v>999</v>
      </c>
      <c r="U577">
        <v>999</v>
      </c>
    </row>
    <row r="578" spans="1:21" x14ac:dyDescent="0.35">
      <c r="A578" t="s">
        <v>21</v>
      </c>
      <c r="B578" s="1">
        <v>45178</v>
      </c>
      <c r="C578" t="s">
        <v>30</v>
      </c>
      <c r="D578">
        <v>0</v>
      </c>
      <c r="E578">
        <v>0</v>
      </c>
      <c r="F578">
        <v>0</v>
      </c>
      <c r="G578">
        <v>0</v>
      </c>
      <c r="H578">
        <v>0</v>
      </c>
      <c r="I578">
        <v>0</v>
      </c>
      <c r="J578">
        <v>0</v>
      </c>
      <c r="K578">
        <v>0</v>
      </c>
      <c r="L578">
        <v>0</v>
      </c>
      <c r="M578">
        <v>0</v>
      </c>
      <c r="N578">
        <v>24452</v>
      </c>
      <c r="O578">
        <v>11380</v>
      </c>
      <c r="P578">
        <v>47133</v>
      </c>
      <c r="Q578">
        <v>0</v>
      </c>
      <c r="R578">
        <v>0</v>
      </c>
      <c r="S578">
        <v>0</v>
      </c>
      <c r="T578">
        <v>80</v>
      </c>
      <c r="U578">
        <v>200</v>
      </c>
    </row>
    <row r="579" spans="1:21" x14ac:dyDescent="0.35">
      <c r="A579" t="s">
        <v>26</v>
      </c>
      <c r="B579" s="1">
        <v>44786</v>
      </c>
      <c r="C579" t="s">
        <v>27</v>
      </c>
      <c r="D579">
        <v>5.6</v>
      </c>
      <c r="E579">
        <v>1.1000000000000001</v>
      </c>
      <c r="F579">
        <v>0</v>
      </c>
      <c r="G579">
        <v>5.0999999999999996</v>
      </c>
      <c r="H579">
        <v>0</v>
      </c>
      <c r="I579">
        <v>0</v>
      </c>
      <c r="J579">
        <v>0</v>
      </c>
      <c r="K579">
        <v>0</v>
      </c>
      <c r="L579">
        <v>0</v>
      </c>
      <c r="M579">
        <v>0</v>
      </c>
      <c r="N579">
        <v>35638</v>
      </c>
      <c r="O579">
        <v>88571</v>
      </c>
      <c r="P579">
        <v>41021</v>
      </c>
      <c r="Q579">
        <v>2</v>
      </c>
      <c r="R579">
        <v>1</v>
      </c>
      <c r="S579">
        <v>0</v>
      </c>
      <c r="T579">
        <v>12</v>
      </c>
      <c r="U579">
        <v>17</v>
      </c>
    </row>
    <row r="580" spans="1:21" x14ac:dyDescent="0.35">
      <c r="A580" t="s">
        <v>26</v>
      </c>
      <c r="B580" s="1">
        <v>44926</v>
      </c>
      <c r="C580" t="s">
        <v>24</v>
      </c>
      <c r="D580">
        <v>0</v>
      </c>
      <c r="E580">
        <v>1.2</v>
      </c>
      <c r="F580">
        <v>0</v>
      </c>
      <c r="G580">
        <v>0</v>
      </c>
      <c r="H580">
        <v>0</v>
      </c>
      <c r="I580">
        <v>0</v>
      </c>
      <c r="J580">
        <v>0</v>
      </c>
      <c r="K580">
        <v>0</v>
      </c>
      <c r="L580">
        <v>0</v>
      </c>
      <c r="M580">
        <v>0</v>
      </c>
      <c r="N580">
        <v>92435</v>
      </c>
      <c r="O580">
        <v>81534</v>
      </c>
      <c r="P580">
        <v>21158</v>
      </c>
      <c r="Q580">
        <v>0</v>
      </c>
      <c r="R580">
        <v>1</v>
      </c>
      <c r="S580">
        <v>0</v>
      </c>
      <c r="T580">
        <v>5</v>
      </c>
      <c r="U580">
        <v>11</v>
      </c>
    </row>
    <row r="581" spans="1:21" x14ac:dyDescent="0.35">
      <c r="A581" t="s">
        <v>21</v>
      </c>
      <c r="B581" s="1">
        <v>44772</v>
      </c>
      <c r="C581" t="s">
        <v>27</v>
      </c>
      <c r="D581">
        <v>0</v>
      </c>
      <c r="E581">
        <v>0</v>
      </c>
      <c r="F581">
        <v>0</v>
      </c>
      <c r="G581">
        <v>0</v>
      </c>
      <c r="H581">
        <v>0</v>
      </c>
      <c r="I581">
        <v>0</v>
      </c>
      <c r="J581">
        <v>0</v>
      </c>
      <c r="K581">
        <v>0</v>
      </c>
      <c r="L581">
        <v>0</v>
      </c>
      <c r="M581">
        <v>0</v>
      </c>
      <c r="N581">
        <v>35932</v>
      </c>
      <c r="O581">
        <v>89736</v>
      </c>
      <c r="P581">
        <v>39673</v>
      </c>
      <c r="Q581">
        <v>0</v>
      </c>
      <c r="R581">
        <v>0</v>
      </c>
      <c r="S581">
        <v>0</v>
      </c>
      <c r="T581">
        <v>12</v>
      </c>
      <c r="U581">
        <v>17</v>
      </c>
    </row>
    <row r="582" spans="1:21" x14ac:dyDescent="0.35">
      <c r="A582" t="s">
        <v>26</v>
      </c>
      <c r="B582" s="1">
        <v>45205</v>
      </c>
      <c r="C582" t="s">
        <v>22</v>
      </c>
      <c r="D582">
        <v>2.2000000000000002</v>
      </c>
      <c r="E582">
        <v>0.6</v>
      </c>
      <c r="F582">
        <v>2.7</v>
      </c>
      <c r="G582">
        <v>3.7</v>
      </c>
      <c r="H582">
        <v>0.8</v>
      </c>
      <c r="I582">
        <v>3.3</v>
      </c>
      <c r="J582">
        <v>0.7</v>
      </c>
      <c r="K582">
        <v>2</v>
      </c>
      <c r="L582">
        <v>5</v>
      </c>
      <c r="M582">
        <v>1.7</v>
      </c>
      <c r="N582">
        <v>534086</v>
      </c>
      <c r="O582">
        <v>860351</v>
      </c>
      <c r="P582">
        <v>1040691</v>
      </c>
      <c r="Q582">
        <v>12</v>
      </c>
      <c r="R582">
        <v>5</v>
      </c>
      <c r="S582">
        <v>28</v>
      </c>
      <c r="T582">
        <v>999</v>
      </c>
      <c r="U582">
        <v>999</v>
      </c>
    </row>
    <row r="583" spans="1:21" x14ac:dyDescent="0.35">
      <c r="A583" t="s">
        <v>26</v>
      </c>
      <c r="B583" s="1">
        <v>45205</v>
      </c>
      <c r="C583" t="s">
        <v>31</v>
      </c>
      <c r="D583">
        <v>7.6</v>
      </c>
      <c r="E583">
        <v>2.2999999999999998</v>
      </c>
      <c r="F583">
        <v>8.6999999999999993</v>
      </c>
      <c r="G583">
        <v>3.3</v>
      </c>
      <c r="H583">
        <v>0.9</v>
      </c>
      <c r="I583">
        <v>0</v>
      </c>
      <c r="J583">
        <v>0</v>
      </c>
      <c r="K583">
        <v>0</v>
      </c>
      <c r="L583">
        <v>0</v>
      </c>
      <c r="M583">
        <v>0</v>
      </c>
      <c r="N583">
        <v>39441</v>
      </c>
      <c r="O583">
        <v>43434</v>
      </c>
      <c r="P583">
        <v>171732</v>
      </c>
      <c r="Q583">
        <v>3</v>
      </c>
      <c r="R583">
        <v>1</v>
      </c>
      <c r="S583">
        <v>15</v>
      </c>
      <c r="T583">
        <v>65</v>
      </c>
      <c r="U583">
        <v>79</v>
      </c>
    </row>
    <row r="584" spans="1:21" x14ac:dyDescent="0.35">
      <c r="A584" t="s">
        <v>26</v>
      </c>
      <c r="B584" s="1">
        <v>44358</v>
      </c>
      <c r="C584" t="s">
        <v>30</v>
      </c>
      <c r="D584">
        <v>54.1</v>
      </c>
      <c r="E584">
        <v>22.8</v>
      </c>
      <c r="F584">
        <v>18</v>
      </c>
      <c r="G584">
        <v>2.4</v>
      </c>
      <c r="H584">
        <v>3</v>
      </c>
      <c r="I584">
        <v>0</v>
      </c>
      <c r="J584">
        <v>0</v>
      </c>
      <c r="K584">
        <v>0</v>
      </c>
      <c r="L584">
        <v>0</v>
      </c>
      <c r="M584">
        <v>0</v>
      </c>
      <c r="N584">
        <v>29553</v>
      </c>
      <c r="O584">
        <v>43800</v>
      </c>
      <c r="P584">
        <v>11093</v>
      </c>
      <c r="Q584">
        <v>16</v>
      </c>
      <c r="R584">
        <v>10</v>
      </c>
      <c r="S584">
        <v>2</v>
      </c>
      <c r="T584">
        <v>80</v>
      </c>
      <c r="U584">
        <v>200</v>
      </c>
    </row>
    <row r="585" spans="1:21" x14ac:dyDescent="0.35">
      <c r="A585" t="s">
        <v>28</v>
      </c>
      <c r="B585" s="1">
        <v>45233</v>
      </c>
      <c r="C585" t="s">
        <v>22</v>
      </c>
      <c r="D585">
        <v>101.2</v>
      </c>
      <c r="E585">
        <v>60.1</v>
      </c>
      <c r="F585">
        <v>80.2</v>
      </c>
      <c r="G585">
        <v>1.7</v>
      </c>
      <c r="H585">
        <v>1.3</v>
      </c>
      <c r="I585">
        <v>120.6</v>
      </c>
      <c r="J585">
        <v>62.1</v>
      </c>
      <c r="K585">
        <v>80.3</v>
      </c>
      <c r="L585">
        <v>1.9</v>
      </c>
      <c r="M585">
        <v>1.5</v>
      </c>
      <c r="N585">
        <v>543537</v>
      </c>
      <c r="O585">
        <v>858035</v>
      </c>
      <c r="P585">
        <v>1040472</v>
      </c>
      <c r="Q585">
        <v>550</v>
      </c>
      <c r="R585">
        <v>516</v>
      </c>
      <c r="S585">
        <v>834</v>
      </c>
      <c r="T585">
        <v>999</v>
      </c>
      <c r="U585">
        <v>999</v>
      </c>
    </row>
    <row r="586" spans="1:21" x14ac:dyDescent="0.35">
      <c r="A586" t="s">
        <v>21</v>
      </c>
      <c r="B586" s="1">
        <v>45129</v>
      </c>
      <c r="C586" t="s">
        <v>23</v>
      </c>
      <c r="D586">
        <v>0</v>
      </c>
      <c r="E586">
        <v>0</v>
      </c>
      <c r="F586">
        <v>0</v>
      </c>
      <c r="G586">
        <v>0</v>
      </c>
      <c r="H586">
        <v>0</v>
      </c>
      <c r="I586">
        <v>0</v>
      </c>
      <c r="J586">
        <v>0</v>
      </c>
      <c r="K586">
        <v>0</v>
      </c>
      <c r="L586">
        <v>0</v>
      </c>
      <c r="M586">
        <v>0</v>
      </c>
      <c r="N586">
        <v>32565</v>
      </c>
      <c r="O586">
        <v>125729</v>
      </c>
      <c r="P586">
        <v>246933</v>
      </c>
      <c r="Q586">
        <v>0</v>
      </c>
      <c r="R586">
        <v>0</v>
      </c>
      <c r="S586">
        <v>0</v>
      </c>
      <c r="T586">
        <v>50</v>
      </c>
      <c r="U586">
        <v>64</v>
      </c>
    </row>
    <row r="587" spans="1:21" x14ac:dyDescent="0.35">
      <c r="A587" t="s">
        <v>28</v>
      </c>
      <c r="B587" s="1">
        <v>44611</v>
      </c>
      <c r="C587" t="s">
        <v>24</v>
      </c>
      <c r="D587">
        <v>99.2</v>
      </c>
      <c r="E587">
        <v>150.5</v>
      </c>
      <c r="F587">
        <v>0</v>
      </c>
      <c r="G587">
        <v>0.7</v>
      </c>
      <c r="H587">
        <v>0</v>
      </c>
      <c r="I587">
        <v>0</v>
      </c>
      <c r="J587">
        <v>0</v>
      </c>
      <c r="K587">
        <v>0</v>
      </c>
      <c r="L587">
        <v>0</v>
      </c>
      <c r="M587">
        <v>0</v>
      </c>
      <c r="N587">
        <v>107897</v>
      </c>
      <c r="O587">
        <v>74396</v>
      </c>
      <c r="P587">
        <v>0</v>
      </c>
      <c r="Q587">
        <v>107</v>
      </c>
      <c r="R587">
        <v>112</v>
      </c>
      <c r="S587">
        <v>0</v>
      </c>
      <c r="T587">
        <v>5</v>
      </c>
      <c r="U587">
        <v>11</v>
      </c>
    </row>
    <row r="588" spans="1:21" x14ac:dyDescent="0.35">
      <c r="A588" t="s">
        <v>26</v>
      </c>
      <c r="B588" s="1">
        <v>45142</v>
      </c>
      <c r="C588" t="s">
        <v>23</v>
      </c>
      <c r="D588">
        <v>12</v>
      </c>
      <c r="E588">
        <v>2.4</v>
      </c>
      <c r="F588">
        <v>2.4</v>
      </c>
      <c r="G588">
        <v>5</v>
      </c>
      <c r="H588">
        <v>5</v>
      </c>
      <c r="I588">
        <v>0</v>
      </c>
      <c r="J588">
        <v>0</v>
      </c>
      <c r="K588">
        <v>0</v>
      </c>
      <c r="L588">
        <v>0</v>
      </c>
      <c r="M588">
        <v>0</v>
      </c>
      <c r="N588">
        <v>33404</v>
      </c>
      <c r="O588">
        <v>125694</v>
      </c>
      <c r="P588">
        <v>246895</v>
      </c>
      <c r="Q588">
        <v>4</v>
      </c>
      <c r="R588">
        <v>3</v>
      </c>
      <c r="S588">
        <v>6</v>
      </c>
      <c r="T588">
        <v>50</v>
      </c>
      <c r="U588">
        <v>64</v>
      </c>
    </row>
    <row r="589" spans="1:21" x14ac:dyDescent="0.35">
      <c r="A589" t="s">
        <v>26</v>
      </c>
      <c r="B589" s="1">
        <v>44413</v>
      </c>
      <c r="C589" t="s">
        <v>22</v>
      </c>
      <c r="D589">
        <v>19.600000000000001</v>
      </c>
      <c r="E589">
        <v>2.6</v>
      </c>
      <c r="F589">
        <v>0</v>
      </c>
      <c r="G589">
        <v>7.5</v>
      </c>
      <c r="H589">
        <v>0</v>
      </c>
      <c r="I589">
        <v>26.2</v>
      </c>
      <c r="J589">
        <v>1.6</v>
      </c>
      <c r="K589">
        <v>0</v>
      </c>
      <c r="L589">
        <v>16.899999999999999</v>
      </c>
      <c r="M589">
        <v>0</v>
      </c>
      <c r="N589">
        <v>1432023</v>
      </c>
      <c r="O589">
        <v>822199</v>
      </c>
      <c r="P589">
        <v>0</v>
      </c>
      <c r="Q589">
        <v>280</v>
      </c>
      <c r="R589">
        <v>21</v>
      </c>
      <c r="S589">
        <v>0</v>
      </c>
      <c r="T589">
        <v>999</v>
      </c>
      <c r="U589">
        <v>999</v>
      </c>
    </row>
    <row r="590" spans="1:21" x14ac:dyDescent="0.35">
      <c r="A590" t="s">
        <v>28</v>
      </c>
      <c r="B590" s="1">
        <v>44808</v>
      </c>
      <c r="C590" t="s">
        <v>25</v>
      </c>
      <c r="D590">
        <v>178.2</v>
      </c>
      <c r="E590">
        <v>72.900000000000006</v>
      </c>
      <c r="F590">
        <v>191.3</v>
      </c>
      <c r="G590">
        <v>2.4</v>
      </c>
      <c r="H590">
        <v>0.9</v>
      </c>
      <c r="I590">
        <v>0</v>
      </c>
      <c r="J590">
        <v>0</v>
      </c>
      <c r="K590">
        <v>0</v>
      </c>
      <c r="L590">
        <v>0</v>
      </c>
      <c r="M590">
        <v>0</v>
      </c>
      <c r="N590">
        <v>98229</v>
      </c>
      <c r="O590">
        <v>219416</v>
      </c>
      <c r="P590">
        <v>147442</v>
      </c>
      <c r="Q590">
        <v>175</v>
      </c>
      <c r="R590">
        <v>160</v>
      </c>
      <c r="S590">
        <v>282</v>
      </c>
      <c r="T590">
        <v>18</v>
      </c>
      <c r="U590">
        <v>29</v>
      </c>
    </row>
    <row r="591" spans="1:21" x14ac:dyDescent="0.35">
      <c r="A591" t="s">
        <v>21</v>
      </c>
      <c r="B591" s="1">
        <v>44358</v>
      </c>
      <c r="C591" t="s">
        <v>27</v>
      </c>
      <c r="D591">
        <v>0</v>
      </c>
      <c r="E591">
        <v>0</v>
      </c>
      <c r="F591">
        <v>0</v>
      </c>
      <c r="G591">
        <v>0</v>
      </c>
      <c r="H591">
        <v>0</v>
      </c>
      <c r="I591">
        <v>0</v>
      </c>
      <c r="J591">
        <v>0</v>
      </c>
      <c r="K591">
        <v>0</v>
      </c>
      <c r="L591">
        <v>0</v>
      </c>
      <c r="M591">
        <v>0</v>
      </c>
      <c r="N591">
        <v>63281</v>
      </c>
      <c r="O591">
        <v>101846</v>
      </c>
      <c r="P591">
        <v>0</v>
      </c>
      <c r="Q591">
        <v>0</v>
      </c>
      <c r="R591">
        <v>0</v>
      </c>
      <c r="S591">
        <v>0</v>
      </c>
      <c r="T591">
        <v>12</v>
      </c>
      <c r="U591">
        <v>17</v>
      </c>
    </row>
    <row r="592" spans="1:21" x14ac:dyDescent="0.35">
      <c r="A592" t="s">
        <v>28</v>
      </c>
      <c r="B592" s="1">
        <v>44629</v>
      </c>
      <c r="C592" t="s">
        <v>22</v>
      </c>
      <c r="D592">
        <v>206.3</v>
      </c>
      <c r="E592">
        <v>122</v>
      </c>
      <c r="F592">
        <v>156.9</v>
      </c>
      <c r="G592">
        <v>1.7</v>
      </c>
      <c r="H592">
        <v>1.3</v>
      </c>
      <c r="I592">
        <v>236.5</v>
      </c>
      <c r="J592">
        <v>119.9</v>
      </c>
      <c r="K592">
        <v>150.30000000000001</v>
      </c>
      <c r="L592">
        <v>2</v>
      </c>
      <c r="M592">
        <v>1.6</v>
      </c>
      <c r="N592">
        <v>604544</v>
      </c>
      <c r="O592">
        <v>842367</v>
      </c>
      <c r="P592">
        <v>1030965</v>
      </c>
      <c r="Q592">
        <v>1247</v>
      </c>
      <c r="R592">
        <v>1028</v>
      </c>
      <c r="S592">
        <v>1618</v>
      </c>
      <c r="T592">
        <v>999</v>
      </c>
      <c r="U592">
        <v>999</v>
      </c>
    </row>
    <row r="593" spans="1:21" x14ac:dyDescent="0.35">
      <c r="A593" t="s">
        <v>28</v>
      </c>
      <c r="B593" s="1">
        <v>45019</v>
      </c>
      <c r="C593" t="s">
        <v>30</v>
      </c>
      <c r="D593">
        <v>109.4</v>
      </c>
      <c r="E593">
        <v>140.6</v>
      </c>
      <c r="F593">
        <v>152.80000000000001</v>
      </c>
      <c r="G593">
        <v>0.8</v>
      </c>
      <c r="H593">
        <v>0.7</v>
      </c>
      <c r="I593">
        <v>0</v>
      </c>
      <c r="J593">
        <v>0</v>
      </c>
      <c r="K593">
        <v>0</v>
      </c>
      <c r="L593">
        <v>0</v>
      </c>
      <c r="M593">
        <v>0</v>
      </c>
      <c r="N593">
        <v>24686</v>
      </c>
      <c r="O593">
        <v>11377</v>
      </c>
      <c r="P593">
        <v>47125</v>
      </c>
      <c r="Q593">
        <v>27</v>
      </c>
      <c r="R593">
        <v>16</v>
      </c>
      <c r="S593">
        <v>72</v>
      </c>
      <c r="T593">
        <v>80</v>
      </c>
      <c r="U593">
        <v>200</v>
      </c>
    </row>
    <row r="594" spans="1:21" x14ac:dyDescent="0.35">
      <c r="A594" t="s">
        <v>28</v>
      </c>
      <c r="B594" s="1">
        <v>45145</v>
      </c>
      <c r="C594" t="s">
        <v>23</v>
      </c>
      <c r="D594">
        <v>21.4</v>
      </c>
      <c r="E594">
        <v>8</v>
      </c>
      <c r="F594">
        <v>10.1</v>
      </c>
      <c r="G594">
        <v>2.7</v>
      </c>
      <c r="H594">
        <v>2.1</v>
      </c>
      <c r="I594">
        <v>0</v>
      </c>
      <c r="J594">
        <v>0</v>
      </c>
      <c r="K594">
        <v>0</v>
      </c>
      <c r="L594">
        <v>0</v>
      </c>
      <c r="M594">
        <v>0</v>
      </c>
      <c r="N594">
        <v>32640</v>
      </c>
      <c r="O594">
        <v>125730</v>
      </c>
      <c r="P594">
        <v>246931</v>
      </c>
      <c r="Q594">
        <v>7</v>
      </c>
      <c r="R594">
        <v>10</v>
      </c>
      <c r="S594">
        <v>25</v>
      </c>
      <c r="T594">
        <v>50</v>
      </c>
      <c r="U594">
        <v>64</v>
      </c>
    </row>
    <row r="595" spans="1:21" x14ac:dyDescent="0.35">
      <c r="A595" t="s">
        <v>26</v>
      </c>
      <c r="B595" s="1">
        <v>44259</v>
      </c>
      <c r="C595" t="s">
        <v>25</v>
      </c>
      <c r="D595">
        <v>7</v>
      </c>
      <c r="E595">
        <v>0</v>
      </c>
      <c r="F595">
        <v>0</v>
      </c>
      <c r="G595">
        <v>0</v>
      </c>
      <c r="H595">
        <v>0</v>
      </c>
      <c r="I595">
        <v>0</v>
      </c>
      <c r="J595">
        <v>0</v>
      </c>
      <c r="K595">
        <v>0</v>
      </c>
      <c r="L595">
        <v>0</v>
      </c>
      <c r="M595">
        <v>0</v>
      </c>
      <c r="N595">
        <v>385176</v>
      </c>
      <c r="O595">
        <v>47882</v>
      </c>
      <c r="P595">
        <v>0</v>
      </c>
      <c r="Q595">
        <v>27</v>
      </c>
      <c r="R595">
        <v>0</v>
      </c>
      <c r="S595">
        <v>0</v>
      </c>
      <c r="T595">
        <v>18</v>
      </c>
      <c r="U595">
        <v>29</v>
      </c>
    </row>
    <row r="596" spans="1:21" x14ac:dyDescent="0.35">
      <c r="A596" t="s">
        <v>28</v>
      </c>
      <c r="B596" s="1">
        <v>44509</v>
      </c>
      <c r="C596" t="s">
        <v>31</v>
      </c>
      <c r="D596">
        <v>133.19999999999999</v>
      </c>
      <c r="E596">
        <v>48.4</v>
      </c>
      <c r="F596">
        <v>0</v>
      </c>
      <c r="G596">
        <v>2.8</v>
      </c>
      <c r="H596">
        <v>0</v>
      </c>
      <c r="I596">
        <v>0</v>
      </c>
      <c r="J596">
        <v>0</v>
      </c>
      <c r="K596">
        <v>0</v>
      </c>
      <c r="L596">
        <v>0</v>
      </c>
      <c r="M596">
        <v>0</v>
      </c>
      <c r="N596">
        <v>64570</v>
      </c>
      <c r="O596">
        <v>194208</v>
      </c>
      <c r="P596">
        <v>0</v>
      </c>
      <c r="Q596">
        <v>86</v>
      </c>
      <c r="R596">
        <v>94</v>
      </c>
      <c r="S596">
        <v>0</v>
      </c>
      <c r="T596">
        <v>65</v>
      </c>
      <c r="U596">
        <v>79</v>
      </c>
    </row>
    <row r="597" spans="1:21" x14ac:dyDescent="0.35">
      <c r="A597" t="s">
        <v>28</v>
      </c>
      <c r="B597" s="1">
        <v>45185</v>
      </c>
      <c r="C597" t="s">
        <v>32</v>
      </c>
      <c r="D597">
        <v>35.700000000000003</v>
      </c>
      <c r="E597">
        <v>1.2</v>
      </c>
      <c r="F597">
        <v>0</v>
      </c>
      <c r="G597">
        <v>29.8</v>
      </c>
      <c r="H597">
        <v>0</v>
      </c>
      <c r="I597">
        <v>0</v>
      </c>
      <c r="J597">
        <v>0</v>
      </c>
      <c r="K597">
        <v>0</v>
      </c>
      <c r="L597">
        <v>0</v>
      </c>
      <c r="M597">
        <v>0</v>
      </c>
      <c r="N597">
        <v>162642</v>
      </c>
      <c r="O597">
        <v>0</v>
      </c>
      <c r="P597">
        <v>0</v>
      </c>
      <c r="Q597">
        <v>58</v>
      </c>
      <c r="R597">
        <v>2</v>
      </c>
      <c r="S597">
        <v>0</v>
      </c>
      <c r="T597">
        <v>0</v>
      </c>
      <c r="U597">
        <v>4</v>
      </c>
    </row>
    <row r="598" spans="1:21" x14ac:dyDescent="0.35">
      <c r="A598" t="s">
        <v>28</v>
      </c>
      <c r="B598" s="1">
        <v>45082</v>
      </c>
      <c r="C598" t="s">
        <v>24</v>
      </c>
      <c r="D598">
        <v>38.5</v>
      </c>
      <c r="E598">
        <v>37.5</v>
      </c>
      <c r="F598">
        <v>89.5</v>
      </c>
      <c r="G598">
        <v>1</v>
      </c>
      <c r="H598">
        <v>0.4</v>
      </c>
      <c r="I598">
        <v>0</v>
      </c>
      <c r="J598">
        <v>0</v>
      </c>
      <c r="K598">
        <v>0</v>
      </c>
      <c r="L598">
        <v>0</v>
      </c>
      <c r="M598">
        <v>0</v>
      </c>
      <c r="N598">
        <v>90817</v>
      </c>
      <c r="O598">
        <v>82677</v>
      </c>
      <c r="P598">
        <v>21239</v>
      </c>
      <c r="Q598">
        <v>35</v>
      </c>
      <c r="R598">
        <v>31</v>
      </c>
      <c r="S598">
        <v>19</v>
      </c>
      <c r="T598">
        <v>5</v>
      </c>
      <c r="U598">
        <v>11</v>
      </c>
    </row>
    <row r="599" spans="1:21" x14ac:dyDescent="0.35">
      <c r="A599" t="s">
        <v>26</v>
      </c>
      <c r="B599" s="1">
        <v>44821</v>
      </c>
      <c r="C599" t="s">
        <v>31</v>
      </c>
      <c r="D599">
        <v>24.4</v>
      </c>
      <c r="E599">
        <v>20.7</v>
      </c>
      <c r="F599">
        <v>16.3</v>
      </c>
      <c r="G599">
        <v>1.2</v>
      </c>
      <c r="H599">
        <v>1.5</v>
      </c>
      <c r="I599">
        <v>0</v>
      </c>
      <c r="J599">
        <v>0</v>
      </c>
      <c r="K599">
        <v>0</v>
      </c>
      <c r="L599">
        <v>0</v>
      </c>
      <c r="M599">
        <v>0</v>
      </c>
      <c r="N599">
        <v>45164</v>
      </c>
      <c r="O599">
        <v>43419</v>
      </c>
      <c r="P599">
        <v>171309</v>
      </c>
      <c r="Q599">
        <v>11</v>
      </c>
      <c r="R599">
        <v>9</v>
      </c>
      <c r="S599">
        <v>28</v>
      </c>
      <c r="T599">
        <v>65</v>
      </c>
      <c r="U599">
        <v>79</v>
      </c>
    </row>
    <row r="600" spans="1:21" x14ac:dyDescent="0.35">
      <c r="A600" t="s">
        <v>21</v>
      </c>
      <c r="B600" s="1">
        <v>44394</v>
      </c>
      <c r="C600" t="s">
        <v>31</v>
      </c>
      <c r="D600">
        <v>2.8</v>
      </c>
      <c r="E600">
        <v>0</v>
      </c>
      <c r="F600">
        <v>0</v>
      </c>
      <c r="G600">
        <v>0</v>
      </c>
      <c r="H600">
        <v>0</v>
      </c>
      <c r="I600">
        <v>0</v>
      </c>
      <c r="J600">
        <v>0</v>
      </c>
      <c r="K600">
        <v>0</v>
      </c>
      <c r="L600">
        <v>0</v>
      </c>
      <c r="M600">
        <v>0</v>
      </c>
      <c r="N600">
        <v>71101</v>
      </c>
      <c r="O600">
        <v>190176</v>
      </c>
      <c r="P600">
        <v>0</v>
      </c>
      <c r="Q600">
        <v>2</v>
      </c>
      <c r="R600">
        <v>0</v>
      </c>
      <c r="S600">
        <v>0</v>
      </c>
      <c r="T600">
        <v>65</v>
      </c>
      <c r="U600">
        <v>79</v>
      </c>
    </row>
    <row r="601" spans="1:21" x14ac:dyDescent="0.35">
      <c r="A601" t="s">
        <v>26</v>
      </c>
      <c r="B601" s="1">
        <v>44737</v>
      </c>
      <c r="C601" t="s">
        <v>25</v>
      </c>
      <c r="D601">
        <v>12.8</v>
      </c>
      <c r="E601">
        <v>4.2</v>
      </c>
      <c r="F601">
        <v>1.3</v>
      </c>
      <c r="G601">
        <v>3</v>
      </c>
      <c r="H601">
        <v>9.8000000000000007</v>
      </c>
      <c r="I601">
        <v>0</v>
      </c>
      <c r="J601">
        <v>0</v>
      </c>
      <c r="K601">
        <v>0</v>
      </c>
      <c r="L601">
        <v>0</v>
      </c>
      <c r="M601">
        <v>0</v>
      </c>
      <c r="N601">
        <v>94060</v>
      </c>
      <c r="O601">
        <v>214919</v>
      </c>
      <c r="P601">
        <v>155323</v>
      </c>
      <c r="Q601">
        <v>12</v>
      </c>
      <c r="R601">
        <v>9</v>
      </c>
      <c r="S601">
        <v>2</v>
      </c>
      <c r="T601">
        <v>18</v>
      </c>
      <c r="U601">
        <v>29</v>
      </c>
    </row>
    <row r="602" spans="1:21" x14ac:dyDescent="0.35">
      <c r="A602" t="s">
        <v>26</v>
      </c>
      <c r="B602" s="1">
        <v>44512</v>
      </c>
      <c r="C602" t="s">
        <v>30</v>
      </c>
      <c r="D602">
        <v>94.9</v>
      </c>
      <c r="E602">
        <v>86.3</v>
      </c>
      <c r="F602">
        <v>17.899999999999999</v>
      </c>
      <c r="G602">
        <v>1.1000000000000001</v>
      </c>
      <c r="H602">
        <v>5.3</v>
      </c>
      <c r="I602">
        <v>0</v>
      </c>
      <c r="J602">
        <v>0</v>
      </c>
      <c r="K602">
        <v>0</v>
      </c>
      <c r="L602">
        <v>0</v>
      </c>
      <c r="M602">
        <v>0</v>
      </c>
      <c r="N602">
        <v>28442</v>
      </c>
      <c r="O602">
        <v>27803</v>
      </c>
      <c r="P602">
        <v>28010</v>
      </c>
      <c r="Q602">
        <v>27</v>
      </c>
      <c r="R602">
        <v>24</v>
      </c>
      <c r="S602">
        <v>5</v>
      </c>
      <c r="T602">
        <v>80</v>
      </c>
      <c r="U602">
        <v>200</v>
      </c>
    </row>
    <row r="603" spans="1:21" x14ac:dyDescent="0.35">
      <c r="A603" t="s">
        <v>28</v>
      </c>
      <c r="B603" s="1">
        <v>44871</v>
      </c>
      <c r="C603" t="s">
        <v>22</v>
      </c>
      <c r="D603">
        <v>264.7</v>
      </c>
      <c r="E603">
        <v>176.5</v>
      </c>
      <c r="F603">
        <v>269.3</v>
      </c>
      <c r="G603">
        <v>1.5</v>
      </c>
      <c r="H603">
        <v>1</v>
      </c>
      <c r="I603">
        <v>303</v>
      </c>
      <c r="J603">
        <v>167.2</v>
      </c>
      <c r="K603">
        <v>241.1</v>
      </c>
      <c r="L603">
        <v>1.8</v>
      </c>
      <c r="M603">
        <v>1.3</v>
      </c>
      <c r="N603">
        <v>640279</v>
      </c>
      <c r="O603">
        <v>874417</v>
      </c>
      <c r="P603">
        <v>979825</v>
      </c>
      <c r="Q603">
        <v>1695</v>
      </c>
      <c r="R603">
        <v>1543</v>
      </c>
      <c r="S603">
        <v>2639</v>
      </c>
      <c r="T603">
        <v>999</v>
      </c>
      <c r="U603">
        <v>999</v>
      </c>
    </row>
    <row r="604" spans="1:21" x14ac:dyDescent="0.35">
      <c r="A604" t="s">
        <v>21</v>
      </c>
      <c r="B604" s="1">
        <v>45108</v>
      </c>
      <c r="C604" t="s">
        <v>32</v>
      </c>
      <c r="D604">
        <v>0</v>
      </c>
      <c r="E604">
        <v>0</v>
      </c>
      <c r="F604">
        <v>0</v>
      </c>
      <c r="G604">
        <v>0</v>
      </c>
      <c r="H604">
        <v>0</v>
      </c>
      <c r="I604">
        <v>0</v>
      </c>
      <c r="J604">
        <v>0</v>
      </c>
      <c r="K604">
        <v>0</v>
      </c>
      <c r="L604">
        <v>0</v>
      </c>
      <c r="M604">
        <v>0</v>
      </c>
      <c r="N604">
        <v>162642</v>
      </c>
      <c r="O604">
        <v>0</v>
      </c>
      <c r="P604">
        <v>0</v>
      </c>
      <c r="Q604">
        <v>0</v>
      </c>
      <c r="R604">
        <v>0</v>
      </c>
      <c r="S604">
        <v>0</v>
      </c>
      <c r="T604">
        <v>0</v>
      </c>
      <c r="U604">
        <v>4</v>
      </c>
    </row>
    <row r="605" spans="1:21" x14ac:dyDescent="0.35">
      <c r="A605" t="s">
        <v>26</v>
      </c>
      <c r="B605" s="1">
        <v>44730</v>
      </c>
      <c r="C605" t="s">
        <v>25</v>
      </c>
      <c r="D605">
        <v>2.1</v>
      </c>
      <c r="E605">
        <v>4.2</v>
      </c>
      <c r="F605">
        <v>0.6</v>
      </c>
      <c r="G605">
        <v>0.5</v>
      </c>
      <c r="H605">
        <v>3.5</v>
      </c>
      <c r="I605">
        <v>0</v>
      </c>
      <c r="J605">
        <v>0</v>
      </c>
      <c r="K605">
        <v>0</v>
      </c>
      <c r="L605">
        <v>0</v>
      </c>
      <c r="M605">
        <v>0</v>
      </c>
      <c r="N605">
        <v>94340</v>
      </c>
      <c r="O605">
        <v>215224</v>
      </c>
      <c r="P605">
        <v>154755</v>
      </c>
      <c r="Q605">
        <v>2</v>
      </c>
      <c r="R605">
        <v>9</v>
      </c>
      <c r="S605">
        <v>1</v>
      </c>
      <c r="T605">
        <v>18</v>
      </c>
      <c r="U605">
        <v>29</v>
      </c>
    </row>
    <row r="606" spans="1:21" x14ac:dyDescent="0.35">
      <c r="A606" t="s">
        <v>21</v>
      </c>
      <c r="B606" s="1">
        <v>44520</v>
      </c>
      <c r="C606" t="s">
        <v>29</v>
      </c>
      <c r="D606">
        <v>1.6</v>
      </c>
      <c r="E606">
        <v>0</v>
      </c>
      <c r="F606">
        <v>0</v>
      </c>
      <c r="G606">
        <v>0</v>
      </c>
      <c r="H606">
        <v>0</v>
      </c>
      <c r="I606">
        <v>0</v>
      </c>
      <c r="J606">
        <v>0</v>
      </c>
      <c r="K606">
        <v>0</v>
      </c>
      <c r="L606">
        <v>0</v>
      </c>
      <c r="M606">
        <v>0</v>
      </c>
      <c r="N606">
        <v>192730</v>
      </c>
      <c r="O606">
        <v>502972</v>
      </c>
      <c r="P606">
        <v>63876</v>
      </c>
      <c r="Q606">
        <v>3</v>
      </c>
      <c r="R606">
        <v>0</v>
      </c>
      <c r="S606">
        <v>0</v>
      </c>
      <c r="T606">
        <v>30</v>
      </c>
      <c r="U606">
        <v>49</v>
      </c>
    </row>
    <row r="607" spans="1:21" x14ac:dyDescent="0.35">
      <c r="A607" t="s">
        <v>26</v>
      </c>
      <c r="B607" s="1">
        <v>44596</v>
      </c>
      <c r="C607" t="s">
        <v>23</v>
      </c>
      <c r="D607">
        <v>4.4000000000000004</v>
      </c>
      <c r="E607">
        <v>2.9</v>
      </c>
      <c r="F607">
        <v>1.3</v>
      </c>
      <c r="G607">
        <v>1.5</v>
      </c>
      <c r="H607">
        <v>3.4</v>
      </c>
      <c r="I607">
        <v>0</v>
      </c>
      <c r="J607">
        <v>0</v>
      </c>
      <c r="K607">
        <v>0</v>
      </c>
      <c r="L607">
        <v>0</v>
      </c>
      <c r="M607">
        <v>0</v>
      </c>
      <c r="N607">
        <v>45178</v>
      </c>
      <c r="O607">
        <v>138856</v>
      </c>
      <c r="P607">
        <v>227154</v>
      </c>
      <c r="Q607">
        <v>2</v>
      </c>
      <c r="R607">
        <v>4</v>
      </c>
      <c r="S607">
        <v>3</v>
      </c>
      <c r="T607">
        <v>50</v>
      </c>
      <c r="U607">
        <v>64</v>
      </c>
    </row>
    <row r="608" spans="1:21" x14ac:dyDescent="0.35">
      <c r="A608" t="s">
        <v>28</v>
      </c>
      <c r="B608" s="1">
        <v>44476</v>
      </c>
      <c r="C608" t="s">
        <v>23</v>
      </c>
      <c r="D608">
        <v>20.5</v>
      </c>
      <c r="E608">
        <v>6.6</v>
      </c>
      <c r="F608">
        <v>0</v>
      </c>
      <c r="G608">
        <v>3.1</v>
      </c>
      <c r="H608">
        <v>0</v>
      </c>
      <c r="I608">
        <v>0</v>
      </c>
      <c r="J608">
        <v>0</v>
      </c>
      <c r="K608">
        <v>0</v>
      </c>
      <c r="L608">
        <v>0</v>
      </c>
      <c r="M608">
        <v>0</v>
      </c>
      <c r="N608">
        <v>107073</v>
      </c>
      <c r="O608">
        <v>304806</v>
      </c>
      <c r="P608">
        <v>0</v>
      </c>
      <c r="Q608">
        <v>22</v>
      </c>
      <c r="R608">
        <v>20</v>
      </c>
      <c r="S608">
        <v>0</v>
      </c>
      <c r="T608">
        <v>50</v>
      </c>
      <c r="U608">
        <v>64</v>
      </c>
    </row>
    <row r="609" spans="1:21" x14ac:dyDescent="0.35">
      <c r="A609" t="s">
        <v>26</v>
      </c>
      <c r="B609" s="1">
        <v>45157</v>
      </c>
      <c r="C609" t="s">
        <v>24</v>
      </c>
      <c r="D609">
        <v>1.1000000000000001</v>
      </c>
      <c r="E609">
        <v>0</v>
      </c>
      <c r="F609">
        <v>0</v>
      </c>
      <c r="G609">
        <v>0</v>
      </c>
      <c r="H609">
        <v>0</v>
      </c>
      <c r="I609">
        <v>0</v>
      </c>
      <c r="J609">
        <v>0</v>
      </c>
      <c r="K609">
        <v>0</v>
      </c>
      <c r="L609">
        <v>0</v>
      </c>
      <c r="M609">
        <v>0</v>
      </c>
      <c r="N609">
        <v>89655</v>
      </c>
      <c r="O609">
        <v>82672</v>
      </c>
      <c r="P609">
        <v>21262</v>
      </c>
      <c r="Q609">
        <v>1</v>
      </c>
      <c r="R609">
        <v>0</v>
      </c>
      <c r="S609">
        <v>0</v>
      </c>
      <c r="T609">
        <v>5</v>
      </c>
      <c r="U609">
        <v>11</v>
      </c>
    </row>
    <row r="610" spans="1:21" x14ac:dyDescent="0.35">
      <c r="A610" t="s">
        <v>28</v>
      </c>
      <c r="B610" s="1">
        <v>44657</v>
      </c>
      <c r="C610" t="s">
        <v>23</v>
      </c>
      <c r="D610">
        <v>442</v>
      </c>
      <c r="E610">
        <v>152.6</v>
      </c>
      <c r="F610">
        <v>274</v>
      </c>
      <c r="G610">
        <v>2.9</v>
      </c>
      <c r="H610">
        <v>1.6</v>
      </c>
      <c r="I610">
        <v>0</v>
      </c>
      <c r="J610">
        <v>0</v>
      </c>
      <c r="K610">
        <v>0</v>
      </c>
      <c r="L610">
        <v>0</v>
      </c>
      <c r="M610">
        <v>0</v>
      </c>
      <c r="N610">
        <v>42758</v>
      </c>
      <c r="O610">
        <v>131758</v>
      </c>
      <c r="P610">
        <v>237215</v>
      </c>
      <c r="Q610">
        <v>189</v>
      </c>
      <c r="R610">
        <v>201</v>
      </c>
      <c r="S610">
        <v>650</v>
      </c>
      <c r="T610">
        <v>50</v>
      </c>
      <c r="U610">
        <v>64</v>
      </c>
    </row>
    <row r="611" spans="1:21" x14ac:dyDescent="0.35">
      <c r="A611" t="s">
        <v>26</v>
      </c>
      <c r="B611" s="1">
        <v>44828</v>
      </c>
      <c r="C611" t="s">
        <v>25</v>
      </c>
      <c r="D611">
        <v>7.9</v>
      </c>
      <c r="E611">
        <v>2.8</v>
      </c>
      <c r="F611">
        <v>1.2</v>
      </c>
      <c r="G611">
        <v>2.8</v>
      </c>
      <c r="H611">
        <v>6.6</v>
      </c>
      <c r="I611">
        <v>0</v>
      </c>
      <c r="J611">
        <v>0</v>
      </c>
      <c r="K611">
        <v>0</v>
      </c>
      <c r="L611">
        <v>0</v>
      </c>
      <c r="M611">
        <v>0</v>
      </c>
      <c r="N611">
        <v>89038</v>
      </c>
      <c r="O611">
        <v>211579</v>
      </c>
      <c r="P611">
        <v>161435</v>
      </c>
      <c r="Q611">
        <v>7</v>
      </c>
      <c r="R611">
        <v>6</v>
      </c>
      <c r="S611">
        <v>2</v>
      </c>
      <c r="T611">
        <v>18</v>
      </c>
      <c r="U611">
        <v>29</v>
      </c>
    </row>
    <row r="612" spans="1:21" x14ac:dyDescent="0.35">
      <c r="A612" t="s">
        <v>28</v>
      </c>
      <c r="B612" s="1">
        <v>44499</v>
      </c>
      <c r="C612" t="s">
        <v>22</v>
      </c>
      <c r="D612">
        <v>142.30000000000001</v>
      </c>
      <c r="E612">
        <v>57.7</v>
      </c>
      <c r="F612">
        <v>23.8</v>
      </c>
      <c r="G612">
        <v>2.5</v>
      </c>
      <c r="H612">
        <v>6</v>
      </c>
      <c r="I612">
        <v>159.80000000000001</v>
      </c>
      <c r="J612">
        <v>46.9</v>
      </c>
      <c r="K612">
        <v>21.9</v>
      </c>
      <c r="L612">
        <v>3.4</v>
      </c>
      <c r="M612">
        <v>7.3</v>
      </c>
      <c r="N612">
        <v>968843</v>
      </c>
      <c r="O612">
        <v>1483650</v>
      </c>
      <c r="P612">
        <v>92473</v>
      </c>
      <c r="Q612">
        <v>1379</v>
      </c>
      <c r="R612">
        <v>856</v>
      </c>
      <c r="S612">
        <v>22</v>
      </c>
      <c r="T612">
        <v>999</v>
      </c>
      <c r="U612">
        <v>999</v>
      </c>
    </row>
    <row r="613" spans="1:21" x14ac:dyDescent="0.35">
      <c r="A613" t="s">
        <v>21</v>
      </c>
      <c r="B613" s="1">
        <v>44684</v>
      </c>
      <c r="C613" t="s">
        <v>31</v>
      </c>
      <c r="D613">
        <v>4.0999999999999996</v>
      </c>
      <c r="E613">
        <v>5.6</v>
      </c>
      <c r="F613">
        <v>0.6</v>
      </c>
      <c r="G613">
        <v>0.7</v>
      </c>
      <c r="H613">
        <v>6.8</v>
      </c>
      <c r="I613">
        <v>0</v>
      </c>
      <c r="J613">
        <v>0</v>
      </c>
      <c r="K613">
        <v>0</v>
      </c>
      <c r="L613">
        <v>0</v>
      </c>
      <c r="M613">
        <v>0</v>
      </c>
      <c r="N613">
        <v>48917</v>
      </c>
      <c r="O613">
        <v>54022</v>
      </c>
      <c r="P613">
        <v>156028</v>
      </c>
      <c r="Q613">
        <v>2</v>
      </c>
      <c r="R613">
        <v>3</v>
      </c>
      <c r="S613">
        <v>1</v>
      </c>
      <c r="T613">
        <v>65</v>
      </c>
      <c r="U613">
        <v>79</v>
      </c>
    </row>
    <row r="614" spans="1:21" x14ac:dyDescent="0.35">
      <c r="A614" t="s">
        <v>26</v>
      </c>
      <c r="B614" s="1">
        <v>44737</v>
      </c>
      <c r="C614" t="s">
        <v>24</v>
      </c>
      <c r="D614">
        <v>0</v>
      </c>
      <c r="E614">
        <v>0</v>
      </c>
      <c r="F614">
        <v>0</v>
      </c>
      <c r="G614">
        <v>0</v>
      </c>
      <c r="H614">
        <v>0</v>
      </c>
      <c r="I614">
        <v>0</v>
      </c>
      <c r="J614">
        <v>0</v>
      </c>
      <c r="K614">
        <v>0</v>
      </c>
      <c r="L614">
        <v>0</v>
      </c>
      <c r="M614">
        <v>0</v>
      </c>
      <c r="N614">
        <v>99599</v>
      </c>
      <c r="O614">
        <v>91151</v>
      </c>
      <c r="P614">
        <v>5230</v>
      </c>
      <c r="Q614">
        <v>0</v>
      </c>
      <c r="R614">
        <v>0</v>
      </c>
      <c r="S614">
        <v>0</v>
      </c>
      <c r="T614">
        <v>5</v>
      </c>
      <c r="U614">
        <v>11</v>
      </c>
    </row>
    <row r="615" spans="1:21" x14ac:dyDescent="0.35">
      <c r="A615" t="s">
        <v>21</v>
      </c>
      <c r="B615" s="1">
        <v>45038</v>
      </c>
      <c r="C615" t="s">
        <v>23</v>
      </c>
      <c r="D615">
        <v>0</v>
      </c>
      <c r="E615">
        <v>0</v>
      </c>
      <c r="F615">
        <v>0</v>
      </c>
      <c r="G615">
        <v>0</v>
      </c>
      <c r="H615">
        <v>0</v>
      </c>
      <c r="I615">
        <v>0</v>
      </c>
      <c r="J615">
        <v>0</v>
      </c>
      <c r="K615">
        <v>0</v>
      </c>
      <c r="L615">
        <v>0</v>
      </c>
      <c r="M615">
        <v>0</v>
      </c>
      <c r="N615">
        <v>33280</v>
      </c>
      <c r="O615">
        <v>125718</v>
      </c>
      <c r="P615">
        <v>246902</v>
      </c>
      <c r="Q615">
        <v>0</v>
      </c>
      <c r="R615">
        <v>0</v>
      </c>
      <c r="S615">
        <v>0</v>
      </c>
      <c r="T615">
        <v>50</v>
      </c>
      <c r="U615">
        <v>64</v>
      </c>
    </row>
    <row r="616" spans="1:21" x14ac:dyDescent="0.35">
      <c r="A616" t="s">
        <v>28</v>
      </c>
      <c r="B616" s="1">
        <v>44548</v>
      </c>
      <c r="C616" t="s">
        <v>29</v>
      </c>
      <c r="D616">
        <v>1450.9</v>
      </c>
      <c r="E616">
        <v>824.5</v>
      </c>
      <c r="F616">
        <v>551.20000000000005</v>
      </c>
      <c r="G616">
        <v>1.8</v>
      </c>
      <c r="H616">
        <v>2.6</v>
      </c>
      <c r="I616">
        <v>0</v>
      </c>
      <c r="J616">
        <v>0</v>
      </c>
      <c r="K616">
        <v>0</v>
      </c>
      <c r="L616">
        <v>0</v>
      </c>
      <c r="M616">
        <v>0</v>
      </c>
      <c r="N616">
        <v>176574</v>
      </c>
      <c r="O616">
        <v>429933</v>
      </c>
      <c r="P616">
        <v>147317</v>
      </c>
      <c r="Q616">
        <v>2562</v>
      </c>
      <c r="R616">
        <v>3545</v>
      </c>
      <c r="S616">
        <v>812</v>
      </c>
      <c r="T616">
        <v>30</v>
      </c>
      <c r="U616">
        <v>49</v>
      </c>
    </row>
    <row r="617" spans="1:21" x14ac:dyDescent="0.35">
      <c r="A617" t="s">
        <v>21</v>
      </c>
      <c r="B617" s="1">
        <v>44657</v>
      </c>
      <c r="C617" t="s">
        <v>24</v>
      </c>
      <c r="D617">
        <v>0</v>
      </c>
      <c r="E617">
        <v>0</v>
      </c>
      <c r="F617">
        <v>0</v>
      </c>
      <c r="G617">
        <v>0</v>
      </c>
      <c r="H617">
        <v>0</v>
      </c>
      <c r="I617">
        <v>0</v>
      </c>
      <c r="J617">
        <v>0</v>
      </c>
      <c r="K617">
        <v>0</v>
      </c>
      <c r="L617">
        <v>0</v>
      </c>
      <c r="M617">
        <v>0</v>
      </c>
      <c r="N617">
        <v>100456</v>
      </c>
      <c r="O617">
        <v>94553</v>
      </c>
      <c r="P617">
        <v>895</v>
      </c>
      <c r="Q617">
        <v>0</v>
      </c>
      <c r="R617">
        <v>0</v>
      </c>
      <c r="S617">
        <v>0</v>
      </c>
      <c r="T617">
        <v>5</v>
      </c>
      <c r="U617">
        <v>11</v>
      </c>
    </row>
    <row r="618" spans="1:21" x14ac:dyDescent="0.35">
      <c r="A618" t="s">
        <v>26</v>
      </c>
      <c r="B618" s="1">
        <v>45142</v>
      </c>
      <c r="C618" t="s">
        <v>30</v>
      </c>
      <c r="D618">
        <v>12.2</v>
      </c>
      <c r="E618">
        <v>8.8000000000000007</v>
      </c>
      <c r="F618">
        <v>31.8</v>
      </c>
      <c r="G618">
        <v>1.4</v>
      </c>
      <c r="H618">
        <v>0.4</v>
      </c>
      <c r="I618">
        <v>0</v>
      </c>
      <c r="J618">
        <v>0</v>
      </c>
      <c r="K618">
        <v>0</v>
      </c>
      <c r="L618">
        <v>0</v>
      </c>
      <c r="M618">
        <v>0</v>
      </c>
      <c r="N618">
        <v>24622</v>
      </c>
      <c r="O618">
        <v>11383</v>
      </c>
      <c r="P618">
        <v>47126</v>
      </c>
      <c r="Q618">
        <v>3</v>
      </c>
      <c r="R618">
        <v>1</v>
      </c>
      <c r="S618">
        <v>15</v>
      </c>
      <c r="T618">
        <v>80</v>
      </c>
      <c r="U618">
        <v>200</v>
      </c>
    </row>
    <row r="619" spans="1:21" x14ac:dyDescent="0.35">
      <c r="A619" t="s">
        <v>28</v>
      </c>
      <c r="B619" s="1">
        <v>45185</v>
      </c>
      <c r="C619" t="s">
        <v>22</v>
      </c>
      <c r="D619">
        <v>49.4</v>
      </c>
      <c r="E619">
        <v>27.5</v>
      </c>
      <c r="F619">
        <v>48.7</v>
      </c>
      <c r="G619">
        <v>1.8</v>
      </c>
      <c r="H619">
        <v>1</v>
      </c>
      <c r="I619">
        <v>58.5</v>
      </c>
      <c r="J619">
        <v>32.200000000000003</v>
      </c>
      <c r="K619">
        <v>39.299999999999997</v>
      </c>
      <c r="L619">
        <v>1.8</v>
      </c>
      <c r="M619">
        <v>1.5</v>
      </c>
      <c r="N619">
        <v>526492</v>
      </c>
      <c r="O619">
        <v>860284</v>
      </c>
      <c r="P619">
        <v>1040830</v>
      </c>
      <c r="Q619">
        <v>260</v>
      </c>
      <c r="R619">
        <v>237</v>
      </c>
      <c r="S619">
        <v>507</v>
      </c>
      <c r="T619">
        <v>999</v>
      </c>
      <c r="U619">
        <v>999</v>
      </c>
    </row>
    <row r="620" spans="1:21" x14ac:dyDescent="0.35">
      <c r="A620" t="s">
        <v>28</v>
      </c>
      <c r="B620" s="1">
        <v>45054</v>
      </c>
      <c r="C620" t="s">
        <v>30</v>
      </c>
      <c r="D620">
        <v>20.399999999999999</v>
      </c>
      <c r="E620">
        <v>70.3</v>
      </c>
      <c r="F620">
        <v>44.6</v>
      </c>
      <c r="G620">
        <v>0.3</v>
      </c>
      <c r="H620">
        <v>0.5</v>
      </c>
      <c r="I620">
        <v>0</v>
      </c>
      <c r="J620">
        <v>0</v>
      </c>
      <c r="K620">
        <v>0</v>
      </c>
      <c r="L620">
        <v>0</v>
      </c>
      <c r="M620">
        <v>0</v>
      </c>
      <c r="N620">
        <v>24475</v>
      </c>
      <c r="O620">
        <v>11382</v>
      </c>
      <c r="P620">
        <v>47131</v>
      </c>
      <c r="Q620">
        <v>5</v>
      </c>
      <c r="R620">
        <v>8</v>
      </c>
      <c r="S620">
        <v>21</v>
      </c>
      <c r="T620">
        <v>80</v>
      </c>
      <c r="U620">
        <v>200</v>
      </c>
    </row>
    <row r="621" spans="1:21" x14ac:dyDescent="0.35">
      <c r="A621" t="s">
        <v>26</v>
      </c>
      <c r="B621" s="1">
        <v>44303</v>
      </c>
      <c r="C621" t="s">
        <v>25</v>
      </c>
      <c r="D621">
        <v>10.4</v>
      </c>
      <c r="E621">
        <v>3.1</v>
      </c>
      <c r="F621">
        <v>0</v>
      </c>
      <c r="G621">
        <v>3.4</v>
      </c>
      <c r="H621">
        <v>0</v>
      </c>
      <c r="I621">
        <v>0</v>
      </c>
      <c r="J621">
        <v>0</v>
      </c>
      <c r="K621">
        <v>0</v>
      </c>
      <c r="L621">
        <v>0</v>
      </c>
      <c r="M621">
        <v>0</v>
      </c>
      <c r="N621">
        <v>327658</v>
      </c>
      <c r="O621">
        <v>65029</v>
      </c>
      <c r="P621">
        <v>0</v>
      </c>
      <c r="Q621">
        <v>34</v>
      </c>
      <c r="R621">
        <v>2</v>
      </c>
      <c r="S621">
        <v>0</v>
      </c>
      <c r="T621">
        <v>18</v>
      </c>
      <c r="U621">
        <v>29</v>
      </c>
    </row>
    <row r="622" spans="1:21" x14ac:dyDescent="0.35">
      <c r="A622" t="s">
        <v>21</v>
      </c>
      <c r="B622" s="1">
        <v>44991</v>
      </c>
      <c r="C622" t="s">
        <v>23</v>
      </c>
      <c r="D622">
        <v>0</v>
      </c>
      <c r="E622">
        <v>0</v>
      </c>
      <c r="F622">
        <v>0</v>
      </c>
      <c r="G622">
        <v>0</v>
      </c>
      <c r="H622">
        <v>0</v>
      </c>
      <c r="I622">
        <v>0</v>
      </c>
      <c r="J622">
        <v>0</v>
      </c>
      <c r="K622">
        <v>0</v>
      </c>
      <c r="L622">
        <v>0</v>
      </c>
      <c r="M622">
        <v>0</v>
      </c>
      <c r="N622">
        <v>32855</v>
      </c>
      <c r="O622">
        <v>125745</v>
      </c>
      <c r="P622">
        <v>246913</v>
      </c>
      <c r="Q622">
        <v>0</v>
      </c>
      <c r="R622">
        <v>0</v>
      </c>
      <c r="S622">
        <v>0</v>
      </c>
      <c r="T622">
        <v>50</v>
      </c>
      <c r="U622">
        <v>64</v>
      </c>
    </row>
    <row r="623" spans="1:21" x14ac:dyDescent="0.35">
      <c r="A623" t="s">
        <v>21</v>
      </c>
      <c r="B623" s="1">
        <v>44562</v>
      </c>
      <c r="C623" t="s">
        <v>31</v>
      </c>
      <c r="D623">
        <v>61.2</v>
      </c>
      <c r="E623">
        <v>13.9</v>
      </c>
      <c r="F623">
        <v>2.2999999999999998</v>
      </c>
      <c r="G623">
        <v>4.4000000000000004</v>
      </c>
      <c r="H623">
        <v>26.6</v>
      </c>
      <c r="I623">
        <v>0</v>
      </c>
      <c r="J623">
        <v>0</v>
      </c>
      <c r="K623">
        <v>0</v>
      </c>
      <c r="L623">
        <v>0</v>
      </c>
      <c r="M623">
        <v>0</v>
      </c>
      <c r="N623">
        <v>52264</v>
      </c>
      <c r="O623">
        <v>79022</v>
      </c>
      <c r="P623">
        <v>127818</v>
      </c>
      <c r="Q623">
        <v>32</v>
      </c>
      <c r="R623">
        <v>11</v>
      </c>
      <c r="S623">
        <v>3</v>
      </c>
      <c r="T623">
        <v>65</v>
      </c>
      <c r="U623">
        <v>79</v>
      </c>
    </row>
    <row r="624" spans="1:21" x14ac:dyDescent="0.35">
      <c r="A624" t="s">
        <v>26</v>
      </c>
      <c r="B624" s="1">
        <v>44702</v>
      </c>
      <c r="C624" t="s">
        <v>22</v>
      </c>
      <c r="D624">
        <v>10.9</v>
      </c>
      <c r="E624">
        <v>6.4</v>
      </c>
      <c r="F624">
        <v>8.6</v>
      </c>
      <c r="G624">
        <v>1.7</v>
      </c>
      <c r="H624">
        <v>1.3</v>
      </c>
      <c r="I624">
        <v>12.6</v>
      </c>
      <c r="J624">
        <v>9.1</v>
      </c>
      <c r="K624">
        <v>5.9</v>
      </c>
      <c r="L624">
        <v>1.4</v>
      </c>
      <c r="M624">
        <v>2.1</v>
      </c>
      <c r="N624">
        <v>644984</v>
      </c>
      <c r="O624">
        <v>883996</v>
      </c>
      <c r="P624">
        <v>965236</v>
      </c>
      <c r="Q624">
        <v>70</v>
      </c>
      <c r="R624">
        <v>57</v>
      </c>
      <c r="S624">
        <v>83</v>
      </c>
      <c r="T624">
        <v>999</v>
      </c>
      <c r="U624">
        <v>999</v>
      </c>
    </row>
    <row r="625" spans="1:21" x14ac:dyDescent="0.35">
      <c r="A625" t="s">
        <v>26</v>
      </c>
      <c r="B625" s="1">
        <v>44783</v>
      </c>
      <c r="C625" t="s">
        <v>24</v>
      </c>
      <c r="D625">
        <v>2.1</v>
      </c>
      <c r="E625">
        <v>0</v>
      </c>
      <c r="F625">
        <v>0</v>
      </c>
      <c r="G625">
        <v>0</v>
      </c>
      <c r="H625">
        <v>0</v>
      </c>
      <c r="I625">
        <v>0</v>
      </c>
      <c r="J625">
        <v>0</v>
      </c>
      <c r="K625">
        <v>0</v>
      </c>
      <c r="L625">
        <v>0</v>
      </c>
      <c r="M625">
        <v>0</v>
      </c>
      <c r="N625">
        <v>94508</v>
      </c>
      <c r="O625">
        <v>81111</v>
      </c>
      <c r="P625">
        <v>19812</v>
      </c>
      <c r="Q625">
        <v>2</v>
      </c>
      <c r="R625">
        <v>0</v>
      </c>
      <c r="S625">
        <v>0</v>
      </c>
      <c r="T625">
        <v>5</v>
      </c>
      <c r="U625">
        <v>11</v>
      </c>
    </row>
    <row r="626" spans="1:21" x14ac:dyDescent="0.35">
      <c r="A626" t="s">
        <v>28</v>
      </c>
      <c r="B626" s="1">
        <v>45054</v>
      </c>
      <c r="C626" t="s">
        <v>25</v>
      </c>
      <c r="D626">
        <v>36.6</v>
      </c>
      <c r="E626">
        <v>9.3000000000000007</v>
      </c>
      <c r="F626">
        <v>17.899999999999999</v>
      </c>
      <c r="G626">
        <v>3.9</v>
      </c>
      <c r="H626">
        <v>2</v>
      </c>
      <c r="I626">
        <v>0</v>
      </c>
      <c r="J626">
        <v>0</v>
      </c>
      <c r="K626">
        <v>0</v>
      </c>
      <c r="L626">
        <v>0</v>
      </c>
      <c r="M626">
        <v>0</v>
      </c>
      <c r="N626">
        <v>73686</v>
      </c>
      <c r="O626">
        <v>214134</v>
      </c>
      <c r="P626">
        <v>161713</v>
      </c>
      <c r="Q626">
        <v>27</v>
      </c>
      <c r="R626">
        <v>20</v>
      </c>
      <c r="S626">
        <v>29</v>
      </c>
      <c r="T626">
        <v>18</v>
      </c>
      <c r="U626">
        <v>29</v>
      </c>
    </row>
    <row r="627" spans="1:21" x14ac:dyDescent="0.35">
      <c r="A627" t="s">
        <v>28</v>
      </c>
      <c r="B627" s="1">
        <v>45232</v>
      </c>
      <c r="C627" t="s">
        <v>29</v>
      </c>
      <c r="D627">
        <v>129.4</v>
      </c>
      <c r="E627">
        <v>56.5</v>
      </c>
      <c r="F627">
        <v>85.5</v>
      </c>
      <c r="G627">
        <v>2.2999999999999998</v>
      </c>
      <c r="H627">
        <v>1.5</v>
      </c>
      <c r="I627">
        <v>0</v>
      </c>
      <c r="J627">
        <v>0</v>
      </c>
      <c r="K627">
        <v>0</v>
      </c>
      <c r="L627">
        <v>0</v>
      </c>
      <c r="M627">
        <v>0</v>
      </c>
      <c r="N627">
        <v>111258</v>
      </c>
      <c r="O627">
        <v>277686</v>
      </c>
      <c r="P627">
        <v>347246</v>
      </c>
      <c r="Q627">
        <v>144</v>
      </c>
      <c r="R627">
        <v>157</v>
      </c>
      <c r="S627">
        <v>297</v>
      </c>
      <c r="T627">
        <v>30</v>
      </c>
      <c r="U627">
        <v>49</v>
      </c>
    </row>
    <row r="628" spans="1:21" x14ac:dyDescent="0.35">
      <c r="A628" t="s">
        <v>28</v>
      </c>
      <c r="B628" s="1">
        <v>45164</v>
      </c>
      <c r="C628" t="s">
        <v>22</v>
      </c>
      <c r="D628">
        <v>61.8</v>
      </c>
      <c r="E628">
        <v>29.1</v>
      </c>
      <c r="F628">
        <v>46.5</v>
      </c>
      <c r="G628">
        <v>2.1</v>
      </c>
      <c r="H628">
        <v>1.3</v>
      </c>
      <c r="I628">
        <v>69.400000000000006</v>
      </c>
      <c r="J628">
        <v>29.2</v>
      </c>
      <c r="K628">
        <v>37.299999999999997</v>
      </c>
      <c r="L628">
        <v>2.4</v>
      </c>
      <c r="M628">
        <v>1.9</v>
      </c>
      <c r="N628">
        <v>527758</v>
      </c>
      <c r="O628">
        <v>860290</v>
      </c>
      <c r="P628">
        <v>1040810</v>
      </c>
      <c r="Q628">
        <v>326</v>
      </c>
      <c r="R628">
        <v>250</v>
      </c>
      <c r="S628">
        <v>484</v>
      </c>
      <c r="T628">
        <v>999</v>
      </c>
      <c r="U628">
        <v>999</v>
      </c>
    </row>
    <row r="629" spans="1:21" x14ac:dyDescent="0.35">
      <c r="A629" t="s">
        <v>26</v>
      </c>
      <c r="B629" s="1">
        <v>45268</v>
      </c>
      <c r="C629" t="s">
        <v>23</v>
      </c>
      <c r="D629">
        <v>12.3</v>
      </c>
      <c r="E629">
        <v>3.2</v>
      </c>
      <c r="F629">
        <v>2.8</v>
      </c>
      <c r="G629">
        <v>3.8</v>
      </c>
      <c r="H629">
        <v>4.4000000000000004</v>
      </c>
      <c r="I629">
        <v>0</v>
      </c>
      <c r="J629">
        <v>0</v>
      </c>
      <c r="K629">
        <v>0</v>
      </c>
      <c r="L629">
        <v>0</v>
      </c>
      <c r="M629">
        <v>0</v>
      </c>
      <c r="N629">
        <v>32441</v>
      </c>
      <c r="O629">
        <v>125727</v>
      </c>
      <c r="P629">
        <v>246935</v>
      </c>
      <c r="Q629">
        <v>4</v>
      </c>
      <c r="R629">
        <v>4</v>
      </c>
      <c r="S629">
        <v>7</v>
      </c>
      <c r="T629">
        <v>50</v>
      </c>
      <c r="U629">
        <v>64</v>
      </c>
    </row>
    <row r="630" spans="1:21" x14ac:dyDescent="0.35">
      <c r="A630" t="s">
        <v>21</v>
      </c>
      <c r="B630" s="1">
        <v>44512</v>
      </c>
      <c r="C630" t="s">
        <v>22</v>
      </c>
      <c r="D630">
        <v>5.8</v>
      </c>
      <c r="E630">
        <v>1</v>
      </c>
      <c r="F630">
        <v>1.3</v>
      </c>
      <c r="G630">
        <v>5.8</v>
      </c>
      <c r="H630">
        <v>4.5</v>
      </c>
      <c r="I630">
        <v>8.5</v>
      </c>
      <c r="J630">
        <v>1.1000000000000001</v>
      </c>
      <c r="K630">
        <v>0.6</v>
      </c>
      <c r="L630">
        <v>7.4</v>
      </c>
      <c r="M630">
        <v>15</v>
      </c>
      <c r="N630">
        <v>847199</v>
      </c>
      <c r="O630">
        <v>1247588</v>
      </c>
      <c r="P630">
        <v>380994</v>
      </c>
      <c r="Q630">
        <v>49</v>
      </c>
      <c r="R630">
        <v>13</v>
      </c>
      <c r="S630">
        <v>5</v>
      </c>
      <c r="T630">
        <v>999</v>
      </c>
      <c r="U630">
        <v>999</v>
      </c>
    </row>
    <row r="631" spans="1:21" x14ac:dyDescent="0.35">
      <c r="A631" t="s">
        <v>21</v>
      </c>
      <c r="B631" s="1">
        <v>44926</v>
      </c>
      <c r="C631" t="s">
        <v>24</v>
      </c>
      <c r="D631">
        <v>0</v>
      </c>
      <c r="E631">
        <v>0</v>
      </c>
      <c r="F631">
        <v>0</v>
      </c>
      <c r="G631">
        <v>0</v>
      </c>
      <c r="H631">
        <v>0</v>
      </c>
      <c r="I631">
        <v>0</v>
      </c>
      <c r="J631">
        <v>0</v>
      </c>
      <c r="K631">
        <v>0</v>
      </c>
      <c r="L631">
        <v>0</v>
      </c>
      <c r="M631">
        <v>0</v>
      </c>
      <c r="N631">
        <v>92435</v>
      </c>
      <c r="O631">
        <v>81534</v>
      </c>
      <c r="P631">
        <v>21158</v>
      </c>
      <c r="Q631">
        <v>0</v>
      </c>
      <c r="R631">
        <v>0</v>
      </c>
      <c r="S631">
        <v>0</v>
      </c>
      <c r="T631">
        <v>5</v>
      </c>
      <c r="U631">
        <v>11</v>
      </c>
    </row>
    <row r="632" spans="1:21" x14ac:dyDescent="0.35">
      <c r="A632" t="s">
        <v>21</v>
      </c>
      <c r="B632" s="1">
        <v>45010</v>
      </c>
      <c r="C632" t="s">
        <v>23</v>
      </c>
      <c r="D632">
        <v>0</v>
      </c>
      <c r="E632">
        <v>0</v>
      </c>
      <c r="F632">
        <v>0</v>
      </c>
      <c r="G632">
        <v>0</v>
      </c>
      <c r="H632">
        <v>0</v>
      </c>
      <c r="I632">
        <v>0</v>
      </c>
      <c r="J632">
        <v>0</v>
      </c>
      <c r="K632">
        <v>0</v>
      </c>
      <c r="L632">
        <v>0</v>
      </c>
      <c r="M632">
        <v>0</v>
      </c>
      <c r="N632">
        <v>33548</v>
      </c>
      <c r="O632">
        <v>125665</v>
      </c>
      <c r="P632">
        <v>246890</v>
      </c>
      <c r="Q632">
        <v>0</v>
      </c>
      <c r="R632">
        <v>0</v>
      </c>
      <c r="S632">
        <v>0</v>
      </c>
      <c r="T632">
        <v>50</v>
      </c>
      <c r="U632">
        <v>64</v>
      </c>
    </row>
    <row r="633" spans="1:21" x14ac:dyDescent="0.35">
      <c r="A633" t="s">
        <v>28</v>
      </c>
      <c r="B633" s="1">
        <v>44366</v>
      </c>
      <c r="C633" t="s">
        <v>22</v>
      </c>
      <c r="D633">
        <v>18.100000000000001</v>
      </c>
      <c r="E633">
        <v>3.8</v>
      </c>
      <c r="F633">
        <v>0</v>
      </c>
      <c r="G633">
        <v>4.8</v>
      </c>
      <c r="H633">
        <v>0</v>
      </c>
      <c r="I633">
        <v>20.6</v>
      </c>
      <c r="J633">
        <v>2.9</v>
      </c>
      <c r="K633">
        <v>0</v>
      </c>
      <c r="L633">
        <v>7</v>
      </c>
      <c r="M633">
        <v>0</v>
      </c>
      <c r="N633">
        <v>1238489</v>
      </c>
      <c r="O633">
        <v>1241729</v>
      </c>
      <c r="P633">
        <v>0</v>
      </c>
      <c r="Q633">
        <v>224</v>
      </c>
      <c r="R633">
        <v>47</v>
      </c>
      <c r="S633">
        <v>0</v>
      </c>
      <c r="T633">
        <v>999</v>
      </c>
      <c r="U633">
        <v>999</v>
      </c>
    </row>
    <row r="634" spans="1:21" x14ac:dyDescent="0.35">
      <c r="A634" t="s">
        <v>26</v>
      </c>
      <c r="B634" s="1">
        <v>44259</v>
      </c>
      <c r="C634" t="s">
        <v>23</v>
      </c>
      <c r="D634">
        <v>39.700000000000003</v>
      </c>
      <c r="E634">
        <v>3</v>
      </c>
      <c r="F634">
        <v>0</v>
      </c>
      <c r="G634">
        <v>13.2</v>
      </c>
      <c r="H634">
        <v>0</v>
      </c>
      <c r="I634">
        <v>0</v>
      </c>
      <c r="J634">
        <v>0</v>
      </c>
      <c r="K634">
        <v>0</v>
      </c>
      <c r="L634">
        <v>0</v>
      </c>
      <c r="M634">
        <v>0</v>
      </c>
      <c r="N634">
        <v>234356</v>
      </c>
      <c r="O634">
        <v>66383</v>
      </c>
      <c r="P634">
        <v>0</v>
      </c>
      <c r="Q634">
        <v>93</v>
      </c>
      <c r="R634">
        <v>2</v>
      </c>
      <c r="S634">
        <v>0</v>
      </c>
      <c r="T634">
        <v>50</v>
      </c>
      <c r="U634">
        <v>64</v>
      </c>
    </row>
    <row r="635" spans="1:21" x14ac:dyDescent="0.35">
      <c r="A635" t="s">
        <v>28</v>
      </c>
      <c r="B635" s="1">
        <v>44783</v>
      </c>
      <c r="C635" t="s">
        <v>30</v>
      </c>
      <c r="D635">
        <v>85.5</v>
      </c>
      <c r="E635">
        <v>131.80000000000001</v>
      </c>
      <c r="F635">
        <v>176.4</v>
      </c>
      <c r="G635">
        <v>0.6</v>
      </c>
      <c r="H635">
        <v>0.5</v>
      </c>
      <c r="I635">
        <v>0</v>
      </c>
      <c r="J635">
        <v>0</v>
      </c>
      <c r="K635">
        <v>0</v>
      </c>
      <c r="L635">
        <v>0</v>
      </c>
      <c r="M635">
        <v>0</v>
      </c>
      <c r="N635">
        <v>25733</v>
      </c>
      <c r="O635">
        <v>11377</v>
      </c>
      <c r="P635">
        <v>47048</v>
      </c>
      <c r="Q635">
        <v>22</v>
      </c>
      <c r="R635">
        <v>15</v>
      </c>
      <c r="S635">
        <v>83</v>
      </c>
      <c r="T635">
        <v>80</v>
      </c>
      <c r="U635">
        <v>200</v>
      </c>
    </row>
    <row r="636" spans="1:21" x14ac:dyDescent="0.35">
      <c r="A636" t="s">
        <v>28</v>
      </c>
      <c r="B636" s="1">
        <v>44674</v>
      </c>
      <c r="C636" t="s">
        <v>24</v>
      </c>
      <c r="D636">
        <v>129.9</v>
      </c>
      <c r="E636">
        <v>263.60000000000002</v>
      </c>
      <c r="F636">
        <v>0</v>
      </c>
      <c r="G636">
        <v>0.5</v>
      </c>
      <c r="H636">
        <v>0</v>
      </c>
      <c r="I636">
        <v>0</v>
      </c>
      <c r="J636">
        <v>0</v>
      </c>
      <c r="K636">
        <v>0</v>
      </c>
      <c r="L636">
        <v>0</v>
      </c>
      <c r="M636">
        <v>0</v>
      </c>
      <c r="N636">
        <v>102360</v>
      </c>
      <c r="O636">
        <v>92950</v>
      </c>
      <c r="P636">
        <v>0</v>
      </c>
      <c r="Q636">
        <v>133</v>
      </c>
      <c r="R636">
        <v>245</v>
      </c>
      <c r="S636">
        <v>0</v>
      </c>
      <c r="T636">
        <v>5</v>
      </c>
      <c r="U636">
        <v>11</v>
      </c>
    </row>
    <row r="637" spans="1:21" x14ac:dyDescent="0.35">
      <c r="A637" t="s">
        <v>28</v>
      </c>
      <c r="B637" s="1">
        <v>44674</v>
      </c>
      <c r="C637" t="s">
        <v>23</v>
      </c>
      <c r="D637">
        <v>221</v>
      </c>
      <c r="E637">
        <v>77.900000000000006</v>
      </c>
      <c r="F637">
        <v>155.4</v>
      </c>
      <c r="G637">
        <v>2.8</v>
      </c>
      <c r="H637">
        <v>1.4</v>
      </c>
      <c r="I637">
        <v>0</v>
      </c>
      <c r="J637">
        <v>0</v>
      </c>
      <c r="K637">
        <v>0</v>
      </c>
      <c r="L637">
        <v>0</v>
      </c>
      <c r="M637">
        <v>0</v>
      </c>
      <c r="N637">
        <v>44338</v>
      </c>
      <c r="O637">
        <v>136052</v>
      </c>
      <c r="P637">
        <v>231012</v>
      </c>
      <c r="Q637">
        <v>98</v>
      </c>
      <c r="R637">
        <v>106</v>
      </c>
      <c r="S637">
        <v>359</v>
      </c>
      <c r="T637">
        <v>50</v>
      </c>
      <c r="U637">
        <v>64</v>
      </c>
    </row>
    <row r="638" spans="1:21" x14ac:dyDescent="0.35">
      <c r="A638" t="s">
        <v>26</v>
      </c>
      <c r="B638" s="1">
        <v>44991</v>
      </c>
      <c r="C638" t="s">
        <v>32</v>
      </c>
      <c r="D638">
        <v>1.2</v>
      </c>
      <c r="E638">
        <v>0</v>
      </c>
      <c r="F638">
        <v>0</v>
      </c>
      <c r="G638">
        <v>0</v>
      </c>
      <c r="H638">
        <v>0</v>
      </c>
      <c r="I638">
        <v>0</v>
      </c>
      <c r="J638">
        <v>0</v>
      </c>
      <c r="K638">
        <v>0</v>
      </c>
      <c r="L638">
        <v>0</v>
      </c>
      <c r="M638">
        <v>0</v>
      </c>
      <c r="N638">
        <v>162642</v>
      </c>
      <c r="O638">
        <v>0</v>
      </c>
      <c r="P638">
        <v>0</v>
      </c>
      <c r="Q638">
        <v>2</v>
      </c>
      <c r="R638">
        <v>0</v>
      </c>
      <c r="S638">
        <v>0</v>
      </c>
      <c r="T638">
        <v>0</v>
      </c>
      <c r="U638">
        <v>4</v>
      </c>
    </row>
    <row r="639" spans="1:21" x14ac:dyDescent="0.35">
      <c r="A639" t="s">
        <v>28</v>
      </c>
      <c r="B639" s="1">
        <v>45108</v>
      </c>
      <c r="C639" t="s">
        <v>32</v>
      </c>
      <c r="D639">
        <v>63.9</v>
      </c>
      <c r="E639">
        <v>3.1</v>
      </c>
      <c r="F639">
        <v>0</v>
      </c>
      <c r="G639">
        <v>20.6</v>
      </c>
      <c r="H639">
        <v>0</v>
      </c>
      <c r="I639">
        <v>0</v>
      </c>
      <c r="J639">
        <v>0</v>
      </c>
      <c r="K639">
        <v>0</v>
      </c>
      <c r="L639">
        <v>0</v>
      </c>
      <c r="M639">
        <v>0</v>
      </c>
      <c r="N639">
        <v>162642</v>
      </c>
      <c r="O639">
        <v>0</v>
      </c>
      <c r="P639">
        <v>0</v>
      </c>
      <c r="Q639">
        <v>104</v>
      </c>
      <c r="R639">
        <v>5</v>
      </c>
      <c r="S639">
        <v>0</v>
      </c>
      <c r="T639">
        <v>0</v>
      </c>
      <c r="U639">
        <v>4</v>
      </c>
    </row>
    <row r="640" spans="1:21" x14ac:dyDescent="0.35">
      <c r="A640" t="s">
        <v>21</v>
      </c>
      <c r="B640" s="1">
        <v>44898</v>
      </c>
      <c r="C640" t="s">
        <v>31</v>
      </c>
      <c r="D640">
        <v>6.1</v>
      </c>
      <c r="E640">
        <v>0</v>
      </c>
      <c r="F640">
        <v>0.6</v>
      </c>
      <c r="G640">
        <v>0</v>
      </c>
      <c r="H640">
        <v>10.199999999999999</v>
      </c>
      <c r="I640">
        <v>0</v>
      </c>
      <c r="J640">
        <v>0</v>
      </c>
      <c r="K640">
        <v>0</v>
      </c>
      <c r="L640">
        <v>0</v>
      </c>
      <c r="M640">
        <v>0</v>
      </c>
      <c r="N640">
        <v>48822</v>
      </c>
      <c r="O640">
        <v>53213</v>
      </c>
      <c r="P640">
        <v>157042</v>
      </c>
      <c r="Q640">
        <v>3</v>
      </c>
      <c r="R640">
        <v>0</v>
      </c>
      <c r="S640">
        <v>1</v>
      </c>
      <c r="T640">
        <v>65</v>
      </c>
      <c r="U640">
        <v>79</v>
      </c>
    </row>
    <row r="641" spans="1:21" x14ac:dyDescent="0.35">
      <c r="A641" t="s">
        <v>26</v>
      </c>
      <c r="B641" s="1">
        <v>45268</v>
      </c>
      <c r="C641" t="s">
        <v>31</v>
      </c>
      <c r="D641">
        <v>7.6</v>
      </c>
      <c r="E641">
        <v>9.1999999999999993</v>
      </c>
      <c r="F641">
        <v>7</v>
      </c>
      <c r="G641">
        <v>0.8</v>
      </c>
      <c r="H641">
        <v>1.1000000000000001</v>
      </c>
      <c r="I641">
        <v>0</v>
      </c>
      <c r="J641">
        <v>0</v>
      </c>
      <c r="K641">
        <v>0</v>
      </c>
      <c r="L641">
        <v>0</v>
      </c>
      <c r="M641">
        <v>0</v>
      </c>
      <c r="N641">
        <v>39237</v>
      </c>
      <c r="O641">
        <v>43418</v>
      </c>
      <c r="P641">
        <v>171751</v>
      </c>
      <c r="Q641">
        <v>3</v>
      </c>
      <c r="R641">
        <v>4</v>
      </c>
      <c r="S641">
        <v>12</v>
      </c>
      <c r="T641">
        <v>65</v>
      </c>
      <c r="U641">
        <v>79</v>
      </c>
    </row>
    <row r="642" spans="1:21" x14ac:dyDescent="0.35">
      <c r="A642" t="s">
        <v>28</v>
      </c>
      <c r="B642" s="1">
        <v>44464</v>
      </c>
      <c r="C642" t="s">
        <v>25</v>
      </c>
      <c r="D642">
        <v>195.4</v>
      </c>
      <c r="E642">
        <v>64.3</v>
      </c>
      <c r="F642">
        <v>0</v>
      </c>
      <c r="G642">
        <v>3</v>
      </c>
      <c r="H642">
        <v>0</v>
      </c>
      <c r="I642">
        <v>0</v>
      </c>
      <c r="J642">
        <v>0</v>
      </c>
      <c r="K642">
        <v>0</v>
      </c>
      <c r="L642">
        <v>0</v>
      </c>
      <c r="M642">
        <v>0</v>
      </c>
      <c r="N642">
        <v>178597</v>
      </c>
      <c r="O642">
        <v>304724</v>
      </c>
      <c r="P642">
        <v>0</v>
      </c>
      <c r="Q642">
        <v>349</v>
      </c>
      <c r="R642">
        <v>196</v>
      </c>
      <c r="S642">
        <v>0</v>
      </c>
      <c r="T642">
        <v>18</v>
      </c>
      <c r="U642">
        <v>29</v>
      </c>
    </row>
    <row r="643" spans="1:21" x14ac:dyDescent="0.35">
      <c r="A643" t="s">
        <v>26</v>
      </c>
      <c r="B643" s="1">
        <v>45003</v>
      </c>
      <c r="C643" t="s">
        <v>25</v>
      </c>
      <c r="D643">
        <v>3.9</v>
      </c>
      <c r="E643">
        <v>1.4</v>
      </c>
      <c r="F643">
        <v>1.2</v>
      </c>
      <c r="G643">
        <v>2.8</v>
      </c>
      <c r="H643">
        <v>3.2</v>
      </c>
      <c r="I643">
        <v>0</v>
      </c>
      <c r="J643">
        <v>0</v>
      </c>
      <c r="K643">
        <v>0</v>
      </c>
      <c r="L643">
        <v>0</v>
      </c>
      <c r="M643">
        <v>0</v>
      </c>
      <c r="N643">
        <v>76420</v>
      </c>
      <c r="O643">
        <v>213693</v>
      </c>
      <c r="P643">
        <v>161668</v>
      </c>
      <c r="Q643">
        <v>3</v>
      </c>
      <c r="R643">
        <v>3</v>
      </c>
      <c r="S643">
        <v>2</v>
      </c>
      <c r="T643">
        <v>18</v>
      </c>
      <c r="U643">
        <v>29</v>
      </c>
    </row>
    <row r="644" spans="1:21" x14ac:dyDescent="0.35">
      <c r="A644" t="s">
        <v>28</v>
      </c>
      <c r="B644" s="1">
        <v>44897</v>
      </c>
      <c r="C644" t="s">
        <v>30</v>
      </c>
      <c r="D644">
        <v>91.6</v>
      </c>
      <c r="E644">
        <v>122.6</v>
      </c>
      <c r="F644">
        <v>94.4</v>
      </c>
      <c r="G644">
        <v>0.7</v>
      </c>
      <c r="H644">
        <v>1</v>
      </c>
      <c r="I644">
        <v>0</v>
      </c>
      <c r="J644">
        <v>0</v>
      </c>
      <c r="K644">
        <v>0</v>
      </c>
      <c r="L644">
        <v>0</v>
      </c>
      <c r="M644">
        <v>0</v>
      </c>
      <c r="N644">
        <v>27303</v>
      </c>
      <c r="O644">
        <v>15497</v>
      </c>
      <c r="P644">
        <v>41310</v>
      </c>
      <c r="Q644">
        <v>25</v>
      </c>
      <c r="R644">
        <v>19</v>
      </c>
      <c r="S644">
        <v>39</v>
      </c>
      <c r="T644">
        <v>80</v>
      </c>
      <c r="U644">
        <v>200</v>
      </c>
    </row>
    <row r="645" spans="1:21" x14ac:dyDescent="0.35">
      <c r="A645" t="s">
        <v>26</v>
      </c>
      <c r="B645" s="1">
        <v>44237</v>
      </c>
      <c r="C645" t="s">
        <v>23</v>
      </c>
      <c r="D645">
        <v>39.200000000000003</v>
      </c>
      <c r="E645">
        <v>4.8</v>
      </c>
      <c r="F645">
        <v>0</v>
      </c>
      <c r="G645">
        <v>8.1999999999999993</v>
      </c>
      <c r="H645">
        <v>0</v>
      </c>
      <c r="I645">
        <v>0</v>
      </c>
      <c r="J645">
        <v>0</v>
      </c>
      <c r="K645">
        <v>0</v>
      </c>
      <c r="L645">
        <v>0</v>
      </c>
      <c r="M645">
        <v>0</v>
      </c>
      <c r="N645">
        <v>79080</v>
      </c>
      <c r="O645">
        <v>330032</v>
      </c>
      <c r="P645">
        <v>0</v>
      </c>
      <c r="Q645">
        <v>31</v>
      </c>
      <c r="R645">
        <v>16</v>
      </c>
      <c r="S645">
        <v>0</v>
      </c>
      <c r="T645">
        <v>50</v>
      </c>
      <c r="U645">
        <v>64</v>
      </c>
    </row>
    <row r="646" spans="1:21" x14ac:dyDescent="0.35">
      <c r="A646" t="s">
        <v>21</v>
      </c>
      <c r="B646" s="1">
        <v>44590</v>
      </c>
      <c r="C646" t="s">
        <v>30</v>
      </c>
      <c r="D646">
        <v>116.5</v>
      </c>
      <c r="E646">
        <v>83.9</v>
      </c>
      <c r="F646">
        <v>22.5</v>
      </c>
      <c r="G646">
        <v>1.4</v>
      </c>
      <c r="H646">
        <v>5.2</v>
      </c>
      <c r="I646">
        <v>0</v>
      </c>
      <c r="J646">
        <v>0</v>
      </c>
      <c r="K646">
        <v>0</v>
      </c>
      <c r="L646">
        <v>0</v>
      </c>
      <c r="M646">
        <v>0</v>
      </c>
      <c r="N646">
        <v>27458</v>
      </c>
      <c r="O646">
        <v>16677</v>
      </c>
      <c r="P646">
        <v>39936</v>
      </c>
      <c r="Q646">
        <v>32</v>
      </c>
      <c r="R646">
        <v>14</v>
      </c>
      <c r="S646">
        <v>9</v>
      </c>
      <c r="T646">
        <v>80</v>
      </c>
      <c r="U646">
        <v>200</v>
      </c>
    </row>
    <row r="647" spans="1:21" x14ac:dyDescent="0.35">
      <c r="A647" t="s">
        <v>26</v>
      </c>
      <c r="B647" s="1">
        <v>44646</v>
      </c>
      <c r="C647" t="s">
        <v>29</v>
      </c>
      <c r="D647">
        <v>4.5</v>
      </c>
      <c r="E647">
        <v>1</v>
      </c>
      <c r="F647">
        <v>0.3</v>
      </c>
      <c r="G647">
        <v>4.5</v>
      </c>
      <c r="H647">
        <v>15</v>
      </c>
      <c r="I647">
        <v>0</v>
      </c>
      <c r="J647">
        <v>0</v>
      </c>
      <c r="K647">
        <v>0</v>
      </c>
      <c r="L647">
        <v>0</v>
      </c>
      <c r="M647">
        <v>0</v>
      </c>
      <c r="N647">
        <v>133230</v>
      </c>
      <c r="O647">
        <v>291909</v>
      </c>
      <c r="P647">
        <v>322847</v>
      </c>
      <c r="Q647">
        <v>6</v>
      </c>
      <c r="R647">
        <v>3</v>
      </c>
      <c r="S647">
        <v>1</v>
      </c>
      <c r="T647">
        <v>30</v>
      </c>
      <c r="U647">
        <v>49</v>
      </c>
    </row>
    <row r="648" spans="1:21" x14ac:dyDescent="0.35">
      <c r="A648" t="s">
        <v>28</v>
      </c>
      <c r="B648" s="1">
        <v>45142</v>
      </c>
      <c r="C648" t="s">
        <v>25</v>
      </c>
      <c r="D648">
        <v>75.099999999999994</v>
      </c>
      <c r="E648">
        <v>18.7</v>
      </c>
      <c r="F648">
        <v>37.1</v>
      </c>
      <c r="G648">
        <v>4</v>
      </c>
      <c r="H648">
        <v>2</v>
      </c>
      <c r="I648">
        <v>0</v>
      </c>
      <c r="J648">
        <v>0</v>
      </c>
      <c r="K648">
        <v>0</v>
      </c>
      <c r="L648">
        <v>0</v>
      </c>
      <c r="M648">
        <v>0</v>
      </c>
      <c r="N648">
        <v>75926</v>
      </c>
      <c r="O648">
        <v>213911</v>
      </c>
      <c r="P648">
        <v>161680</v>
      </c>
      <c r="Q648">
        <v>57</v>
      </c>
      <c r="R648">
        <v>40</v>
      </c>
      <c r="S648">
        <v>60</v>
      </c>
      <c r="T648">
        <v>18</v>
      </c>
      <c r="U648">
        <v>29</v>
      </c>
    </row>
    <row r="649" spans="1:21" x14ac:dyDescent="0.35">
      <c r="A649" t="s">
        <v>28</v>
      </c>
      <c r="B649" s="1">
        <v>44512</v>
      </c>
      <c r="C649" t="s">
        <v>32</v>
      </c>
      <c r="D649">
        <v>200.4</v>
      </c>
      <c r="E649">
        <v>0</v>
      </c>
      <c r="F649">
        <v>0</v>
      </c>
      <c r="G649">
        <v>0</v>
      </c>
      <c r="H649">
        <v>0</v>
      </c>
      <c r="I649">
        <v>0</v>
      </c>
      <c r="J649">
        <v>0</v>
      </c>
      <c r="K649">
        <v>0</v>
      </c>
      <c r="L649">
        <v>0</v>
      </c>
      <c r="M649">
        <v>0</v>
      </c>
      <c r="N649">
        <v>162642</v>
      </c>
      <c r="O649">
        <v>0</v>
      </c>
      <c r="P649">
        <v>0</v>
      </c>
      <c r="Q649">
        <v>326</v>
      </c>
      <c r="R649">
        <v>0</v>
      </c>
      <c r="S649">
        <v>0</v>
      </c>
      <c r="T649">
        <v>0</v>
      </c>
      <c r="U649">
        <v>4</v>
      </c>
    </row>
    <row r="650" spans="1:21" x14ac:dyDescent="0.35">
      <c r="A650" t="s">
        <v>21</v>
      </c>
      <c r="B650" s="1">
        <v>45185</v>
      </c>
      <c r="C650" t="s">
        <v>25</v>
      </c>
      <c r="D650">
        <v>0</v>
      </c>
      <c r="E650">
        <v>0</v>
      </c>
      <c r="F650">
        <v>0</v>
      </c>
      <c r="G650">
        <v>0</v>
      </c>
      <c r="H650">
        <v>0</v>
      </c>
      <c r="I650">
        <v>0</v>
      </c>
      <c r="J650">
        <v>0</v>
      </c>
      <c r="K650">
        <v>0</v>
      </c>
      <c r="L650">
        <v>0</v>
      </c>
      <c r="M650">
        <v>0</v>
      </c>
      <c r="N650">
        <v>73185</v>
      </c>
      <c r="O650">
        <v>214126</v>
      </c>
      <c r="P650">
        <v>161725</v>
      </c>
      <c r="Q650">
        <v>0</v>
      </c>
      <c r="R650">
        <v>0</v>
      </c>
      <c r="S650">
        <v>0</v>
      </c>
      <c r="T650">
        <v>18</v>
      </c>
      <c r="U650">
        <v>29</v>
      </c>
    </row>
    <row r="651" spans="1:21" x14ac:dyDescent="0.35">
      <c r="A651" t="s">
        <v>26</v>
      </c>
      <c r="B651" s="1">
        <v>45101</v>
      </c>
      <c r="C651" t="s">
        <v>30</v>
      </c>
      <c r="D651">
        <v>8.1999999999999993</v>
      </c>
      <c r="E651">
        <v>0</v>
      </c>
      <c r="F651">
        <v>12.7</v>
      </c>
      <c r="G651">
        <v>0</v>
      </c>
      <c r="H651">
        <v>0.6</v>
      </c>
      <c r="I651">
        <v>0</v>
      </c>
      <c r="J651">
        <v>0</v>
      </c>
      <c r="K651">
        <v>0</v>
      </c>
      <c r="L651">
        <v>0</v>
      </c>
      <c r="M651">
        <v>0</v>
      </c>
      <c r="N651">
        <v>24509</v>
      </c>
      <c r="O651">
        <v>11383</v>
      </c>
      <c r="P651">
        <v>47130</v>
      </c>
      <c r="Q651">
        <v>2</v>
      </c>
      <c r="R651">
        <v>0</v>
      </c>
      <c r="S651">
        <v>6</v>
      </c>
      <c r="T651">
        <v>80</v>
      </c>
      <c r="U651">
        <v>200</v>
      </c>
    </row>
    <row r="652" spans="1:21" x14ac:dyDescent="0.35">
      <c r="A652" t="s">
        <v>21</v>
      </c>
      <c r="B652" s="1">
        <v>44897</v>
      </c>
      <c r="C652" t="s">
        <v>24</v>
      </c>
      <c r="D652">
        <v>0</v>
      </c>
      <c r="E652">
        <v>0</v>
      </c>
      <c r="F652">
        <v>0</v>
      </c>
      <c r="G652">
        <v>0</v>
      </c>
      <c r="H652">
        <v>0</v>
      </c>
      <c r="I652">
        <v>0</v>
      </c>
      <c r="J652">
        <v>0</v>
      </c>
      <c r="K652">
        <v>0</v>
      </c>
      <c r="L652">
        <v>0</v>
      </c>
      <c r="M652">
        <v>0</v>
      </c>
      <c r="N652">
        <v>109671</v>
      </c>
      <c r="O652">
        <v>68864</v>
      </c>
      <c r="P652">
        <v>0</v>
      </c>
      <c r="Q652">
        <v>0</v>
      </c>
      <c r="R652">
        <v>0</v>
      </c>
      <c r="S652">
        <v>0</v>
      </c>
      <c r="T652">
        <v>5</v>
      </c>
      <c r="U652">
        <v>11</v>
      </c>
    </row>
    <row r="653" spans="1:21" x14ac:dyDescent="0.35">
      <c r="A653" t="s">
        <v>28</v>
      </c>
      <c r="B653" s="1">
        <v>44930</v>
      </c>
      <c r="C653" t="s">
        <v>32</v>
      </c>
      <c r="D653">
        <v>43</v>
      </c>
      <c r="E653">
        <v>3.1</v>
      </c>
      <c r="F653">
        <v>0</v>
      </c>
      <c r="G653">
        <v>13.9</v>
      </c>
      <c r="H653">
        <v>0</v>
      </c>
      <c r="I653">
        <v>0</v>
      </c>
      <c r="J653">
        <v>0</v>
      </c>
      <c r="K653">
        <v>0</v>
      </c>
      <c r="L653">
        <v>0</v>
      </c>
      <c r="M653">
        <v>0</v>
      </c>
      <c r="N653">
        <v>162642</v>
      </c>
      <c r="O653">
        <v>0</v>
      </c>
      <c r="P653">
        <v>0</v>
      </c>
      <c r="Q653">
        <v>70</v>
      </c>
      <c r="R653">
        <v>5</v>
      </c>
      <c r="S653">
        <v>0</v>
      </c>
      <c r="T653">
        <v>0</v>
      </c>
      <c r="U653">
        <v>4</v>
      </c>
    </row>
    <row r="654" spans="1:21" x14ac:dyDescent="0.35">
      <c r="A654" t="s">
        <v>26</v>
      </c>
      <c r="B654" s="1">
        <v>44520</v>
      </c>
      <c r="C654" t="s">
        <v>22</v>
      </c>
      <c r="D654">
        <v>20.8</v>
      </c>
      <c r="E654">
        <v>5.0999999999999996</v>
      </c>
      <c r="F654">
        <v>2.2999999999999998</v>
      </c>
      <c r="G654">
        <v>4.0999999999999996</v>
      </c>
      <c r="H654">
        <v>9</v>
      </c>
      <c r="I654">
        <v>30.8</v>
      </c>
      <c r="J654">
        <v>5</v>
      </c>
      <c r="K654">
        <v>1.2</v>
      </c>
      <c r="L654">
        <v>6.1</v>
      </c>
      <c r="M654">
        <v>26.5</v>
      </c>
      <c r="N654">
        <v>893891</v>
      </c>
      <c r="O654">
        <v>1383374</v>
      </c>
      <c r="P654">
        <v>221328</v>
      </c>
      <c r="Q654">
        <v>186</v>
      </c>
      <c r="R654">
        <v>71</v>
      </c>
      <c r="S654">
        <v>5</v>
      </c>
      <c r="T654">
        <v>999</v>
      </c>
      <c r="U654">
        <v>999</v>
      </c>
    </row>
    <row r="655" spans="1:21" x14ac:dyDescent="0.35">
      <c r="A655" t="s">
        <v>28</v>
      </c>
      <c r="B655" s="1">
        <v>45213</v>
      </c>
      <c r="C655" t="s">
        <v>25</v>
      </c>
      <c r="D655">
        <v>47.7</v>
      </c>
      <c r="E655">
        <v>14</v>
      </c>
      <c r="F655">
        <v>17.899999999999999</v>
      </c>
      <c r="G655">
        <v>3.4</v>
      </c>
      <c r="H655">
        <v>2.7</v>
      </c>
      <c r="I655">
        <v>0</v>
      </c>
      <c r="J655">
        <v>0</v>
      </c>
      <c r="K655">
        <v>0</v>
      </c>
      <c r="L655">
        <v>0</v>
      </c>
      <c r="M655">
        <v>0</v>
      </c>
      <c r="N655">
        <v>71300</v>
      </c>
      <c r="O655">
        <v>214478</v>
      </c>
      <c r="P655">
        <v>161898</v>
      </c>
      <c r="Q655">
        <v>34</v>
      </c>
      <c r="R655">
        <v>30</v>
      </c>
      <c r="S655">
        <v>29</v>
      </c>
      <c r="T655">
        <v>18</v>
      </c>
      <c r="U655">
        <v>29</v>
      </c>
    </row>
    <row r="656" spans="1:21" x14ac:dyDescent="0.35">
      <c r="A656" t="s">
        <v>21</v>
      </c>
      <c r="B656" s="1">
        <v>45185</v>
      </c>
      <c r="C656" t="s">
        <v>30</v>
      </c>
      <c r="D656">
        <v>0</v>
      </c>
      <c r="E656">
        <v>0</v>
      </c>
      <c r="F656">
        <v>6.4</v>
      </c>
      <c r="G656">
        <v>0</v>
      </c>
      <c r="H656">
        <v>0</v>
      </c>
      <c r="I656">
        <v>0</v>
      </c>
      <c r="J656">
        <v>0</v>
      </c>
      <c r="K656">
        <v>0</v>
      </c>
      <c r="L656">
        <v>0</v>
      </c>
      <c r="M656">
        <v>0</v>
      </c>
      <c r="N656">
        <v>24446</v>
      </c>
      <c r="O656">
        <v>11380</v>
      </c>
      <c r="P656">
        <v>47134</v>
      </c>
      <c r="Q656">
        <v>0</v>
      </c>
      <c r="R656">
        <v>0</v>
      </c>
      <c r="S656">
        <v>3</v>
      </c>
      <c r="T656">
        <v>80</v>
      </c>
      <c r="U656">
        <v>200</v>
      </c>
    </row>
    <row r="657" spans="1:21" x14ac:dyDescent="0.35">
      <c r="A657" t="s">
        <v>28</v>
      </c>
      <c r="B657" s="1">
        <v>44863</v>
      </c>
      <c r="C657" t="s">
        <v>31</v>
      </c>
      <c r="D657">
        <v>150.19999999999999</v>
      </c>
      <c r="E657">
        <v>152.19999999999999</v>
      </c>
      <c r="F657">
        <v>135.80000000000001</v>
      </c>
      <c r="G657">
        <v>1</v>
      </c>
      <c r="H657">
        <v>1.1000000000000001</v>
      </c>
      <c r="I657">
        <v>0</v>
      </c>
      <c r="J657">
        <v>0</v>
      </c>
      <c r="K657">
        <v>0</v>
      </c>
      <c r="L657">
        <v>0</v>
      </c>
      <c r="M657">
        <v>0</v>
      </c>
      <c r="N657">
        <v>42620</v>
      </c>
      <c r="O657">
        <v>43357</v>
      </c>
      <c r="P657">
        <v>171513</v>
      </c>
      <c r="Q657">
        <v>64</v>
      </c>
      <c r="R657">
        <v>66</v>
      </c>
      <c r="S657">
        <v>233</v>
      </c>
      <c r="T657">
        <v>65</v>
      </c>
      <c r="U657">
        <v>79</v>
      </c>
    </row>
    <row r="658" spans="1:21" x14ac:dyDescent="0.35">
      <c r="A658" t="s">
        <v>26</v>
      </c>
      <c r="B658" s="1">
        <v>45122</v>
      </c>
      <c r="C658" t="s">
        <v>22</v>
      </c>
      <c r="D658">
        <v>1.3</v>
      </c>
      <c r="E658">
        <v>0.2</v>
      </c>
      <c r="F658">
        <v>0.9</v>
      </c>
      <c r="G658">
        <v>6.5</v>
      </c>
      <c r="H658">
        <v>1.4</v>
      </c>
      <c r="I658">
        <v>1.6</v>
      </c>
      <c r="J658">
        <v>0.3</v>
      </c>
      <c r="K658">
        <v>0.7</v>
      </c>
      <c r="L658">
        <v>4.7</v>
      </c>
      <c r="M658">
        <v>2.4</v>
      </c>
      <c r="N658">
        <v>531292</v>
      </c>
      <c r="O658">
        <v>860318</v>
      </c>
      <c r="P658">
        <v>1040757</v>
      </c>
      <c r="Q658">
        <v>7</v>
      </c>
      <c r="R658">
        <v>2</v>
      </c>
      <c r="S658">
        <v>9</v>
      </c>
      <c r="T658">
        <v>999</v>
      </c>
      <c r="U658">
        <v>999</v>
      </c>
    </row>
    <row r="659" spans="1:21" x14ac:dyDescent="0.35">
      <c r="A659" t="s">
        <v>28</v>
      </c>
      <c r="B659" s="1">
        <v>45192</v>
      </c>
      <c r="C659" t="s">
        <v>25</v>
      </c>
      <c r="D659">
        <v>67.2</v>
      </c>
      <c r="E659">
        <v>15.9</v>
      </c>
      <c r="F659">
        <v>27.8</v>
      </c>
      <c r="G659">
        <v>4.2</v>
      </c>
      <c r="H659">
        <v>2.4</v>
      </c>
      <c r="I659">
        <v>0</v>
      </c>
      <c r="J659">
        <v>0</v>
      </c>
      <c r="K659">
        <v>0</v>
      </c>
      <c r="L659">
        <v>0</v>
      </c>
      <c r="M659">
        <v>0</v>
      </c>
      <c r="N659">
        <v>72891</v>
      </c>
      <c r="O659">
        <v>214123</v>
      </c>
      <c r="P659">
        <v>161728</v>
      </c>
      <c r="Q659">
        <v>49</v>
      </c>
      <c r="R659">
        <v>34</v>
      </c>
      <c r="S659">
        <v>45</v>
      </c>
      <c r="T659">
        <v>18</v>
      </c>
      <c r="U659">
        <v>29</v>
      </c>
    </row>
    <row r="660" spans="1:21" x14ac:dyDescent="0.35">
      <c r="A660" t="s">
        <v>26</v>
      </c>
      <c r="B660" s="1">
        <v>45018</v>
      </c>
      <c r="C660" t="s">
        <v>32</v>
      </c>
      <c r="D660">
        <v>1.8</v>
      </c>
      <c r="E660">
        <v>0.6</v>
      </c>
      <c r="F660">
        <v>0</v>
      </c>
      <c r="G660">
        <v>3</v>
      </c>
      <c r="H660">
        <v>0</v>
      </c>
      <c r="I660">
        <v>0</v>
      </c>
      <c r="J660">
        <v>0</v>
      </c>
      <c r="K660">
        <v>0</v>
      </c>
      <c r="L660">
        <v>0</v>
      </c>
      <c r="M660">
        <v>0</v>
      </c>
      <c r="N660">
        <v>162642</v>
      </c>
      <c r="O660">
        <v>0</v>
      </c>
      <c r="P660">
        <v>0</v>
      </c>
      <c r="Q660">
        <v>3</v>
      </c>
      <c r="R660">
        <v>1</v>
      </c>
      <c r="S660">
        <v>0</v>
      </c>
      <c r="T660">
        <v>0</v>
      </c>
      <c r="U660">
        <v>4</v>
      </c>
    </row>
    <row r="661" spans="1:21" x14ac:dyDescent="0.35">
      <c r="A661" t="s">
        <v>26</v>
      </c>
      <c r="B661" s="1">
        <v>44576</v>
      </c>
      <c r="C661" t="s">
        <v>23</v>
      </c>
      <c r="D661">
        <v>308.89999999999998</v>
      </c>
      <c r="E661">
        <v>50.5</v>
      </c>
      <c r="F661">
        <v>20.9</v>
      </c>
      <c r="G661">
        <v>6.1</v>
      </c>
      <c r="H661">
        <v>14.8</v>
      </c>
      <c r="I661">
        <v>0</v>
      </c>
      <c r="J661">
        <v>0</v>
      </c>
      <c r="K661">
        <v>0</v>
      </c>
      <c r="L661">
        <v>0</v>
      </c>
      <c r="M661">
        <v>0</v>
      </c>
      <c r="N661">
        <v>52767</v>
      </c>
      <c r="O661">
        <v>184203</v>
      </c>
      <c r="P661">
        <v>171854</v>
      </c>
      <c r="Q661">
        <v>163</v>
      </c>
      <c r="R661">
        <v>93</v>
      </c>
      <c r="S661">
        <v>36</v>
      </c>
      <c r="T661">
        <v>50</v>
      </c>
      <c r="U661">
        <v>64</v>
      </c>
    </row>
    <row r="662" spans="1:21" x14ac:dyDescent="0.35">
      <c r="A662" t="s">
        <v>26</v>
      </c>
      <c r="B662" s="1">
        <v>44366</v>
      </c>
      <c r="C662" t="s">
        <v>31</v>
      </c>
      <c r="D662">
        <v>5.4</v>
      </c>
      <c r="E662">
        <v>0.5</v>
      </c>
      <c r="F662">
        <v>0</v>
      </c>
      <c r="G662">
        <v>10.8</v>
      </c>
      <c r="H662">
        <v>0</v>
      </c>
      <c r="I662">
        <v>0</v>
      </c>
      <c r="J662">
        <v>0</v>
      </c>
      <c r="K662">
        <v>0</v>
      </c>
      <c r="L662">
        <v>0</v>
      </c>
      <c r="M662">
        <v>0</v>
      </c>
      <c r="N662">
        <v>74281</v>
      </c>
      <c r="O662">
        <v>183897</v>
      </c>
      <c r="P662">
        <v>0</v>
      </c>
      <c r="Q662">
        <v>4</v>
      </c>
      <c r="R662">
        <v>1</v>
      </c>
      <c r="S662">
        <v>0</v>
      </c>
      <c r="T662">
        <v>65</v>
      </c>
      <c r="U662">
        <v>79</v>
      </c>
    </row>
    <row r="663" spans="1:21" x14ac:dyDescent="0.35">
      <c r="A663" t="s">
        <v>26</v>
      </c>
      <c r="B663" s="1">
        <v>45010</v>
      </c>
      <c r="C663" t="s">
        <v>30</v>
      </c>
      <c r="D663">
        <v>36.5</v>
      </c>
      <c r="E663">
        <v>70.3</v>
      </c>
      <c r="F663">
        <v>59.4</v>
      </c>
      <c r="G663">
        <v>0.5</v>
      </c>
      <c r="H663">
        <v>0.6</v>
      </c>
      <c r="I663">
        <v>0</v>
      </c>
      <c r="J663">
        <v>0</v>
      </c>
      <c r="K663">
        <v>0</v>
      </c>
      <c r="L663">
        <v>0</v>
      </c>
      <c r="M663">
        <v>0</v>
      </c>
      <c r="N663">
        <v>24648</v>
      </c>
      <c r="O663">
        <v>11381</v>
      </c>
      <c r="P663">
        <v>47126</v>
      </c>
      <c r="Q663">
        <v>9</v>
      </c>
      <c r="R663">
        <v>8</v>
      </c>
      <c r="S663">
        <v>28</v>
      </c>
      <c r="T663">
        <v>80</v>
      </c>
      <c r="U663">
        <v>200</v>
      </c>
    </row>
    <row r="664" spans="1:21" x14ac:dyDescent="0.35">
      <c r="A664" t="s">
        <v>21</v>
      </c>
      <c r="B664" s="1">
        <v>44692</v>
      </c>
      <c r="C664" t="s">
        <v>22</v>
      </c>
      <c r="D664">
        <v>0.7</v>
      </c>
      <c r="E664">
        <v>0.2</v>
      </c>
      <c r="F664">
        <v>0.3</v>
      </c>
      <c r="G664">
        <v>3.5</v>
      </c>
      <c r="H664">
        <v>2.2999999999999998</v>
      </c>
      <c r="I664">
        <v>0.8</v>
      </c>
      <c r="J664">
        <v>0.4</v>
      </c>
      <c r="K664">
        <v>0.2</v>
      </c>
      <c r="L664">
        <v>1.9</v>
      </c>
      <c r="M664">
        <v>4.4000000000000004</v>
      </c>
      <c r="N664">
        <v>573510</v>
      </c>
      <c r="O664">
        <v>847144</v>
      </c>
      <c r="P664">
        <v>1039435</v>
      </c>
      <c r="Q664">
        <v>4</v>
      </c>
      <c r="R664">
        <v>2</v>
      </c>
      <c r="S664">
        <v>3</v>
      </c>
      <c r="T664">
        <v>999</v>
      </c>
      <c r="U664">
        <v>999</v>
      </c>
    </row>
    <row r="665" spans="1:21" x14ac:dyDescent="0.35">
      <c r="A665" t="s">
        <v>28</v>
      </c>
      <c r="B665" s="1">
        <v>45178</v>
      </c>
      <c r="C665" t="s">
        <v>31</v>
      </c>
      <c r="D665">
        <v>92</v>
      </c>
      <c r="E665">
        <v>39.200000000000003</v>
      </c>
      <c r="F665">
        <v>74.5</v>
      </c>
      <c r="G665">
        <v>2.2999999999999998</v>
      </c>
      <c r="H665">
        <v>1.2</v>
      </c>
      <c r="I665">
        <v>0</v>
      </c>
      <c r="J665">
        <v>0</v>
      </c>
      <c r="K665">
        <v>0</v>
      </c>
      <c r="L665">
        <v>0</v>
      </c>
      <c r="M665">
        <v>0</v>
      </c>
      <c r="N665">
        <v>39140</v>
      </c>
      <c r="O665">
        <v>43415</v>
      </c>
      <c r="P665">
        <v>171755</v>
      </c>
      <c r="Q665">
        <v>36</v>
      </c>
      <c r="R665">
        <v>17</v>
      </c>
      <c r="S665">
        <v>128</v>
      </c>
      <c r="T665">
        <v>65</v>
      </c>
      <c r="U665">
        <v>79</v>
      </c>
    </row>
    <row r="666" spans="1:21" x14ac:dyDescent="0.35">
      <c r="A666" t="s">
        <v>26</v>
      </c>
      <c r="B666" s="1">
        <v>44322</v>
      </c>
      <c r="C666" t="s">
        <v>22</v>
      </c>
      <c r="D666">
        <v>7.3</v>
      </c>
      <c r="E666">
        <v>0.7</v>
      </c>
      <c r="F666">
        <v>0</v>
      </c>
      <c r="G666">
        <v>10.4</v>
      </c>
      <c r="H666">
        <v>0</v>
      </c>
      <c r="I666">
        <v>9.8000000000000007</v>
      </c>
      <c r="J666">
        <v>0.5</v>
      </c>
      <c r="K666">
        <v>0</v>
      </c>
      <c r="L666">
        <v>20.399999999999999</v>
      </c>
      <c r="M666">
        <v>0</v>
      </c>
      <c r="N666">
        <v>1279034</v>
      </c>
      <c r="O666">
        <v>1158544</v>
      </c>
      <c r="P666">
        <v>0</v>
      </c>
      <c r="Q666">
        <v>94</v>
      </c>
      <c r="R666">
        <v>8</v>
      </c>
      <c r="S666">
        <v>0</v>
      </c>
      <c r="T666">
        <v>999</v>
      </c>
      <c r="U666">
        <v>999</v>
      </c>
    </row>
    <row r="667" spans="1:21" x14ac:dyDescent="0.35">
      <c r="A667" t="s">
        <v>21</v>
      </c>
      <c r="B667" s="1">
        <v>44509</v>
      </c>
      <c r="C667" t="s">
        <v>30</v>
      </c>
      <c r="D667">
        <v>16</v>
      </c>
      <c r="E667">
        <v>5.7</v>
      </c>
      <c r="F667">
        <v>0</v>
      </c>
      <c r="G667">
        <v>2.8</v>
      </c>
      <c r="H667">
        <v>0</v>
      </c>
      <c r="I667">
        <v>0</v>
      </c>
      <c r="J667">
        <v>0</v>
      </c>
      <c r="K667">
        <v>0</v>
      </c>
      <c r="L667">
        <v>0</v>
      </c>
      <c r="M667">
        <v>0</v>
      </c>
      <c r="N667">
        <v>31257</v>
      </c>
      <c r="O667">
        <v>53008</v>
      </c>
      <c r="P667">
        <v>0</v>
      </c>
      <c r="Q667">
        <v>5</v>
      </c>
      <c r="R667">
        <v>3</v>
      </c>
      <c r="S667">
        <v>0</v>
      </c>
      <c r="T667">
        <v>80</v>
      </c>
      <c r="U667">
        <v>200</v>
      </c>
    </row>
    <row r="668" spans="1:21" x14ac:dyDescent="0.35">
      <c r="A668" t="s">
        <v>21</v>
      </c>
      <c r="B668" s="1">
        <v>44385</v>
      </c>
      <c r="C668" t="s">
        <v>29</v>
      </c>
      <c r="D668">
        <v>1.5</v>
      </c>
      <c r="E668">
        <v>0</v>
      </c>
      <c r="F668">
        <v>0</v>
      </c>
      <c r="G668">
        <v>0</v>
      </c>
      <c r="H668">
        <v>0</v>
      </c>
      <c r="I668">
        <v>0</v>
      </c>
      <c r="J668">
        <v>0</v>
      </c>
      <c r="K668">
        <v>0</v>
      </c>
      <c r="L668">
        <v>0</v>
      </c>
      <c r="M668">
        <v>0</v>
      </c>
      <c r="N668">
        <v>260144</v>
      </c>
      <c r="O668">
        <v>501004</v>
      </c>
      <c r="P668">
        <v>0</v>
      </c>
      <c r="Q668">
        <v>4</v>
      </c>
      <c r="R668">
        <v>0</v>
      </c>
      <c r="S668">
        <v>0</v>
      </c>
      <c r="T668">
        <v>30</v>
      </c>
      <c r="U668">
        <v>49</v>
      </c>
    </row>
    <row r="669" spans="1:21" x14ac:dyDescent="0.35">
      <c r="A669" t="s">
        <v>28</v>
      </c>
      <c r="B669" s="1">
        <v>45045</v>
      </c>
      <c r="C669" t="s">
        <v>31</v>
      </c>
      <c r="D669">
        <v>42.8</v>
      </c>
      <c r="E669">
        <v>39.1</v>
      </c>
      <c r="F669">
        <v>49.5</v>
      </c>
      <c r="G669">
        <v>1.1000000000000001</v>
      </c>
      <c r="H669">
        <v>0.9</v>
      </c>
      <c r="I669">
        <v>0</v>
      </c>
      <c r="J669">
        <v>0</v>
      </c>
      <c r="K669">
        <v>0</v>
      </c>
      <c r="L669">
        <v>0</v>
      </c>
      <c r="M669">
        <v>0</v>
      </c>
      <c r="N669">
        <v>39684</v>
      </c>
      <c r="O669">
        <v>43437</v>
      </c>
      <c r="P669">
        <v>171725</v>
      </c>
      <c r="Q669">
        <v>17</v>
      </c>
      <c r="R669">
        <v>17</v>
      </c>
      <c r="S669">
        <v>85</v>
      </c>
      <c r="T669">
        <v>65</v>
      </c>
      <c r="U669">
        <v>79</v>
      </c>
    </row>
    <row r="670" spans="1:21" x14ac:dyDescent="0.35">
      <c r="A670" t="s">
        <v>28</v>
      </c>
      <c r="B670" s="1">
        <v>45054</v>
      </c>
      <c r="C670" t="s">
        <v>24</v>
      </c>
      <c r="D670">
        <v>8.9</v>
      </c>
      <c r="E670">
        <v>2.4</v>
      </c>
      <c r="F670">
        <v>4.7</v>
      </c>
      <c r="G670">
        <v>3.7</v>
      </c>
      <c r="H670">
        <v>1.9</v>
      </c>
      <c r="I670">
        <v>0</v>
      </c>
      <c r="J670">
        <v>0</v>
      </c>
      <c r="K670">
        <v>0</v>
      </c>
      <c r="L670">
        <v>0</v>
      </c>
      <c r="M670">
        <v>0</v>
      </c>
      <c r="N670">
        <v>89877</v>
      </c>
      <c r="O670">
        <v>82672</v>
      </c>
      <c r="P670">
        <v>21260</v>
      </c>
      <c r="Q670">
        <v>8</v>
      </c>
      <c r="R670">
        <v>2</v>
      </c>
      <c r="S670">
        <v>1</v>
      </c>
      <c r="T670">
        <v>5</v>
      </c>
      <c r="U670">
        <v>11</v>
      </c>
    </row>
    <row r="671" spans="1:21" x14ac:dyDescent="0.35">
      <c r="A671" t="s">
        <v>26</v>
      </c>
      <c r="B671" s="1">
        <v>45136</v>
      </c>
      <c r="C671" t="s">
        <v>27</v>
      </c>
      <c r="D671">
        <v>0</v>
      </c>
      <c r="E671">
        <v>0</v>
      </c>
      <c r="F671">
        <v>0</v>
      </c>
      <c r="G671">
        <v>0</v>
      </c>
      <c r="H671">
        <v>0</v>
      </c>
      <c r="I671">
        <v>0</v>
      </c>
      <c r="J671">
        <v>0</v>
      </c>
      <c r="K671">
        <v>0</v>
      </c>
      <c r="L671">
        <v>0</v>
      </c>
      <c r="M671">
        <v>0</v>
      </c>
      <c r="N671">
        <v>32091</v>
      </c>
      <c r="O671">
        <v>86577</v>
      </c>
      <c r="P671">
        <v>44592</v>
      </c>
      <c r="Q671">
        <v>0</v>
      </c>
      <c r="R671">
        <v>0</v>
      </c>
      <c r="S671">
        <v>0</v>
      </c>
      <c r="T671">
        <v>12</v>
      </c>
      <c r="U671">
        <v>17</v>
      </c>
    </row>
    <row r="672" spans="1:21" x14ac:dyDescent="0.35">
      <c r="A672" t="s">
        <v>28</v>
      </c>
      <c r="B672" s="1">
        <v>45136</v>
      </c>
      <c r="C672" t="s">
        <v>24</v>
      </c>
      <c r="D672">
        <v>2.2000000000000002</v>
      </c>
      <c r="E672">
        <v>2.4</v>
      </c>
      <c r="F672">
        <v>28.2</v>
      </c>
      <c r="G672">
        <v>0.9</v>
      </c>
      <c r="H672">
        <v>0.1</v>
      </c>
      <c r="I672">
        <v>0</v>
      </c>
      <c r="J672">
        <v>0</v>
      </c>
      <c r="K672">
        <v>0</v>
      </c>
      <c r="L672">
        <v>0</v>
      </c>
      <c r="M672">
        <v>0</v>
      </c>
      <c r="N672">
        <v>89972</v>
      </c>
      <c r="O672">
        <v>82669</v>
      </c>
      <c r="P672">
        <v>21260</v>
      </c>
      <c r="Q672">
        <v>2</v>
      </c>
      <c r="R672">
        <v>2</v>
      </c>
      <c r="S672">
        <v>6</v>
      </c>
      <c r="T672">
        <v>5</v>
      </c>
      <c r="U672">
        <v>11</v>
      </c>
    </row>
    <row r="673" spans="1:21" x14ac:dyDescent="0.35">
      <c r="A673" t="s">
        <v>21</v>
      </c>
      <c r="B673" s="1">
        <v>44856</v>
      </c>
      <c r="C673" t="s">
        <v>29</v>
      </c>
      <c r="D673">
        <v>0</v>
      </c>
      <c r="E673">
        <v>0</v>
      </c>
      <c r="F673">
        <v>0</v>
      </c>
      <c r="G673">
        <v>0</v>
      </c>
      <c r="H673">
        <v>0</v>
      </c>
      <c r="I673">
        <v>0</v>
      </c>
      <c r="J673">
        <v>0</v>
      </c>
      <c r="K673">
        <v>0</v>
      </c>
      <c r="L673">
        <v>0</v>
      </c>
      <c r="M673">
        <v>0</v>
      </c>
      <c r="N673">
        <v>119057</v>
      </c>
      <c r="O673">
        <v>276343</v>
      </c>
      <c r="P673">
        <v>347017</v>
      </c>
      <c r="Q673">
        <v>0</v>
      </c>
      <c r="R673">
        <v>0</v>
      </c>
      <c r="S673">
        <v>0</v>
      </c>
      <c r="T673">
        <v>30</v>
      </c>
      <c r="U673">
        <v>49</v>
      </c>
    </row>
    <row r="674" spans="1:21" x14ac:dyDescent="0.35">
      <c r="A674" t="s">
        <v>21</v>
      </c>
      <c r="B674" s="1">
        <v>44536</v>
      </c>
      <c r="C674" t="s">
        <v>27</v>
      </c>
      <c r="D674">
        <v>0</v>
      </c>
      <c r="E674">
        <v>0</v>
      </c>
      <c r="F674">
        <v>0</v>
      </c>
      <c r="G674">
        <v>0</v>
      </c>
      <c r="H674">
        <v>0</v>
      </c>
      <c r="I674">
        <v>0</v>
      </c>
      <c r="J674">
        <v>0</v>
      </c>
      <c r="K674">
        <v>0</v>
      </c>
      <c r="L674">
        <v>0</v>
      </c>
      <c r="M674">
        <v>0</v>
      </c>
      <c r="N674">
        <v>118282</v>
      </c>
      <c r="O674">
        <v>13905</v>
      </c>
      <c r="P674">
        <v>0</v>
      </c>
      <c r="Q674">
        <v>0</v>
      </c>
      <c r="R674">
        <v>0</v>
      </c>
      <c r="S674">
        <v>0</v>
      </c>
      <c r="T674">
        <v>12</v>
      </c>
      <c r="U674">
        <v>17</v>
      </c>
    </row>
    <row r="675" spans="1:21" x14ac:dyDescent="0.35">
      <c r="A675" t="s">
        <v>26</v>
      </c>
      <c r="B675" s="1">
        <v>44298</v>
      </c>
      <c r="C675" t="s">
        <v>27</v>
      </c>
      <c r="D675">
        <v>5.0999999999999996</v>
      </c>
      <c r="E675">
        <v>0.9</v>
      </c>
      <c r="F675">
        <v>0</v>
      </c>
      <c r="G675">
        <v>5.7</v>
      </c>
      <c r="H675">
        <v>0</v>
      </c>
      <c r="I675">
        <v>0</v>
      </c>
      <c r="J675">
        <v>0</v>
      </c>
      <c r="K675">
        <v>0</v>
      </c>
      <c r="L675">
        <v>0</v>
      </c>
      <c r="M675">
        <v>0</v>
      </c>
      <c r="N675">
        <v>58493</v>
      </c>
      <c r="O675">
        <v>105452</v>
      </c>
      <c r="P675">
        <v>0</v>
      </c>
      <c r="Q675">
        <v>3</v>
      </c>
      <c r="R675">
        <v>1</v>
      </c>
      <c r="S675">
        <v>0</v>
      </c>
      <c r="T675">
        <v>12</v>
      </c>
      <c r="U675">
        <v>17</v>
      </c>
    </row>
    <row r="676" spans="1:21" x14ac:dyDescent="0.35">
      <c r="A676" t="s">
        <v>21</v>
      </c>
      <c r="B676" s="1">
        <v>44930</v>
      </c>
      <c r="C676" t="s">
        <v>30</v>
      </c>
      <c r="D676">
        <v>4.0999999999999996</v>
      </c>
      <c r="E676">
        <v>0</v>
      </c>
      <c r="F676">
        <v>2.1</v>
      </c>
      <c r="G676">
        <v>0</v>
      </c>
      <c r="H676">
        <v>2</v>
      </c>
      <c r="I676">
        <v>0</v>
      </c>
      <c r="J676">
        <v>0</v>
      </c>
      <c r="K676">
        <v>0</v>
      </c>
      <c r="L676">
        <v>0</v>
      </c>
      <c r="M676">
        <v>0</v>
      </c>
      <c r="N676">
        <v>24634</v>
      </c>
      <c r="O676">
        <v>11382</v>
      </c>
      <c r="P676">
        <v>47126</v>
      </c>
      <c r="Q676">
        <v>1</v>
      </c>
      <c r="R676">
        <v>0</v>
      </c>
      <c r="S676">
        <v>1</v>
      </c>
      <c r="T676">
        <v>80</v>
      </c>
      <c r="U676">
        <v>200</v>
      </c>
    </row>
    <row r="677" spans="1:21" x14ac:dyDescent="0.35">
      <c r="A677" t="s">
        <v>26</v>
      </c>
      <c r="B677" s="1">
        <v>44774</v>
      </c>
      <c r="C677" t="s">
        <v>25</v>
      </c>
      <c r="D677">
        <v>72.3</v>
      </c>
      <c r="E677">
        <v>16.399999999999999</v>
      </c>
      <c r="F677">
        <v>7.2</v>
      </c>
      <c r="G677">
        <v>4.4000000000000004</v>
      </c>
      <c r="H677">
        <v>10</v>
      </c>
      <c r="I677">
        <v>0</v>
      </c>
      <c r="J677">
        <v>0</v>
      </c>
      <c r="K677">
        <v>0</v>
      </c>
      <c r="L677">
        <v>0</v>
      </c>
      <c r="M677">
        <v>0</v>
      </c>
      <c r="N677">
        <v>128651</v>
      </c>
      <c r="O677">
        <v>256042</v>
      </c>
      <c r="P677">
        <v>83774</v>
      </c>
      <c r="Q677">
        <v>93</v>
      </c>
      <c r="R677">
        <v>42</v>
      </c>
      <c r="S677">
        <v>6</v>
      </c>
      <c r="T677">
        <v>18</v>
      </c>
      <c r="U677">
        <v>29</v>
      </c>
    </row>
    <row r="678" spans="1:21" x14ac:dyDescent="0.35">
      <c r="A678" t="s">
        <v>26</v>
      </c>
      <c r="B678" s="1">
        <v>44930</v>
      </c>
      <c r="C678" t="s">
        <v>23</v>
      </c>
      <c r="D678">
        <v>17.899999999999999</v>
      </c>
      <c r="E678">
        <v>3.2</v>
      </c>
      <c r="F678">
        <v>4.5</v>
      </c>
      <c r="G678">
        <v>5.6</v>
      </c>
      <c r="H678">
        <v>4</v>
      </c>
      <c r="I678">
        <v>0</v>
      </c>
      <c r="J678">
        <v>0</v>
      </c>
      <c r="K678">
        <v>0</v>
      </c>
      <c r="L678">
        <v>0</v>
      </c>
      <c r="M678">
        <v>0</v>
      </c>
      <c r="N678">
        <v>33477</v>
      </c>
      <c r="O678">
        <v>125679</v>
      </c>
      <c r="P678">
        <v>246893</v>
      </c>
      <c r="Q678">
        <v>6</v>
      </c>
      <c r="R678">
        <v>4</v>
      </c>
      <c r="S678">
        <v>11</v>
      </c>
      <c r="T678">
        <v>50</v>
      </c>
      <c r="U678">
        <v>64</v>
      </c>
    </row>
    <row r="679" spans="1:21" x14ac:dyDescent="0.35">
      <c r="A679" t="s">
        <v>21</v>
      </c>
      <c r="B679" s="1">
        <v>44201</v>
      </c>
      <c r="C679" t="s">
        <v>31</v>
      </c>
      <c r="D679">
        <v>9.1999999999999993</v>
      </c>
      <c r="E679">
        <v>0.7</v>
      </c>
      <c r="F679">
        <v>0</v>
      </c>
      <c r="G679">
        <v>13.1</v>
      </c>
      <c r="H679">
        <v>0</v>
      </c>
      <c r="I679">
        <v>0</v>
      </c>
      <c r="J679">
        <v>0</v>
      </c>
      <c r="K679">
        <v>0</v>
      </c>
      <c r="L679">
        <v>0</v>
      </c>
      <c r="M679">
        <v>0</v>
      </c>
      <c r="N679">
        <v>86807</v>
      </c>
      <c r="O679">
        <v>152729</v>
      </c>
      <c r="P679">
        <v>0</v>
      </c>
      <c r="Q679">
        <v>8</v>
      </c>
      <c r="R679">
        <v>1</v>
      </c>
      <c r="S679">
        <v>0</v>
      </c>
      <c r="T679">
        <v>65</v>
      </c>
      <c r="U679">
        <v>79</v>
      </c>
    </row>
    <row r="680" spans="1:21" x14ac:dyDescent="0.35">
      <c r="A680" t="s">
        <v>28</v>
      </c>
      <c r="B680" s="1">
        <v>45082</v>
      </c>
      <c r="C680" t="s">
        <v>31</v>
      </c>
      <c r="D680">
        <v>30.3</v>
      </c>
      <c r="E680">
        <v>25.3</v>
      </c>
      <c r="F680">
        <v>32.6</v>
      </c>
      <c r="G680">
        <v>1.2</v>
      </c>
      <c r="H680">
        <v>0.9</v>
      </c>
      <c r="I680">
        <v>0</v>
      </c>
      <c r="J680">
        <v>0</v>
      </c>
      <c r="K680">
        <v>0</v>
      </c>
      <c r="L680">
        <v>0</v>
      </c>
      <c r="M680">
        <v>0</v>
      </c>
      <c r="N680">
        <v>39631</v>
      </c>
      <c r="O680">
        <v>43437</v>
      </c>
      <c r="P680">
        <v>171727</v>
      </c>
      <c r="Q680">
        <v>12</v>
      </c>
      <c r="R680">
        <v>11</v>
      </c>
      <c r="S680">
        <v>56</v>
      </c>
      <c r="T680">
        <v>65</v>
      </c>
      <c r="U680">
        <v>79</v>
      </c>
    </row>
    <row r="681" spans="1:21" x14ac:dyDescent="0.35">
      <c r="A681" t="s">
        <v>26</v>
      </c>
      <c r="B681" s="1">
        <v>44520</v>
      </c>
      <c r="C681" t="s">
        <v>29</v>
      </c>
      <c r="D681">
        <v>28.5</v>
      </c>
      <c r="E681">
        <v>1.8</v>
      </c>
      <c r="F681">
        <v>1.6</v>
      </c>
      <c r="G681">
        <v>15.8</v>
      </c>
      <c r="H681">
        <v>17.8</v>
      </c>
      <c r="I681">
        <v>0</v>
      </c>
      <c r="J681">
        <v>0</v>
      </c>
      <c r="K681">
        <v>0</v>
      </c>
      <c r="L681">
        <v>0</v>
      </c>
      <c r="M681">
        <v>0</v>
      </c>
      <c r="N681">
        <v>192730</v>
      </c>
      <c r="O681">
        <v>502972</v>
      </c>
      <c r="P681">
        <v>63876</v>
      </c>
      <c r="Q681">
        <v>55</v>
      </c>
      <c r="R681">
        <v>9</v>
      </c>
      <c r="S681">
        <v>1</v>
      </c>
      <c r="T681">
        <v>30</v>
      </c>
      <c r="U681">
        <v>49</v>
      </c>
    </row>
    <row r="682" spans="1:21" x14ac:dyDescent="0.35">
      <c r="A682" t="s">
        <v>28</v>
      </c>
      <c r="B682" s="1">
        <v>44639</v>
      </c>
      <c r="C682" t="s">
        <v>29</v>
      </c>
      <c r="D682">
        <v>77</v>
      </c>
      <c r="E682">
        <v>27.7</v>
      </c>
      <c r="F682">
        <v>72.900000000000006</v>
      </c>
      <c r="G682">
        <v>2.8</v>
      </c>
      <c r="H682">
        <v>1.1000000000000001</v>
      </c>
      <c r="I682">
        <v>0</v>
      </c>
      <c r="J682">
        <v>0</v>
      </c>
      <c r="K682">
        <v>0</v>
      </c>
      <c r="L682">
        <v>0</v>
      </c>
      <c r="M682">
        <v>0</v>
      </c>
      <c r="N682">
        <v>133820</v>
      </c>
      <c r="O682">
        <v>292802</v>
      </c>
      <c r="P682">
        <v>320838</v>
      </c>
      <c r="Q682">
        <v>103</v>
      </c>
      <c r="R682">
        <v>81</v>
      </c>
      <c r="S682">
        <v>234</v>
      </c>
      <c r="T682">
        <v>30</v>
      </c>
      <c r="U682">
        <v>49</v>
      </c>
    </row>
    <row r="683" spans="1:21" x14ac:dyDescent="0.35">
      <c r="A683" t="s">
        <v>26</v>
      </c>
      <c r="B683" s="1">
        <v>45094</v>
      </c>
      <c r="C683" t="s">
        <v>32</v>
      </c>
      <c r="D683">
        <v>1.2</v>
      </c>
      <c r="E683">
        <v>0</v>
      </c>
      <c r="F683">
        <v>0</v>
      </c>
      <c r="G683">
        <v>0</v>
      </c>
      <c r="H683">
        <v>0</v>
      </c>
      <c r="I683">
        <v>0</v>
      </c>
      <c r="J683">
        <v>0</v>
      </c>
      <c r="K683">
        <v>0</v>
      </c>
      <c r="L683">
        <v>0</v>
      </c>
      <c r="M683">
        <v>0</v>
      </c>
      <c r="N683">
        <v>162642</v>
      </c>
      <c r="O683">
        <v>0</v>
      </c>
      <c r="P683">
        <v>0</v>
      </c>
      <c r="Q683">
        <v>2</v>
      </c>
      <c r="R683">
        <v>0</v>
      </c>
      <c r="S683">
        <v>0</v>
      </c>
      <c r="T683">
        <v>0</v>
      </c>
      <c r="U683">
        <v>4</v>
      </c>
    </row>
    <row r="684" spans="1:21" x14ac:dyDescent="0.35">
      <c r="A684" t="s">
        <v>21</v>
      </c>
      <c r="B684" s="1">
        <v>44926</v>
      </c>
      <c r="C684" t="s">
        <v>25</v>
      </c>
      <c r="D684">
        <v>0</v>
      </c>
      <c r="E684">
        <v>0</v>
      </c>
      <c r="F684">
        <v>0</v>
      </c>
      <c r="G684">
        <v>0</v>
      </c>
      <c r="H684">
        <v>0</v>
      </c>
      <c r="I684">
        <v>0</v>
      </c>
      <c r="J684">
        <v>0</v>
      </c>
      <c r="K684">
        <v>0</v>
      </c>
      <c r="L684">
        <v>0</v>
      </c>
      <c r="M684">
        <v>0</v>
      </c>
      <c r="N684">
        <v>79293</v>
      </c>
      <c r="O684">
        <v>212935</v>
      </c>
      <c r="P684">
        <v>161619</v>
      </c>
      <c r="Q684">
        <v>0</v>
      </c>
      <c r="R684">
        <v>0</v>
      </c>
      <c r="S684">
        <v>0</v>
      </c>
      <c r="T684">
        <v>18</v>
      </c>
      <c r="U684">
        <v>29</v>
      </c>
    </row>
    <row r="685" spans="1:21" x14ac:dyDescent="0.35">
      <c r="A685" t="s">
        <v>21</v>
      </c>
      <c r="B685" s="1">
        <v>45101</v>
      </c>
      <c r="C685" t="s">
        <v>29</v>
      </c>
      <c r="D685">
        <v>0</v>
      </c>
      <c r="E685">
        <v>0</v>
      </c>
      <c r="F685">
        <v>0</v>
      </c>
      <c r="G685">
        <v>0</v>
      </c>
      <c r="H685">
        <v>0</v>
      </c>
      <c r="I685">
        <v>0</v>
      </c>
      <c r="J685">
        <v>0</v>
      </c>
      <c r="K685">
        <v>0</v>
      </c>
      <c r="L685">
        <v>0</v>
      </c>
      <c r="M685">
        <v>0</v>
      </c>
      <c r="N685">
        <v>108055</v>
      </c>
      <c r="O685">
        <v>278401</v>
      </c>
      <c r="P685">
        <v>347307</v>
      </c>
      <c r="Q685">
        <v>0</v>
      </c>
      <c r="R685">
        <v>0</v>
      </c>
      <c r="S685">
        <v>0</v>
      </c>
      <c r="T685">
        <v>30</v>
      </c>
      <c r="U685">
        <v>49</v>
      </c>
    </row>
    <row r="686" spans="1:21" x14ac:dyDescent="0.35">
      <c r="A686" t="s">
        <v>21</v>
      </c>
      <c r="B686" s="1">
        <v>44259</v>
      </c>
      <c r="C686" t="s">
        <v>30</v>
      </c>
      <c r="D686">
        <v>19</v>
      </c>
      <c r="E686">
        <v>0</v>
      </c>
      <c r="F686">
        <v>0</v>
      </c>
      <c r="G686">
        <v>0</v>
      </c>
      <c r="H686">
        <v>0</v>
      </c>
      <c r="I686">
        <v>0</v>
      </c>
      <c r="J686">
        <v>0</v>
      </c>
      <c r="K686">
        <v>0</v>
      </c>
      <c r="L686">
        <v>0</v>
      </c>
      <c r="M686">
        <v>0</v>
      </c>
      <c r="N686">
        <v>42122</v>
      </c>
      <c r="O686">
        <v>26360</v>
      </c>
      <c r="P686">
        <v>0</v>
      </c>
      <c r="Q686">
        <v>8</v>
      </c>
      <c r="R686">
        <v>0</v>
      </c>
      <c r="S686">
        <v>0</v>
      </c>
      <c r="T686">
        <v>80</v>
      </c>
      <c r="U686">
        <v>200</v>
      </c>
    </row>
    <row r="687" spans="1:21" x14ac:dyDescent="0.35">
      <c r="A687" t="s">
        <v>26</v>
      </c>
      <c r="B687" s="1">
        <v>44596</v>
      </c>
      <c r="C687" t="s">
        <v>30</v>
      </c>
      <c r="D687">
        <v>7.4</v>
      </c>
      <c r="E687">
        <v>0</v>
      </c>
      <c r="F687">
        <v>6.9</v>
      </c>
      <c r="G687">
        <v>0</v>
      </c>
      <c r="H687">
        <v>1.1000000000000001</v>
      </c>
      <c r="I687">
        <v>0</v>
      </c>
      <c r="J687">
        <v>0</v>
      </c>
      <c r="K687">
        <v>0</v>
      </c>
      <c r="L687">
        <v>0</v>
      </c>
      <c r="M687">
        <v>0</v>
      </c>
      <c r="N687">
        <v>27040</v>
      </c>
      <c r="O687">
        <v>13879</v>
      </c>
      <c r="P687">
        <v>43312</v>
      </c>
      <c r="Q687">
        <v>2</v>
      </c>
      <c r="R687">
        <v>0</v>
      </c>
      <c r="S687">
        <v>3</v>
      </c>
      <c r="T687">
        <v>80</v>
      </c>
      <c r="U687">
        <v>200</v>
      </c>
    </row>
    <row r="688" spans="1:21" x14ac:dyDescent="0.35">
      <c r="A688" t="s">
        <v>26</v>
      </c>
      <c r="B688" s="1">
        <v>45199</v>
      </c>
      <c r="C688" t="s">
        <v>23</v>
      </c>
      <c r="D688">
        <v>21.9</v>
      </c>
      <c r="E688">
        <v>2.4</v>
      </c>
      <c r="F688">
        <v>2.8</v>
      </c>
      <c r="G688">
        <v>9.1</v>
      </c>
      <c r="H688">
        <v>7.8</v>
      </c>
      <c r="I688">
        <v>0</v>
      </c>
      <c r="J688">
        <v>0</v>
      </c>
      <c r="K688">
        <v>0</v>
      </c>
      <c r="L688">
        <v>0</v>
      </c>
      <c r="M688">
        <v>0</v>
      </c>
      <c r="N688">
        <v>31939</v>
      </c>
      <c r="O688">
        <v>125717</v>
      </c>
      <c r="P688">
        <v>246950</v>
      </c>
      <c r="Q688">
        <v>7</v>
      </c>
      <c r="R688">
        <v>3</v>
      </c>
      <c r="S688">
        <v>7</v>
      </c>
      <c r="T688">
        <v>50</v>
      </c>
      <c r="U688">
        <v>64</v>
      </c>
    </row>
    <row r="689" spans="1:21" x14ac:dyDescent="0.35">
      <c r="A689" t="s">
        <v>21</v>
      </c>
      <c r="B689" s="1">
        <v>45185</v>
      </c>
      <c r="C689" t="s">
        <v>22</v>
      </c>
      <c r="D689">
        <v>0</v>
      </c>
      <c r="E689">
        <v>0</v>
      </c>
      <c r="F689">
        <v>0.4</v>
      </c>
      <c r="G689">
        <v>0</v>
      </c>
      <c r="H689">
        <v>0</v>
      </c>
      <c r="I689">
        <v>0</v>
      </c>
      <c r="J689">
        <v>0</v>
      </c>
      <c r="K689">
        <v>0.3</v>
      </c>
      <c r="L689">
        <v>0</v>
      </c>
      <c r="M689">
        <v>0</v>
      </c>
      <c r="N689">
        <v>526492</v>
      </c>
      <c r="O689">
        <v>860284</v>
      </c>
      <c r="P689">
        <v>1040830</v>
      </c>
      <c r="Q689">
        <v>0</v>
      </c>
      <c r="R689">
        <v>0</v>
      </c>
      <c r="S689">
        <v>4</v>
      </c>
      <c r="T689">
        <v>999</v>
      </c>
      <c r="U689">
        <v>999</v>
      </c>
    </row>
    <row r="690" spans="1:21" x14ac:dyDescent="0.35">
      <c r="A690" t="s">
        <v>28</v>
      </c>
      <c r="B690" s="1">
        <v>44632</v>
      </c>
      <c r="C690" t="s">
        <v>24</v>
      </c>
      <c r="D690">
        <v>174.3</v>
      </c>
      <c r="E690">
        <v>120.8</v>
      </c>
      <c r="F690">
        <v>165.7</v>
      </c>
      <c r="G690">
        <v>1.4</v>
      </c>
      <c r="H690">
        <v>1.1000000000000001</v>
      </c>
      <c r="I690">
        <v>0</v>
      </c>
      <c r="J690">
        <v>0</v>
      </c>
      <c r="K690">
        <v>0</v>
      </c>
      <c r="L690">
        <v>0</v>
      </c>
      <c r="M690">
        <v>0</v>
      </c>
      <c r="N690">
        <v>92929</v>
      </c>
      <c r="O690">
        <v>81116</v>
      </c>
      <c r="P690">
        <v>21117</v>
      </c>
      <c r="Q690">
        <v>162</v>
      </c>
      <c r="R690">
        <v>98</v>
      </c>
      <c r="S690">
        <v>35</v>
      </c>
      <c r="T690">
        <v>5</v>
      </c>
      <c r="U690">
        <v>11</v>
      </c>
    </row>
    <row r="691" spans="1:21" x14ac:dyDescent="0.35">
      <c r="A691" t="s">
        <v>21</v>
      </c>
      <c r="B691" s="1">
        <v>44930</v>
      </c>
      <c r="C691" t="s">
        <v>23</v>
      </c>
      <c r="D691">
        <v>0</v>
      </c>
      <c r="E691">
        <v>0</v>
      </c>
      <c r="F691">
        <v>0.4</v>
      </c>
      <c r="G691">
        <v>0</v>
      </c>
      <c r="H691">
        <v>0</v>
      </c>
      <c r="I691">
        <v>0</v>
      </c>
      <c r="J691">
        <v>0</v>
      </c>
      <c r="K691">
        <v>0</v>
      </c>
      <c r="L691">
        <v>0</v>
      </c>
      <c r="M691">
        <v>0</v>
      </c>
      <c r="N691">
        <v>33477</v>
      </c>
      <c r="O691">
        <v>125679</v>
      </c>
      <c r="P691">
        <v>246893</v>
      </c>
      <c r="Q691">
        <v>0</v>
      </c>
      <c r="R691">
        <v>0</v>
      </c>
      <c r="S691">
        <v>1</v>
      </c>
      <c r="T691">
        <v>50</v>
      </c>
      <c r="U691">
        <v>64</v>
      </c>
    </row>
    <row r="692" spans="1:21" x14ac:dyDescent="0.35">
      <c r="A692" t="s">
        <v>26</v>
      </c>
      <c r="B692" s="1">
        <v>45038</v>
      </c>
      <c r="C692" t="s">
        <v>29</v>
      </c>
      <c r="D692">
        <v>3.7</v>
      </c>
      <c r="E692">
        <v>0.7</v>
      </c>
      <c r="F692">
        <v>0.9</v>
      </c>
      <c r="G692">
        <v>5.3</v>
      </c>
      <c r="H692">
        <v>4.0999999999999996</v>
      </c>
      <c r="I692">
        <v>0</v>
      </c>
      <c r="J692">
        <v>0</v>
      </c>
      <c r="K692">
        <v>0</v>
      </c>
      <c r="L692">
        <v>0</v>
      </c>
      <c r="M692">
        <v>0</v>
      </c>
      <c r="N692">
        <v>109408</v>
      </c>
      <c r="O692">
        <v>278312</v>
      </c>
      <c r="P692">
        <v>347288</v>
      </c>
      <c r="Q692">
        <v>4</v>
      </c>
      <c r="R692">
        <v>2</v>
      </c>
      <c r="S692">
        <v>3</v>
      </c>
      <c r="T692">
        <v>30</v>
      </c>
      <c r="U692">
        <v>49</v>
      </c>
    </row>
    <row r="693" spans="1:21" x14ac:dyDescent="0.35">
      <c r="A693" t="s">
        <v>21</v>
      </c>
      <c r="B693" s="1">
        <v>44898</v>
      </c>
      <c r="C693" t="s">
        <v>29</v>
      </c>
      <c r="D693">
        <v>0.7</v>
      </c>
      <c r="E693">
        <v>0</v>
      </c>
      <c r="F693">
        <v>0</v>
      </c>
      <c r="G693">
        <v>0</v>
      </c>
      <c r="H693">
        <v>0</v>
      </c>
      <c r="I693">
        <v>0</v>
      </c>
      <c r="J693">
        <v>0</v>
      </c>
      <c r="K693">
        <v>0</v>
      </c>
      <c r="L693">
        <v>0</v>
      </c>
      <c r="M693">
        <v>0</v>
      </c>
      <c r="N693">
        <v>134617</v>
      </c>
      <c r="O693">
        <v>294114</v>
      </c>
      <c r="P693">
        <v>317904</v>
      </c>
      <c r="Q693">
        <v>1</v>
      </c>
      <c r="R693">
        <v>0</v>
      </c>
      <c r="S693">
        <v>0</v>
      </c>
      <c r="T693">
        <v>30</v>
      </c>
      <c r="U693">
        <v>49</v>
      </c>
    </row>
    <row r="694" spans="1:21" x14ac:dyDescent="0.35">
      <c r="A694" t="s">
        <v>28</v>
      </c>
      <c r="B694" s="1">
        <v>45227</v>
      </c>
      <c r="C694" t="s">
        <v>30</v>
      </c>
      <c r="D694">
        <v>62.2</v>
      </c>
      <c r="E694">
        <v>78.099999999999994</v>
      </c>
      <c r="F694">
        <v>114.4</v>
      </c>
      <c r="G694">
        <v>0.8</v>
      </c>
      <c r="H694">
        <v>0.5</v>
      </c>
      <c r="I694">
        <v>0</v>
      </c>
      <c r="J694">
        <v>0</v>
      </c>
      <c r="K694">
        <v>0</v>
      </c>
      <c r="L694">
        <v>0</v>
      </c>
      <c r="M694">
        <v>0</v>
      </c>
      <c r="N694">
        <v>24124</v>
      </c>
      <c r="O694">
        <v>11521</v>
      </c>
      <c r="P694">
        <v>47222</v>
      </c>
      <c r="Q694">
        <v>15</v>
      </c>
      <c r="R694">
        <v>9</v>
      </c>
      <c r="S694">
        <v>54</v>
      </c>
      <c r="T694">
        <v>80</v>
      </c>
      <c r="U694">
        <v>200</v>
      </c>
    </row>
    <row r="695" spans="1:21" x14ac:dyDescent="0.35">
      <c r="A695" t="s">
        <v>28</v>
      </c>
      <c r="B695" s="1">
        <v>44765</v>
      </c>
      <c r="C695" t="s">
        <v>24</v>
      </c>
      <c r="D695">
        <v>153.80000000000001</v>
      </c>
      <c r="E695">
        <v>135.6</v>
      </c>
      <c r="F695">
        <v>215.4</v>
      </c>
      <c r="G695">
        <v>1.1000000000000001</v>
      </c>
      <c r="H695">
        <v>0.7</v>
      </c>
      <c r="I695">
        <v>0</v>
      </c>
      <c r="J695">
        <v>0</v>
      </c>
      <c r="K695">
        <v>0</v>
      </c>
      <c r="L695">
        <v>0</v>
      </c>
      <c r="M695">
        <v>0</v>
      </c>
      <c r="N695">
        <v>98178</v>
      </c>
      <c r="O695">
        <v>87751</v>
      </c>
      <c r="P695">
        <v>9749</v>
      </c>
      <c r="Q695">
        <v>151</v>
      </c>
      <c r="R695">
        <v>119</v>
      </c>
      <c r="S695">
        <v>21</v>
      </c>
      <c r="T695">
        <v>5</v>
      </c>
      <c r="U695">
        <v>11</v>
      </c>
    </row>
    <row r="696" spans="1:21" x14ac:dyDescent="0.35">
      <c r="A696" t="s">
        <v>26</v>
      </c>
      <c r="B696" s="1">
        <v>44897</v>
      </c>
      <c r="C696" t="s">
        <v>29</v>
      </c>
      <c r="D696">
        <v>12.9</v>
      </c>
      <c r="E696">
        <v>5.3</v>
      </c>
      <c r="F696">
        <v>3.4</v>
      </c>
      <c r="G696">
        <v>2.4</v>
      </c>
      <c r="H696">
        <v>3.8</v>
      </c>
      <c r="I696">
        <v>0</v>
      </c>
      <c r="J696">
        <v>0</v>
      </c>
      <c r="K696">
        <v>0</v>
      </c>
      <c r="L696">
        <v>0</v>
      </c>
      <c r="M696">
        <v>0</v>
      </c>
      <c r="N696">
        <v>139578</v>
      </c>
      <c r="O696">
        <v>302103</v>
      </c>
      <c r="P696">
        <v>296569</v>
      </c>
      <c r="Q696">
        <v>18</v>
      </c>
      <c r="R696">
        <v>16</v>
      </c>
      <c r="S696">
        <v>10</v>
      </c>
      <c r="T696">
        <v>30</v>
      </c>
      <c r="U696">
        <v>49</v>
      </c>
    </row>
    <row r="697" spans="1:21" x14ac:dyDescent="0.35">
      <c r="A697" t="s">
        <v>26</v>
      </c>
      <c r="B697" s="1">
        <v>44702</v>
      </c>
      <c r="C697" t="s">
        <v>23</v>
      </c>
      <c r="D697">
        <v>18.5</v>
      </c>
      <c r="E697">
        <v>9.8000000000000007</v>
      </c>
      <c r="F697">
        <v>3.8</v>
      </c>
      <c r="G697">
        <v>1.9</v>
      </c>
      <c r="H697">
        <v>4.9000000000000004</v>
      </c>
      <c r="I697">
        <v>0</v>
      </c>
      <c r="J697">
        <v>0</v>
      </c>
      <c r="K697">
        <v>0</v>
      </c>
      <c r="L697">
        <v>0</v>
      </c>
      <c r="M697">
        <v>0</v>
      </c>
      <c r="N697">
        <v>43239</v>
      </c>
      <c r="O697">
        <v>133132</v>
      </c>
      <c r="P697">
        <v>235218</v>
      </c>
      <c r="Q697">
        <v>8</v>
      </c>
      <c r="R697">
        <v>13</v>
      </c>
      <c r="S697">
        <v>9</v>
      </c>
      <c r="T697">
        <v>50</v>
      </c>
      <c r="U697">
        <v>64</v>
      </c>
    </row>
    <row r="698" spans="1:21" x14ac:dyDescent="0.35">
      <c r="A698" t="s">
        <v>28</v>
      </c>
      <c r="B698" s="1">
        <v>45157</v>
      </c>
      <c r="C698" t="s">
        <v>30</v>
      </c>
      <c r="D698">
        <v>53.1</v>
      </c>
      <c r="E698">
        <v>52.7</v>
      </c>
      <c r="F698">
        <v>65.8</v>
      </c>
      <c r="G698">
        <v>1</v>
      </c>
      <c r="H698">
        <v>0.8</v>
      </c>
      <c r="I698">
        <v>0</v>
      </c>
      <c r="J698">
        <v>0</v>
      </c>
      <c r="K698">
        <v>0</v>
      </c>
      <c r="L698">
        <v>0</v>
      </c>
      <c r="M698">
        <v>0</v>
      </c>
      <c r="N698">
        <v>24470</v>
      </c>
      <c r="O698">
        <v>11380</v>
      </c>
      <c r="P698">
        <v>47133</v>
      </c>
      <c r="Q698">
        <v>13</v>
      </c>
      <c r="R698">
        <v>6</v>
      </c>
      <c r="S698">
        <v>31</v>
      </c>
      <c r="T698">
        <v>80</v>
      </c>
      <c r="U698">
        <v>200</v>
      </c>
    </row>
    <row r="699" spans="1:21" x14ac:dyDescent="0.35">
      <c r="A699" t="s">
        <v>26</v>
      </c>
      <c r="B699" s="1">
        <v>44808</v>
      </c>
      <c r="C699" t="s">
        <v>30</v>
      </c>
      <c r="D699">
        <v>7.4</v>
      </c>
      <c r="E699">
        <v>21.8</v>
      </c>
      <c r="F699">
        <v>9.1999999999999993</v>
      </c>
      <c r="G699">
        <v>0.3</v>
      </c>
      <c r="H699">
        <v>0.8</v>
      </c>
      <c r="I699">
        <v>0</v>
      </c>
      <c r="J699">
        <v>0</v>
      </c>
      <c r="K699">
        <v>0</v>
      </c>
      <c r="L699">
        <v>0</v>
      </c>
      <c r="M699">
        <v>0</v>
      </c>
      <c r="N699">
        <v>26990</v>
      </c>
      <c r="O699">
        <v>13754</v>
      </c>
      <c r="P699">
        <v>43462</v>
      </c>
      <c r="Q699">
        <v>2</v>
      </c>
      <c r="R699">
        <v>3</v>
      </c>
      <c r="S699">
        <v>4</v>
      </c>
      <c r="T699">
        <v>80</v>
      </c>
      <c r="U699">
        <v>200</v>
      </c>
    </row>
    <row r="700" spans="1:21" x14ac:dyDescent="0.35">
      <c r="A700" t="s">
        <v>28</v>
      </c>
      <c r="B700" s="1">
        <v>45145</v>
      </c>
      <c r="C700" t="s">
        <v>25</v>
      </c>
      <c r="D700">
        <v>20.2</v>
      </c>
      <c r="E700">
        <v>7.9</v>
      </c>
      <c r="F700">
        <v>4.3</v>
      </c>
      <c r="G700">
        <v>2.6</v>
      </c>
      <c r="H700">
        <v>4.7</v>
      </c>
      <c r="I700">
        <v>0</v>
      </c>
      <c r="J700">
        <v>0</v>
      </c>
      <c r="K700">
        <v>0</v>
      </c>
      <c r="L700">
        <v>0</v>
      </c>
      <c r="M700">
        <v>0</v>
      </c>
      <c r="N700">
        <v>74160</v>
      </c>
      <c r="O700">
        <v>214139</v>
      </c>
      <c r="P700">
        <v>161703</v>
      </c>
      <c r="Q700">
        <v>15</v>
      </c>
      <c r="R700">
        <v>17</v>
      </c>
      <c r="S700">
        <v>7</v>
      </c>
      <c r="T700">
        <v>18</v>
      </c>
      <c r="U700">
        <v>29</v>
      </c>
    </row>
    <row r="701" spans="1:21" x14ac:dyDescent="0.35">
      <c r="A701" t="s">
        <v>21</v>
      </c>
      <c r="B701" s="1">
        <v>44758</v>
      </c>
      <c r="C701" t="s">
        <v>23</v>
      </c>
      <c r="D701">
        <v>0</v>
      </c>
      <c r="E701">
        <v>0</v>
      </c>
      <c r="F701">
        <v>0.8</v>
      </c>
      <c r="G701">
        <v>0</v>
      </c>
      <c r="H701">
        <v>0</v>
      </c>
      <c r="I701">
        <v>0</v>
      </c>
      <c r="J701">
        <v>0</v>
      </c>
      <c r="K701">
        <v>0</v>
      </c>
      <c r="L701">
        <v>0</v>
      </c>
      <c r="M701">
        <v>0</v>
      </c>
      <c r="N701">
        <v>41521</v>
      </c>
      <c r="O701">
        <v>128806</v>
      </c>
      <c r="P701">
        <v>241470</v>
      </c>
      <c r="Q701">
        <v>0</v>
      </c>
      <c r="R701">
        <v>0</v>
      </c>
      <c r="S701">
        <v>2</v>
      </c>
      <c r="T701">
        <v>50</v>
      </c>
      <c r="U701">
        <v>64</v>
      </c>
    </row>
    <row r="702" spans="1:21" x14ac:dyDescent="0.35">
      <c r="A702" t="s">
        <v>26</v>
      </c>
      <c r="B702" s="1">
        <v>44576</v>
      </c>
      <c r="C702" t="s">
        <v>24</v>
      </c>
      <c r="D702">
        <v>2.4</v>
      </c>
      <c r="E702">
        <v>2</v>
      </c>
      <c r="F702">
        <v>0</v>
      </c>
      <c r="G702">
        <v>1.2</v>
      </c>
      <c r="H702">
        <v>0</v>
      </c>
      <c r="I702">
        <v>0</v>
      </c>
      <c r="J702">
        <v>0</v>
      </c>
      <c r="K702">
        <v>0</v>
      </c>
      <c r="L702">
        <v>0</v>
      </c>
      <c r="M702">
        <v>0</v>
      </c>
      <c r="N702">
        <v>125146</v>
      </c>
      <c r="O702">
        <v>50035</v>
      </c>
      <c r="P702">
        <v>0</v>
      </c>
      <c r="Q702">
        <v>3</v>
      </c>
      <c r="R702">
        <v>1</v>
      </c>
      <c r="S702">
        <v>0</v>
      </c>
      <c r="T702">
        <v>5</v>
      </c>
      <c r="U702">
        <v>11</v>
      </c>
    </row>
    <row r="703" spans="1:21" x14ac:dyDescent="0.35">
      <c r="A703" t="s">
        <v>28</v>
      </c>
      <c r="B703" s="1">
        <v>45213</v>
      </c>
      <c r="C703" t="s">
        <v>31</v>
      </c>
      <c r="D703">
        <v>49.5</v>
      </c>
      <c r="E703">
        <v>36.799999999999997</v>
      </c>
      <c r="F703">
        <v>55.8</v>
      </c>
      <c r="G703">
        <v>1.3</v>
      </c>
      <c r="H703">
        <v>0.9</v>
      </c>
      <c r="I703">
        <v>0</v>
      </c>
      <c r="J703">
        <v>0</v>
      </c>
      <c r="K703">
        <v>0</v>
      </c>
      <c r="L703">
        <v>0</v>
      </c>
      <c r="M703">
        <v>0</v>
      </c>
      <c r="N703">
        <v>38416</v>
      </c>
      <c r="O703">
        <v>43494</v>
      </c>
      <c r="P703">
        <v>171905</v>
      </c>
      <c r="Q703">
        <v>19</v>
      </c>
      <c r="R703">
        <v>16</v>
      </c>
      <c r="S703">
        <v>96</v>
      </c>
      <c r="T703">
        <v>65</v>
      </c>
      <c r="U703">
        <v>79</v>
      </c>
    </row>
    <row r="704" spans="1:21" x14ac:dyDescent="0.35">
      <c r="A704" t="s">
        <v>26</v>
      </c>
      <c r="B704" s="1">
        <v>44492</v>
      </c>
      <c r="C704" t="s">
        <v>27</v>
      </c>
      <c r="D704">
        <v>3.1</v>
      </c>
      <c r="E704">
        <v>0</v>
      </c>
      <c r="F704">
        <v>0</v>
      </c>
      <c r="G704">
        <v>0</v>
      </c>
      <c r="H704">
        <v>0</v>
      </c>
      <c r="I704">
        <v>0</v>
      </c>
      <c r="J704">
        <v>0</v>
      </c>
      <c r="K704">
        <v>0</v>
      </c>
      <c r="L704">
        <v>0</v>
      </c>
      <c r="M704">
        <v>0</v>
      </c>
      <c r="N704">
        <v>64979</v>
      </c>
      <c r="O704">
        <v>99081</v>
      </c>
      <c r="P704">
        <v>0</v>
      </c>
      <c r="Q704">
        <v>2</v>
      </c>
      <c r="R704">
        <v>0</v>
      </c>
      <c r="S704">
        <v>0</v>
      </c>
      <c r="T704">
        <v>12</v>
      </c>
      <c r="U704">
        <v>17</v>
      </c>
    </row>
    <row r="705" spans="1:21" x14ac:dyDescent="0.35">
      <c r="A705" t="s">
        <v>28</v>
      </c>
      <c r="B705" s="1">
        <v>44590</v>
      </c>
      <c r="C705" t="s">
        <v>24</v>
      </c>
      <c r="D705">
        <v>398.9</v>
      </c>
      <c r="E705">
        <v>546.5</v>
      </c>
      <c r="F705">
        <v>0</v>
      </c>
      <c r="G705">
        <v>0.7</v>
      </c>
      <c r="H705">
        <v>0</v>
      </c>
      <c r="I705">
        <v>0</v>
      </c>
      <c r="J705">
        <v>0</v>
      </c>
      <c r="K705">
        <v>0</v>
      </c>
      <c r="L705">
        <v>0</v>
      </c>
      <c r="M705">
        <v>0</v>
      </c>
      <c r="N705">
        <v>115323</v>
      </c>
      <c r="O705">
        <v>59100</v>
      </c>
      <c r="P705">
        <v>0</v>
      </c>
      <c r="Q705">
        <v>460</v>
      </c>
      <c r="R705">
        <v>323</v>
      </c>
      <c r="S705">
        <v>0</v>
      </c>
      <c r="T705">
        <v>5</v>
      </c>
      <c r="U705">
        <v>11</v>
      </c>
    </row>
    <row r="706" spans="1:21" x14ac:dyDescent="0.35">
      <c r="A706" t="s">
        <v>26</v>
      </c>
      <c r="B706" s="1">
        <v>44681</v>
      </c>
      <c r="C706" t="s">
        <v>23</v>
      </c>
      <c r="D706">
        <v>13.6</v>
      </c>
      <c r="E706">
        <v>6.7</v>
      </c>
      <c r="F706">
        <v>3.4</v>
      </c>
      <c r="G706">
        <v>2</v>
      </c>
      <c r="H706">
        <v>4</v>
      </c>
      <c r="I706">
        <v>0</v>
      </c>
      <c r="J706">
        <v>0</v>
      </c>
      <c r="K706">
        <v>0</v>
      </c>
      <c r="L706">
        <v>0</v>
      </c>
      <c r="M706">
        <v>0</v>
      </c>
      <c r="N706">
        <v>44059</v>
      </c>
      <c r="O706">
        <v>135237</v>
      </c>
      <c r="P706">
        <v>232184</v>
      </c>
      <c r="Q706">
        <v>6</v>
      </c>
      <c r="R706">
        <v>9</v>
      </c>
      <c r="S706">
        <v>8</v>
      </c>
      <c r="T706">
        <v>50</v>
      </c>
      <c r="U706">
        <v>64</v>
      </c>
    </row>
    <row r="707" spans="1:21" x14ac:dyDescent="0.35">
      <c r="A707" t="s">
        <v>26</v>
      </c>
      <c r="B707" s="1">
        <v>44310</v>
      </c>
      <c r="C707" t="s">
        <v>31</v>
      </c>
      <c r="D707">
        <v>62</v>
      </c>
      <c r="E707">
        <v>2.8</v>
      </c>
      <c r="F707">
        <v>0</v>
      </c>
      <c r="G707">
        <v>22.1</v>
      </c>
      <c r="H707">
        <v>0</v>
      </c>
      <c r="I707">
        <v>0</v>
      </c>
      <c r="J707">
        <v>0</v>
      </c>
      <c r="K707">
        <v>0</v>
      </c>
      <c r="L707">
        <v>0</v>
      </c>
      <c r="M707">
        <v>0</v>
      </c>
      <c r="N707">
        <v>90355</v>
      </c>
      <c r="O707">
        <v>140945</v>
      </c>
      <c r="P707">
        <v>0</v>
      </c>
      <c r="Q707">
        <v>56</v>
      </c>
      <c r="R707">
        <v>4</v>
      </c>
      <c r="S707">
        <v>0</v>
      </c>
      <c r="T707">
        <v>65</v>
      </c>
      <c r="U707">
        <v>79</v>
      </c>
    </row>
    <row r="708" spans="1:21" x14ac:dyDescent="0.35">
      <c r="A708" t="s">
        <v>21</v>
      </c>
      <c r="B708" s="1">
        <v>44947</v>
      </c>
      <c r="C708" t="s">
        <v>27</v>
      </c>
      <c r="D708">
        <v>0</v>
      </c>
      <c r="E708">
        <v>0</v>
      </c>
      <c r="F708">
        <v>0</v>
      </c>
      <c r="G708">
        <v>0</v>
      </c>
      <c r="H708">
        <v>0</v>
      </c>
      <c r="I708">
        <v>0</v>
      </c>
      <c r="J708">
        <v>0</v>
      </c>
      <c r="K708">
        <v>0</v>
      </c>
      <c r="L708">
        <v>0</v>
      </c>
      <c r="M708">
        <v>0</v>
      </c>
      <c r="N708">
        <v>33470</v>
      </c>
      <c r="O708">
        <v>86275</v>
      </c>
      <c r="P708">
        <v>44545</v>
      </c>
      <c r="Q708">
        <v>0</v>
      </c>
      <c r="R708">
        <v>0</v>
      </c>
      <c r="S708">
        <v>0</v>
      </c>
      <c r="T708">
        <v>12</v>
      </c>
      <c r="U708">
        <v>17</v>
      </c>
    </row>
    <row r="709" spans="1:21" x14ac:dyDescent="0.35">
      <c r="A709" t="s">
        <v>28</v>
      </c>
      <c r="B709" s="1">
        <v>45059</v>
      </c>
      <c r="C709" t="s">
        <v>25</v>
      </c>
      <c r="D709">
        <v>71.8</v>
      </c>
      <c r="E709">
        <v>13.1</v>
      </c>
      <c r="F709">
        <v>17.899999999999999</v>
      </c>
      <c r="G709">
        <v>5.5</v>
      </c>
      <c r="H709">
        <v>4</v>
      </c>
      <c r="I709">
        <v>0</v>
      </c>
      <c r="J709">
        <v>0</v>
      </c>
      <c r="K709">
        <v>0</v>
      </c>
      <c r="L709">
        <v>0</v>
      </c>
      <c r="M709">
        <v>0</v>
      </c>
      <c r="N709">
        <v>75158</v>
      </c>
      <c r="O709">
        <v>214134</v>
      </c>
      <c r="P709">
        <v>161690</v>
      </c>
      <c r="Q709">
        <v>54</v>
      </c>
      <c r="R709">
        <v>28</v>
      </c>
      <c r="S709">
        <v>29</v>
      </c>
      <c r="T709">
        <v>18</v>
      </c>
      <c r="U709">
        <v>29</v>
      </c>
    </row>
    <row r="710" spans="1:21" x14ac:dyDescent="0.35">
      <c r="A710" t="s">
        <v>28</v>
      </c>
      <c r="B710" s="1">
        <v>44898</v>
      </c>
      <c r="C710" t="s">
        <v>23</v>
      </c>
      <c r="D710">
        <v>67.3</v>
      </c>
      <c r="E710">
        <v>22.5</v>
      </c>
      <c r="F710">
        <v>31</v>
      </c>
      <c r="G710">
        <v>3</v>
      </c>
      <c r="H710">
        <v>2.2000000000000002</v>
      </c>
      <c r="I710">
        <v>0</v>
      </c>
      <c r="J710">
        <v>0</v>
      </c>
      <c r="K710">
        <v>0</v>
      </c>
      <c r="L710">
        <v>0</v>
      </c>
      <c r="M710">
        <v>0</v>
      </c>
      <c r="N710">
        <v>46039</v>
      </c>
      <c r="O710">
        <v>142268</v>
      </c>
      <c r="P710">
        <v>222350</v>
      </c>
      <c r="Q710">
        <v>31</v>
      </c>
      <c r="R710">
        <v>32</v>
      </c>
      <c r="S710">
        <v>69</v>
      </c>
      <c r="T710">
        <v>50</v>
      </c>
      <c r="U710">
        <v>64</v>
      </c>
    </row>
    <row r="711" spans="1:21" x14ac:dyDescent="0.35">
      <c r="A711" t="s">
        <v>28</v>
      </c>
      <c r="B711" s="1">
        <v>44720</v>
      </c>
      <c r="C711" t="s">
        <v>31</v>
      </c>
      <c r="D711">
        <v>283.5</v>
      </c>
      <c r="E711">
        <v>203.7</v>
      </c>
      <c r="F711">
        <v>231.7</v>
      </c>
      <c r="G711">
        <v>1.4</v>
      </c>
      <c r="H711">
        <v>1.2</v>
      </c>
      <c r="I711">
        <v>0</v>
      </c>
      <c r="J711">
        <v>0</v>
      </c>
      <c r="K711">
        <v>0</v>
      </c>
      <c r="L711">
        <v>0</v>
      </c>
      <c r="M711">
        <v>0</v>
      </c>
      <c r="N711">
        <v>45860</v>
      </c>
      <c r="O711">
        <v>44684</v>
      </c>
      <c r="P711">
        <v>169587</v>
      </c>
      <c r="Q711">
        <v>130</v>
      </c>
      <c r="R711">
        <v>91</v>
      </c>
      <c r="S711">
        <v>393</v>
      </c>
      <c r="T711">
        <v>65</v>
      </c>
      <c r="U711">
        <v>79</v>
      </c>
    </row>
    <row r="712" spans="1:21" x14ac:dyDescent="0.35">
      <c r="A712" t="s">
        <v>26</v>
      </c>
      <c r="B712" s="1">
        <v>44485</v>
      </c>
      <c r="C712" t="s">
        <v>27</v>
      </c>
      <c r="D712">
        <v>3</v>
      </c>
      <c r="E712">
        <v>0</v>
      </c>
      <c r="F712">
        <v>0</v>
      </c>
      <c r="G712">
        <v>0</v>
      </c>
      <c r="H712">
        <v>0</v>
      </c>
      <c r="I712">
        <v>0</v>
      </c>
      <c r="J712">
        <v>0</v>
      </c>
      <c r="K712">
        <v>0</v>
      </c>
      <c r="L712">
        <v>0</v>
      </c>
      <c r="M712">
        <v>0</v>
      </c>
      <c r="N712">
        <v>65944</v>
      </c>
      <c r="O712">
        <v>97454</v>
      </c>
      <c r="P712">
        <v>0</v>
      </c>
      <c r="Q712">
        <v>2</v>
      </c>
      <c r="R712">
        <v>0</v>
      </c>
      <c r="S712">
        <v>0</v>
      </c>
      <c r="T712">
        <v>12</v>
      </c>
      <c r="U712">
        <v>17</v>
      </c>
    </row>
    <row r="713" spans="1:21" x14ac:dyDescent="0.35">
      <c r="A713" t="s">
        <v>28</v>
      </c>
      <c r="B713" s="1">
        <v>44237</v>
      </c>
      <c r="C713" t="s">
        <v>24</v>
      </c>
      <c r="D713">
        <v>131.6</v>
      </c>
      <c r="E713">
        <v>0</v>
      </c>
      <c r="F713">
        <v>0</v>
      </c>
      <c r="G713">
        <v>0</v>
      </c>
      <c r="H713">
        <v>0</v>
      </c>
      <c r="I713">
        <v>0</v>
      </c>
      <c r="J713">
        <v>0</v>
      </c>
      <c r="K713">
        <v>0</v>
      </c>
      <c r="L713">
        <v>0</v>
      </c>
      <c r="M713">
        <v>0</v>
      </c>
      <c r="N713">
        <v>210448</v>
      </c>
      <c r="O713">
        <v>0</v>
      </c>
      <c r="P713">
        <v>0</v>
      </c>
      <c r="Q713">
        <v>277</v>
      </c>
      <c r="R713">
        <v>0</v>
      </c>
      <c r="S713">
        <v>0</v>
      </c>
      <c r="T713">
        <v>5</v>
      </c>
      <c r="U713">
        <v>11</v>
      </c>
    </row>
    <row r="714" spans="1:21" x14ac:dyDescent="0.35">
      <c r="A714" t="s">
        <v>28</v>
      </c>
      <c r="B714" s="1">
        <v>45018</v>
      </c>
      <c r="C714" t="s">
        <v>24</v>
      </c>
      <c r="D714">
        <v>168.8</v>
      </c>
      <c r="E714">
        <v>185.5</v>
      </c>
      <c r="F714">
        <v>212.3</v>
      </c>
      <c r="G714">
        <v>0.9</v>
      </c>
      <c r="H714">
        <v>0.8</v>
      </c>
      <c r="I714">
        <v>0</v>
      </c>
      <c r="J714">
        <v>0</v>
      </c>
      <c r="K714">
        <v>0</v>
      </c>
      <c r="L714">
        <v>0</v>
      </c>
      <c r="M714">
        <v>0</v>
      </c>
      <c r="N714">
        <v>91824</v>
      </c>
      <c r="O714">
        <v>81940</v>
      </c>
      <c r="P714">
        <v>21192</v>
      </c>
      <c r="Q714">
        <v>155</v>
      </c>
      <c r="R714">
        <v>152</v>
      </c>
      <c r="S714">
        <v>45</v>
      </c>
      <c r="T714">
        <v>5</v>
      </c>
      <c r="U714">
        <v>11</v>
      </c>
    </row>
    <row r="715" spans="1:21" x14ac:dyDescent="0.35">
      <c r="A715" t="s">
        <v>21</v>
      </c>
      <c r="B715" s="1">
        <v>44259</v>
      </c>
      <c r="C715" t="s">
        <v>25</v>
      </c>
      <c r="D715">
        <v>0</v>
      </c>
      <c r="E715">
        <v>0</v>
      </c>
      <c r="F715">
        <v>0</v>
      </c>
      <c r="G715">
        <v>0</v>
      </c>
      <c r="H715">
        <v>0</v>
      </c>
      <c r="I715">
        <v>0</v>
      </c>
      <c r="J715">
        <v>0</v>
      </c>
      <c r="K715">
        <v>0</v>
      </c>
      <c r="L715">
        <v>0</v>
      </c>
      <c r="M715">
        <v>0</v>
      </c>
      <c r="N715">
        <v>385176</v>
      </c>
      <c r="O715">
        <v>47882</v>
      </c>
      <c r="P715">
        <v>0</v>
      </c>
      <c r="Q715">
        <v>0</v>
      </c>
      <c r="R715">
        <v>0</v>
      </c>
      <c r="S715">
        <v>0</v>
      </c>
      <c r="T715">
        <v>18</v>
      </c>
      <c r="U715">
        <v>29</v>
      </c>
    </row>
    <row r="716" spans="1:21" x14ac:dyDescent="0.35">
      <c r="A716" t="s">
        <v>26</v>
      </c>
      <c r="B716" s="1">
        <v>44720</v>
      </c>
      <c r="C716" t="s">
        <v>32</v>
      </c>
      <c r="D716">
        <v>6.1</v>
      </c>
      <c r="E716">
        <v>0</v>
      </c>
      <c r="F716">
        <v>0</v>
      </c>
      <c r="G716">
        <v>0</v>
      </c>
      <c r="H716">
        <v>0</v>
      </c>
      <c r="I716">
        <v>0</v>
      </c>
      <c r="J716">
        <v>0</v>
      </c>
      <c r="K716">
        <v>0</v>
      </c>
      <c r="L716">
        <v>0</v>
      </c>
      <c r="M716">
        <v>0</v>
      </c>
      <c r="N716">
        <v>162642</v>
      </c>
      <c r="O716">
        <v>0</v>
      </c>
      <c r="P716">
        <v>0</v>
      </c>
      <c r="Q716">
        <v>10</v>
      </c>
      <c r="R716">
        <v>0</v>
      </c>
      <c r="S716">
        <v>0</v>
      </c>
      <c r="T716">
        <v>0</v>
      </c>
      <c r="U716">
        <v>4</v>
      </c>
    </row>
    <row r="717" spans="1:21" x14ac:dyDescent="0.35">
      <c r="A717" t="s">
        <v>28</v>
      </c>
      <c r="B717" s="1">
        <v>44527</v>
      </c>
      <c r="C717" t="s">
        <v>31</v>
      </c>
      <c r="D717">
        <v>213.5</v>
      </c>
      <c r="E717">
        <v>81.5</v>
      </c>
      <c r="F717">
        <v>20.9</v>
      </c>
      <c r="G717">
        <v>2.6</v>
      </c>
      <c r="H717">
        <v>10.199999999999999</v>
      </c>
      <c r="I717">
        <v>0</v>
      </c>
      <c r="J717">
        <v>0</v>
      </c>
      <c r="K717">
        <v>0</v>
      </c>
      <c r="L717">
        <v>0</v>
      </c>
      <c r="M717">
        <v>0</v>
      </c>
      <c r="N717">
        <v>55747</v>
      </c>
      <c r="O717">
        <v>122640</v>
      </c>
      <c r="P717">
        <v>81384</v>
      </c>
      <c r="Q717">
        <v>119</v>
      </c>
      <c r="R717">
        <v>100</v>
      </c>
      <c r="S717">
        <v>17</v>
      </c>
      <c r="T717">
        <v>65</v>
      </c>
      <c r="U717">
        <v>79</v>
      </c>
    </row>
    <row r="718" spans="1:21" x14ac:dyDescent="0.35">
      <c r="A718" t="s">
        <v>21</v>
      </c>
      <c r="B718" s="1">
        <v>45205</v>
      </c>
      <c r="C718" t="s">
        <v>32</v>
      </c>
      <c r="D718">
        <v>0</v>
      </c>
      <c r="E718">
        <v>0</v>
      </c>
      <c r="F718">
        <v>0</v>
      </c>
      <c r="G718">
        <v>0</v>
      </c>
      <c r="H718">
        <v>0</v>
      </c>
      <c r="I718">
        <v>0</v>
      </c>
      <c r="J718">
        <v>0</v>
      </c>
      <c r="K718">
        <v>0</v>
      </c>
      <c r="L718">
        <v>0</v>
      </c>
      <c r="M718">
        <v>0</v>
      </c>
      <c r="N718">
        <v>162642</v>
      </c>
      <c r="O718">
        <v>0</v>
      </c>
      <c r="P718">
        <v>0</v>
      </c>
      <c r="Q718">
        <v>0</v>
      </c>
      <c r="R718">
        <v>0</v>
      </c>
      <c r="S718">
        <v>0</v>
      </c>
      <c r="T718">
        <v>0</v>
      </c>
      <c r="U718">
        <v>4</v>
      </c>
    </row>
    <row r="719" spans="1:21" x14ac:dyDescent="0.35">
      <c r="A719" t="s">
        <v>28</v>
      </c>
      <c r="B719" s="1">
        <v>44846</v>
      </c>
      <c r="C719" t="s">
        <v>22</v>
      </c>
      <c r="D719">
        <v>223.1</v>
      </c>
      <c r="E719">
        <v>128.30000000000001</v>
      </c>
      <c r="F719">
        <v>171.7</v>
      </c>
      <c r="G719">
        <v>1.7</v>
      </c>
      <c r="H719">
        <v>1.3</v>
      </c>
      <c r="I719">
        <v>267.5</v>
      </c>
      <c r="J719">
        <v>133.5</v>
      </c>
      <c r="K719">
        <v>154.6</v>
      </c>
      <c r="L719">
        <v>2</v>
      </c>
      <c r="M719">
        <v>1.7</v>
      </c>
      <c r="N719">
        <v>560620</v>
      </c>
      <c r="O719">
        <v>851689</v>
      </c>
      <c r="P719">
        <v>1039873</v>
      </c>
      <c r="Q719">
        <v>1251</v>
      </c>
      <c r="R719">
        <v>1093</v>
      </c>
      <c r="S719">
        <v>1785</v>
      </c>
      <c r="T719">
        <v>999</v>
      </c>
      <c r="U719">
        <v>999</v>
      </c>
    </row>
    <row r="720" spans="1:21" x14ac:dyDescent="0.35">
      <c r="A720" t="s">
        <v>26</v>
      </c>
      <c r="B720" s="1">
        <v>44527</v>
      </c>
      <c r="C720" t="s">
        <v>25</v>
      </c>
      <c r="D720">
        <v>12.9</v>
      </c>
      <c r="E720">
        <v>1.6</v>
      </c>
      <c r="F720">
        <v>0</v>
      </c>
      <c r="G720">
        <v>8.1</v>
      </c>
      <c r="H720">
        <v>0</v>
      </c>
      <c r="I720">
        <v>0</v>
      </c>
      <c r="J720">
        <v>0</v>
      </c>
      <c r="K720">
        <v>0</v>
      </c>
      <c r="L720">
        <v>0</v>
      </c>
      <c r="M720">
        <v>0</v>
      </c>
      <c r="N720">
        <v>154874</v>
      </c>
      <c r="O720">
        <v>305350</v>
      </c>
      <c r="P720">
        <v>24726</v>
      </c>
      <c r="Q720">
        <v>20</v>
      </c>
      <c r="R720">
        <v>5</v>
      </c>
      <c r="S720">
        <v>0</v>
      </c>
      <c r="T720">
        <v>18</v>
      </c>
      <c r="U720">
        <v>29</v>
      </c>
    </row>
    <row r="721" spans="1:21" x14ac:dyDescent="0.35">
      <c r="A721" t="s">
        <v>26</v>
      </c>
      <c r="B721" s="1">
        <v>45233</v>
      </c>
      <c r="C721" t="s">
        <v>25</v>
      </c>
      <c r="D721">
        <v>5.2</v>
      </c>
      <c r="E721">
        <v>0.5</v>
      </c>
      <c r="F721">
        <v>1.2</v>
      </c>
      <c r="G721">
        <v>10.4</v>
      </c>
      <c r="H721">
        <v>4.3</v>
      </c>
      <c r="I721">
        <v>0</v>
      </c>
      <c r="J721">
        <v>0</v>
      </c>
      <c r="K721">
        <v>0</v>
      </c>
      <c r="L721">
        <v>0</v>
      </c>
      <c r="M721">
        <v>0</v>
      </c>
      <c r="N721">
        <v>76587</v>
      </c>
      <c r="O721">
        <v>213618</v>
      </c>
      <c r="P721">
        <v>161667</v>
      </c>
      <c r="Q721">
        <v>4</v>
      </c>
      <c r="R721">
        <v>1</v>
      </c>
      <c r="S721">
        <v>2</v>
      </c>
      <c r="T721">
        <v>18</v>
      </c>
      <c r="U721">
        <v>29</v>
      </c>
    </row>
    <row r="722" spans="1:21" x14ac:dyDescent="0.35">
      <c r="A722" t="s">
        <v>21</v>
      </c>
      <c r="B722" s="1">
        <v>44786</v>
      </c>
      <c r="C722" t="s">
        <v>22</v>
      </c>
      <c r="D722">
        <v>0.5</v>
      </c>
      <c r="E722">
        <v>0.5</v>
      </c>
      <c r="F722">
        <v>0.1</v>
      </c>
      <c r="G722">
        <v>1</v>
      </c>
      <c r="H722">
        <v>5</v>
      </c>
      <c r="I722">
        <v>0.6</v>
      </c>
      <c r="J722">
        <v>0.8</v>
      </c>
      <c r="K722">
        <v>0.1</v>
      </c>
      <c r="L722">
        <v>0.8</v>
      </c>
      <c r="M722">
        <v>9</v>
      </c>
      <c r="N722">
        <v>611563</v>
      </c>
      <c r="O722">
        <v>848751</v>
      </c>
      <c r="P722">
        <v>1018396</v>
      </c>
      <c r="Q722">
        <v>3</v>
      </c>
      <c r="R722">
        <v>4</v>
      </c>
      <c r="S722">
        <v>1</v>
      </c>
      <c r="T722">
        <v>999</v>
      </c>
      <c r="U722">
        <v>999</v>
      </c>
    </row>
    <row r="723" spans="1:21" x14ac:dyDescent="0.35">
      <c r="A723" t="s">
        <v>26</v>
      </c>
      <c r="B723" s="1">
        <v>44632</v>
      </c>
      <c r="C723" t="s">
        <v>24</v>
      </c>
      <c r="D723">
        <v>3.2</v>
      </c>
      <c r="E723">
        <v>0</v>
      </c>
      <c r="F723">
        <v>0</v>
      </c>
      <c r="G723">
        <v>0</v>
      </c>
      <c r="H723">
        <v>0</v>
      </c>
      <c r="I723">
        <v>0</v>
      </c>
      <c r="J723">
        <v>0</v>
      </c>
      <c r="K723">
        <v>0</v>
      </c>
      <c r="L723">
        <v>0</v>
      </c>
      <c r="M723">
        <v>0</v>
      </c>
      <c r="N723">
        <v>92929</v>
      </c>
      <c r="O723">
        <v>81116</v>
      </c>
      <c r="P723">
        <v>21117</v>
      </c>
      <c r="Q723">
        <v>3</v>
      </c>
      <c r="R723">
        <v>0</v>
      </c>
      <c r="S723">
        <v>0</v>
      </c>
      <c r="T723">
        <v>5</v>
      </c>
      <c r="U723">
        <v>11</v>
      </c>
    </row>
    <row r="724" spans="1:21" x14ac:dyDescent="0.35">
      <c r="A724" t="s">
        <v>26</v>
      </c>
      <c r="B724" s="1">
        <v>44436</v>
      </c>
      <c r="C724" t="s">
        <v>30</v>
      </c>
      <c r="D724">
        <v>69.7</v>
      </c>
      <c r="E724">
        <v>20.7</v>
      </c>
      <c r="F724">
        <v>0</v>
      </c>
      <c r="G724">
        <v>3.4</v>
      </c>
      <c r="H724">
        <v>0</v>
      </c>
      <c r="I724">
        <v>0</v>
      </c>
      <c r="J724">
        <v>0</v>
      </c>
      <c r="K724">
        <v>0</v>
      </c>
      <c r="L724">
        <v>0</v>
      </c>
      <c r="M724">
        <v>0</v>
      </c>
      <c r="N724">
        <v>31562</v>
      </c>
      <c r="O724">
        <v>53137</v>
      </c>
      <c r="P724">
        <v>0</v>
      </c>
      <c r="Q724">
        <v>22</v>
      </c>
      <c r="R724">
        <v>11</v>
      </c>
      <c r="S724">
        <v>0</v>
      </c>
      <c r="T724">
        <v>80</v>
      </c>
      <c r="U724">
        <v>200</v>
      </c>
    </row>
    <row r="725" spans="1:21" x14ac:dyDescent="0.35">
      <c r="A725" t="s">
        <v>28</v>
      </c>
      <c r="B725" s="1">
        <v>45136</v>
      </c>
      <c r="C725" t="s">
        <v>30</v>
      </c>
      <c r="D725">
        <v>8.1999999999999993</v>
      </c>
      <c r="E725">
        <v>96.6</v>
      </c>
      <c r="F725">
        <v>42.4</v>
      </c>
      <c r="G725">
        <v>0.1</v>
      </c>
      <c r="H725">
        <v>0.2</v>
      </c>
      <c r="I725">
        <v>0</v>
      </c>
      <c r="J725">
        <v>0</v>
      </c>
      <c r="K725">
        <v>0</v>
      </c>
      <c r="L725">
        <v>0</v>
      </c>
      <c r="M725">
        <v>0</v>
      </c>
      <c r="N725">
        <v>24479</v>
      </c>
      <c r="O725">
        <v>11383</v>
      </c>
      <c r="P725">
        <v>47130</v>
      </c>
      <c r="Q725">
        <v>2</v>
      </c>
      <c r="R725">
        <v>11</v>
      </c>
      <c r="S725">
        <v>20</v>
      </c>
      <c r="T725">
        <v>80</v>
      </c>
      <c r="U725">
        <v>200</v>
      </c>
    </row>
    <row r="726" spans="1:21" x14ac:dyDescent="0.35">
      <c r="A726" t="s">
        <v>21</v>
      </c>
      <c r="B726" s="1">
        <v>44800</v>
      </c>
      <c r="C726" t="s">
        <v>32</v>
      </c>
      <c r="D726">
        <v>0</v>
      </c>
      <c r="E726">
        <v>0</v>
      </c>
      <c r="F726">
        <v>0</v>
      </c>
      <c r="G726">
        <v>0</v>
      </c>
      <c r="H726">
        <v>0</v>
      </c>
      <c r="I726">
        <v>0</v>
      </c>
      <c r="J726">
        <v>0</v>
      </c>
      <c r="K726">
        <v>0</v>
      </c>
      <c r="L726">
        <v>0</v>
      </c>
      <c r="M726">
        <v>0</v>
      </c>
      <c r="N726">
        <v>162642</v>
      </c>
      <c r="O726">
        <v>0</v>
      </c>
      <c r="P726">
        <v>0</v>
      </c>
      <c r="Q726">
        <v>0</v>
      </c>
      <c r="R726">
        <v>0</v>
      </c>
      <c r="S726">
        <v>0</v>
      </c>
      <c r="T726">
        <v>0</v>
      </c>
      <c r="U726">
        <v>4</v>
      </c>
    </row>
    <row r="727" spans="1:21" x14ac:dyDescent="0.35">
      <c r="A727" t="s">
        <v>26</v>
      </c>
      <c r="B727" s="1">
        <v>45045</v>
      </c>
      <c r="C727" t="s">
        <v>25</v>
      </c>
      <c r="D727">
        <v>1.3</v>
      </c>
      <c r="E727">
        <v>0.5</v>
      </c>
      <c r="F727">
        <v>1.2</v>
      </c>
      <c r="G727">
        <v>2.6</v>
      </c>
      <c r="H727">
        <v>1.1000000000000001</v>
      </c>
      <c r="I727">
        <v>0</v>
      </c>
      <c r="J727">
        <v>0</v>
      </c>
      <c r="K727">
        <v>0</v>
      </c>
      <c r="L727">
        <v>0</v>
      </c>
      <c r="M727">
        <v>0</v>
      </c>
      <c r="N727">
        <v>75493</v>
      </c>
      <c r="O727">
        <v>214091</v>
      </c>
      <c r="P727">
        <v>161686</v>
      </c>
      <c r="Q727">
        <v>1</v>
      </c>
      <c r="R727">
        <v>1</v>
      </c>
      <c r="S727">
        <v>2</v>
      </c>
      <c r="T727">
        <v>18</v>
      </c>
      <c r="U727">
        <v>29</v>
      </c>
    </row>
    <row r="728" spans="1:21" x14ac:dyDescent="0.35">
      <c r="A728" t="s">
        <v>21</v>
      </c>
      <c r="B728" s="1">
        <v>44413</v>
      </c>
      <c r="C728" t="s">
        <v>22</v>
      </c>
      <c r="D728">
        <v>3.1</v>
      </c>
      <c r="E728">
        <v>0.2</v>
      </c>
      <c r="F728">
        <v>0</v>
      </c>
      <c r="G728">
        <v>15.5</v>
      </c>
      <c r="H728">
        <v>0</v>
      </c>
      <c r="I728">
        <v>4.4000000000000004</v>
      </c>
      <c r="J728">
        <v>0.1</v>
      </c>
      <c r="K728">
        <v>0</v>
      </c>
      <c r="L728">
        <v>33.200000000000003</v>
      </c>
      <c r="M728">
        <v>0</v>
      </c>
      <c r="N728">
        <v>1432023</v>
      </c>
      <c r="O728">
        <v>822199</v>
      </c>
      <c r="P728">
        <v>0</v>
      </c>
      <c r="Q728">
        <v>45</v>
      </c>
      <c r="R728">
        <v>2</v>
      </c>
      <c r="S728">
        <v>0</v>
      </c>
      <c r="T728">
        <v>999</v>
      </c>
      <c r="U728">
        <v>999</v>
      </c>
    </row>
    <row r="729" spans="1:21" x14ac:dyDescent="0.35">
      <c r="A729" t="s">
        <v>21</v>
      </c>
      <c r="B729" s="1">
        <v>44492</v>
      </c>
      <c r="C729" t="s">
        <v>23</v>
      </c>
      <c r="D729">
        <v>5.4</v>
      </c>
      <c r="E729">
        <v>0.9</v>
      </c>
      <c r="F729">
        <v>0</v>
      </c>
      <c r="G729">
        <v>6</v>
      </c>
      <c r="H729">
        <v>0</v>
      </c>
      <c r="I729">
        <v>0</v>
      </c>
      <c r="J729">
        <v>0</v>
      </c>
      <c r="K729">
        <v>0</v>
      </c>
      <c r="L729">
        <v>0</v>
      </c>
      <c r="M729">
        <v>0</v>
      </c>
      <c r="N729">
        <v>74137</v>
      </c>
      <c r="O729">
        <v>326932</v>
      </c>
      <c r="P729">
        <v>13200</v>
      </c>
      <c r="Q729">
        <v>4</v>
      </c>
      <c r="R729">
        <v>3</v>
      </c>
      <c r="S729">
        <v>0</v>
      </c>
      <c r="T729">
        <v>50</v>
      </c>
      <c r="U729">
        <v>64</v>
      </c>
    </row>
    <row r="730" spans="1:21" x14ac:dyDescent="0.35">
      <c r="A730" t="s">
        <v>26</v>
      </c>
      <c r="B730" s="1">
        <v>44548</v>
      </c>
      <c r="C730" t="s">
        <v>27</v>
      </c>
      <c r="D730">
        <v>16</v>
      </c>
      <c r="E730">
        <v>1.9</v>
      </c>
      <c r="F730">
        <v>0</v>
      </c>
      <c r="G730">
        <v>8.4</v>
      </c>
      <c r="H730">
        <v>0</v>
      </c>
      <c r="I730">
        <v>0</v>
      </c>
      <c r="J730">
        <v>0</v>
      </c>
      <c r="K730">
        <v>0</v>
      </c>
      <c r="L730">
        <v>0</v>
      </c>
      <c r="M730">
        <v>0</v>
      </c>
      <c r="N730">
        <v>56227</v>
      </c>
      <c r="O730">
        <v>107530</v>
      </c>
      <c r="P730">
        <v>554</v>
      </c>
      <c r="Q730">
        <v>9</v>
      </c>
      <c r="R730">
        <v>2</v>
      </c>
      <c r="S730">
        <v>0</v>
      </c>
      <c r="T730">
        <v>12</v>
      </c>
      <c r="U730">
        <v>17</v>
      </c>
    </row>
    <row r="731" spans="1:21" x14ac:dyDescent="0.35">
      <c r="A731" t="s">
        <v>26</v>
      </c>
      <c r="B731" s="1">
        <v>45018</v>
      </c>
      <c r="C731" t="s">
        <v>24</v>
      </c>
      <c r="D731">
        <v>3.3</v>
      </c>
      <c r="E731">
        <v>2.4</v>
      </c>
      <c r="F731">
        <v>0</v>
      </c>
      <c r="G731">
        <v>1.4</v>
      </c>
      <c r="H731">
        <v>0</v>
      </c>
      <c r="I731">
        <v>0</v>
      </c>
      <c r="J731">
        <v>0</v>
      </c>
      <c r="K731">
        <v>0</v>
      </c>
      <c r="L731">
        <v>0</v>
      </c>
      <c r="M731">
        <v>0</v>
      </c>
      <c r="N731">
        <v>91824</v>
      </c>
      <c r="O731">
        <v>81940</v>
      </c>
      <c r="P731">
        <v>21192</v>
      </c>
      <c r="Q731">
        <v>3</v>
      </c>
      <c r="R731">
        <v>2</v>
      </c>
      <c r="S731">
        <v>0</v>
      </c>
      <c r="T731">
        <v>5</v>
      </c>
      <c r="U731">
        <v>11</v>
      </c>
    </row>
    <row r="732" spans="1:21" x14ac:dyDescent="0.35">
      <c r="A732" t="s">
        <v>26</v>
      </c>
      <c r="B732" s="1">
        <v>44385</v>
      </c>
      <c r="C732" t="s">
        <v>29</v>
      </c>
      <c r="D732">
        <v>14.6</v>
      </c>
      <c r="E732">
        <v>0.8</v>
      </c>
      <c r="F732">
        <v>0</v>
      </c>
      <c r="G732">
        <v>18.2</v>
      </c>
      <c r="H732">
        <v>0</v>
      </c>
      <c r="I732">
        <v>0</v>
      </c>
      <c r="J732">
        <v>0</v>
      </c>
      <c r="K732">
        <v>0</v>
      </c>
      <c r="L732">
        <v>0</v>
      </c>
      <c r="M732">
        <v>0</v>
      </c>
      <c r="N732">
        <v>260144</v>
      </c>
      <c r="O732">
        <v>501004</v>
      </c>
      <c r="P732">
        <v>0</v>
      </c>
      <c r="Q732">
        <v>38</v>
      </c>
      <c r="R732">
        <v>4</v>
      </c>
      <c r="S732">
        <v>0</v>
      </c>
      <c r="T732">
        <v>30</v>
      </c>
      <c r="U732">
        <v>49</v>
      </c>
    </row>
    <row r="733" spans="1:21" x14ac:dyDescent="0.35">
      <c r="A733" t="s">
        <v>28</v>
      </c>
      <c r="B733" s="1">
        <v>44646</v>
      </c>
      <c r="C733" t="s">
        <v>24</v>
      </c>
      <c r="D733">
        <v>37.6</v>
      </c>
      <c r="E733">
        <v>114.6</v>
      </c>
      <c r="F733">
        <v>0</v>
      </c>
      <c r="G733">
        <v>0.3</v>
      </c>
      <c r="H733">
        <v>0</v>
      </c>
      <c r="I733">
        <v>0</v>
      </c>
      <c r="J733">
        <v>0</v>
      </c>
      <c r="K733">
        <v>0</v>
      </c>
      <c r="L733">
        <v>0</v>
      </c>
      <c r="M733">
        <v>0</v>
      </c>
      <c r="N733">
        <v>103859</v>
      </c>
      <c r="O733">
        <v>89867</v>
      </c>
      <c r="P733">
        <v>0</v>
      </c>
      <c r="Q733">
        <v>39</v>
      </c>
      <c r="R733">
        <v>103</v>
      </c>
      <c r="S733">
        <v>0</v>
      </c>
      <c r="T733">
        <v>5</v>
      </c>
      <c r="U733">
        <v>11</v>
      </c>
    </row>
    <row r="734" spans="1:21" x14ac:dyDescent="0.35">
      <c r="A734" t="s">
        <v>21</v>
      </c>
      <c r="B734" s="1">
        <v>44898</v>
      </c>
      <c r="C734" t="s">
        <v>25</v>
      </c>
      <c r="D734">
        <v>1</v>
      </c>
      <c r="E734">
        <v>0</v>
      </c>
      <c r="F734">
        <v>0</v>
      </c>
      <c r="G734">
        <v>0</v>
      </c>
      <c r="H734">
        <v>0</v>
      </c>
      <c r="I734">
        <v>0</v>
      </c>
      <c r="J734">
        <v>0</v>
      </c>
      <c r="K734">
        <v>0</v>
      </c>
      <c r="L734">
        <v>0</v>
      </c>
      <c r="M734">
        <v>0</v>
      </c>
      <c r="N734">
        <v>100487</v>
      </c>
      <c r="O734">
        <v>221043</v>
      </c>
      <c r="P734">
        <v>142046</v>
      </c>
      <c r="Q734">
        <v>1</v>
      </c>
      <c r="R734">
        <v>0</v>
      </c>
      <c r="S734">
        <v>0</v>
      </c>
      <c r="T734">
        <v>18</v>
      </c>
      <c r="U734">
        <v>29</v>
      </c>
    </row>
    <row r="735" spans="1:21" x14ac:dyDescent="0.35">
      <c r="A735" t="s">
        <v>28</v>
      </c>
      <c r="B735" s="1">
        <v>45031</v>
      </c>
      <c r="C735" t="s">
        <v>25</v>
      </c>
      <c r="D735">
        <v>81.8</v>
      </c>
      <c r="E735">
        <v>22.4</v>
      </c>
      <c r="F735">
        <v>27.8</v>
      </c>
      <c r="G735">
        <v>3.7</v>
      </c>
      <c r="H735">
        <v>2.9</v>
      </c>
      <c r="I735">
        <v>0</v>
      </c>
      <c r="J735">
        <v>0</v>
      </c>
      <c r="K735">
        <v>0</v>
      </c>
      <c r="L735">
        <v>0</v>
      </c>
      <c r="M735">
        <v>0</v>
      </c>
      <c r="N735">
        <v>75787</v>
      </c>
      <c r="O735">
        <v>213968</v>
      </c>
      <c r="P735">
        <v>161682</v>
      </c>
      <c r="Q735">
        <v>62</v>
      </c>
      <c r="R735">
        <v>48</v>
      </c>
      <c r="S735">
        <v>45</v>
      </c>
      <c r="T735">
        <v>18</v>
      </c>
      <c r="U735">
        <v>29</v>
      </c>
    </row>
    <row r="736" spans="1:21" x14ac:dyDescent="0.35">
      <c r="A736" t="s">
        <v>28</v>
      </c>
      <c r="B736" s="1">
        <v>45227</v>
      </c>
      <c r="C736" t="s">
        <v>29</v>
      </c>
      <c r="D736">
        <v>55.6</v>
      </c>
      <c r="E736">
        <v>21.9</v>
      </c>
      <c r="F736">
        <v>28.7</v>
      </c>
      <c r="G736">
        <v>2.5</v>
      </c>
      <c r="H736">
        <v>1.9</v>
      </c>
      <c r="I736">
        <v>0</v>
      </c>
      <c r="J736">
        <v>0</v>
      </c>
      <c r="K736">
        <v>0</v>
      </c>
      <c r="L736">
        <v>0</v>
      </c>
      <c r="M736">
        <v>0</v>
      </c>
      <c r="N736">
        <v>102493</v>
      </c>
      <c r="O736">
        <v>279053</v>
      </c>
      <c r="P736">
        <v>348149</v>
      </c>
      <c r="Q736">
        <v>57</v>
      </c>
      <c r="R736">
        <v>61</v>
      </c>
      <c r="S736">
        <v>100</v>
      </c>
      <c r="T736">
        <v>30</v>
      </c>
      <c r="U736">
        <v>49</v>
      </c>
    </row>
    <row r="737" spans="1:21" x14ac:dyDescent="0.35">
      <c r="A737" t="s">
        <v>26</v>
      </c>
      <c r="B737" s="1">
        <v>45213</v>
      </c>
      <c r="C737" t="s">
        <v>30</v>
      </c>
      <c r="D737">
        <v>28.8</v>
      </c>
      <c r="E737">
        <v>35.1</v>
      </c>
      <c r="F737">
        <v>36</v>
      </c>
      <c r="G737">
        <v>0.8</v>
      </c>
      <c r="H737">
        <v>0.8</v>
      </c>
      <c r="I737">
        <v>0</v>
      </c>
      <c r="J737">
        <v>0</v>
      </c>
      <c r="K737">
        <v>0</v>
      </c>
      <c r="L737">
        <v>0</v>
      </c>
      <c r="M737">
        <v>0</v>
      </c>
      <c r="N737">
        <v>24292</v>
      </c>
      <c r="O737">
        <v>11411</v>
      </c>
      <c r="P737">
        <v>47164</v>
      </c>
      <c r="Q737">
        <v>7</v>
      </c>
      <c r="R737">
        <v>4</v>
      </c>
      <c r="S737">
        <v>17</v>
      </c>
      <c r="T737">
        <v>80</v>
      </c>
      <c r="U737">
        <v>200</v>
      </c>
    </row>
    <row r="738" spans="1:21" x14ac:dyDescent="0.35">
      <c r="A738" t="s">
        <v>26</v>
      </c>
      <c r="B738" s="1">
        <v>44338</v>
      </c>
      <c r="C738" t="s">
        <v>25</v>
      </c>
      <c r="D738">
        <v>11</v>
      </c>
      <c r="E738">
        <v>0.5</v>
      </c>
      <c r="F738">
        <v>0</v>
      </c>
      <c r="G738">
        <v>22</v>
      </c>
      <c r="H738">
        <v>0</v>
      </c>
      <c r="I738">
        <v>0</v>
      </c>
      <c r="J738">
        <v>0</v>
      </c>
      <c r="K738">
        <v>0</v>
      </c>
      <c r="L738">
        <v>0</v>
      </c>
      <c r="M738">
        <v>0</v>
      </c>
      <c r="N738">
        <v>254347</v>
      </c>
      <c r="O738">
        <v>182708</v>
      </c>
      <c r="P738">
        <v>0</v>
      </c>
      <c r="Q738">
        <v>28</v>
      </c>
      <c r="R738">
        <v>1</v>
      </c>
      <c r="S738">
        <v>0</v>
      </c>
      <c r="T738">
        <v>18</v>
      </c>
      <c r="U738">
        <v>29</v>
      </c>
    </row>
    <row r="739" spans="1:21" x14ac:dyDescent="0.35">
      <c r="A739" t="s">
        <v>21</v>
      </c>
      <c r="B739" s="1">
        <v>44871</v>
      </c>
      <c r="C739" t="s">
        <v>30</v>
      </c>
      <c r="D739">
        <v>0</v>
      </c>
      <c r="E739">
        <v>0</v>
      </c>
      <c r="F739">
        <v>0</v>
      </c>
      <c r="G739">
        <v>0</v>
      </c>
      <c r="H739">
        <v>0</v>
      </c>
      <c r="I739">
        <v>0</v>
      </c>
      <c r="J739">
        <v>0</v>
      </c>
      <c r="K739">
        <v>0</v>
      </c>
      <c r="L739">
        <v>0</v>
      </c>
      <c r="M739">
        <v>0</v>
      </c>
      <c r="N739">
        <v>26548</v>
      </c>
      <c r="O739">
        <v>12467</v>
      </c>
      <c r="P739">
        <v>45506</v>
      </c>
      <c r="Q739">
        <v>0</v>
      </c>
      <c r="R739">
        <v>0</v>
      </c>
      <c r="S739">
        <v>0</v>
      </c>
      <c r="T739">
        <v>80</v>
      </c>
      <c r="U739">
        <v>200</v>
      </c>
    </row>
    <row r="740" spans="1:21" x14ac:dyDescent="0.35">
      <c r="A740" t="s">
        <v>28</v>
      </c>
      <c r="B740" s="1">
        <v>45101</v>
      </c>
      <c r="C740" t="s">
        <v>22</v>
      </c>
      <c r="D740">
        <v>14.1</v>
      </c>
      <c r="E740">
        <v>4.9000000000000004</v>
      </c>
      <c r="F740">
        <v>12.9</v>
      </c>
      <c r="G740">
        <v>2.9</v>
      </c>
      <c r="H740">
        <v>1.1000000000000001</v>
      </c>
      <c r="I740">
        <v>16.600000000000001</v>
      </c>
      <c r="J740">
        <v>5</v>
      </c>
      <c r="K740">
        <v>9.6</v>
      </c>
      <c r="L740">
        <v>3.3</v>
      </c>
      <c r="M740">
        <v>1.7</v>
      </c>
      <c r="N740">
        <v>532973</v>
      </c>
      <c r="O740">
        <v>860337</v>
      </c>
      <c r="P740">
        <v>1040720</v>
      </c>
      <c r="Q740">
        <v>75</v>
      </c>
      <c r="R740">
        <v>42</v>
      </c>
      <c r="S740">
        <v>134</v>
      </c>
      <c r="T740">
        <v>999</v>
      </c>
      <c r="U740">
        <v>999</v>
      </c>
    </row>
    <row r="741" spans="1:21" x14ac:dyDescent="0.35">
      <c r="A741" t="s">
        <v>26</v>
      </c>
      <c r="B741" s="1">
        <v>44906</v>
      </c>
      <c r="C741" t="s">
        <v>23</v>
      </c>
      <c r="D741">
        <v>38.299999999999997</v>
      </c>
      <c r="E741">
        <v>5.6</v>
      </c>
      <c r="F741">
        <v>8.9</v>
      </c>
      <c r="G741">
        <v>6.8</v>
      </c>
      <c r="H741">
        <v>4.3</v>
      </c>
      <c r="I741">
        <v>0</v>
      </c>
      <c r="J741">
        <v>0</v>
      </c>
      <c r="K741">
        <v>0</v>
      </c>
      <c r="L741">
        <v>0</v>
      </c>
      <c r="M741">
        <v>0</v>
      </c>
      <c r="N741">
        <v>36564</v>
      </c>
      <c r="O741">
        <v>125287</v>
      </c>
      <c r="P741">
        <v>246697</v>
      </c>
      <c r="Q741">
        <v>14</v>
      </c>
      <c r="R741">
        <v>7</v>
      </c>
      <c r="S741">
        <v>22</v>
      </c>
      <c r="T741">
        <v>50</v>
      </c>
      <c r="U741">
        <v>64</v>
      </c>
    </row>
    <row r="742" spans="1:21" x14ac:dyDescent="0.35">
      <c r="A742" t="s">
        <v>26</v>
      </c>
      <c r="B742" s="1">
        <v>44527</v>
      </c>
      <c r="C742" t="s">
        <v>29</v>
      </c>
      <c r="D742">
        <v>25.8</v>
      </c>
      <c r="E742">
        <v>1.2</v>
      </c>
      <c r="F742">
        <v>1.2</v>
      </c>
      <c r="G742">
        <v>21.5</v>
      </c>
      <c r="H742">
        <v>21.5</v>
      </c>
      <c r="I742">
        <v>0</v>
      </c>
      <c r="J742">
        <v>0</v>
      </c>
      <c r="K742">
        <v>0</v>
      </c>
      <c r="L742">
        <v>0</v>
      </c>
      <c r="M742">
        <v>0</v>
      </c>
      <c r="N742">
        <v>189760</v>
      </c>
      <c r="O742">
        <v>487368</v>
      </c>
      <c r="P742">
        <v>82444</v>
      </c>
      <c r="Q742">
        <v>49</v>
      </c>
      <c r="R742">
        <v>6</v>
      </c>
      <c r="S742">
        <v>1</v>
      </c>
      <c r="T742">
        <v>30</v>
      </c>
      <c r="U742">
        <v>49</v>
      </c>
    </row>
    <row r="743" spans="1:21" x14ac:dyDescent="0.35">
      <c r="A743" t="s">
        <v>28</v>
      </c>
      <c r="B743" s="1">
        <v>45241</v>
      </c>
      <c r="C743" t="s">
        <v>22</v>
      </c>
      <c r="D743">
        <v>65.900000000000006</v>
      </c>
      <c r="E743">
        <v>30.8</v>
      </c>
      <c r="F743">
        <v>47.4</v>
      </c>
      <c r="G743">
        <v>2.1</v>
      </c>
      <c r="H743">
        <v>1.4</v>
      </c>
      <c r="I743">
        <v>80.400000000000006</v>
      </c>
      <c r="J743">
        <v>33.700000000000003</v>
      </c>
      <c r="K743">
        <v>39.6</v>
      </c>
      <c r="L743">
        <v>2.4</v>
      </c>
      <c r="M743">
        <v>2</v>
      </c>
      <c r="N743">
        <v>509670</v>
      </c>
      <c r="O743">
        <v>862682</v>
      </c>
      <c r="P743">
        <v>1045972</v>
      </c>
      <c r="Q743">
        <v>336</v>
      </c>
      <c r="R743">
        <v>266</v>
      </c>
      <c r="S743">
        <v>496</v>
      </c>
      <c r="T743">
        <v>999</v>
      </c>
      <c r="U743">
        <v>999</v>
      </c>
    </row>
    <row r="744" spans="1:21" x14ac:dyDescent="0.35">
      <c r="A744" t="s">
        <v>21</v>
      </c>
      <c r="B744" s="1">
        <v>44555</v>
      </c>
      <c r="C744" t="s">
        <v>31</v>
      </c>
      <c r="D744">
        <v>45.4</v>
      </c>
      <c r="E744">
        <v>12.7</v>
      </c>
      <c r="F744">
        <v>3.3</v>
      </c>
      <c r="G744">
        <v>3.6</v>
      </c>
      <c r="H744">
        <v>13.8</v>
      </c>
      <c r="I744">
        <v>0</v>
      </c>
      <c r="J744">
        <v>0</v>
      </c>
      <c r="K744">
        <v>0</v>
      </c>
      <c r="L744">
        <v>0</v>
      </c>
      <c r="M744">
        <v>0</v>
      </c>
      <c r="N744">
        <v>52868</v>
      </c>
      <c r="O744">
        <v>86648</v>
      </c>
      <c r="P744">
        <v>119716</v>
      </c>
      <c r="Q744">
        <v>24</v>
      </c>
      <c r="R744">
        <v>11</v>
      </c>
      <c r="S744">
        <v>4</v>
      </c>
      <c r="T744">
        <v>65</v>
      </c>
      <c r="U744">
        <v>79</v>
      </c>
    </row>
    <row r="745" spans="1:21" x14ac:dyDescent="0.35">
      <c r="A745" t="s">
        <v>21</v>
      </c>
      <c r="B745" s="1">
        <v>44413</v>
      </c>
      <c r="C745" t="s">
        <v>31</v>
      </c>
      <c r="D745">
        <v>15.4</v>
      </c>
      <c r="E745">
        <v>0.6</v>
      </c>
      <c r="F745">
        <v>0</v>
      </c>
      <c r="G745">
        <v>25.7</v>
      </c>
      <c r="H745">
        <v>0</v>
      </c>
      <c r="I745">
        <v>0</v>
      </c>
      <c r="J745">
        <v>0</v>
      </c>
      <c r="K745">
        <v>0</v>
      </c>
      <c r="L745">
        <v>0</v>
      </c>
      <c r="M745">
        <v>0</v>
      </c>
      <c r="N745">
        <v>84155</v>
      </c>
      <c r="O745">
        <v>160587</v>
      </c>
      <c r="P745">
        <v>0</v>
      </c>
      <c r="Q745">
        <v>13</v>
      </c>
      <c r="R745">
        <v>1</v>
      </c>
      <c r="S745">
        <v>0</v>
      </c>
      <c r="T745">
        <v>65</v>
      </c>
      <c r="U745">
        <v>79</v>
      </c>
    </row>
    <row r="746" spans="1:21" x14ac:dyDescent="0.35">
      <c r="A746" t="s">
        <v>21</v>
      </c>
      <c r="B746" s="1">
        <v>44930</v>
      </c>
      <c r="C746" t="s">
        <v>27</v>
      </c>
      <c r="D746">
        <v>0</v>
      </c>
      <c r="E746">
        <v>0</v>
      </c>
      <c r="F746">
        <v>0</v>
      </c>
      <c r="G746">
        <v>0</v>
      </c>
      <c r="H746">
        <v>0</v>
      </c>
      <c r="I746">
        <v>0</v>
      </c>
      <c r="J746">
        <v>0</v>
      </c>
      <c r="K746">
        <v>0</v>
      </c>
      <c r="L746">
        <v>0</v>
      </c>
      <c r="M746">
        <v>0</v>
      </c>
      <c r="N746">
        <v>32922</v>
      </c>
      <c r="O746">
        <v>86490</v>
      </c>
      <c r="P746">
        <v>44568</v>
      </c>
      <c r="Q746">
        <v>0</v>
      </c>
      <c r="R746">
        <v>0</v>
      </c>
      <c r="S746">
        <v>0</v>
      </c>
      <c r="T746">
        <v>12</v>
      </c>
      <c r="U746">
        <v>17</v>
      </c>
    </row>
    <row r="747" spans="1:21" x14ac:dyDescent="0.35">
      <c r="A747" t="s">
        <v>21</v>
      </c>
      <c r="B747" s="1">
        <v>44897</v>
      </c>
      <c r="C747" t="s">
        <v>31</v>
      </c>
      <c r="D747">
        <v>34.4</v>
      </c>
      <c r="E747">
        <v>17.3</v>
      </c>
      <c r="F747">
        <v>2.6</v>
      </c>
      <c r="G747">
        <v>2</v>
      </c>
      <c r="H747">
        <v>13.2</v>
      </c>
      <c r="I747">
        <v>0</v>
      </c>
      <c r="J747">
        <v>0</v>
      </c>
      <c r="K747">
        <v>0</v>
      </c>
      <c r="L747">
        <v>0</v>
      </c>
      <c r="M747">
        <v>0</v>
      </c>
      <c r="N747">
        <v>49452</v>
      </c>
      <c r="O747">
        <v>57654</v>
      </c>
      <c r="P747">
        <v>151402</v>
      </c>
      <c r="Q747">
        <v>17</v>
      </c>
      <c r="R747">
        <v>10</v>
      </c>
      <c r="S747">
        <v>4</v>
      </c>
      <c r="T747">
        <v>65</v>
      </c>
      <c r="U747">
        <v>79</v>
      </c>
    </row>
    <row r="748" spans="1:21" x14ac:dyDescent="0.35">
      <c r="A748" t="s">
        <v>21</v>
      </c>
      <c r="B748" s="1">
        <v>44338</v>
      </c>
      <c r="C748" t="s">
        <v>27</v>
      </c>
      <c r="D748">
        <v>0</v>
      </c>
      <c r="E748">
        <v>0</v>
      </c>
      <c r="F748">
        <v>0</v>
      </c>
      <c r="G748">
        <v>0</v>
      </c>
      <c r="H748">
        <v>0</v>
      </c>
      <c r="I748">
        <v>0</v>
      </c>
      <c r="J748">
        <v>0</v>
      </c>
      <c r="K748">
        <v>0</v>
      </c>
      <c r="L748">
        <v>0</v>
      </c>
      <c r="M748">
        <v>0</v>
      </c>
      <c r="N748">
        <v>136624</v>
      </c>
      <c r="O748">
        <v>0</v>
      </c>
      <c r="P748">
        <v>0</v>
      </c>
      <c r="Q748">
        <v>0</v>
      </c>
      <c r="R748">
        <v>0</v>
      </c>
      <c r="S748">
        <v>0</v>
      </c>
      <c r="T748">
        <v>12</v>
      </c>
      <c r="U748">
        <v>17</v>
      </c>
    </row>
    <row r="749" spans="1:21" x14ac:dyDescent="0.35">
      <c r="A749" t="s">
        <v>26</v>
      </c>
      <c r="B749" s="1">
        <v>44681</v>
      </c>
      <c r="C749" t="s">
        <v>27</v>
      </c>
      <c r="D749">
        <v>0</v>
      </c>
      <c r="E749">
        <v>1.1000000000000001</v>
      </c>
      <c r="F749">
        <v>3</v>
      </c>
      <c r="G749">
        <v>0</v>
      </c>
      <c r="H749">
        <v>0</v>
      </c>
      <c r="I749">
        <v>0</v>
      </c>
      <c r="J749">
        <v>0</v>
      </c>
      <c r="K749">
        <v>0</v>
      </c>
      <c r="L749">
        <v>0</v>
      </c>
      <c r="M749">
        <v>0</v>
      </c>
      <c r="N749">
        <v>37619</v>
      </c>
      <c r="O749">
        <v>94445</v>
      </c>
      <c r="P749">
        <v>33365</v>
      </c>
      <c r="Q749">
        <v>0</v>
      </c>
      <c r="R749">
        <v>1</v>
      </c>
      <c r="S749">
        <v>1</v>
      </c>
      <c r="T749">
        <v>12</v>
      </c>
      <c r="U749">
        <v>17</v>
      </c>
    </row>
    <row r="750" spans="1:21" x14ac:dyDescent="0.35">
      <c r="A750" t="s">
        <v>26</v>
      </c>
      <c r="B750" s="1">
        <v>45031</v>
      </c>
      <c r="C750" t="s">
        <v>22</v>
      </c>
      <c r="D750">
        <v>4.3</v>
      </c>
      <c r="E750">
        <v>2.6</v>
      </c>
      <c r="F750">
        <v>6.6</v>
      </c>
      <c r="G750">
        <v>1.7</v>
      </c>
      <c r="H750">
        <v>0.7</v>
      </c>
      <c r="I750">
        <v>5.0999999999999996</v>
      </c>
      <c r="J750">
        <v>3.3</v>
      </c>
      <c r="K750">
        <v>4.8</v>
      </c>
      <c r="L750">
        <v>1.6</v>
      </c>
      <c r="M750">
        <v>1.1000000000000001</v>
      </c>
      <c r="N750">
        <v>539653</v>
      </c>
      <c r="O750">
        <v>859628</v>
      </c>
      <c r="P750">
        <v>1040581</v>
      </c>
      <c r="Q750">
        <v>23</v>
      </c>
      <c r="R750">
        <v>22</v>
      </c>
      <c r="S750">
        <v>69</v>
      </c>
      <c r="T750">
        <v>999</v>
      </c>
      <c r="U750">
        <v>999</v>
      </c>
    </row>
    <row r="751" spans="1:21" x14ac:dyDescent="0.35">
      <c r="A751" t="s">
        <v>28</v>
      </c>
      <c r="B751" s="1">
        <v>44295</v>
      </c>
      <c r="C751" t="s">
        <v>30</v>
      </c>
      <c r="D751">
        <v>66.900000000000006</v>
      </c>
      <c r="E751">
        <v>54.7</v>
      </c>
      <c r="F751">
        <v>0</v>
      </c>
      <c r="G751">
        <v>1.2</v>
      </c>
      <c r="H751">
        <v>0</v>
      </c>
      <c r="I751">
        <v>0</v>
      </c>
      <c r="J751">
        <v>0</v>
      </c>
      <c r="K751">
        <v>0</v>
      </c>
      <c r="L751">
        <v>0</v>
      </c>
      <c r="M751">
        <v>0</v>
      </c>
      <c r="N751">
        <v>31387</v>
      </c>
      <c r="O751">
        <v>53047</v>
      </c>
      <c r="P751">
        <v>0</v>
      </c>
      <c r="Q751">
        <v>21</v>
      </c>
      <c r="R751">
        <v>29</v>
      </c>
      <c r="S751">
        <v>0</v>
      </c>
      <c r="T751">
        <v>80</v>
      </c>
      <c r="U751">
        <v>200</v>
      </c>
    </row>
    <row r="752" spans="1:21" x14ac:dyDescent="0.35">
      <c r="A752" t="s">
        <v>28</v>
      </c>
      <c r="B752" s="1">
        <v>45192</v>
      </c>
      <c r="C752" t="s">
        <v>32</v>
      </c>
      <c r="D752">
        <v>42.4</v>
      </c>
      <c r="E752">
        <v>2.5</v>
      </c>
      <c r="F752">
        <v>0</v>
      </c>
      <c r="G752">
        <v>17</v>
      </c>
      <c r="H752">
        <v>0</v>
      </c>
      <c r="I752">
        <v>0</v>
      </c>
      <c r="J752">
        <v>0</v>
      </c>
      <c r="K752">
        <v>0</v>
      </c>
      <c r="L752">
        <v>0</v>
      </c>
      <c r="M752">
        <v>0</v>
      </c>
      <c r="N752">
        <v>162642</v>
      </c>
      <c r="O752">
        <v>0</v>
      </c>
      <c r="P752">
        <v>0</v>
      </c>
      <c r="Q752">
        <v>69</v>
      </c>
      <c r="R752">
        <v>4</v>
      </c>
      <c r="S752">
        <v>0</v>
      </c>
      <c r="T752">
        <v>0</v>
      </c>
      <c r="U752">
        <v>4</v>
      </c>
    </row>
    <row r="753" spans="1:21" x14ac:dyDescent="0.35">
      <c r="A753" t="s">
        <v>28</v>
      </c>
      <c r="B753" s="1">
        <v>45129</v>
      </c>
      <c r="C753" t="s">
        <v>31</v>
      </c>
      <c r="D753">
        <v>30.5</v>
      </c>
      <c r="E753">
        <v>20.7</v>
      </c>
      <c r="F753">
        <v>30.3</v>
      </c>
      <c r="G753">
        <v>1.5</v>
      </c>
      <c r="H753">
        <v>1</v>
      </c>
      <c r="I753">
        <v>0</v>
      </c>
      <c r="J753">
        <v>0</v>
      </c>
      <c r="K753">
        <v>0</v>
      </c>
      <c r="L753">
        <v>0</v>
      </c>
      <c r="M753">
        <v>0</v>
      </c>
      <c r="N753">
        <v>39318</v>
      </c>
      <c r="O753">
        <v>43421</v>
      </c>
      <c r="P753">
        <v>171748</v>
      </c>
      <c r="Q753">
        <v>12</v>
      </c>
      <c r="R753">
        <v>9</v>
      </c>
      <c r="S753">
        <v>52</v>
      </c>
      <c r="T753">
        <v>65</v>
      </c>
      <c r="U753">
        <v>79</v>
      </c>
    </row>
    <row r="754" spans="1:21" x14ac:dyDescent="0.35">
      <c r="A754" t="s">
        <v>26</v>
      </c>
      <c r="B754" s="1">
        <v>45164</v>
      </c>
      <c r="C754" t="s">
        <v>23</v>
      </c>
      <c r="D754">
        <v>12.4</v>
      </c>
      <c r="E754">
        <v>5.6</v>
      </c>
      <c r="F754">
        <v>2.8</v>
      </c>
      <c r="G754">
        <v>2.2000000000000002</v>
      </c>
      <c r="H754">
        <v>4.4000000000000004</v>
      </c>
      <c r="I754">
        <v>0</v>
      </c>
      <c r="J754">
        <v>0</v>
      </c>
      <c r="K754">
        <v>0</v>
      </c>
      <c r="L754">
        <v>0</v>
      </c>
      <c r="M754">
        <v>0</v>
      </c>
      <c r="N754">
        <v>32353</v>
      </c>
      <c r="O754">
        <v>125723</v>
      </c>
      <c r="P754">
        <v>246939</v>
      </c>
      <c r="Q754">
        <v>4</v>
      </c>
      <c r="R754">
        <v>7</v>
      </c>
      <c r="S754">
        <v>7</v>
      </c>
      <c r="T754">
        <v>50</v>
      </c>
      <c r="U754">
        <v>64</v>
      </c>
    </row>
    <row r="755" spans="1:21" x14ac:dyDescent="0.35">
      <c r="A755" t="s">
        <v>28</v>
      </c>
      <c r="B755" s="1">
        <v>45082</v>
      </c>
      <c r="C755" t="s">
        <v>22</v>
      </c>
      <c r="D755">
        <v>47.6</v>
      </c>
      <c r="E755">
        <v>21</v>
      </c>
      <c r="F755">
        <v>32.700000000000003</v>
      </c>
      <c r="G755">
        <v>2.2999999999999998</v>
      </c>
      <c r="H755">
        <v>1.5</v>
      </c>
      <c r="I755">
        <v>55.3</v>
      </c>
      <c r="J755">
        <v>21.6</v>
      </c>
      <c r="K755">
        <v>33.700000000000003</v>
      </c>
      <c r="L755">
        <v>2.6</v>
      </c>
      <c r="M755">
        <v>1.6</v>
      </c>
      <c r="N755">
        <v>537432</v>
      </c>
      <c r="O755">
        <v>860338</v>
      </c>
      <c r="P755">
        <v>1040639</v>
      </c>
      <c r="Q755">
        <v>256</v>
      </c>
      <c r="R755">
        <v>181</v>
      </c>
      <c r="S755">
        <v>340</v>
      </c>
      <c r="T755">
        <v>999</v>
      </c>
      <c r="U755">
        <v>999</v>
      </c>
    </row>
    <row r="756" spans="1:21" x14ac:dyDescent="0.35">
      <c r="A756" t="s">
        <v>21</v>
      </c>
      <c r="B756" s="1">
        <v>44926</v>
      </c>
      <c r="C756" t="s">
        <v>29</v>
      </c>
      <c r="D756">
        <v>0</v>
      </c>
      <c r="E756">
        <v>0</v>
      </c>
      <c r="F756">
        <v>0</v>
      </c>
      <c r="G756">
        <v>0</v>
      </c>
      <c r="H756">
        <v>0</v>
      </c>
      <c r="I756">
        <v>0</v>
      </c>
      <c r="J756">
        <v>0</v>
      </c>
      <c r="K756">
        <v>0</v>
      </c>
      <c r="L756">
        <v>0</v>
      </c>
      <c r="M756">
        <v>0</v>
      </c>
      <c r="N756">
        <v>113126</v>
      </c>
      <c r="O756">
        <v>277262</v>
      </c>
      <c r="P756">
        <v>347197</v>
      </c>
      <c r="Q756">
        <v>0</v>
      </c>
      <c r="R756">
        <v>0</v>
      </c>
      <c r="S756">
        <v>0</v>
      </c>
      <c r="T756">
        <v>30</v>
      </c>
      <c r="U756">
        <v>49</v>
      </c>
    </row>
    <row r="757" spans="1:21" x14ac:dyDescent="0.35">
      <c r="A757" t="s">
        <v>26</v>
      </c>
      <c r="B757" s="1">
        <v>44513</v>
      </c>
      <c r="C757" t="s">
        <v>24</v>
      </c>
      <c r="D757">
        <v>1.7</v>
      </c>
      <c r="E757">
        <v>0</v>
      </c>
      <c r="F757">
        <v>0</v>
      </c>
      <c r="G757">
        <v>0</v>
      </c>
      <c r="H757">
        <v>0</v>
      </c>
      <c r="I757">
        <v>0</v>
      </c>
      <c r="J757">
        <v>0</v>
      </c>
      <c r="K757">
        <v>0</v>
      </c>
      <c r="L757">
        <v>0</v>
      </c>
      <c r="M757">
        <v>0</v>
      </c>
      <c r="N757">
        <v>180456</v>
      </c>
      <c r="O757">
        <v>0</v>
      </c>
      <c r="P757">
        <v>0</v>
      </c>
      <c r="Q757">
        <v>3</v>
      </c>
      <c r="R757">
        <v>0</v>
      </c>
      <c r="S757">
        <v>0</v>
      </c>
      <c r="T757">
        <v>5</v>
      </c>
      <c r="U757">
        <v>11</v>
      </c>
    </row>
    <row r="758" spans="1:21" x14ac:dyDescent="0.35">
      <c r="A758" t="s">
        <v>21</v>
      </c>
      <c r="B758" s="1">
        <v>45185</v>
      </c>
      <c r="C758" t="s">
        <v>29</v>
      </c>
      <c r="D758">
        <v>0</v>
      </c>
      <c r="E758">
        <v>0</v>
      </c>
      <c r="F758">
        <v>0</v>
      </c>
      <c r="G758">
        <v>0</v>
      </c>
      <c r="H758">
        <v>0</v>
      </c>
      <c r="I758">
        <v>0</v>
      </c>
      <c r="J758">
        <v>0</v>
      </c>
      <c r="K758">
        <v>0</v>
      </c>
      <c r="L758">
        <v>0</v>
      </c>
      <c r="M758">
        <v>0</v>
      </c>
      <c r="N758">
        <v>106807</v>
      </c>
      <c r="O758">
        <v>278395</v>
      </c>
      <c r="P758">
        <v>347325</v>
      </c>
      <c r="Q758">
        <v>0</v>
      </c>
      <c r="R758">
        <v>0</v>
      </c>
      <c r="S758">
        <v>0</v>
      </c>
      <c r="T758">
        <v>30</v>
      </c>
      <c r="U758">
        <v>49</v>
      </c>
    </row>
    <row r="759" spans="1:21" x14ac:dyDescent="0.35">
      <c r="A759" t="s">
        <v>28</v>
      </c>
      <c r="B759" s="1">
        <v>44681</v>
      </c>
      <c r="C759" t="s">
        <v>25</v>
      </c>
      <c r="D759">
        <v>304.2</v>
      </c>
      <c r="E759">
        <v>119.3</v>
      </c>
      <c r="F759">
        <v>295.2</v>
      </c>
      <c r="G759">
        <v>2.5</v>
      </c>
      <c r="H759">
        <v>1</v>
      </c>
      <c r="I759">
        <v>0</v>
      </c>
      <c r="J759">
        <v>0</v>
      </c>
      <c r="K759">
        <v>0</v>
      </c>
      <c r="L759">
        <v>0</v>
      </c>
      <c r="M759">
        <v>0</v>
      </c>
      <c r="N759">
        <v>96979</v>
      </c>
      <c r="O759">
        <v>218010</v>
      </c>
      <c r="P759">
        <v>150062</v>
      </c>
      <c r="Q759">
        <v>295</v>
      </c>
      <c r="R759">
        <v>260</v>
      </c>
      <c r="S759">
        <v>443</v>
      </c>
      <c r="T759">
        <v>18</v>
      </c>
      <c r="U759">
        <v>29</v>
      </c>
    </row>
    <row r="760" spans="1:21" x14ac:dyDescent="0.35">
      <c r="A760" t="s">
        <v>21</v>
      </c>
      <c r="B760" s="1">
        <v>44991</v>
      </c>
      <c r="C760" t="s">
        <v>24</v>
      </c>
      <c r="D760">
        <v>0</v>
      </c>
      <c r="E760">
        <v>0</v>
      </c>
      <c r="F760">
        <v>0</v>
      </c>
      <c r="G760">
        <v>0</v>
      </c>
      <c r="H760">
        <v>0</v>
      </c>
      <c r="I760">
        <v>0</v>
      </c>
      <c r="J760">
        <v>0</v>
      </c>
      <c r="K760">
        <v>0</v>
      </c>
      <c r="L760">
        <v>0</v>
      </c>
      <c r="M760">
        <v>0</v>
      </c>
      <c r="N760">
        <v>90556</v>
      </c>
      <c r="O760">
        <v>82682</v>
      </c>
      <c r="P760">
        <v>21243</v>
      </c>
      <c r="Q760">
        <v>0</v>
      </c>
      <c r="R760">
        <v>0</v>
      </c>
      <c r="S760">
        <v>0</v>
      </c>
      <c r="T760">
        <v>5</v>
      </c>
      <c r="U760">
        <v>11</v>
      </c>
    </row>
    <row r="761" spans="1:21" x14ac:dyDescent="0.35">
      <c r="A761" t="s">
        <v>28</v>
      </c>
      <c r="B761" s="1">
        <v>44322</v>
      </c>
      <c r="C761" t="s">
        <v>22</v>
      </c>
      <c r="D761">
        <v>35.9</v>
      </c>
      <c r="E761">
        <v>5.4</v>
      </c>
      <c r="F761">
        <v>0</v>
      </c>
      <c r="G761">
        <v>6.6</v>
      </c>
      <c r="H761">
        <v>0</v>
      </c>
      <c r="I761">
        <v>39.799999999999997</v>
      </c>
      <c r="J761">
        <v>4.0999999999999996</v>
      </c>
      <c r="K761">
        <v>0</v>
      </c>
      <c r="L761">
        <v>9.6999999999999993</v>
      </c>
      <c r="M761">
        <v>0</v>
      </c>
      <c r="N761">
        <v>1279034</v>
      </c>
      <c r="O761">
        <v>1158544</v>
      </c>
      <c r="P761">
        <v>0</v>
      </c>
      <c r="Q761">
        <v>459</v>
      </c>
      <c r="R761">
        <v>62</v>
      </c>
      <c r="S761">
        <v>0</v>
      </c>
      <c r="T761">
        <v>999</v>
      </c>
      <c r="U761">
        <v>999</v>
      </c>
    </row>
    <row r="762" spans="1:21" x14ac:dyDescent="0.35">
      <c r="A762" t="s">
        <v>28</v>
      </c>
      <c r="B762" s="1">
        <v>44303</v>
      </c>
      <c r="C762" t="s">
        <v>22</v>
      </c>
      <c r="D762">
        <v>226.5</v>
      </c>
      <c r="E762">
        <v>24.2</v>
      </c>
      <c r="F762">
        <v>0</v>
      </c>
      <c r="G762">
        <v>9.4</v>
      </c>
      <c r="H762">
        <v>0</v>
      </c>
      <c r="I762">
        <v>231.7</v>
      </c>
      <c r="J762">
        <v>18</v>
      </c>
      <c r="K762">
        <v>0</v>
      </c>
      <c r="L762">
        <v>12.8</v>
      </c>
      <c r="M762">
        <v>0</v>
      </c>
      <c r="N762">
        <v>1616421</v>
      </c>
      <c r="O762">
        <v>475163</v>
      </c>
      <c r="P762">
        <v>0</v>
      </c>
      <c r="Q762">
        <v>3661</v>
      </c>
      <c r="R762">
        <v>115</v>
      </c>
      <c r="S762">
        <v>0</v>
      </c>
      <c r="T762">
        <v>999</v>
      </c>
      <c r="U762">
        <v>999</v>
      </c>
    </row>
    <row r="763" spans="1:21" x14ac:dyDescent="0.35">
      <c r="A763" t="s">
        <v>28</v>
      </c>
      <c r="B763" s="1">
        <v>44401</v>
      </c>
      <c r="C763" t="s">
        <v>30</v>
      </c>
      <c r="D763">
        <v>30.5</v>
      </c>
      <c r="E763">
        <v>15.4</v>
      </c>
      <c r="F763">
        <v>0</v>
      </c>
      <c r="G763">
        <v>2</v>
      </c>
      <c r="H763">
        <v>0</v>
      </c>
      <c r="I763">
        <v>0</v>
      </c>
      <c r="J763">
        <v>0</v>
      </c>
      <c r="K763">
        <v>0</v>
      </c>
      <c r="L763">
        <v>0</v>
      </c>
      <c r="M763">
        <v>0</v>
      </c>
      <c r="N763">
        <v>32759</v>
      </c>
      <c r="O763">
        <v>52117</v>
      </c>
      <c r="P763">
        <v>0</v>
      </c>
      <c r="Q763">
        <v>10</v>
      </c>
      <c r="R763">
        <v>8</v>
      </c>
      <c r="S763">
        <v>0</v>
      </c>
      <c r="T763">
        <v>80</v>
      </c>
      <c r="U763">
        <v>200</v>
      </c>
    </row>
    <row r="764" spans="1:21" x14ac:dyDescent="0.35">
      <c r="A764" t="s">
        <v>28</v>
      </c>
      <c r="B764" s="1">
        <v>44898</v>
      </c>
      <c r="C764" t="s">
        <v>31</v>
      </c>
      <c r="D764">
        <v>45.1</v>
      </c>
      <c r="E764">
        <v>24.4</v>
      </c>
      <c r="F764">
        <v>32.5</v>
      </c>
      <c r="G764">
        <v>1.8</v>
      </c>
      <c r="H764">
        <v>1.4</v>
      </c>
      <c r="I764">
        <v>0</v>
      </c>
      <c r="J764">
        <v>0</v>
      </c>
      <c r="K764">
        <v>0</v>
      </c>
      <c r="L764">
        <v>0</v>
      </c>
      <c r="M764">
        <v>0</v>
      </c>
      <c r="N764">
        <v>48822</v>
      </c>
      <c r="O764">
        <v>53213</v>
      </c>
      <c r="P764">
        <v>157042</v>
      </c>
      <c r="Q764">
        <v>22</v>
      </c>
      <c r="R764">
        <v>13</v>
      </c>
      <c r="S764">
        <v>51</v>
      </c>
      <c r="T764">
        <v>65</v>
      </c>
      <c r="U764">
        <v>79</v>
      </c>
    </row>
    <row r="765" spans="1:21" x14ac:dyDescent="0.35">
      <c r="A765" t="s">
        <v>21</v>
      </c>
      <c r="B765" s="1">
        <v>45233</v>
      </c>
      <c r="C765" t="s">
        <v>30</v>
      </c>
      <c r="D765">
        <v>4.0999999999999996</v>
      </c>
      <c r="E765">
        <v>0</v>
      </c>
      <c r="F765">
        <v>0</v>
      </c>
      <c r="G765">
        <v>0</v>
      </c>
      <c r="H765">
        <v>0</v>
      </c>
      <c r="I765">
        <v>0</v>
      </c>
      <c r="J765">
        <v>0</v>
      </c>
      <c r="K765">
        <v>0</v>
      </c>
      <c r="L765">
        <v>0</v>
      </c>
      <c r="M765">
        <v>0</v>
      </c>
      <c r="N765">
        <v>24673</v>
      </c>
      <c r="O765">
        <v>11378</v>
      </c>
      <c r="P765">
        <v>47126</v>
      </c>
      <c r="Q765">
        <v>1</v>
      </c>
      <c r="R765">
        <v>0</v>
      </c>
      <c r="S765">
        <v>0</v>
      </c>
      <c r="T765">
        <v>80</v>
      </c>
      <c r="U765">
        <v>200</v>
      </c>
    </row>
    <row r="766" spans="1:21" x14ac:dyDescent="0.35">
      <c r="A766" t="s">
        <v>28</v>
      </c>
      <c r="B766" s="1">
        <v>44774</v>
      </c>
      <c r="C766" t="s">
        <v>24</v>
      </c>
      <c r="D766">
        <v>2075.1999999999998</v>
      </c>
      <c r="E766">
        <v>1841.8</v>
      </c>
      <c r="F766">
        <v>0</v>
      </c>
      <c r="G766">
        <v>1.1000000000000001</v>
      </c>
      <c r="H766">
        <v>0</v>
      </c>
      <c r="I766">
        <v>0</v>
      </c>
      <c r="J766">
        <v>0</v>
      </c>
      <c r="K766">
        <v>0</v>
      </c>
      <c r="L766">
        <v>0</v>
      </c>
      <c r="M766">
        <v>0</v>
      </c>
      <c r="N766">
        <v>132228</v>
      </c>
      <c r="O766">
        <v>46476</v>
      </c>
      <c r="P766">
        <v>0</v>
      </c>
      <c r="Q766">
        <v>2744</v>
      </c>
      <c r="R766">
        <v>856</v>
      </c>
      <c r="S766">
        <v>0</v>
      </c>
      <c r="T766">
        <v>5</v>
      </c>
      <c r="U766">
        <v>11</v>
      </c>
    </row>
    <row r="767" spans="1:21" x14ac:dyDescent="0.35">
      <c r="A767" t="s">
        <v>28</v>
      </c>
      <c r="B767" s="1">
        <v>44919</v>
      </c>
      <c r="C767" t="s">
        <v>29</v>
      </c>
      <c r="D767">
        <v>234.4</v>
      </c>
      <c r="E767">
        <v>114</v>
      </c>
      <c r="F767">
        <v>147.5</v>
      </c>
      <c r="G767">
        <v>2.1</v>
      </c>
      <c r="H767">
        <v>1.6</v>
      </c>
      <c r="I767">
        <v>0</v>
      </c>
      <c r="J767">
        <v>0</v>
      </c>
      <c r="K767">
        <v>0</v>
      </c>
      <c r="L767">
        <v>0</v>
      </c>
      <c r="M767">
        <v>0</v>
      </c>
      <c r="N767">
        <v>113497</v>
      </c>
      <c r="O767">
        <v>277193</v>
      </c>
      <c r="P767">
        <v>347177</v>
      </c>
      <c r="Q767">
        <v>266</v>
      </c>
      <c r="R767">
        <v>316</v>
      </c>
      <c r="S767">
        <v>512</v>
      </c>
      <c r="T767">
        <v>30</v>
      </c>
      <c r="U767">
        <v>49</v>
      </c>
    </row>
    <row r="768" spans="1:21" x14ac:dyDescent="0.35">
      <c r="A768" t="s">
        <v>28</v>
      </c>
      <c r="B768" s="1">
        <v>45192</v>
      </c>
      <c r="C768" t="s">
        <v>31</v>
      </c>
      <c r="D768">
        <v>105.1</v>
      </c>
      <c r="E768">
        <v>66.8</v>
      </c>
      <c r="F768">
        <v>58.8</v>
      </c>
      <c r="G768">
        <v>1.6</v>
      </c>
      <c r="H768">
        <v>1.8</v>
      </c>
      <c r="I768">
        <v>0</v>
      </c>
      <c r="J768">
        <v>0</v>
      </c>
      <c r="K768">
        <v>0</v>
      </c>
      <c r="L768">
        <v>0</v>
      </c>
      <c r="M768">
        <v>0</v>
      </c>
      <c r="N768">
        <v>39028</v>
      </c>
      <c r="O768">
        <v>43414</v>
      </c>
      <c r="P768">
        <v>171758</v>
      </c>
      <c r="Q768">
        <v>41</v>
      </c>
      <c r="R768">
        <v>29</v>
      </c>
      <c r="S768">
        <v>101</v>
      </c>
      <c r="T768">
        <v>65</v>
      </c>
      <c r="U768">
        <v>79</v>
      </c>
    </row>
    <row r="769" spans="1:21" x14ac:dyDescent="0.35">
      <c r="A769" t="s">
        <v>28</v>
      </c>
      <c r="B769" s="1">
        <v>45255</v>
      </c>
      <c r="C769" t="s">
        <v>24</v>
      </c>
      <c r="D769">
        <v>15.9</v>
      </c>
      <c r="E769">
        <v>9.8000000000000007</v>
      </c>
      <c r="F769">
        <v>17.8</v>
      </c>
      <c r="G769">
        <v>1.6</v>
      </c>
      <c r="H769">
        <v>0.9</v>
      </c>
      <c r="I769">
        <v>0</v>
      </c>
      <c r="J769">
        <v>0</v>
      </c>
      <c r="K769">
        <v>0</v>
      </c>
      <c r="L769">
        <v>0</v>
      </c>
      <c r="M769">
        <v>0</v>
      </c>
      <c r="N769">
        <v>88264</v>
      </c>
      <c r="O769">
        <v>81816</v>
      </c>
      <c r="P769">
        <v>22441</v>
      </c>
      <c r="Q769">
        <v>14</v>
      </c>
      <c r="R769">
        <v>8</v>
      </c>
      <c r="S769">
        <v>4</v>
      </c>
      <c r="T769">
        <v>5</v>
      </c>
      <c r="U769">
        <v>11</v>
      </c>
    </row>
    <row r="770" spans="1:21" x14ac:dyDescent="0.35">
      <c r="A770" t="s">
        <v>21</v>
      </c>
      <c r="B770" s="1">
        <v>45241</v>
      </c>
      <c r="C770" t="s">
        <v>24</v>
      </c>
      <c r="D770">
        <v>0</v>
      </c>
      <c r="E770">
        <v>0</v>
      </c>
      <c r="F770">
        <v>0</v>
      </c>
      <c r="G770">
        <v>0</v>
      </c>
      <c r="H770">
        <v>0</v>
      </c>
      <c r="I770">
        <v>0</v>
      </c>
      <c r="J770">
        <v>0</v>
      </c>
      <c r="K770">
        <v>0</v>
      </c>
      <c r="L770">
        <v>0</v>
      </c>
      <c r="M770">
        <v>0</v>
      </c>
      <c r="N770">
        <v>88571</v>
      </c>
      <c r="O770">
        <v>82151</v>
      </c>
      <c r="P770">
        <v>21989</v>
      </c>
      <c r="Q770">
        <v>0</v>
      </c>
      <c r="R770">
        <v>0</v>
      </c>
      <c r="S770">
        <v>0</v>
      </c>
      <c r="T770">
        <v>5</v>
      </c>
      <c r="U770">
        <v>11</v>
      </c>
    </row>
    <row r="771" spans="1:21" x14ac:dyDescent="0.35">
      <c r="A771" t="s">
        <v>26</v>
      </c>
      <c r="B771" s="1">
        <v>44695</v>
      </c>
      <c r="C771" t="s">
        <v>23</v>
      </c>
      <c r="D771">
        <v>18.399999999999999</v>
      </c>
      <c r="E771">
        <v>9</v>
      </c>
      <c r="F771">
        <v>4.7</v>
      </c>
      <c r="G771">
        <v>2</v>
      </c>
      <c r="H771">
        <v>3.9</v>
      </c>
      <c r="I771">
        <v>0</v>
      </c>
      <c r="J771">
        <v>0</v>
      </c>
      <c r="K771">
        <v>0</v>
      </c>
      <c r="L771">
        <v>0</v>
      </c>
      <c r="M771">
        <v>0</v>
      </c>
      <c r="N771">
        <v>43533</v>
      </c>
      <c r="O771">
        <v>133809</v>
      </c>
      <c r="P771">
        <v>234246</v>
      </c>
      <c r="Q771">
        <v>8</v>
      </c>
      <c r="R771">
        <v>12</v>
      </c>
      <c r="S771">
        <v>11</v>
      </c>
      <c r="T771">
        <v>50</v>
      </c>
      <c r="U771">
        <v>64</v>
      </c>
    </row>
    <row r="772" spans="1:21" x14ac:dyDescent="0.35">
      <c r="A772" t="s">
        <v>28</v>
      </c>
      <c r="B772" s="1">
        <v>45255</v>
      </c>
      <c r="C772" t="s">
        <v>29</v>
      </c>
      <c r="D772">
        <v>79.3</v>
      </c>
      <c r="E772">
        <v>31.9</v>
      </c>
      <c r="F772">
        <v>33.799999999999997</v>
      </c>
      <c r="G772">
        <v>2.5</v>
      </c>
      <c r="H772">
        <v>2.2999999999999998</v>
      </c>
      <c r="I772">
        <v>0</v>
      </c>
      <c r="J772">
        <v>0</v>
      </c>
      <c r="K772">
        <v>0</v>
      </c>
      <c r="L772">
        <v>0</v>
      </c>
      <c r="M772">
        <v>0</v>
      </c>
      <c r="N772">
        <v>99562</v>
      </c>
      <c r="O772">
        <v>279385</v>
      </c>
      <c r="P772">
        <v>349175</v>
      </c>
      <c r="Q772">
        <v>79</v>
      </c>
      <c r="R772">
        <v>89</v>
      </c>
      <c r="S772">
        <v>118</v>
      </c>
      <c r="T772">
        <v>30</v>
      </c>
      <c r="U772">
        <v>49</v>
      </c>
    </row>
    <row r="773" spans="1:21" x14ac:dyDescent="0.35">
      <c r="A773" t="s">
        <v>21</v>
      </c>
      <c r="B773" s="1">
        <v>44926</v>
      </c>
      <c r="C773" t="s">
        <v>23</v>
      </c>
      <c r="D773">
        <v>0</v>
      </c>
      <c r="E773">
        <v>0.8</v>
      </c>
      <c r="F773">
        <v>0.4</v>
      </c>
      <c r="G773">
        <v>0</v>
      </c>
      <c r="H773">
        <v>0</v>
      </c>
      <c r="I773">
        <v>0</v>
      </c>
      <c r="J773">
        <v>0</v>
      </c>
      <c r="K773">
        <v>0</v>
      </c>
      <c r="L773">
        <v>0</v>
      </c>
      <c r="M773">
        <v>0</v>
      </c>
      <c r="N773">
        <v>34879</v>
      </c>
      <c r="O773">
        <v>125419</v>
      </c>
      <c r="P773">
        <v>246812</v>
      </c>
      <c r="Q773">
        <v>0</v>
      </c>
      <c r="R773">
        <v>1</v>
      </c>
      <c r="S773">
        <v>1</v>
      </c>
      <c r="T773">
        <v>50</v>
      </c>
      <c r="U773">
        <v>64</v>
      </c>
    </row>
    <row r="774" spans="1:21" x14ac:dyDescent="0.35">
      <c r="A774" t="s">
        <v>28</v>
      </c>
      <c r="B774" s="1">
        <v>44720</v>
      </c>
      <c r="C774" t="s">
        <v>30</v>
      </c>
      <c r="D774">
        <v>155.9</v>
      </c>
      <c r="E774">
        <v>213</v>
      </c>
      <c r="F774">
        <v>244.9</v>
      </c>
      <c r="G774">
        <v>0.7</v>
      </c>
      <c r="H774">
        <v>0.6</v>
      </c>
      <c r="I774">
        <v>0</v>
      </c>
      <c r="J774">
        <v>0</v>
      </c>
      <c r="K774">
        <v>0</v>
      </c>
      <c r="L774">
        <v>0</v>
      </c>
      <c r="M774">
        <v>0</v>
      </c>
      <c r="N774">
        <v>26292</v>
      </c>
      <c r="O774">
        <v>11735</v>
      </c>
      <c r="P774">
        <v>46545</v>
      </c>
      <c r="Q774">
        <v>41</v>
      </c>
      <c r="R774">
        <v>25</v>
      </c>
      <c r="S774">
        <v>114</v>
      </c>
      <c r="T774">
        <v>80</v>
      </c>
      <c r="U774">
        <v>200</v>
      </c>
    </row>
    <row r="775" spans="1:21" x14ac:dyDescent="0.35">
      <c r="A775" t="s">
        <v>21</v>
      </c>
      <c r="B775" s="1">
        <v>44492</v>
      </c>
      <c r="C775" t="s">
        <v>22</v>
      </c>
      <c r="D775">
        <v>2</v>
      </c>
      <c r="E775">
        <v>0.6</v>
      </c>
      <c r="F775">
        <v>0</v>
      </c>
      <c r="G775">
        <v>3.3</v>
      </c>
      <c r="H775">
        <v>0</v>
      </c>
      <c r="I775">
        <v>3.1</v>
      </c>
      <c r="J775">
        <v>0.5</v>
      </c>
      <c r="K775">
        <v>0</v>
      </c>
      <c r="L775">
        <v>6.2</v>
      </c>
      <c r="M775">
        <v>0</v>
      </c>
      <c r="N775">
        <v>978761</v>
      </c>
      <c r="O775">
        <v>1496643</v>
      </c>
      <c r="P775">
        <v>68441</v>
      </c>
      <c r="Q775">
        <v>20</v>
      </c>
      <c r="R775">
        <v>9</v>
      </c>
      <c r="S775">
        <v>0</v>
      </c>
      <c r="T775">
        <v>999</v>
      </c>
      <c r="U775">
        <v>999</v>
      </c>
    </row>
    <row r="776" spans="1:21" x14ac:dyDescent="0.35">
      <c r="A776" t="s">
        <v>28</v>
      </c>
      <c r="B776" s="1">
        <v>44632</v>
      </c>
      <c r="C776" t="s">
        <v>27</v>
      </c>
      <c r="D776">
        <v>223.8</v>
      </c>
      <c r="E776">
        <v>80.099999999999994</v>
      </c>
      <c r="F776">
        <v>87.6</v>
      </c>
      <c r="G776">
        <v>2.8</v>
      </c>
      <c r="H776">
        <v>2.6</v>
      </c>
      <c r="I776">
        <v>0</v>
      </c>
      <c r="J776">
        <v>0</v>
      </c>
      <c r="K776">
        <v>0</v>
      </c>
      <c r="L776">
        <v>0</v>
      </c>
      <c r="M776">
        <v>0</v>
      </c>
      <c r="N776">
        <v>33965</v>
      </c>
      <c r="O776">
        <v>86108</v>
      </c>
      <c r="P776">
        <v>44513</v>
      </c>
      <c r="Q776">
        <v>76</v>
      </c>
      <c r="R776">
        <v>69</v>
      </c>
      <c r="S776">
        <v>39</v>
      </c>
      <c r="T776">
        <v>12</v>
      </c>
      <c r="U776">
        <v>17</v>
      </c>
    </row>
    <row r="777" spans="1:21" x14ac:dyDescent="0.35">
      <c r="A777" t="s">
        <v>26</v>
      </c>
      <c r="B777" s="1">
        <v>45157</v>
      </c>
      <c r="C777" t="s">
        <v>31</v>
      </c>
      <c r="D777">
        <v>17.899999999999999</v>
      </c>
      <c r="E777">
        <v>9.1999999999999993</v>
      </c>
      <c r="F777">
        <v>8.6999999999999993</v>
      </c>
      <c r="G777">
        <v>1.9</v>
      </c>
      <c r="H777">
        <v>2.1</v>
      </c>
      <c r="I777">
        <v>0</v>
      </c>
      <c r="J777">
        <v>0</v>
      </c>
      <c r="K777">
        <v>0</v>
      </c>
      <c r="L777">
        <v>0</v>
      </c>
      <c r="M777">
        <v>0</v>
      </c>
      <c r="N777">
        <v>39214</v>
      </c>
      <c r="O777">
        <v>43417</v>
      </c>
      <c r="P777">
        <v>171752</v>
      </c>
      <c r="Q777">
        <v>7</v>
      </c>
      <c r="R777">
        <v>4</v>
      </c>
      <c r="S777">
        <v>15</v>
      </c>
      <c r="T777">
        <v>65</v>
      </c>
      <c r="U777">
        <v>79</v>
      </c>
    </row>
    <row r="778" spans="1:21" x14ac:dyDescent="0.35">
      <c r="A778" t="s">
        <v>21</v>
      </c>
      <c r="B778" s="1">
        <v>45220</v>
      </c>
      <c r="C778" t="s">
        <v>27</v>
      </c>
      <c r="D778">
        <v>0</v>
      </c>
      <c r="E778">
        <v>0</v>
      </c>
      <c r="F778">
        <v>0</v>
      </c>
      <c r="G778">
        <v>0</v>
      </c>
      <c r="H778">
        <v>0</v>
      </c>
      <c r="I778">
        <v>0</v>
      </c>
      <c r="J778">
        <v>0</v>
      </c>
      <c r="K778">
        <v>0</v>
      </c>
      <c r="L778">
        <v>0</v>
      </c>
      <c r="M778">
        <v>0</v>
      </c>
      <c r="N778">
        <v>31619</v>
      </c>
      <c r="O778">
        <v>86566</v>
      </c>
      <c r="P778">
        <v>44615</v>
      </c>
      <c r="Q778">
        <v>0</v>
      </c>
      <c r="R778">
        <v>0</v>
      </c>
      <c r="S778">
        <v>0</v>
      </c>
      <c r="T778">
        <v>12</v>
      </c>
      <c r="U778">
        <v>17</v>
      </c>
    </row>
    <row r="779" spans="1:21" x14ac:dyDescent="0.35">
      <c r="A779" t="s">
        <v>21</v>
      </c>
      <c r="B779" s="1">
        <v>44298</v>
      </c>
      <c r="C779" t="s">
        <v>22</v>
      </c>
      <c r="D779">
        <v>3.7</v>
      </c>
      <c r="E779">
        <v>0.5</v>
      </c>
      <c r="F779">
        <v>0</v>
      </c>
      <c r="G779">
        <v>7.4</v>
      </c>
      <c r="H779">
        <v>0</v>
      </c>
      <c r="I779">
        <v>5.4</v>
      </c>
      <c r="J779">
        <v>0.6</v>
      </c>
      <c r="K779">
        <v>0</v>
      </c>
      <c r="L779">
        <v>9.3000000000000007</v>
      </c>
      <c r="M779">
        <v>0</v>
      </c>
      <c r="N779">
        <v>864337</v>
      </c>
      <c r="O779">
        <v>1287028</v>
      </c>
      <c r="P779">
        <v>333146</v>
      </c>
      <c r="Q779">
        <v>32</v>
      </c>
      <c r="R779">
        <v>6</v>
      </c>
      <c r="S779">
        <v>0</v>
      </c>
      <c r="T779">
        <v>999</v>
      </c>
      <c r="U779">
        <v>999</v>
      </c>
    </row>
    <row r="780" spans="1:21" x14ac:dyDescent="0.35">
      <c r="A780" t="s">
        <v>26</v>
      </c>
      <c r="B780" s="1">
        <v>44345</v>
      </c>
      <c r="C780" t="s">
        <v>22</v>
      </c>
      <c r="D780">
        <v>11.6</v>
      </c>
      <c r="E780">
        <v>1.3</v>
      </c>
      <c r="F780">
        <v>0</v>
      </c>
      <c r="G780">
        <v>8.9</v>
      </c>
      <c r="H780">
        <v>0</v>
      </c>
      <c r="I780">
        <v>15.7</v>
      </c>
      <c r="J780">
        <v>0.8</v>
      </c>
      <c r="K780">
        <v>0</v>
      </c>
      <c r="L780">
        <v>18.8</v>
      </c>
      <c r="M780">
        <v>0</v>
      </c>
      <c r="N780">
        <v>1302037</v>
      </c>
      <c r="O780">
        <v>1094752</v>
      </c>
      <c r="P780">
        <v>0</v>
      </c>
      <c r="Q780">
        <v>151</v>
      </c>
      <c r="R780">
        <v>14</v>
      </c>
      <c r="S780">
        <v>0</v>
      </c>
      <c r="T780">
        <v>999</v>
      </c>
      <c r="U780">
        <v>999</v>
      </c>
    </row>
    <row r="781" spans="1:21" x14ac:dyDescent="0.35">
      <c r="A781" t="s">
        <v>28</v>
      </c>
      <c r="B781" s="1">
        <v>44646</v>
      </c>
      <c r="C781" t="s">
        <v>30</v>
      </c>
      <c r="D781">
        <v>7.4</v>
      </c>
      <c r="E781">
        <v>21.3</v>
      </c>
      <c r="F781">
        <v>30.2</v>
      </c>
      <c r="G781">
        <v>0.3</v>
      </c>
      <c r="H781">
        <v>0.2</v>
      </c>
      <c r="I781">
        <v>0</v>
      </c>
      <c r="J781">
        <v>0</v>
      </c>
      <c r="K781">
        <v>0</v>
      </c>
      <c r="L781">
        <v>0</v>
      </c>
      <c r="M781">
        <v>0</v>
      </c>
      <c r="N781">
        <v>27071</v>
      </c>
      <c r="O781">
        <v>14053</v>
      </c>
      <c r="P781">
        <v>43109</v>
      </c>
      <c r="Q781">
        <v>2</v>
      </c>
      <c r="R781">
        <v>3</v>
      </c>
      <c r="S781">
        <v>13</v>
      </c>
      <c r="T781">
        <v>80</v>
      </c>
      <c r="U781">
        <v>200</v>
      </c>
    </row>
    <row r="782" spans="1:21" x14ac:dyDescent="0.35">
      <c r="A782" t="s">
        <v>26</v>
      </c>
      <c r="B782" s="1">
        <v>44485</v>
      </c>
      <c r="C782" t="s">
        <v>25</v>
      </c>
      <c r="D782">
        <v>7.6</v>
      </c>
      <c r="E782">
        <v>0</v>
      </c>
      <c r="F782">
        <v>0</v>
      </c>
      <c r="G782">
        <v>0</v>
      </c>
      <c r="H782">
        <v>0</v>
      </c>
      <c r="I782">
        <v>0</v>
      </c>
      <c r="J782">
        <v>0</v>
      </c>
      <c r="K782">
        <v>0</v>
      </c>
      <c r="L782">
        <v>0</v>
      </c>
      <c r="M782">
        <v>0</v>
      </c>
      <c r="N782">
        <v>170186</v>
      </c>
      <c r="O782">
        <v>312457</v>
      </c>
      <c r="P782">
        <v>0</v>
      </c>
      <c r="Q782">
        <v>13</v>
      </c>
      <c r="R782">
        <v>0</v>
      </c>
      <c r="S782">
        <v>0</v>
      </c>
      <c r="T782">
        <v>18</v>
      </c>
      <c r="U782">
        <v>29</v>
      </c>
    </row>
    <row r="783" spans="1:21" x14ac:dyDescent="0.35">
      <c r="A783" t="s">
        <v>21</v>
      </c>
      <c r="B783" s="1">
        <v>44811</v>
      </c>
      <c r="C783" t="s">
        <v>25</v>
      </c>
      <c r="D783">
        <v>0</v>
      </c>
      <c r="E783">
        <v>0</v>
      </c>
      <c r="F783">
        <v>0</v>
      </c>
      <c r="G783">
        <v>0</v>
      </c>
      <c r="H783">
        <v>0</v>
      </c>
      <c r="I783">
        <v>0</v>
      </c>
      <c r="J783">
        <v>0</v>
      </c>
      <c r="K783">
        <v>0</v>
      </c>
      <c r="L783">
        <v>0</v>
      </c>
      <c r="M783">
        <v>0</v>
      </c>
      <c r="N783">
        <v>93482</v>
      </c>
      <c r="O783">
        <v>214304</v>
      </c>
      <c r="P783">
        <v>156355</v>
      </c>
      <c r="Q783">
        <v>0</v>
      </c>
      <c r="R783">
        <v>0</v>
      </c>
      <c r="S783">
        <v>0</v>
      </c>
      <c r="T783">
        <v>18</v>
      </c>
      <c r="U783">
        <v>29</v>
      </c>
    </row>
    <row r="784" spans="1:21" x14ac:dyDescent="0.35">
      <c r="A784" t="s">
        <v>28</v>
      </c>
      <c r="B784" s="1">
        <v>44786</v>
      </c>
      <c r="C784" t="s">
        <v>23</v>
      </c>
      <c r="D784">
        <v>469.6</v>
      </c>
      <c r="E784">
        <v>144.4</v>
      </c>
      <c r="F784">
        <v>212.4</v>
      </c>
      <c r="G784">
        <v>3.3</v>
      </c>
      <c r="H784">
        <v>2.2000000000000002</v>
      </c>
      <c r="I784">
        <v>0</v>
      </c>
      <c r="J784">
        <v>0</v>
      </c>
      <c r="K784">
        <v>0</v>
      </c>
      <c r="L784">
        <v>0</v>
      </c>
      <c r="M784">
        <v>0</v>
      </c>
      <c r="N784">
        <v>40677</v>
      </c>
      <c r="O784">
        <v>126700</v>
      </c>
      <c r="P784">
        <v>244360</v>
      </c>
      <c r="Q784">
        <v>191</v>
      </c>
      <c r="R784">
        <v>183</v>
      </c>
      <c r="S784">
        <v>519</v>
      </c>
      <c r="T784">
        <v>50</v>
      </c>
      <c r="U784">
        <v>64</v>
      </c>
    </row>
    <row r="785" spans="1:21" x14ac:dyDescent="0.35">
      <c r="A785" t="s">
        <v>28</v>
      </c>
      <c r="B785" s="1">
        <v>45122</v>
      </c>
      <c r="C785" t="s">
        <v>31</v>
      </c>
      <c r="D785">
        <v>28</v>
      </c>
      <c r="E785">
        <v>16.100000000000001</v>
      </c>
      <c r="F785">
        <v>12.8</v>
      </c>
      <c r="G785">
        <v>1.7</v>
      </c>
      <c r="H785">
        <v>2.2000000000000002</v>
      </c>
      <c r="I785">
        <v>0</v>
      </c>
      <c r="J785">
        <v>0</v>
      </c>
      <c r="K785">
        <v>0</v>
      </c>
      <c r="L785">
        <v>0</v>
      </c>
      <c r="M785">
        <v>0</v>
      </c>
      <c r="N785">
        <v>39336</v>
      </c>
      <c r="O785">
        <v>43424</v>
      </c>
      <c r="P785">
        <v>171745</v>
      </c>
      <c r="Q785">
        <v>11</v>
      </c>
      <c r="R785">
        <v>7</v>
      </c>
      <c r="S785">
        <v>22</v>
      </c>
      <c r="T785">
        <v>65</v>
      </c>
      <c r="U785">
        <v>79</v>
      </c>
    </row>
    <row r="786" spans="1:21" x14ac:dyDescent="0.35">
      <c r="A786" t="s">
        <v>26</v>
      </c>
      <c r="B786" s="1">
        <v>44843</v>
      </c>
      <c r="C786" t="s">
        <v>27</v>
      </c>
      <c r="D786">
        <v>5.7</v>
      </c>
      <c r="E786">
        <v>0</v>
      </c>
      <c r="F786">
        <v>0</v>
      </c>
      <c r="G786">
        <v>0</v>
      </c>
      <c r="H786">
        <v>0</v>
      </c>
      <c r="I786">
        <v>0</v>
      </c>
      <c r="J786">
        <v>0</v>
      </c>
      <c r="K786">
        <v>0</v>
      </c>
      <c r="L786">
        <v>0</v>
      </c>
      <c r="M786">
        <v>0</v>
      </c>
      <c r="N786">
        <v>35208</v>
      </c>
      <c r="O786">
        <v>85939</v>
      </c>
      <c r="P786">
        <v>44085</v>
      </c>
      <c r="Q786">
        <v>2</v>
      </c>
      <c r="R786">
        <v>0</v>
      </c>
      <c r="S786">
        <v>0</v>
      </c>
      <c r="T786">
        <v>12</v>
      </c>
      <c r="U786">
        <v>17</v>
      </c>
    </row>
    <row r="787" spans="1:21" x14ac:dyDescent="0.35">
      <c r="A787" t="s">
        <v>26</v>
      </c>
      <c r="B787" s="1">
        <v>44758</v>
      </c>
      <c r="C787" t="s">
        <v>24</v>
      </c>
      <c r="D787">
        <v>1</v>
      </c>
      <c r="E787">
        <v>0</v>
      </c>
      <c r="F787">
        <v>0</v>
      </c>
      <c r="G787">
        <v>0</v>
      </c>
      <c r="H787">
        <v>0</v>
      </c>
      <c r="I787">
        <v>0</v>
      </c>
      <c r="J787">
        <v>0</v>
      </c>
      <c r="K787">
        <v>0</v>
      </c>
      <c r="L787">
        <v>0</v>
      </c>
      <c r="M787">
        <v>0</v>
      </c>
      <c r="N787">
        <v>98597</v>
      </c>
      <c r="O787">
        <v>88329</v>
      </c>
      <c r="P787">
        <v>8887</v>
      </c>
      <c r="Q787">
        <v>1</v>
      </c>
      <c r="R787">
        <v>0</v>
      </c>
      <c r="S787">
        <v>0</v>
      </c>
      <c r="T787">
        <v>5</v>
      </c>
      <c r="U787">
        <v>11</v>
      </c>
    </row>
    <row r="788" spans="1:21" x14ac:dyDescent="0.35">
      <c r="A788" t="s">
        <v>26</v>
      </c>
      <c r="B788" s="1">
        <v>44966</v>
      </c>
      <c r="C788" t="s">
        <v>30</v>
      </c>
      <c r="D788">
        <v>12.3</v>
      </c>
      <c r="E788">
        <v>52.7</v>
      </c>
      <c r="F788">
        <v>36.1</v>
      </c>
      <c r="G788">
        <v>0.2</v>
      </c>
      <c r="H788">
        <v>0.3</v>
      </c>
      <c r="I788">
        <v>0</v>
      </c>
      <c r="J788">
        <v>0</v>
      </c>
      <c r="K788">
        <v>0</v>
      </c>
      <c r="L788">
        <v>0</v>
      </c>
      <c r="M788">
        <v>0</v>
      </c>
      <c r="N788">
        <v>24460</v>
      </c>
      <c r="O788">
        <v>11380</v>
      </c>
      <c r="P788">
        <v>47133</v>
      </c>
      <c r="Q788">
        <v>3</v>
      </c>
      <c r="R788">
        <v>6</v>
      </c>
      <c r="S788">
        <v>17</v>
      </c>
      <c r="T788">
        <v>80</v>
      </c>
      <c r="U788">
        <v>200</v>
      </c>
    </row>
    <row r="789" spans="1:21" x14ac:dyDescent="0.35">
      <c r="A789" t="s">
        <v>21</v>
      </c>
      <c r="B789" s="1">
        <v>45136</v>
      </c>
      <c r="C789" t="s">
        <v>27</v>
      </c>
      <c r="D789">
        <v>0</v>
      </c>
      <c r="E789">
        <v>0</v>
      </c>
      <c r="F789">
        <v>0</v>
      </c>
      <c r="G789">
        <v>0</v>
      </c>
      <c r="H789">
        <v>0</v>
      </c>
      <c r="I789">
        <v>0</v>
      </c>
      <c r="J789">
        <v>0</v>
      </c>
      <c r="K789">
        <v>0</v>
      </c>
      <c r="L789">
        <v>0</v>
      </c>
      <c r="M789">
        <v>0</v>
      </c>
      <c r="N789">
        <v>32091</v>
      </c>
      <c r="O789">
        <v>86577</v>
      </c>
      <c r="P789">
        <v>44592</v>
      </c>
      <c r="Q789">
        <v>0</v>
      </c>
      <c r="R789">
        <v>0</v>
      </c>
      <c r="S789">
        <v>0</v>
      </c>
      <c r="T789">
        <v>12</v>
      </c>
      <c r="U789">
        <v>17</v>
      </c>
    </row>
    <row r="790" spans="1:21" x14ac:dyDescent="0.35">
      <c r="A790" t="s">
        <v>26</v>
      </c>
      <c r="B790" s="1">
        <v>44811</v>
      </c>
      <c r="C790" t="s">
        <v>32</v>
      </c>
      <c r="D790">
        <v>6.1</v>
      </c>
      <c r="E790">
        <v>0</v>
      </c>
      <c r="F790">
        <v>0</v>
      </c>
      <c r="G790">
        <v>0</v>
      </c>
      <c r="H790">
        <v>0</v>
      </c>
      <c r="I790">
        <v>0</v>
      </c>
      <c r="J790">
        <v>0</v>
      </c>
      <c r="K790">
        <v>0</v>
      </c>
      <c r="L790">
        <v>0</v>
      </c>
      <c r="M790">
        <v>0</v>
      </c>
      <c r="N790">
        <v>162642</v>
      </c>
      <c r="O790">
        <v>0</v>
      </c>
      <c r="P790">
        <v>0</v>
      </c>
      <c r="Q790">
        <v>10</v>
      </c>
      <c r="R790">
        <v>0</v>
      </c>
      <c r="S790">
        <v>0</v>
      </c>
      <c r="T790">
        <v>0</v>
      </c>
      <c r="U790">
        <v>4</v>
      </c>
    </row>
    <row r="791" spans="1:21" x14ac:dyDescent="0.35">
      <c r="A791" t="s">
        <v>28</v>
      </c>
      <c r="B791" s="1">
        <v>45164</v>
      </c>
      <c r="C791" t="s">
        <v>25</v>
      </c>
      <c r="D791">
        <v>87.2</v>
      </c>
      <c r="E791">
        <v>29.9</v>
      </c>
      <c r="F791">
        <v>25.4</v>
      </c>
      <c r="G791">
        <v>2.9</v>
      </c>
      <c r="H791">
        <v>3.4</v>
      </c>
      <c r="I791">
        <v>0</v>
      </c>
      <c r="J791">
        <v>0</v>
      </c>
      <c r="K791">
        <v>0</v>
      </c>
      <c r="L791">
        <v>0</v>
      </c>
      <c r="M791">
        <v>0</v>
      </c>
      <c r="N791">
        <v>73401</v>
      </c>
      <c r="O791">
        <v>214130</v>
      </c>
      <c r="P791">
        <v>161720</v>
      </c>
      <c r="Q791">
        <v>64</v>
      </c>
      <c r="R791">
        <v>64</v>
      </c>
      <c r="S791">
        <v>41</v>
      </c>
      <c r="T791">
        <v>18</v>
      </c>
      <c r="U791">
        <v>29</v>
      </c>
    </row>
    <row r="792" spans="1:21" x14ac:dyDescent="0.35">
      <c r="A792" t="s">
        <v>26</v>
      </c>
      <c r="B792" s="1">
        <v>44576</v>
      </c>
      <c r="C792" t="s">
        <v>31</v>
      </c>
      <c r="D792">
        <v>311.89999999999998</v>
      </c>
      <c r="E792">
        <v>170.5</v>
      </c>
      <c r="F792">
        <v>42.1</v>
      </c>
      <c r="G792">
        <v>1.8</v>
      </c>
      <c r="H792">
        <v>7.4</v>
      </c>
      <c r="I792">
        <v>0</v>
      </c>
      <c r="J792">
        <v>0</v>
      </c>
      <c r="K792">
        <v>0</v>
      </c>
      <c r="L792">
        <v>0</v>
      </c>
      <c r="M792">
        <v>0</v>
      </c>
      <c r="N792">
        <v>50970</v>
      </c>
      <c r="O792">
        <v>69775</v>
      </c>
      <c r="P792">
        <v>137780</v>
      </c>
      <c r="Q792">
        <v>159</v>
      </c>
      <c r="R792">
        <v>119</v>
      </c>
      <c r="S792">
        <v>58</v>
      </c>
      <c r="T792">
        <v>65</v>
      </c>
      <c r="U792">
        <v>79</v>
      </c>
    </row>
    <row r="793" spans="1:21" x14ac:dyDescent="0.35">
      <c r="A793" t="s">
        <v>28</v>
      </c>
      <c r="B793" s="1">
        <v>44632</v>
      </c>
      <c r="C793" t="s">
        <v>25</v>
      </c>
      <c r="D793">
        <v>303.7</v>
      </c>
      <c r="E793">
        <v>94.5</v>
      </c>
      <c r="F793">
        <v>110.2</v>
      </c>
      <c r="G793">
        <v>3.2</v>
      </c>
      <c r="H793">
        <v>2.8</v>
      </c>
      <c r="I793">
        <v>0</v>
      </c>
      <c r="J793">
        <v>0</v>
      </c>
      <c r="K793">
        <v>0</v>
      </c>
      <c r="L793">
        <v>0</v>
      </c>
      <c r="M793">
        <v>0</v>
      </c>
      <c r="N793">
        <v>81009</v>
      </c>
      <c r="O793">
        <v>212601</v>
      </c>
      <c r="P793">
        <v>161582</v>
      </c>
      <c r="Q793">
        <v>246</v>
      </c>
      <c r="R793">
        <v>201</v>
      </c>
      <c r="S793">
        <v>178</v>
      </c>
      <c r="T793">
        <v>18</v>
      </c>
      <c r="U793">
        <v>29</v>
      </c>
    </row>
    <row r="794" spans="1:21" x14ac:dyDescent="0.35">
      <c r="A794" t="s">
        <v>28</v>
      </c>
      <c r="B794" s="1">
        <v>44599</v>
      </c>
      <c r="C794" t="s">
        <v>24</v>
      </c>
      <c r="D794">
        <v>69.5</v>
      </c>
      <c r="E794">
        <v>83.3</v>
      </c>
      <c r="F794">
        <v>151.30000000000001</v>
      </c>
      <c r="G794">
        <v>0.8</v>
      </c>
      <c r="H794">
        <v>0.5</v>
      </c>
      <c r="I794">
        <v>0</v>
      </c>
      <c r="J794">
        <v>0</v>
      </c>
      <c r="K794">
        <v>0</v>
      </c>
      <c r="L794">
        <v>0</v>
      </c>
      <c r="M794">
        <v>0</v>
      </c>
      <c r="N794">
        <v>99299</v>
      </c>
      <c r="O794">
        <v>90057</v>
      </c>
      <c r="P794">
        <v>6610</v>
      </c>
      <c r="Q794">
        <v>69</v>
      </c>
      <c r="R794">
        <v>75</v>
      </c>
      <c r="S794">
        <v>10</v>
      </c>
      <c r="T794">
        <v>5</v>
      </c>
      <c r="U794">
        <v>11</v>
      </c>
    </row>
    <row r="795" spans="1:21" x14ac:dyDescent="0.35">
      <c r="A795" t="s">
        <v>26</v>
      </c>
      <c r="B795" s="1">
        <v>44856</v>
      </c>
      <c r="C795" t="s">
        <v>27</v>
      </c>
      <c r="D795">
        <v>0</v>
      </c>
      <c r="E795">
        <v>1.2</v>
      </c>
      <c r="F795">
        <v>2.2000000000000002</v>
      </c>
      <c r="G795">
        <v>0</v>
      </c>
      <c r="H795">
        <v>0</v>
      </c>
      <c r="I795">
        <v>0</v>
      </c>
      <c r="J795">
        <v>0</v>
      </c>
      <c r="K795">
        <v>0</v>
      </c>
      <c r="L795">
        <v>0</v>
      </c>
      <c r="M795">
        <v>0</v>
      </c>
      <c r="N795">
        <v>34553</v>
      </c>
      <c r="O795">
        <v>85923</v>
      </c>
      <c r="P795">
        <v>44472</v>
      </c>
      <c r="Q795">
        <v>0</v>
      </c>
      <c r="R795">
        <v>1</v>
      </c>
      <c r="S795">
        <v>1</v>
      </c>
      <c r="T795">
        <v>12</v>
      </c>
      <c r="U795">
        <v>17</v>
      </c>
    </row>
    <row r="796" spans="1:21" x14ac:dyDescent="0.35">
      <c r="A796" t="s">
        <v>21</v>
      </c>
      <c r="B796" s="1">
        <v>44966</v>
      </c>
      <c r="C796" t="s">
        <v>30</v>
      </c>
      <c r="D796">
        <v>0</v>
      </c>
      <c r="E796">
        <v>0</v>
      </c>
      <c r="F796">
        <v>2.1</v>
      </c>
      <c r="G796">
        <v>0</v>
      </c>
      <c r="H796">
        <v>0</v>
      </c>
      <c r="I796">
        <v>0</v>
      </c>
      <c r="J796">
        <v>0</v>
      </c>
      <c r="K796">
        <v>0</v>
      </c>
      <c r="L796">
        <v>0</v>
      </c>
      <c r="M796">
        <v>0</v>
      </c>
      <c r="N796">
        <v>24460</v>
      </c>
      <c r="O796">
        <v>11380</v>
      </c>
      <c r="P796">
        <v>47133</v>
      </c>
      <c r="Q796">
        <v>0</v>
      </c>
      <c r="R796">
        <v>0</v>
      </c>
      <c r="S796">
        <v>1</v>
      </c>
      <c r="T796">
        <v>80</v>
      </c>
      <c r="U796">
        <v>200</v>
      </c>
    </row>
    <row r="797" spans="1:21" x14ac:dyDescent="0.35">
      <c r="A797" t="s">
        <v>21</v>
      </c>
      <c r="B797" s="1">
        <v>45233</v>
      </c>
      <c r="C797" t="s">
        <v>24</v>
      </c>
      <c r="D797">
        <v>0</v>
      </c>
      <c r="E797">
        <v>0</v>
      </c>
      <c r="F797">
        <v>0</v>
      </c>
      <c r="G797">
        <v>0</v>
      </c>
      <c r="H797">
        <v>0</v>
      </c>
      <c r="I797">
        <v>0</v>
      </c>
      <c r="J797">
        <v>0</v>
      </c>
      <c r="K797">
        <v>0</v>
      </c>
      <c r="L797">
        <v>0</v>
      </c>
      <c r="M797">
        <v>0</v>
      </c>
      <c r="N797">
        <v>91381</v>
      </c>
      <c r="O797">
        <v>82312</v>
      </c>
      <c r="P797">
        <v>21210</v>
      </c>
      <c r="Q797">
        <v>0</v>
      </c>
      <c r="R797">
        <v>0</v>
      </c>
      <c r="S797">
        <v>0</v>
      </c>
      <c r="T797">
        <v>5</v>
      </c>
      <c r="U797">
        <v>11</v>
      </c>
    </row>
    <row r="798" spans="1:21" x14ac:dyDescent="0.35">
      <c r="A798" t="s">
        <v>26</v>
      </c>
      <c r="B798" s="1">
        <v>44898</v>
      </c>
      <c r="C798" t="s">
        <v>31</v>
      </c>
      <c r="D798">
        <v>14.3</v>
      </c>
      <c r="E798">
        <v>9.4</v>
      </c>
      <c r="F798">
        <v>3.8</v>
      </c>
      <c r="G798">
        <v>1.5</v>
      </c>
      <c r="H798">
        <v>3.8</v>
      </c>
      <c r="I798">
        <v>0</v>
      </c>
      <c r="J798">
        <v>0</v>
      </c>
      <c r="K798">
        <v>0</v>
      </c>
      <c r="L798">
        <v>0</v>
      </c>
      <c r="M798">
        <v>0</v>
      </c>
      <c r="N798">
        <v>48822</v>
      </c>
      <c r="O798">
        <v>53213</v>
      </c>
      <c r="P798">
        <v>157042</v>
      </c>
      <c r="Q798">
        <v>7</v>
      </c>
      <c r="R798">
        <v>5</v>
      </c>
      <c r="S798">
        <v>6</v>
      </c>
      <c r="T798">
        <v>65</v>
      </c>
      <c r="U798">
        <v>79</v>
      </c>
    </row>
    <row r="799" spans="1:21" x14ac:dyDescent="0.35">
      <c r="A799" t="s">
        <v>26</v>
      </c>
      <c r="B799" s="1">
        <v>44464</v>
      </c>
      <c r="C799" t="s">
        <v>29</v>
      </c>
      <c r="D799">
        <v>22</v>
      </c>
      <c r="E799">
        <v>1.1000000000000001</v>
      </c>
      <c r="F799">
        <v>0</v>
      </c>
      <c r="G799">
        <v>20</v>
      </c>
      <c r="H799">
        <v>0</v>
      </c>
      <c r="I799">
        <v>0</v>
      </c>
      <c r="J799">
        <v>0</v>
      </c>
      <c r="K799">
        <v>0</v>
      </c>
      <c r="L799">
        <v>0</v>
      </c>
      <c r="M799">
        <v>0</v>
      </c>
      <c r="N799">
        <v>223214</v>
      </c>
      <c r="O799">
        <v>528608</v>
      </c>
      <c r="P799">
        <v>0</v>
      </c>
      <c r="Q799">
        <v>49</v>
      </c>
      <c r="R799">
        <v>6</v>
      </c>
      <c r="S799">
        <v>0</v>
      </c>
      <c r="T799">
        <v>30</v>
      </c>
      <c r="U799">
        <v>49</v>
      </c>
    </row>
    <row r="800" spans="1:21" x14ac:dyDescent="0.35">
      <c r="A800" t="s">
        <v>26</v>
      </c>
      <c r="B800" s="1">
        <v>45027</v>
      </c>
      <c r="C800" t="s">
        <v>22</v>
      </c>
      <c r="D800">
        <v>5.5</v>
      </c>
      <c r="E800">
        <v>2.2999999999999998</v>
      </c>
      <c r="F800">
        <v>4.5</v>
      </c>
      <c r="G800">
        <v>2.4</v>
      </c>
      <c r="H800">
        <v>1.2</v>
      </c>
      <c r="I800">
        <v>7.8</v>
      </c>
      <c r="J800">
        <v>3.8</v>
      </c>
      <c r="K800">
        <v>3.2</v>
      </c>
      <c r="L800">
        <v>2</v>
      </c>
      <c r="M800">
        <v>2.4</v>
      </c>
      <c r="N800">
        <v>512405</v>
      </c>
      <c r="O800">
        <v>862552</v>
      </c>
      <c r="P800">
        <v>1044756</v>
      </c>
      <c r="Q800">
        <v>28</v>
      </c>
      <c r="R800">
        <v>20</v>
      </c>
      <c r="S800">
        <v>47</v>
      </c>
      <c r="T800">
        <v>999</v>
      </c>
      <c r="U800">
        <v>999</v>
      </c>
    </row>
    <row r="801" spans="1:21" x14ac:dyDescent="0.35">
      <c r="A801" t="s">
        <v>21</v>
      </c>
      <c r="B801" s="1">
        <v>44512</v>
      </c>
      <c r="C801" t="s">
        <v>23</v>
      </c>
      <c r="D801">
        <v>17.600000000000001</v>
      </c>
      <c r="E801">
        <v>1.2</v>
      </c>
      <c r="F801">
        <v>1.1000000000000001</v>
      </c>
      <c r="G801">
        <v>14.7</v>
      </c>
      <c r="H801">
        <v>16</v>
      </c>
      <c r="I801">
        <v>0</v>
      </c>
      <c r="J801">
        <v>0</v>
      </c>
      <c r="K801">
        <v>0</v>
      </c>
      <c r="L801">
        <v>0</v>
      </c>
      <c r="M801">
        <v>0</v>
      </c>
      <c r="N801">
        <v>62340</v>
      </c>
      <c r="O801">
        <v>258308</v>
      </c>
      <c r="P801">
        <v>92192</v>
      </c>
      <c r="Q801">
        <v>11</v>
      </c>
      <c r="R801">
        <v>3</v>
      </c>
      <c r="S801">
        <v>1</v>
      </c>
      <c r="T801">
        <v>50</v>
      </c>
      <c r="U801">
        <v>64</v>
      </c>
    </row>
    <row r="802" spans="1:21" x14ac:dyDescent="0.35">
      <c r="A802" t="s">
        <v>26</v>
      </c>
      <c r="B802" s="1">
        <v>44201</v>
      </c>
      <c r="C802" t="s">
        <v>29</v>
      </c>
      <c r="D802">
        <v>25.7</v>
      </c>
      <c r="E802">
        <v>0.8</v>
      </c>
      <c r="F802">
        <v>0</v>
      </c>
      <c r="G802">
        <v>32.1</v>
      </c>
      <c r="H802">
        <v>0</v>
      </c>
      <c r="I802">
        <v>0</v>
      </c>
      <c r="J802">
        <v>0</v>
      </c>
      <c r="K802">
        <v>0</v>
      </c>
      <c r="L802">
        <v>0</v>
      </c>
      <c r="M802">
        <v>0</v>
      </c>
      <c r="N802">
        <v>365119</v>
      </c>
      <c r="O802">
        <v>238588</v>
      </c>
      <c r="P802">
        <v>0</v>
      </c>
      <c r="Q802">
        <v>94</v>
      </c>
      <c r="R802">
        <v>2</v>
      </c>
      <c r="S802">
        <v>0</v>
      </c>
      <c r="T802">
        <v>30</v>
      </c>
      <c r="U802">
        <v>49</v>
      </c>
    </row>
    <row r="803" spans="1:21" x14ac:dyDescent="0.35">
      <c r="A803" t="s">
        <v>28</v>
      </c>
      <c r="B803" s="1">
        <v>44947</v>
      </c>
      <c r="C803" t="s">
        <v>27</v>
      </c>
      <c r="D803">
        <v>164.3</v>
      </c>
      <c r="E803">
        <v>67.2</v>
      </c>
      <c r="F803">
        <v>71.8</v>
      </c>
      <c r="G803">
        <v>2.4</v>
      </c>
      <c r="H803">
        <v>2.2999999999999998</v>
      </c>
      <c r="I803">
        <v>0</v>
      </c>
      <c r="J803">
        <v>0</v>
      </c>
      <c r="K803">
        <v>0</v>
      </c>
      <c r="L803">
        <v>0</v>
      </c>
      <c r="M803">
        <v>0</v>
      </c>
      <c r="N803">
        <v>33470</v>
      </c>
      <c r="O803">
        <v>86275</v>
      </c>
      <c r="P803">
        <v>44545</v>
      </c>
      <c r="Q803">
        <v>55</v>
      </c>
      <c r="R803">
        <v>58</v>
      </c>
      <c r="S803">
        <v>32</v>
      </c>
      <c r="T803">
        <v>12</v>
      </c>
      <c r="U803">
        <v>17</v>
      </c>
    </row>
    <row r="804" spans="1:21" x14ac:dyDescent="0.35">
      <c r="A804" t="s">
        <v>26</v>
      </c>
      <c r="B804" s="1">
        <v>44720</v>
      </c>
      <c r="C804" t="s">
        <v>23</v>
      </c>
      <c r="D804">
        <v>31.8</v>
      </c>
      <c r="E804">
        <v>11.8</v>
      </c>
      <c r="F804">
        <v>9</v>
      </c>
      <c r="G804">
        <v>2.7</v>
      </c>
      <c r="H804">
        <v>3.5</v>
      </c>
      <c r="I804">
        <v>0</v>
      </c>
      <c r="J804">
        <v>0</v>
      </c>
      <c r="K804">
        <v>0</v>
      </c>
      <c r="L804">
        <v>0</v>
      </c>
      <c r="M804">
        <v>0</v>
      </c>
      <c r="N804">
        <v>40870</v>
      </c>
      <c r="O804">
        <v>127180</v>
      </c>
      <c r="P804">
        <v>243708</v>
      </c>
      <c r="Q804">
        <v>13</v>
      </c>
      <c r="R804">
        <v>15</v>
      </c>
      <c r="S804">
        <v>22</v>
      </c>
      <c r="T804">
        <v>50</v>
      </c>
      <c r="U804">
        <v>64</v>
      </c>
    </row>
    <row r="805" spans="1:21" x14ac:dyDescent="0.35">
      <c r="A805" t="s">
        <v>28</v>
      </c>
      <c r="B805" s="1">
        <v>44828</v>
      </c>
      <c r="C805" t="s">
        <v>23</v>
      </c>
      <c r="D805">
        <v>266.39999999999998</v>
      </c>
      <c r="E805">
        <v>61.5</v>
      </c>
      <c r="F805">
        <v>105.5</v>
      </c>
      <c r="G805">
        <v>4.3</v>
      </c>
      <c r="H805">
        <v>2.5</v>
      </c>
      <c r="I805">
        <v>0</v>
      </c>
      <c r="J805">
        <v>0</v>
      </c>
      <c r="K805">
        <v>0</v>
      </c>
      <c r="L805">
        <v>0</v>
      </c>
      <c r="M805">
        <v>0</v>
      </c>
      <c r="N805">
        <v>39417</v>
      </c>
      <c r="O805">
        <v>125139</v>
      </c>
      <c r="P805">
        <v>246539</v>
      </c>
      <c r="Q805">
        <v>105</v>
      </c>
      <c r="R805">
        <v>77</v>
      </c>
      <c r="S805">
        <v>260</v>
      </c>
      <c r="T805">
        <v>50</v>
      </c>
      <c r="U805">
        <v>64</v>
      </c>
    </row>
    <row r="806" spans="1:21" x14ac:dyDescent="0.35">
      <c r="A806" t="s">
        <v>28</v>
      </c>
      <c r="B806" s="1">
        <v>44536</v>
      </c>
      <c r="C806" t="s">
        <v>27</v>
      </c>
      <c r="D806">
        <v>20.3</v>
      </c>
      <c r="E806">
        <v>0</v>
      </c>
      <c r="F806">
        <v>0</v>
      </c>
      <c r="G806">
        <v>0</v>
      </c>
      <c r="H806">
        <v>0</v>
      </c>
      <c r="I806">
        <v>0</v>
      </c>
      <c r="J806">
        <v>0</v>
      </c>
      <c r="K806">
        <v>0</v>
      </c>
      <c r="L806">
        <v>0</v>
      </c>
      <c r="M806">
        <v>0</v>
      </c>
      <c r="N806">
        <v>118282</v>
      </c>
      <c r="O806">
        <v>13905</v>
      </c>
      <c r="P806">
        <v>0</v>
      </c>
      <c r="Q806">
        <v>24</v>
      </c>
      <c r="R806">
        <v>0</v>
      </c>
      <c r="S806">
        <v>0</v>
      </c>
      <c r="T806">
        <v>12</v>
      </c>
      <c r="U806">
        <v>17</v>
      </c>
    </row>
    <row r="807" spans="1:21" x14ac:dyDescent="0.35">
      <c r="A807" t="s">
        <v>28</v>
      </c>
      <c r="B807" s="1">
        <v>44884</v>
      </c>
      <c r="C807" t="s">
        <v>27</v>
      </c>
      <c r="D807">
        <v>172.7</v>
      </c>
      <c r="E807">
        <v>74.400000000000006</v>
      </c>
      <c r="F807">
        <v>76.400000000000006</v>
      </c>
      <c r="G807">
        <v>2.2999999999999998</v>
      </c>
      <c r="H807">
        <v>2.2999999999999998</v>
      </c>
      <c r="I807">
        <v>0</v>
      </c>
      <c r="J807">
        <v>0</v>
      </c>
      <c r="K807">
        <v>0</v>
      </c>
      <c r="L807">
        <v>0</v>
      </c>
      <c r="M807">
        <v>0</v>
      </c>
      <c r="N807">
        <v>34157</v>
      </c>
      <c r="O807">
        <v>86027</v>
      </c>
      <c r="P807">
        <v>44509</v>
      </c>
      <c r="Q807">
        <v>59</v>
      </c>
      <c r="R807">
        <v>64</v>
      </c>
      <c r="S807">
        <v>34</v>
      </c>
      <c r="T807">
        <v>12</v>
      </c>
      <c r="U807">
        <v>17</v>
      </c>
    </row>
    <row r="808" spans="1:21" x14ac:dyDescent="0.35">
      <c r="A808" t="s">
        <v>28</v>
      </c>
      <c r="B808" s="1">
        <v>44683</v>
      </c>
      <c r="C808" t="s">
        <v>32</v>
      </c>
      <c r="D808">
        <v>178.3</v>
      </c>
      <c r="E808">
        <v>0</v>
      </c>
      <c r="F808">
        <v>0</v>
      </c>
      <c r="G808">
        <v>0</v>
      </c>
      <c r="H808">
        <v>0</v>
      </c>
      <c r="I808">
        <v>0</v>
      </c>
      <c r="J808">
        <v>0</v>
      </c>
      <c r="K808">
        <v>0</v>
      </c>
      <c r="L808">
        <v>0</v>
      </c>
      <c r="M808">
        <v>0</v>
      </c>
      <c r="N808">
        <v>162642</v>
      </c>
      <c r="O808">
        <v>0</v>
      </c>
      <c r="P808">
        <v>0</v>
      </c>
      <c r="Q808">
        <v>290</v>
      </c>
      <c r="R808">
        <v>0</v>
      </c>
      <c r="S808">
        <v>0</v>
      </c>
      <c r="T808">
        <v>0</v>
      </c>
      <c r="U808">
        <v>4</v>
      </c>
    </row>
    <row r="809" spans="1:21" x14ac:dyDescent="0.35">
      <c r="A809" t="s">
        <v>21</v>
      </c>
      <c r="B809" s="1">
        <v>44590</v>
      </c>
      <c r="C809" t="s">
        <v>23</v>
      </c>
      <c r="D809">
        <v>40.200000000000003</v>
      </c>
      <c r="E809">
        <v>4.8</v>
      </c>
      <c r="F809">
        <v>2.1</v>
      </c>
      <c r="G809">
        <v>8.4</v>
      </c>
      <c r="H809">
        <v>19.100000000000001</v>
      </c>
      <c r="I809">
        <v>0</v>
      </c>
      <c r="J809">
        <v>0</v>
      </c>
      <c r="K809">
        <v>0</v>
      </c>
      <c r="L809">
        <v>0</v>
      </c>
      <c r="M809">
        <v>0</v>
      </c>
      <c r="N809">
        <v>49696</v>
      </c>
      <c r="O809">
        <v>165132</v>
      </c>
      <c r="P809">
        <v>193153</v>
      </c>
      <c r="Q809">
        <v>20</v>
      </c>
      <c r="R809">
        <v>8</v>
      </c>
      <c r="S809">
        <v>4</v>
      </c>
      <c r="T809">
        <v>50</v>
      </c>
      <c r="U809">
        <v>64</v>
      </c>
    </row>
    <row r="810" spans="1:21" x14ac:dyDescent="0.35">
      <c r="A810" t="s">
        <v>21</v>
      </c>
      <c r="B810" s="1">
        <v>44846</v>
      </c>
      <c r="C810" t="s">
        <v>24</v>
      </c>
      <c r="D810">
        <v>0</v>
      </c>
      <c r="E810">
        <v>0</v>
      </c>
      <c r="F810">
        <v>0</v>
      </c>
      <c r="G810">
        <v>0</v>
      </c>
      <c r="H810">
        <v>0</v>
      </c>
      <c r="I810">
        <v>0</v>
      </c>
      <c r="J810">
        <v>0</v>
      </c>
      <c r="K810">
        <v>0</v>
      </c>
      <c r="L810">
        <v>0</v>
      </c>
      <c r="M810">
        <v>0</v>
      </c>
      <c r="N810">
        <v>92766</v>
      </c>
      <c r="O810">
        <v>81208</v>
      </c>
      <c r="P810">
        <v>21125</v>
      </c>
      <c r="Q810">
        <v>0</v>
      </c>
      <c r="R810">
        <v>0</v>
      </c>
      <c r="S810">
        <v>0</v>
      </c>
      <c r="T810">
        <v>5</v>
      </c>
      <c r="U810">
        <v>11</v>
      </c>
    </row>
    <row r="811" spans="1:21" x14ac:dyDescent="0.35">
      <c r="A811" t="s">
        <v>28</v>
      </c>
      <c r="B811" s="1">
        <v>44385</v>
      </c>
      <c r="C811" t="s">
        <v>27</v>
      </c>
      <c r="D811">
        <v>142.6</v>
      </c>
      <c r="E811">
        <v>20.7</v>
      </c>
      <c r="F811">
        <v>0</v>
      </c>
      <c r="G811">
        <v>6.9</v>
      </c>
      <c r="H811">
        <v>0</v>
      </c>
      <c r="I811">
        <v>0</v>
      </c>
      <c r="J811">
        <v>0</v>
      </c>
      <c r="K811">
        <v>0</v>
      </c>
      <c r="L811">
        <v>0</v>
      </c>
      <c r="M811">
        <v>0</v>
      </c>
      <c r="N811">
        <v>89733</v>
      </c>
      <c r="O811">
        <v>67504</v>
      </c>
      <c r="P811">
        <v>0</v>
      </c>
      <c r="Q811">
        <v>128</v>
      </c>
      <c r="R811">
        <v>14</v>
      </c>
      <c r="S811">
        <v>0</v>
      </c>
      <c r="T811">
        <v>12</v>
      </c>
      <c r="U811">
        <v>17</v>
      </c>
    </row>
    <row r="812" spans="1:21" x14ac:dyDescent="0.35">
      <c r="A812" t="s">
        <v>28</v>
      </c>
      <c r="B812" s="1">
        <v>45094</v>
      </c>
      <c r="C812" t="s">
        <v>32</v>
      </c>
      <c r="D812">
        <v>13.5</v>
      </c>
      <c r="E812">
        <v>0.6</v>
      </c>
      <c r="F812">
        <v>0</v>
      </c>
      <c r="G812">
        <v>22.5</v>
      </c>
      <c r="H812">
        <v>0</v>
      </c>
      <c r="I812">
        <v>0</v>
      </c>
      <c r="J812">
        <v>0</v>
      </c>
      <c r="K812">
        <v>0</v>
      </c>
      <c r="L812">
        <v>0</v>
      </c>
      <c r="M812">
        <v>0</v>
      </c>
      <c r="N812">
        <v>162642</v>
      </c>
      <c r="O812">
        <v>0</v>
      </c>
      <c r="P812">
        <v>0</v>
      </c>
      <c r="Q812">
        <v>22</v>
      </c>
      <c r="R812">
        <v>1</v>
      </c>
      <c r="S812">
        <v>0</v>
      </c>
      <c r="T812">
        <v>0</v>
      </c>
      <c r="U812">
        <v>4</v>
      </c>
    </row>
    <row r="813" spans="1:21" x14ac:dyDescent="0.35">
      <c r="A813" t="s">
        <v>28</v>
      </c>
      <c r="B813" s="1">
        <v>44618</v>
      </c>
      <c r="C813" t="s">
        <v>30</v>
      </c>
      <c r="D813">
        <v>66.2</v>
      </c>
      <c r="E813">
        <v>47.2</v>
      </c>
      <c r="F813">
        <v>14.2</v>
      </c>
      <c r="G813">
        <v>1.4</v>
      </c>
      <c r="H813">
        <v>4.7</v>
      </c>
      <c r="I813">
        <v>0</v>
      </c>
      <c r="J813">
        <v>0</v>
      </c>
      <c r="K813">
        <v>0</v>
      </c>
      <c r="L813">
        <v>0</v>
      </c>
      <c r="M813">
        <v>0</v>
      </c>
      <c r="N813">
        <v>27200</v>
      </c>
      <c r="O813">
        <v>14818</v>
      </c>
      <c r="P813">
        <v>42125</v>
      </c>
      <c r="Q813">
        <v>18</v>
      </c>
      <c r="R813">
        <v>7</v>
      </c>
      <c r="S813">
        <v>6</v>
      </c>
      <c r="T813">
        <v>80</v>
      </c>
      <c r="U813">
        <v>200</v>
      </c>
    </row>
    <row r="814" spans="1:21" x14ac:dyDescent="0.35">
      <c r="A814" t="s">
        <v>28</v>
      </c>
      <c r="B814" s="1">
        <v>44747</v>
      </c>
      <c r="C814" t="s">
        <v>31</v>
      </c>
      <c r="D814">
        <v>184.8</v>
      </c>
      <c r="E814">
        <v>103.5</v>
      </c>
      <c r="F814">
        <v>186.8</v>
      </c>
      <c r="G814">
        <v>1.8</v>
      </c>
      <c r="H814">
        <v>1</v>
      </c>
      <c r="I814">
        <v>0</v>
      </c>
      <c r="J814">
        <v>0</v>
      </c>
      <c r="K814">
        <v>0</v>
      </c>
      <c r="L814">
        <v>0</v>
      </c>
      <c r="M814">
        <v>0</v>
      </c>
      <c r="N814">
        <v>47611</v>
      </c>
      <c r="O814">
        <v>49260</v>
      </c>
      <c r="P814">
        <v>162746</v>
      </c>
      <c r="Q814">
        <v>88</v>
      </c>
      <c r="R814">
        <v>51</v>
      </c>
      <c r="S814">
        <v>304</v>
      </c>
      <c r="T814">
        <v>65</v>
      </c>
      <c r="U814">
        <v>79</v>
      </c>
    </row>
    <row r="815" spans="1:21" x14ac:dyDescent="0.35">
      <c r="A815" t="s">
        <v>26</v>
      </c>
      <c r="B815" s="1">
        <v>44331</v>
      </c>
      <c r="C815" t="s">
        <v>29</v>
      </c>
      <c r="D815">
        <v>22.7</v>
      </c>
      <c r="E815">
        <v>0.9</v>
      </c>
      <c r="F815">
        <v>0</v>
      </c>
      <c r="G815">
        <v>25.2</v>
      </c>
      <c r="H815">
        <v>0</v>
      </c>
      <c r="I815">
        <v>0</v>
      </c>
      <c r="J815">
        <v>0</v>
      </c>
      <c r="K815">
        <v>0</v>
      </c>
      <c r="L815">
        <v>0</v>
      </c>
      <c r="M815">
        <v>0</v>
      </c>
      <c r="N815">
        <v>338871</v>
      </c>
      <c r="O815">
        <v>332283</v>
      </c>
      <c r="P815">
        <v>0</v>
      </c>
      <c r="Q815">
        <v>77</v>
      </c>
      <c r="R815">
        <v>3</v>
      </c>
      <c r="S815">
        <v>0</v>
      </c>
      <c r="T815">
        <v>30</v>
      </c>
      <c r="U815">
        <v>49</v>
      </c>
    </row>
    <row r="816" spans="1:21" x14ac:dyDescent="0.35">
      <c r="A816" t="s">
        <v>26</v>
      </c>
      <c r="B816" s="1">
        <v>44629</v>
      </c>
      <c r="C816" t="s">
        <v>29</v>
      </c>
      <c r="D816">
        <v>9.6</v>
      </c>
      <c r="E816">
        <v>5.0999999999999996</v>
      </c>
      <c r="F816">
        <v>3.2</v>
      </c>
      <c r="G816">
        <v>1.9</v>
      </c>
      <c r="H816">
        <v>3</v>
      </c>
      <c r="I816">
        <v>0</v>
      </c>
      <c r="J816">
        <v>0</v>
      </c>
      <c r="K816">
        <v>0</v>
      </c>
      <c r="L816">
        <v>0</v>
      </c>
      <c r="M816">
        <v>0</v>
      </c>
      <c r="N816">
        <v>125170</v>
      </c>
      <c r="O816">
        <v>276368</v>
      </c>
      <c r="P816">
        <v>345994</v>
      </c>
      <c r="Q816">
        <v>12</v>
      </c>
      <c r="R816">
        <v>14</v>
      </c>
      <c r="S816">
        <v>11</v>
      </c>
      <c r="T816">
        <v>30</v>
      </c>
      <c r="U816">
        <v>49</v>
      </c>
    </row>
    <row r="817" spans="1:21" x14ac:dyDescent="0.35">
      <c r="A817" t="s">
        <v>21</v>
      </c>
      <c r="B817" s="1">
        <v>44919</v>
      </c>
      <c r="C817" t="s">
        <v>31</v>
      </c>
      <c r="D817">
        <v>4.9000000000000004</v>
      </c>
      <c r="E817">
        <v>0</v>
      </c>
      <c r="F817">
        <v>1.2</v>
      </c>
      <c r="G817">
        <v>0</v>
      </c>
      <c r="H817">
        <v>4.0999999999999996</v>
      </c>
      <c r="I817">
        <v>0</v>
      </c>
      <c r="J817">
        <v>0</v>
      </c>
      <c r="K817">
        <v>0</v>
      </c>
      <c r="L817">
        <v>0</v>
      </c>
      <c r="M817">
        <v>0</v>
      </c>
      <c r="N817">
        <v>40797</v>
      </c>
      <c r="O817">
        <v>43362</v>
      </c>
      <c r="P817">
        <v>171663</v>
      </c>
      <c r="Q817">
        <v>2</v>
      </c>
      <c r="R817">
        <v>0</v>
      </c>
      <c r="S817">
        <v>2</v>
      </c>
      <c r="T817">
        <v>65</v>
      </c>
      <c r="U817">
        <v>79</v>
      </c>
    </row>
    <row r="818" spans="1:21" x14ac:dyDescent="0.35">
      <c r="A818" t="s">
        <v>26</v>
      </c>
      <c r="B818" s="1">
        <v>45129</v>
      </c>
      <c r="C818" t="s">
        <v>29</v>
      </c>
      <c r="D818">
        <v>1.9</v>
      </c>
      <c r="E818">
        <v>0.4</v>
      </c>
      <c r="F818">
        <v>0.3</v>
      </c>
      <c r="G818">
        <v>4.8</v>
      </c>
      <c r="H818">
        <v>6.3</v>
      </c>
      <c r="I818">
        <v>0</v>
      </c>
      <c r="J818">
        <v>0</v>
      </c>
      <c r="K818">
        <v>0</v>
      </c>
      <c r="L818">
        <v>0</v>
      </c>
      <c r="M818">
        <v>0</v>
      </c>
      <c r="N818">
        <v>107614</v>
      </c>
      <c r="O818">
        <v>278401</v>
      </c>
      <c r="P818">
        <v>347312</v>
      </c>
      <c r="Q818">
        <v>2</v>
      </c>
      <c r="R818">
        <v>1</v>
      </c>
      <c r="S818">
        <v>1</v>
      </c>
      <c r="T818">
        <v>30</v>
      </c>
      <c r="U818">
        <v>49</v>
      </c>
    </row>
    <row r="819" spans="1:21" x14ac:dyDescent="0.35">
      <c r="A819" t="s">
        <v>26</v>
      </c>
      <c r="B819" s="1">
        <v>44520</v>
      </c>
      <c r="C819" t="s">
        <v>30</v>
      </c>
      <c r="D819">
        <v>58.6</v>
      </c>
      <c r="E819">
        <v>67.8</v>
      </c>
      <c r="F819">
        <v>16.3</v>
      </c>
      <c r="G819">
        <v>0.9</v>
      </c>
      <c r="H819">
        <v>3.6</v>
      </c>
      <c r="I819">
        <v>0</v>
      </c>
      <c r="J819">
        <v>0</v>
      </c>
      <c r="K819">
        <v>0</v>
      </c>
      <c r="L819">
        <v>0</v>
      </c>
      <c r="M819">
        <v>0</v>
      </c>
      <c r="N819">
        <v>29022</v>
      </c>
      <c r="O819">
        <v>36868</v>
      </c>
      <c r="P819">
        <v>18401</v>
      </c>
      <c r="Q819">
        <v>17</v>
      </c>
      <c r="R819">
        <v>25</v>
      </c>
      <c r="S819">
        <v>3</v>
      </c>
      <c r="T819">
        <v>80</v>
      </c>
      <c r="U819">
        <v>200</v>
      </c>
    </row>
    <row r="820" spans="1:21" x14ac:dyDescent="0.35">
      <c r="A820" t="s">
        <v>26</v>
      </c>
      <c r="B820" s="1">
        <v>45066</v>
      </c>
      <c r="C820" t="s">
        <v>23</v>
      </c>
      <c r="D820">
        <v>12.1</v>
      </c>
      <c r="E820">
        <v>0.8</v>
      </c>
      <c r="F820">
        <v>2.8</v>
      </c>
      <c r="G820">
        <v>15.1</v>
      </c>
      <c r="H820">
        <v>4.3</v>
      </c>
      <c r="I820">
        <v>0</v>
      </c>
      <c r="J820">
        <v>0</v>
      </c>
      <c r="K820">
        <v>0</v>
      </c>
      <c r="L820">
        <v>0</v>
      </c>
      <c r="M820">
        <v>0</v>
      </c>
      <c r="N820">
        <v>32964</v>
      </c>
      <c r="O820">
        <v>125743</v>
      </c>
      <c r="P820">
        <v>246910</v>
      </c>
      <c r="Q820">
        <v>4</v>
      </c>
      <c r="R820">
        <v>1</v>
      </c>
      <c r="S820">
        <v>7</v>
      </c>
      <c r="T820">
        <v>50</v>
      </c>
      <c r="U820">
        <v>64</v>
      </c>
    </row>
    <row r="821" spans="1:21" x14ac:dyDescent="0.35">
      <c r="A821" t="s">
        <v>21</v>
      </c>
      <c r="B821" s="1">
        <v>44298</v>
      </c>
      <c r="C821" t="s">
        <v>25</v>
      </c>
      <c r="D821">
        <v>0.7</v>
      </c>
      <c r="E821">
        <v>0</v>
      </c>
      <c r="F821">
        <v>0</v>
      </c>
      <c r="G821">
        <v>0</v>
      </c>
      <c r="H821">
        <v>0</v>
      </c>
      <c r="I821">
        <v>0</v>
      </c>
      <c r="J821">
        <v>0</v>
      </c>
      <c r="K821">
        <v>0</v>
      </c>
      <c r="L821">
        <v>0</v>
      </c>
      <c r="M821">
        <v>0</v>
      </c>
      <c r="N821">
        <v>151690</v>
      </c>
      <c r="O821">
        <v>300768</v>
      </c>
      <c r="P821">
        <v>31036</v>
      </c>
      <c r="Q821">
        <v>1</v>
      </c>
      <c r="R821">
        <v>0</v>
      </c>
      <c r="S821">
        <v>0</v>
      </c>
      <c r="T821">
        <v>18</v>
      </c>
      <c r="U821">
        <v>29</v>
      </c>
    </row>
    <row r="822" spans="1:21" x14ac:dyDescent="0.35">
      <c r="A822" t="s">
        <v>28</v>
      </c>
      <c r="B822" s="1">
        <v>45018</v>
      </c>
      <c r="C822" t="s">
        <v>32</v>
      </c>
      <c r="D822">
        <v>66.400000000000006</v>
      </c>
      <c r="E822">
        <v>8.6</v>
      </c>
      <c r="F822">
        <v>0</v>
      </c>
      <c r="G822">
        <v>7.7</v>
      </c>
      <c r="H822">
        <v>0</v>
      </c>
      <c r="I822">
        <v>0</v>
      </c>
      <c r="J822">
        <v>0</v>
      </c>
      <c r="K822">
        <v>0</v>
      </c>
      <c r="L822">
        <v>0</v>
      </c>
      <c r="M822">
        <v>0</v>
      </c>
      <c r="N822">
        <v>162642</v>
      </c>
      <c r="O822">
        <v>0</v>
      </c>
      <c r="P822">
        <v>0</v>
      </c>
      <c r="Q822">
        <v>108</v>
      </c>
      <c r="R822">
        <v>14</v>
      </c>
      <c r="S822">
        <v>0</v>
      </c>
      <c r="T822">
        <v>0</v>
      </c>
      <c r="U822">
        <v>4</v>
      </c>
    </row>
    <row r="823" spans="1:21" x14ac:dyDescent="0.35">
      <c r="A823" t="s">
        <v>28</v>
      </c>
      <c r="B823" s="1">
        <v>44295</v>
      </c>
      <c r="C823" t="s">
        <v>25</v>
      </c>
      <c r="D823">
        <v>260.39999999999998</v>
      </c>
      <c r="E823">
        <v>92.6</v>
      </c>
      <c r="F823">
        <v>0</v>
      </c>
      <c r="G823">
        <v>2.8</v>
      </c>
      <c r="H823">
        <v>0</v>
      </c>
      <c r="I823">
        <v>0</v>
      </c>
      <c r="J823">
        <v>0</v>
      </c>
      <c r="K823">
        <v>0</v>
      </c>
      <c r="L823">
        <v>0</v>
      </c>
      <c r="M823">
        <v>0</v>
      </c>
      <c r="N823">
        <v>188921</v>
      </c>
      <c r="O823">
        <v>294893</v>
      </c>
      <c r="P823">
        <v>0</v>
      </c>
      <c r="Q823">
        <v>492</v>
      </c>
      <c r="R823">
        <v>273</v>
      </c>
      <c r="S823">
        <v>0</v>
      </c>
      <c r="T823">
        <v>18</v>
      </c>
      <c r="U823">
        <v>29</v>
      </c>
    </row>
    <row r="824" spans="1:21" x14ac:dyDescent="0.35">
      <c r="A824" t="s">
        <v>28</v>
      </c>
      <c r="B824" s="1">
        <v>44629</v>
      </c>
      <c r="C824" t="s">
        <v>25</v>
      </c>
      <c r="D824">
        <v>210.1</v>
      </c>
      <c r="E824">
        <v>86.9</v>
      </c>
      <c r="F824">
        <v>128.69999999999999</v>
      </c>
      <c r="G824">
        <v>2.4</v>
      </c>
      <c r="H824">
        <v>1.6</v>
      </c>
      <c r="I824">
        <v>0</v>
      </c>
      <c r="J824">
        <v>0</v>
      </c>
      <c r="K824">
        <v>0</v>
      </c>
      <c r="L824">
        <v>0</v>
      </c>
      <c r="M824">
        <v>0</v>
      </c>
      <c r="N824">
        <v>90904</v>
      </c>
      <c r="O824">
        <v>211667</v>
      </c>
      <c r="P824">
        <v>160838</v>
      </c>
      <c r="Q824">
        <v>191</v>
      </c>
      <c r="R824">
        <v>184</v>
      </c>
      <c r="S824">
        <v>207</v>
      </c>
      <c r="T824">
        <v>18</v>
      </c>
      <c r="U824">
        <v>29</v>
      </c>
    </row>
    <row r="825" spans="1:21" x14ac:dyDescent="0.35">
      <c r="A825" t="s">
        <v>21</v>
      </c>
      <c r="B825" s="1">
        <v>44457</v>
      </c>
      <c r="C825" t="s">
        <v>25</v>
      </c>
      <c r="D825">
        <v>1.1000000000000001</v>
      </c>
      <c r="E825">
        <v>0</v>
      </c>
      <c r="F825">
        <v>0</v>
      </c>
      <c r="G825">
        <v>0</v>
      </c>
      <c r="H825">
        <v>0</v>
      </c>
      <c r="I825">
        <v>0</v>
      </c>
      <c r="J825">
        <v>0</v>
      </c>
      <c r="K825">
        <v>0</v>
      </c>
      <c r="L825">
        <v>0</v>
      </c>
      <c r="M825">
        <v>0</v>
      </c>
      <c r="N825">
        <v>181678</v>
      </c>
      <c r="O825">
        <v>301822</v>
      </c>
      <c r="P825">
        <v>0</v>
      </c>
      <c r="Q825">
        <v>2</v>
      </c>
      <c r="R825">
        <v>0</v>
      </c>
      <c r="S825">
        <v>0</v>
      </c>
      <c r="T825">
        <v>18</v>
      </c>
      <c r="U825">
        <v>29</v>
      </c>
    </row>
    <row r="826" spans="1:21" x14ac:dyDescent="0.35">
      <c r="A826" t="s">
        <v>28</v>
      </c>
      <c r="B826" s="1">
        <v>44758</v>
      </c>
      <c r="C826" t="s">
        <v>29</v>
      </c>
      <c r="D826">
        <v>365.6</v>
      </c>
      <c r="E826">
        <v>167.9</v>
      </c>
      <c r="F826">
        <v>294.39999999999998</v>
      </c>
      <c r="G826">
        <v>2.2000000000000002</v>
      </c>
      <c r="H826">
        <v>1.2</v>
      </c>
      <c r="I826">
        <v>0</v>
      </c>
      <c r="J826">
        <v>0</v>
      </c>
      <c r="K826">
        <v>0</v>
      </c>
      <c r="L826">
        <v>0</v>
      </c>
      <c r="M826">
        <v>0</v>
      </c>
      <c r="N826">
        <v>127190</v>
      </c>
      <c r="O826">
        <v>279873</v>
      </c>
      <c r="P826">
        <v>341011</v>
      </c>
      <c r="Q826">
        <v>465</v>
      </c>
      <c r="R826">
        <v>470</v>
      </c>
      <c r="S826">
        <v>1004</v>
      </c>
      <c r="T826">
        <v>30</v>
      </c>
      <c r="U826">
        <v>49</v>
      </c>
    </row>
    <row r="827" spans="1:21" x14ac:dyDescent="0.35">
      <c r="A827" t="s">
        <v>28</v>
      </c>
      <c r="B827" s="1">
        <v>45164</v>
      </c>
      <c r="C827" t="s">
        <v>30</v>
      </c>
      <c r="D827">
        <v>40.9</v>
      </c>
      <c r="E827">
        <v>87.9</v>
      </c>
      <c r="F827">
        <v>95.5</v>
      </c>
      <c r="G827">
        <v>0.5</v>
      </c>
      <c r="H827">
        <v>0.4</v>
      </c>
      <c r="I827">
        <v>0</v>
      </c>
      <c r="J827">
        <v>0</v>
      </c>
      <c r="K827">
        <v>0</v>
      </c>
      <c r="L827">
        <v>0</v>
      </c>
      <c r="M827">
        <v>0</v>
      </c>
      <c r="N827">
        <v>24464</v>
      </c>
      <c r="O827">
        <v>11380</v>
      </c>
      <c r="P827">
        <v>47133</v>
      </c>
      <c r="Q827">
        <v>10</v>
      </c>
      <c r="R827">
        <v>10</v>
      </c>
      <c r="S827">
        <v>45</v>
      </c>
      <c r="T827">
        <v>80</v>
      </c>
      <c r="U827">
        <v>200</v>
      </c>
    </row>
    <row r="828" spans="1:21" x14ac:dyDescent="0.35">
      <c r="A828" t="s">
        <v>26</v>
      </c>
      <c r="B828" s="1">
        <v>44259</v>
      </c>
      <c r="C828" t="s">
        <v>31</v>
      </c>
      <c r="D828">
        <v>42.5</v>
      </c>
      <c r="E828">
        <v>4.3</v>
      </c>
      <c r="F828">
        <v>0</v>
      </c>
      <c r="G828">
        <v>9.9</v>
      </c>
      <c r="H828">
        <v>0</v>
      </c>
      <c r="I828">
        <v>0</v>
      </c>
      <c r="J828">
        <v>0</v>
      </c>
      <c r="K828">
        <v>0</v>
      </c>
      <c r="L828">
        <v>0</v>
      </c>
      <c r="M828">
        <v>0</v>
      </c>
      <c r="N828">
        <v>105935</v>
      </c>
      <c r="O828">
        <v>91962</v>
      </c>
      <c r="P828">
        <v>0</v>
      </c>
      <c r="Q828">
        <v>45</v>
      </c>
      <c r="R828">
        <v>4</v>
      </c>
      <c r="S828">
        <v>0</v>
      </c>
      <c r="T828">
        <v>65</v>
      </c>
      <c r="U828">
        <v>79</v>
      </c>
    </row>
    <row r="829" spans="1:21" x14ac:dyDescent="0.35">
      <c r="A829" t="s">
        <v>26</v>
      </c>
      <c r="B829" s="1">
        <v>45027</v>
      </c>
      <c r="C829" t="s">
        <v>29</v>
      </c>
      <c r="D829">
        <v>4.9000000000000004</v>
      </c>
      <c r="E829">
        <v>1.4</v>
      </c>
      <c r="F829">
        <v>1.7</v>
      </c>
      <c r="G829">
        <v>3.5</v>
      </c>
      <c r="H829">
        <v>2.9</v>
      </c>
      <c r="I829">
        <v>0</v>
      </c>
      <c r="J829">
        <v>0</v>
      </c>
      <c r="K829">
        <v>0</v>
      </c>
      <c r="L829">
        <v>0</v>
      </c>
      <c r="M829">
        <v>0</v>
      </c>
      <c r="N829">
        <v>101766</v>
      </c>
      <c r="O829">
        <v>279203</v>
      </c>
      <c r="P829">
        <v>348427</v>
      </c>
      <c r="Q829">
        <v>5</v>
      </c>
      <c r="R829">
        <v>4</v>
      </c>
      <c r="S829">
        <v>6</v>
      </c>
      <c r="T829">
        <v>30</v>
      </c>
      <c r="U829">
        <v>49</v>
      </c>
    </row>
    <row r="830" spans="1:21" x14ac:dyDescent="0.35">
      <c r="A830" t="s">
        <v>26</v>
      </c>
      <c r="B830" s="1">
        <v>44457</v>
      </c>
      <c r="C830" t="s">
        <v>31</v>
      </c>
      <c r="D830">
        <v>42.3</v>
      </c>
      <c r="E830">
        <v>9.3000000000000007</v>
      </c>
      <c r="F830">
        <v>0</v>
      </c>
      <c r="G830">
        <v>4.5</v>
      </c>
      <c r="H830">
        <v>0</v>
      </c>
      <c r="I830">
        <v>0</v>
      </c>
      <c r="J830">
        <v>0</v>
      </c>
      <c r="K830">
        <v>0</v>
      </c>
      <c r="L830">
        <v>0</v>
      </c>
      <c r="M830">
        <v>0</v>
      </c>
      <c r="N830">
        <v>63900</v>
      </c>
      <c r="O830">
        <v>193739</v>
      </c>
      <c r="P830">
        <v>0</v>
      </c>
      <c r="Q830">
        <v>27</v>
      </c>
      <c r="R830">
        <v>18</v>
      </c>
      <c r="S830">
        <v>0</v>
      </c>
      <c r="T830">
        <v>65</v>
      </c>
      <c r="U830">
        <v>79</v>
      </c>
    </row>
    <row r="831" spans="1:21" x14ac:dyDescent="0.35">
      <c r="A831" t="s">
        <v>28</v>
      </c>
      <c r="B831" s="1">
        <v>44856</v>
      </c>
      <c r="C831" t="s">
        <v>24</v>
      </c>
      <c r="D831">
        <v>76.5</v>
      </c>
      <c r="E831">
        <v>102.9</v>
      </c>
      <c r="F831">
        <v>96.8</v>
      </c>
      <c r="G831">
        <v>0.7</v>
      </c>
      <c r="H831">
        <v>0.8</v>
      </c>
      <c r="I831">
        <v>0</v>
      </c>
      <c r="J831">
        <v>0</v>
      </c>
      <c r="K831">
        <v>0</v>
      </c>
      <c r="L831">
        <v>0</v>
      </c>
      <c r="M831">
        <v>0</v>
      </c>
      <c r="N831">
        <v>94103</v>
      </c>
      <c r="O831">
        <v>80652</v>
      </c>
      <c r="P831">
        <v>20656</v>
      </c>
      <c r="Q831">
        <v>72</v>
      </c>
      <c r="R831">
        <v>83</v>
      </c>
      <c r="S831">
        <v>20</v>
      </c>
      <c r="T831">
        <v>5</v>
      </c>
      <c r="U831">
        <v>11</v>
      </c>
    </row>
    <row r="832" spans="1:21" x14ac:dyDescent="0.35">
      <c r="A832" t="s">
        <v>21</v>
      </c>
      <c r="B832" s="1">
        <v>44509</v>
      </c>
      <c r="C832" t="s">
        <v>22</v>
      </c>
      <c r="D832">
        <v>2.1</v>
      </c>
      <c r="E832">
        <v>0.5</v>
      </c>
      <c r="F832">
        <v>0</v>
      </c>
      <c r="G832">
        <v>4.2</v>
      </c>
      <c r="H832">
        <v>0</v>
      </c>
      <c r="I832">
        <v>3.3</v>
      </c>
      <c r="J832">
        <v>0.4</v>
      </c>
      <c r="K832">
        <v>0</v>
      </c>
      <c r="L832">
        <v>7.6</v>
      </c>
      <c r="M832">
        <v>0</v>
      </c>
      <c r="N832">
        <v>1046939</v>
      </c>
      <c r="O832">
        <v>1475716</v>
      </c>
      <c r="P832">
        <v>0</v>
      </c>
      <c r="Q832">
        <v>22</v>
      </c>
      <c r="R832">
        <v>8</v>
      </c>
      <c r="S832">
        <v>0</v>
      </c>
      <c r="T832">
        <v>999</v>
      </c>
      <c r="U832">
        <v>999</v>
      </c>
    </row>
    <row r="833" spans="1:21" x14ac:dyDescent="0.35">
      <c r="A833" t="s">
        <v>26</v>
      </c>
      <c r="B833" s="1">
        <v>44322</v>
      </c>
      <c r="C833" t="s">
        <v>30</v>
      </c>
      <c r="D833">
        <v>17.399999999999999</v>
      </c>
      <c r="E833">
        <v>4.0999999999999996</v>
      </c>
      <c r="F833">
        <v>0</v>
      </c>
      <c r="G833">
        <v>4.2</v>
      </c>
      <c r="H833">
        <v>0</v>
      </c>
      <c r="I833">
        <v>0</v>
      </c>
      <c r="J833">
        <v>0</v>
      </c>
      <c r="K833">
        <v>0</v>
      </c>
      <c r="L833">
        <v>0</v>
      </c>
      <c r="M833">
        <v>0</v>
      </c>
      <c r="N833">
        <v>34448</v>
      </c>
      <c r="O833">
        <v>49247</v>
      </c>
      <c r="P833">
        <v>0</v>
      </c>
      <c r="Q833">
        <v>6</v>
      </c>
      <c r="R833">
        <v>2</v>
      </c>
      <c r="S833">
        <v>0</v>
      </c>
      <c r="T833">
        <v>80</v>
      </c>
      <c r="U833">
        <v>200</v>
      </c>
    </row>
    <row r="834" spans="1:21" x14ac:dyDescent="0.35">
      <c r="A834" t="s">
        <v>26</v>
      </c>
      <c r="B834" s="1">
        <v>44583</v>
      </c>
      <c r="C834" t="s">
        <v>29</v>
      </c>
      <c r="D834">
        <v>52.1</v>
      </c>
      <c r="E834">
        <v>12.6</v>
      </c>
      <c r="F834">
        <v>7.8</v>
      </c>
      <c r="G834">
        <v>4.0999999999999996</v>
      </c>
      <c r="H834">
        <v>6.7</v>
      </c>
      <c r="I834">
        <v>0</v>
      </c>
      <c r="J834">
        <v>0</v>
      </c>
      <c r="K834">
        <v>0</v>
      </c>
      <c r="L834">
        <v>0</v>
      </c>
      <c r="M834">
        <v>0</v>
      </c>
      <c r="N834">
        <v>149571</v>
      </c>
      <c r="O834">
        <v>332274</v>
      </c>
      <c r="P834">
        <v>256937</v>
      </c>
      <c r="Q834">
        <v>78</v>
      </c>
      <c r="R834">
        <v>42</v>
      </c>
      <c r="S834">
        <v>20</v>
      </c>
      <c r="T834">
        <v>30</v>
      </c>
      <c r="U834">
        <v>49</v>
      </c>
    </row>
    <row r="835" spans="1:21" x14ac:dyDescent="0.35">
      <c r="A835" t="s">
        <v>21</v>
      </c>
      <c r="B835" s="1">
        <v>44681</v>
      </c>
      <c r="C835" t="s">
        <v>22</v>
      </c>
      <c r="D835">
        <v>0.2</v>
      </c>
      <c r="E835">
        <v>0.2</v>
      </c>
      <c r="F835">
        <v>0</v>
      </c>
      <c r="G835">
        <v>1</v>
      </c>
      <c r="H835">
        <v>0</v>
      </c>
      <c r="I835">
        <v>0.1</v>
      </c>
      <c r="J835">
        <v>0.4</v>
      </c>
      <c r="K835">
        <v>0</v>
      </c>
      <c r="L835">
        <v>0.3</v>
      </c>
      <c r="M835">
        <v>0</v>
      </c>
      <c r="N835">
        <v>650306</v>
      </c>
      <c r="O835">
        <v>891088</v>
      </c>
      <c r="P835">
        <v>952817</v>
      </c>
      <c r="Q835">
        <v>1</v>
      </c>
      <c r="R835">
        <v>2</v>
      </c>
      <c r="S835">
        <v>0</v>
      </c>
      <c r="T835">
        <v>999</v>
      </c>
      <c r="U835">
        <v>999</v>
      </c>
    </row>
    <row r="836" spans="1:21" x14ac:dyDescent="0.35">
      <c r="A836" t="s">
        <v>26</v>
      </c>
      <c r="B836" s="1">
        <v>45178</v>
      </c>
      <c r="C836" t="s">
        <v>30</v>
      </c>
      <c r="D836">
        <v>12.3</v>
      </c>
      <c r="E836">
        <v>17.600000000000001</v>
      </c>
      <c r="F836">
        <v>46.7</v>
      </c>
      <c r="G836">
        <v>0.7</v>
      </c>
      <c r="H836">
        <v>0.3</v>
      </c>
      <c r="I836">
        <v>0</v>
      </c>
      <c r="J836">
        <v>0</v>
      </c>
      <c r="K836">
        <v>0</v>
      </c>
      <c r="L836">
        <v>0</v>
      </c>
      <c r="M836">
        <v>0</v>
      </c>
      <c r="N836">
        <v>24452</v>
      </c>
      <c r="O836">
        <v>11380</v>
      </c>
      <c r="P836">
        <v>47133</v>
      </c>
      <c r="Q836">
        <v>3</v>
      </c>
      <c r="R836">
        <v>2</v>
      </c>
      <c r="S836">
        <v>22</v>
      </c>
      <c r="T836">
        <v>80</v>
      </c>
      <c r="U836">
        <v>200</v>
      </c>
    </row>
    <row r="837" spans="1:21" x14ac:dyDescent="0.35">
      <c r="A837" t="s">
        <v>21</v>
      </c>
      <c r="B837" s="1">
        <v>44891</v>
      </c>
      <c r="C837" t="s">
        <v>23</v>
      </c>
      <c r="D837">
        <v>0</v>
      </c>
      <c r="E837">
        <v>0</v>
      </c>
      <c r="F837">
        <v>0</v>
      </c>
      <c r="G837">
        <v>0</v>
      </c>
      <c r="H837">
        <v>0</v>
      </c>
      <c r="I837">
        <v>0</v>
      </c>
      <c r="J837">
        <v>0</v>
      </c>
      <c r="K837">
        <v>0</v>
      </c>
      <c r="L837">
        <v>0</v>
      </c>
      <c r="M837">
        <v>0</v>
      </c>
      <c r="N837">
        <v>36067</v>
      </c>
      <c r="O837">
        <v>125335</v>
      </c>
      <c r="P837">
        <v>246724</v>
      </c>
      <c r="Q837">
        <v>0</v>
      </c>
      <c r="R837">
        <v>0</v>
      </c>
      <c r="S837">
        <v>0</v>
      </c>
      <c r="T837">
        <v>50</v>
      </c>
      <c r="U837">
        <v>64</v>
      </c>
    </row>
    <row r="838" spans="1:21" x14ac:dyDescent="0.35">
      <c r="A838" t="s">
        <v>26</v>
      </c>
      <c r="B838" s="1">
        <v>44765</v>
      </c>
      <c r="C838" t="s">
        <v>32</v>
      </c>
      <c r="D838">
        <v>6.8</v>
      </c>
      <c r="E838">
        <v>0</v>
      </c>
      <c r="F838">
        <v>0</v>
      </c>
      <c r="G838">
        <v>0</v>
      </c>
      <c r="H838">
        <v>0</v>
      </c>
      <c r="I838">
        <v>0</v>
      </c>
      <c r="J838">
        <v>0</v>
      </c>
      <c r="K838">
        <v>0</v>
      </c>
      <c r="L838">
        <v>0</v>
      </c>
      <c r="M838">
        <v>0</v>
      </c>
      <c r="N838">
        <v>162642</v>
      </c>
      <c r="O838">
        <v>0</v>
      </c>
      <c r="P838">
        <v>0</v>
      </c>
      <c r="Q838">
        <v>11</v>
      </c>
      <c r="R838">
        <v>0</v>
      </c>
      <c r="S838">
        <v>0</v>
      </c>
      <c r="T838">
        <v>0</v>
      </c>
      <c r="U838">
        <v>4</v>
      </c>
    </row>
    <row r="839" spans="1:21" x14ac:dyDescent="0.35">
      <c r="A839" t="s">
        <v>28</v>
      </c>
      <c r="B839" s="1">
        <v>44576</v>
      </c>
      <c r="C839" t="s">
        <v>23</v>
      </c>
      <c r="D839">
        <v>2103.6</v>
      </c>
      <c r="E839">
        <v>799.1</v>
      </c>
      <c r="F839">
        <v>640.1</v>
      </c>
      <c r="G839">
        <v>2.6</v>
      </c>
      <c r="H839">
        <v>3.3</v>
      </c>
      <c r="I839">
        <v>0</v>
      </c>
      <c r="J839">
        <v>0</v>
      </c>
      <c r="K839">
        <v>0</v>
      </c>
      <c r="L839">
        <v>0</v>
      </c>
      <c r="M839">
        <v>0</v>
      </c>
      <c r="N839">
        <v>52767</v>
      </c>
      <c r="O839">
        <v>184203</v>
      </c>
      <c r="P839">
        <v>171854</v>
      </c>
      <c r="Q839">
        <v>1110</v>
      </c>
      <c r="R839">
        <v>1472</v>
      </c>
      <c r="S839">
        <v>1100</v>
      </c>
      <c r="T839">
        <v>50</v>
      </c>
      <c r="U839">
        <v>64</v>
      </c>
    </row>
    <row r="840" spans="1:21" x14ac:dyDescent="0.35">
      <c r="A840" t="s">
        <v>21</v>
      </c>
      <c r="B840" s="1">
        <v>45108</v>
      </c>
      <c r="C840" t="s">
        <v>31</v>
      </c>
      <c r="D840">
        <v>0</v>
      </c>
      <c r="E840">
        <v>0</v>
      </c>
      <c r="F840">
        <v>1.2</v>
      </c>
      <c r="G840">
        <v>0</v>
      </c>
      <c r="H840">
        <v>0</v>
      </c>
      <c r="I840">
        <v>0</v>
      </c>
      <c r="J840">
        <v>0</v>
      </c>
      <c r="K840">
        <v>0</v>
      </c>
      <c r="L840">
        <v>0</v>
      </c>
      <c r="M840">
        <v>0</v>
      </c>
      <c r="N840">
        <v>40561</v>
      </c>
      <c r="O840">
        <v>43362</v>
      </c>
      <c r="P840">
        <v>171679</v>
      </c>
      <c r="Q840">
        <v>0</v>
      </c>
      <c r="R840">
        <v>0</v>
      </c>
      <c r="S840">
        <v>2</v>
      </c>
      <c r="T840">
        <v>65</v>
      </c>
      <c r="U840">
        <v>79</v>
      </c>
    </row>
    <row r="841" spans="1:21" x14ac:dyDescent="0.35">
      <c r="A841" t="s">
        <v>26</v>
      </c>
      <c r="B841" s="1">
        <v>44520</v>
      </c>
      <c r="C841" t="s">
        <v>24</v>
      </c>
      <c r="D841">
        <v>1.2</v>
      </c>
      <c r="E841">
        <v>0</v>
      </c>
      <c r="F841">
        <v>0</v>
      </c>
      <c r="G841">
        <v>0</v>
      </c>
      <c r="H841">
        <v>0</v>
      </c>
      <c r="I841">
        <v>0</v>
      </c>
      <c r="J841">
        <v>0</v>
      </c>
      <c r="K841">
        <v>0</v>
      </c>
      <c r="L841">
        <v>0</v>
      </c>
      <c r="M841">
        <v>0</v>
      </c>
      <c r="N841">
        <v>166798</v>
      </c>
      <c r="O841">
        <v>1</v>
      </c>
      <c r="P841">
        <v>0</v>
      </c>
      <c r="Q841">
        <v>2</v>
      </c>
      <c r="R841">
        <v>0</v>
      </c>
      <c r="S841">
        <v>0</v>
      </c>
      <c r="T841">
        <v>5</v>
      </c>
      <c r="U841">
        <v>11</v>
      </c>
    </row>
    <row r="842" spans="1:21" x14ac:dyDescent="0.35">
      <c r="A842" t="s">
        <v>26</v>
      </c>
      <c r="B842" s="1">
        <v>44555</v>
      </c>
      <c r="C842" t="s">
        <v>24</v>
      </c>
      <c r="D842">
        <v>4.9000000000000004</v>
      </c>
      <c r="E842">
        <v>0</v>
      </c>
      <c r="F842">
        <v>0</v>
      </c>
      <c r="G842">
        <v>0</v>
      </c>
      <c r="H842">
        <v>0</v>
      </c>
      <c r="I842">
        <v>0</v>
      </c>
      <c r="J842">
        <v>0</v>
      </c>
      <c r="K842">
        <v>0</v>
      </c>
      <c r="L842">
        <v>0</v>
      </c>
      <c r="M842">
        <v>0</v>
      </c>
      <c r="N842">
        <v>143394</v>
      </c>
      <c r="O842">
        <v>37144</v>
      </c>
      <c r="P842">
        <v>0</v>
      </c>
      <c r="Q842">
        <v>7</v>
      </c>
      <c r="R842">
        <v>0</v>
      </c>
      <c r="S842">
        <v>0</v>
      </c>
      <c r="T842">
        <v>5</v>
      </c>
      <c r="U842">
        <v>11</v>
      </c>
    </row>
    <row r="843" spans="1:21" x14ac:dyDescent="0.35">
      <c r="A843" t="s">
        <v>28</v>
      </c>
      <c r="B843" s="1">
        <v>44262</v>
      </c>
      <c r="C843" t="s">
        <v>23</v>
      </c>
      <c r="D843">
        <v>20.2</v>
      </c>
      <c r="E843">
        <v>2</v>
      </c>
      <c r="F843">
        <v>0</v>
      </c>
      <c r="G843">
        <v>10.1</v>
      </c>
      <c r="H843">
        <v>0</v>
      </c>
      <c r="I843">
        <v>0</v>
      </c>
      <c r="J843">
        <v>0</v>
      </c>
      <c r="K843">
        <v>0</v>
      </c>
      <c r="L843">
        <v>0</v>
      </c>
      <c r="M843">
        <v>0</v>
      </c>
      <c r="N843">
        <v>109144</v>
      </c>
      <c r="O843">
        <v>300501</v>
      </c>
      <c r="P843">
        <v>0</v>
      </c>
      <c r="Q843">
        <v>22</v>
      </c>
      <c r="R843">
        <v>6</v>
      </c>
      <c r="S843">
        <v>0</v>
      </c>
      <c r="T843">
        <v>50</v>
      </c>
      <c r="U843">
        <v>64</v>
      </c>
    </row>
    <row r="844" spans="1:21" x14ac:dyDescent="0.35">
      <c r="A844" t="s">
        <v>26</v>
      </c>
      <c r="B844" s="1">
        <v>45164</v>
      </c>
      <c r="C844" t="s">
        <v>32</v>
      </c>
      <c r="D844">
        <v>2.5</v>
      </c>
      <c r="E844">
        <v>0</v>
      </c>
      <c r="F844">
        <v>0</v>
      </c>
      <c r="G844">
        <v>0</v>
      </c>
      <c r="H844">
        <v>0</v>
      </c>
      <c r="I844">
        <v>0</v>
      </c>
      <c r="J844">
        <v>0</v>
      </c>
      <c r="K844">
        <v>0</v>
      </c>
      <c r="L844">
        <v>0</v>
      </c>
      <c r="M844">
        <v>0</v>
      </c>
      <c r="N844">
        <v>162642</v>
      </c>
      <c r="O844">
        <v>0</v>
      </c>
      <c r="P844">
        <v>0</v>
      </c>
      <c r="Q844">
        <v>4</v>
      </c>
      <c r="R844">
        <v>0</v>
      </c>
      <c r="S844">
        <v>0</v>
      </c>
      <c r="T844">
        <v>0</v>
      </c>
      <c r="U844">
        <v>4</v>
      </c>
    </row>
    <row r="845" spans="1:21" x14ac:dyDescent="0.35">
      <c r="A845" t="s">
        <v>21</v>
      </c>
      <c r="B845" s="1">
        <v>44562</v>
      </c>
      <c r="C845" t="s">
        <v>27</v>
      </c>
      <c r="D845">
        <v>0</v>
      </c>
      <c r="E845">
        <v>0</v>
      </c>
      <c r="F845">
        <v>0</v>
      </c>
      <c r="G845">
        <v>0</v>
      </c>
      <c r="H845">
        <v>0</v>
      </c>
      <c r="I845">
        <v>0</v>
      </c>
      <c r="J845">
        <v>0</v>
      </c>
      <c r="K845">
        <v>0</v>
      </c>
      <c r="L845">
        <v>0</v>
      </c>
      <c r="M845">
        <v>0</v>
      </c>
      <c r="N845">
        <v>53465</v>
      </c>
      <c r="O845">
        <v>108405</v>
      </c>
      <c r="P845">
        <v>1872</v>
      </c>
      <c r="Q845">
        <v>0</v>
      </c>
      <c r="R845">
        <v>0</v>
      </c>
      <c r="S845">
        <v>0</v>
      </c>
      <c r="T845">
        <v>12</v>
      </c>
      <c r="U845">
        <v>17</v>
      </c>
    </row>
    <row r="846" spans="1:21" x14ac:dyDescent="0.35">
      <c r="A846" t="s">
        <v>21</v>
      </c>
      <c r="B846" s="1">
        <v>44596</v>
      </c>
      <c r="C846" t="s">
        <v>29</v>
      </c>
      <c r="D846">
        <v>0</v>
      </c>
      <c r="E846">
        <v>0</v>
      </c>
      <c r="F846">
        <v>0</v>
      </c>
      <c r="G846">
        <v>0</v>
      </c>
      <c r="H846">
        <v>0</v>
      </c>
      <c r="I846">
        <v>0</v>
      </c>
      <c r="J846">
        <v>0</v>
      </c>
      <c r="K846">
        <v>0</v>
      </c>
      <c r="L846">
        <v>0</v>
      </c>
      <c r="M846">
        <v>0</v>
      </c>
      <c r="N846">
        <v>132699</v>
      </c>
      <c r="O846">
        <v>290611</v>
      </c>
      <c r="P846">
        <v>324980</v>
      </c>
      <c r="Q846">
        <v>0</v>
      </c>
      <c r="R846">
        <v>0</v>
      </c>
      <c r="S846">
        <v>0</v>
      </c>
      <c r="T846">
        <v>30</v>
      </c>
      <c r="U846">
        <v>49</v>
      </c>
    </row>
    <row r="847" spans="1:21" x14ac:dyDescent="0.35">
      <c r="A847" t="s">
        <v>26</v>
      </c>
      <c r="B847" s="1">
        <v>44237</v>
      </c>
      <c r="C847" t="s">
        <v>31</v>
      </c>
      <c r="D847">
        <v>45</v>
      </c>
      <c r="E847">
        <v>9.8000000000000007</v>
      </c>
      <c r="F847">
        <v>0</v>
      </c>
      <c r="G847">
        <v>4.5999999999999996</v>
      </c>
      <c r="H847">
        <v>0</v>
      </c>
      <c r="I847">
        <v>0</v>
      </c>
      <c r="J847">
        <v>0</v>
      </c>
      <c r="K847">
        <v>0</v>
      </c>
      <c r="L847">
        <v>0</v>
      </c>
      <c r="M847">
        <v>0</v>
      </c>
      <c r="N847">
        <v>62283</v>
      </c>
      <c r="O847">
        <v>193295</v>
      </c>
      <c r="P847">
        <v>0</v>
      </c>
      <c r="Q847">
        <v>28</v>
      </c>
      <c r="R847">
        <v>19</v>
      </c>
      <c r="S847">
        <v>0</v>
      </c>
      <c r="T847">
        <v>65</v>
      </c>
      <c r="U847">
        <v>79</v>
      </c>
    </row>
    <row r="848" spans="1:21" x14ac:dyDescent="0.35">
      <c r="A848" t="s">
        <v>28</v>
      </c>
      <c r="B848" s="1">
        <v>45164</v>
      </c>
      <c r="C848" t="s">
        <v>32</v>
      </c>
      <c r="D848">
        <v>45.5</v>
      </c>
      <c r="E848">
        <v>2.5</v>
      </c>
      <c r="F848">
        <v>0</v>
      </c>
      <c r="G848">
        <v>18.2</v>
      </c>
      <c r="H848">
        <v>0</v>
      </c>
      <c r="I848">
        <v>0</v>
      </c>
      <c r="J848">
        <v>0</v>
      </c>
      <c r="K848">
        <v>0</v>
      </c>
      <c r="L848">
        <v>0</v>
      </c>
      <c r="M848">
        <v>0</v>
      </c>
      <c r="N848">
        <v>162642</v>
      </c>
      <c r="O848">
        <v>0</v>
      </c>
      <c r="P848">
        <v>0</v>
      </c>
      <c r="Q848">
        <v>74</v>
      </c>
      <c r="R848">
        <v>4</v>
      </c>
      <c r="S848">
        <v>0</v>
      </c>
      <c r="T848">
        <v>0</v>
      </c>
      <c r="U848">
        <v>4</v>
      </c>
    </row>
    <row r="849" spans="1:21" x14ac:dyDescent="0.35">
      <c r="A849" t="s">
        <v>28</v>
      </c>
      <c r="B849" s="1">
        <v>45136</v>
      </c>
      <c r="C849" t="s">
        <v>22</v>
      </c>
      <c r="D849">
        <v>23</v>
      </c>
      <c r="E849">
        <v>15</v>
      </c>
      <c r="F849">
        <v>23.4</v>
      </c>
      <c r="G849">
        <v>1.5</v>
      </c>
      <c r="H849">
        <v>1</v>
      </c>
      <c r="I849">
        <v>25.6</v>
      </c>
      <c r="J849">
        <v>16.399999999999999</v>
      </c>
      <c r="K849">
        <v>20.3</v>
      </c>
      <c r="L849">
        <v>1.6</v>
      </c>
      <c r="M849">
        <v>1.3</v>
      </c>
      <c r="N849">
        <v>530107</v>
      </c>
      <c r="O849">
        <v>860315</v>
      </c>
      <c r="P849">
        <v>1040772</v>
      </c>
      <c r="Q849">
        <v>122</v>
      </c>
      <c r="R849">
        <v>129</v>
      </c>
      <c r="S849">
        <v>244</v>
      </c>
      <c r="T849">
        <v>999</v>
      </c>
      <c r="U849">
        <v>999</v>
      </c>
    </row>
    <row r="850" spans="1:21" x14ac:dyDescent="0.35">
      <c r="A850" t="s">
        <v>26</v>
      </c>
      <c r="B850" s="1">
        <v>44720</v>
      </c>
      <c r="C850" t="s">
        <v>25</v>
      </c>
      <c r="D850">
        <v>14.1</v>
      </c>
      <c r="E850">
        <v>4.7</v>
      </c>
      <c r="F850">
        <v>2.5</v>
      </c>
      <c r="G850">
        <v>3</v>
      </c>
      <c r="H850">
        <v>5.6</v>
      </c>
      <c r="I850">
        <v>0</v>
      </c>
      <c r="J850">
        <v>0</v>
      </c>
      <c r="K850">
        <v>0</v>
      </c>
      <c r="L850">
        <v>0</v>
      </c>
      <c r="M850">
        <v>0</v>
      </c>
      <c r="N850">
        <v>92082</v>
      </c>
      <c r="O850">
        <v>212811</v>
      </c>
      <c r="P850">
        <v>158786</v>
      </c>
      <c r="Q850">
        <v>13</v>
      </c>
      <c r="R850">
        <v>10</v>
      </c>
      <c r="S850">
        <v>4</v>
      </c>
      <c r="T850">
        <v>18</v>
      </c>
      <c r="U850">
        <v>29</v>
      </c>
    </row>
    <row r="851" spans="1:21" x14ac:dyDescent="0.35">
      <c r="A851" t="s">
        <v>21</v>
      </c>
      <c r="B851" s="1">
        <v>44262</v>
      </c>
      <c r="C851" t="s">
        <v>27</v>
      </c>
      <c r="D851">
        <v>0</v>
      </c>
      <c r="E851">
        <v>0</v>
      </c>
      <c r="F851">
        <v>0</v>
      </c>
      <c r="G851">
        <v>0</v>
      </c>
      <c r="H851">
        <v>0</v>
      </c>
      <c r="I851">
        <v>0</v>
      </c>
      <c r="J851">
        <v>0</v>
      </c>
      <c r="K851">
        <v>0</v>
      </c>
      <c r="L851">
        <v>0</v>
      </c>
      <c r="M851">
        <v>0</v>
      </c>
      <c r="N851">
        <v>107885</v>
      </c>
      <c r="O851">
        <v>48259</v>
      </c>
      <c r="P851">
        <v>0</v>
      </c>
      <c r="Q851">
        <v>0</v>
      </c>
      <c r="R851">
        <v>0</v>
      </c>
      <c r="S851">
        <v>0</v>
      </c>
      <c r="T851">
        <v>12</v>
      </c>
      <c r="U851">
        <v>17</v>
      </c>
    </row>
    <row r="852" spans="1:21" x14ac:dyDescent="0.35">
      <c r="A852" t="s">
        <v>26</v>
      </c>
      <c r="B852" s="1">
        <v>44401</v>
      </c>
      <c r="C852" t="s">
        <v>31</v>
      </c>
      <c r="D852">
        <v>12.8</v>
      </c>
      <c r="E852">
        <v>2.1</v>
      </c>
      <c r="F852">
        <v>0</v>
      </c>
      <c r="G852">
        <v>6.1</v>
      </c>
      <c r="H852">
        <v>0</v>
      </c>
      <c r="I852">
        <v>0</v>
      </c>
      <c r="J852">
        <v>0</v>
      </c>
      <c r="K852">
        <v>0</v>
      </c>
      <c r="L852">
        <v>0</v>
      </c>
      <c r="M852">
        <v>0</v>
      </c>
      <c r="N852">
        <v>70306</v>
      </c>
      <c r="O852">
        <v>191132</v>
      </c>
      <c r="P852">
        <v>0</v>
      </c>
      <c r="Q852">
        <v>9</v>
      </c>
      <c r="R852">
        <v>4</v>
      </c>
      <c r="S852">
        <v>0</v>
      </c>
      <c r="T852">
        <v>65</v>
      </c>
      <c r="U852">
        <v>79</v>
      </c>
    </row>
    <row r="853" spans="1:21" x14ac:dyDescent="0.35">
      <c r="A853" t="s">
        <v>26</v>
      </c>
      <c r="B853" s="1">
        <v>44906</v>
      </c>
      <c r="C853" t="s">
        <v>31</v>
      </c>
      <c r="D853">
        <v>40.4</v>
      </c>
      <c r="E853">
        <v>30</v>
      </c>
      <c r="F853">
        <v>21</v>
      </c>
      <c r="G853">
        <v>1.3</v>
      </c>
      <c r="H853">
        <v>1.9</v>
      </c>
      <c r="I853">
        <v>0</v>
      </c>
      <c r="J853">
        <v>0</v>
      </c>
      <c r="K853">
        <v>0</v>
      </c>
      <c r="L853">
        <v>0</v>
      </c>
      <c r="M853">
        <v>0</v>
      </c>
      <c r="N853">
        <v>42041</v>
      </c>
      <c r="O853">
        <v>43328</v>
      </c>
      <c r="P853">
        <v>171584</v>
      </c>
      <c r="Q853">
        <v>17</v>
      </c>
      <c r="R853">
        <v>13</v>
      </c>
      <c r="S853">
        <v>36</v>
      </c>
      <c r="T853">
        <v>65</v>
      </c>
      <c r="U853">
        <v>79</v>
      </c>
    </row>
    <row r="854" spans="1:21" x14ac:dyDescent="0.35">
      <c r="A854" t="s">
        <v>21</v>
      </c>
      <c r="B854" s="1">
        <v>44331</v>
      </c>
      <c r="C854" t="s">
        <v>30</v>
      </c>
      <c r="D854">
        <v>16.8</v>
      </c>
      <c r="E854">
        <v>0</v>
      </c>
      <c r="F854">
        <v>0</v>
      </c>
      <c r="G854">
        <v>0</v>
      </c>
      <c r="H854">
        <v>0</v>
      </c>
      <c r="I854">
        <v>0</v>
      </c>
      <c r="J854">
        <v>0</v>
      </c>
      <c r="K854">
        <v>0</v>
      </c>
      <c r="L854">
        <v>0</v>
      </c>
      <c r="M854">
        <v>0</v>
      </c>
      <c r="N854">
        <v>35729</v>
      </c>
      <c r="O854">
        <v>45820</v>
      </c>
      <c r="P854">
        <v>0</v>
      </c>
      <c r="Q854">
        <v>6</v>
      </c>
      <c r="R854">
        <v>0</v>
      </c>
      <c r="S854">
        <v>0</v>
      </c>
      <c r="T854">
        <v>80</v>
      </c>
      <c r="U854">
        <v>200</v>
      </c>
    </row>
    <row r="855" spans="1:21" x14ac:dyDescent="0.35">
      <c r="A855" t="s">
        <v>21</v>
      </c>
      <c r="B855" s="1">
        <v>45164</v>
      </c>
      <c r="C855" t="s">
        <v>29</v>
      </c>
      <c r="D855">
        <v>0</v>
      </c>
      <c r="E855">
        <v>0</v>
      </c>
      <c r="F855">
        <v>0</v>
      </c>
      <c r="G855">
        <v>0</v>
      </c>
      <c r="H855">
        <v>0</v>
      </c>
      <c r="I855">
        <v>0</v>
      </c>
      <c r="J855">
        <v>0</v>
      </c>
      <c r="K855">
        <v>0</v>
      </c>
      <c r="L855">
        <v>0</v>
      </c>
      <c r="M855">
        <v>0</v>
      </c>
      <c r="N855">
        <v>107080</v>
      </c>
      <c r="O855">
        <v>278396</v>
      </c>
      <c r="P855">
        <v>347321</v>
      </c>
      <c r="Q855">
        <v>0</v>
      </c>
      <c r="R855">
        <v>0</v>
      </c>
      <c r="S855">
        <v>0</v>
      </c>
      <c r="T855">
        <v>30</v>
      </c>
      <c r="U855">
        <v>49</v>
      </c>
    </row>
    <row r="856" spans="1:21" x14ac:dyDescent="0.35">
      <c r="A856" t="s">
        <v>21</v>
      </c>
      <c r="B856" s="1">
        <v>44821</v>
      </c>
      <c r="C856" t="s">
        <v>24</v>
      </c>
      <c r="D856">
        <v>0</v>
      </c>
      <c r="E856">
        <v>0</v>
      </c>
      <c r="F856">
        <v>0</v>
      </c>
      <c r="G856">
        <v>0</v>
      </c>
      <c r="H856">
        <v>0</v>
      </c>
      <c r="I856">
        <v>0</v>
      </c>
      <c r="J856">
        <v>0</v>
      </c>
      <c r="K856">
        <v>0</v>
      </c>
      <c r="L856">
        <v>0</v>
      </c>
      <c r="M856">
        <v>0</v>
      </c>
      <c r="N856">
        <v>95128</v>
      </c>
      <c r="O856">
        <v>81802</v>
      </c>
      <c r="P856">
        <v>18308</v>
      </c>
      <c r="Q856">
        <v>0</v>
      </c>
      <c r="R856">
        <v>0</v>
      </c>
      <c r="S856">
        <v>0</v>
      </c>
      <c r="T856">
        <v>5</v>
      </c>
      <c r="U856">
        <v>11</v>
      </c>
    </row>
    <row r="857" spans="1:21" x14ac:dyDescent="0.35">
      <c r="A857" t="s">
        <v>21</v>
      </c>
      <c r="B857" s="1">
        <v>45136</v>
      </c>
      <c r="C857" t="s">
        <v>25</v>
      </c>
      <c r="D857">
        <v>0</v>
      </c>
      <c r="E857">
        <v>0</v>
      </c>
      <c r="F857">
        <v>0</v>
      </c>
      <c r="G857">
        <v>0</v>
      </c>
      <c r="H857">
        <v>0</v>
      </c>
      <c r="I857">
        <v>0</v>
      </c>
      <c r="J857">
        <v>0</v>
      </c>
      <c r="K857">
        <v>0</v>
      </c>
      <c r="L857">
        <v>0</v>
      </c>
      <c r="M857">
        <v>0</v>
      </c>
      <c r="N857">
        <v>73789</v>
      </c>
      <c r="O857">
        <v>214134</v>
      </c>
      <c r="P857">
        <v>161712</v>
      </c>
      <c r="Q857">
        <v>0</v>
      </c>
      <c r="R857">
        <v>0</v>
      </c>
      <c r="S857">
        <v>0</v>
      </c>
      <c r="T857">
        <v>18</v>
      </c>
      <c r="U857">
        <v>29</v>
      </c>
    </row>
    <row r="858" spans="1:21" x14ac:dyDescent="0.35">
      <c r="A858" t="s">
        <v>28</v>
      </c>
      <c r="B858" s="1">
        <v>44571</v>
      </c>
      <c r="C858" t="s">
        <v>25</v>
      </c>
      <c r="D858">
        <v>137.4</v>
      </c>
      <c r="E858">
        <v>35.4</v>
      </c>
      <c r="F858">
        <v>60.7</v>
      </c>
      <c r="G858">
        <v>3.9</v>
      </c>
      <c r="H858">
        <v>2.2999999999999998</v>
      </c>
      <c r="I858">
        <v>0</v>
      </c>
      <c r="J858">
        <v>0</v>
      </c>
      <c r="K858">
        <v>0</v>
      </c>
      <c r="L858">
        <v>0</v>
      </c>
      <c r="M858">
        <v>0</v>
      </c>
      <c r="N858">
        <v>88079</v>
      </c>
      <c r="O858">
        <v>211686</v>
      </c>
      <c r="P858">
        <v>161454</v>
      </c>
      <c r="Q858">
        <v>121</v>
      </c>
      <c r="R858">
        <v>75</v>
      </c>
      <c r="S858">
        <v>98</v>
      </c>
      <c r="T858">
        <v>18</v>
      </c>
      <c r="U858">
        <v>29</v>
      </c>
    </row>
    <row r="859" spans="1:21" x14ac:dyDescent="0.35">
      <c r="A859" t="s">
        <v>21</v>
      </c>
      <c r="B859" s="1">
        <v>44639</v>
      </c>
      <c r="C859" t="s">
        <v>24</v>
      </c>
      <c r="D859">
        <v>0</v>
      </c>
      <c r="E859">
        <v>0</v>
      </c>
      <c r="F859">
        <v>0</v>
      </c>
      <c r="G859">
        <v>0</v>
      </c>
      <c r="H859">
        <v>0</v>
      </c>
      <c r="I859">
        <v>0</v>
      </c>
      <c r="J859">
        <v>0</v>
      </c>
      <c r="K859">
        <v>0</v>
      </c>
      <c r="L859">
        <v>0</v>
      </c>
      <c r="M859">
        <v>0</v>
      </c>
      <c r="N859">
        <v>104261</v>
      </c>
      <c r="O859">
        <v>88478</v>
      </c>
      <c r="P859">
        <v>0</v>
      </c>
      <c r="Q859">
        <v>0</v>
      </c>
      <c r="R859">
        <v>0</v>
      </c>
      <c r="S859">
        <v>0</v>
      </c>
      <c r="T859">
        <v>5</v>
      </c>
      <c r="U859">
        <v>11</v>
      </c>
    </row>
    <row r="860" spans="1:21" x14ac:dyDescent="0.35">
      <c r="A860" t="s">
        <v>21</v>
      </c>
      <c r="B860" s="1">
        <v>44947</v>
      </c>
      <c r="C860" t="s">
        <v>31</v>
      </c>
      <c r="D860">
        <v>5</v>
      </c>
      <c r="E860">
        <v>0</v>
      </c>
      <c r="F860">
        <v>0</v>
      </c>
      <c r="G860">
        <v>0</v>
      </c>
      <c r="H860">
        <v>0</v>
      </c>
      <c r="I860">
        <v>0</v>
      </c>
      <c r="J860">
        <v>0</v>
      </c>
      <c r="K860">
        <v>0</v>
      </c>
      <c r="L860">
        <v>0</v>
      </c>
      <c r="M860">
        <v>0</v>
      </c>
      <c r="N860">
        <v>40373</v>
      </c>
      <c r="O860">
        <v>43379</v>
      </c>
      <c r="P860">
        <v>171682</v>
      </c>
      <c r="Q860">
        <v>2</v>
      </c>
      <c r="R860">
        <v>0</v>
      </c>
      <c r="S860">
        <v>0</v>
      </c>
      <c r="T860">
        <v>65</v>
      </c>
      <c r="U860">
        <v>79</v>
      </c>
    </row>
    <row r="861" spans="1:21" x14ac:dyDescent="0.35">
      <c r="A861" t="s">
        <v>28</v>
      </c>
      <c r="B861" s="1">
        <v>44786</v>
      </c>
      <c r="C861" t="s">
        <v>27</v>
      </c>
      <c r="D861">
        <v>115</v>
      </c>
      <c r="E861">
        <v>70</v>
      </c>
      <c r="F861">
        <v>114.6</v>
      </c>
      <c r="G861">
        <v>1.6</v>
      </c>
      <c r="H861">
        <v>1</v>
      </c>
      <c r="I861">
        <v>0</v>
      </c>
      <c r="J861">
        <v>0</v>
      </c>
      <c r="K861">
        <v>0</v>
      </c>
      <c r="L861">
        <v>0</v>
      </c>
      <c r="M861">
        <v>0</v>
      </c>
      <c r="N861">
        <v>35638</v>
      </c>
      <c r="O861">
        <v>88571</v>
      </c>
      <c r="P861">
        <v>41021</v>
      </c>
      <c r="Q861">
        <v>41</v>
      </c>
      <c r="R861">
        <v>62</v>
      </c>
      <c r="S861">
        <v>47</v>
      </c>
      <c r="T861">
        <v>12</v>
      </c>
      <c r="U861">
        <v>17</v>
      </c>
    </row>
    <row r="862" spans="1:21" x14ac:dyDescent="0.35">
      <c r="A862" t="s">
        <v>26</v>
      </c>
      <c r="B862" s="1">
        <v>45233</v>
      </c>
      <c r="C862" t="s">
        <v>27</v>
      </c>
      <c r="D862">
        <v>0</v>
      </c>
      <c r="E862">
        <v>1.2</v>
      </c>
      <c r="F862">
        <v>0</v>
      </c>
      <c r="G862">
        <v>0</v>
      </c>
      <c r="H862">
        <v>0</v>
      </c>
      <c r="I862">
        <v>0</v>
      </c>
      <c r="J862">
        <v>0</v>
      </c>
      <c r="K862">
        <v>0</v>
      </c>
      <c r="L862">
        <v>0</v>
      </c>
      <c r="M862">
        <v>0</v>
      </c>
      <c r="N862">
        <v>33097</v>
      </c>
      <c r="O862">
        <v>86429</v>
      </c>
      <c r="P862">
        <v>44562</v>
      </c>
      <c r="Q862">
        <v>0</v>
      </c>
      <c r="R862">
        <v>1</v>
      </c>
      <c r="S862">
        <v>0</v>
      </c>
      <c r="T862">
        <v>12</v>
      </c>
      <c r="U862">
        <v>17</v>
      </c>
    </row>
    <row r="863" spans="1:21" x14ac:dyDescent="0.35">
      <c r="A863" t="s">
        <v>26</v>
      </c>
      <c r="B863" s="1">
        <v>44975</v>
      </c>
      <c r="C863" t="s">
        <v>30</v>
      </c>
      <c r="D863">
        <v>32.4</v>
      </c>
      <c r="E863">
        <v>79.099999999999994</v>
      </c>
      <c r="F863">
        <v>59.4</v>
      </c>
      <c r="G863">
        <v>0.4</v>
      </c>
      <c r="H863">
        <v>0.5</v>
      </c>
      <c r="I863">
        <v>0</v>
      </c>
      <c r="J863">
        <v>0</v>
      </c>
      <c r="K863">
        <v>0</v>
      </c>
      <c r="L863">
        <v>0</v>
      </c>
      <c r="M863">
        <v>0</v>
      </c>
      <c r="N863">
        <v>24700</v>
      </c>
      <c r="O863">
        <v>11377</v>
      </c>
      <c r="P863">
        <v>47122</v>
      </c>
      <c r="Q863">
        <v>8</v>
      </c>
      <c r="R863">
        <v>9</v>
      </c>
      <c r="S863">
        <v>28</v>
      </c>
      <c r="T863">
        <v>80</v>
      </c>
      <c r="U863">
        <v>200</v>
      </c>
    </row>
    <row r="864" spans="1:21" x14ac:dyDescent="0.35">
      <c r="A864" t="s">
        <v>28</v>
      </c>
      <c r="B864" s="1">
        <v>45073</v>
      </c>
      <c r="C864" t="s">
        <v>25</v>
      </c>
      <c r="D864">
        <v>22.7</v>
      </c>
      <c r="E864">
        <v>9.8000000000000007</v>
      </c>
      <c r="F864">
        <v>11.8</v>
      </c>
      <c r="G864">
        <v>2.2999999999999998</v>
      </c>
      <c r="H864">
        <v>1.9</v>
      </c>
      <c r="I864">
        <v>0</v>
      </c>
      <c r="J864">
        <v>0</v>
      </c>
      <c r="K864">
        <v>0</v>
      </c>
      <c r="L864">
        <v>0</v>
      </c>
      <c r="M864">
        <v>0</v>
      </c>
      <c r="N864">
        <v>74841</v>
      </c>
      <c r="O864">
        <v>214134</v>
      </c>
      <c r="P864">
        <v>161693</v>
      </c>
      <c r="Q864">
        <v>17</v>
      </c>
      <c r="R864">
        <v>21</v>
      </c>
      <c r="S864">
        <v>19</v>
      </c>
      <c r="T864">
        <v>18</v>
      </c>
      <c r="U864">
        <v>29</v>
      </c>
    </row>
    <row r="865" spans="1:21" x14ac:dyDescent="0.35">
      <c r="A865" t="s">
        <v>21</v>
      </c>
      <c r="B865" s="1">
        <v>45129</v>
      </c>
      <c r="C865" t="s">
        <v>24</v>
      </c>
      <c r="D865">
        <v>0</v>
      </c>
      <c r="E865">
        <v>0</v>
      </c>
      <c r="F865">
        <v>0</v>
      </c>
      <c r="G865">
        <v>0</v>
      </c>
      <c r="H865">
        <v>0</v>
      </c>
      <c r="I865">
        <v>0</v>
      </c>
      <c r="J865">
        <v>0</v>
      </c>
      <c r="K865">
        <v>0</v>
      </c>
      <c r="L865">
        <v>0</v>
      </c>
      <c r="M865">
        <v>0</v>
      </c>
      <c r="N865">
        <v>90050</v>
      </c>
      <c r="O865">
        <v>82668</v>
      </c>
      <c r="P865">
        <v>21259</v>
      </c>
      <c r="Q865">
        <v>0</v>
      </c>
      <c r="R865">
        <v>0</v>
      </c>
      <c r="S865">
        <v>0</v>
      </c>
      <c r="T865">
        <v>5</v>
      </c>
      <c r="U865">
        <v>11</v>
      </c>
    </row>
    <row r="866" spans="1:21" x14ac:dyDescent="0.35">
      <c r="A866" t="s">
        <v>26</v>
      </c>
      <c r="B866" s="1">
        <v>44394</v>
      </c>
      <c r="C866" t="s">
        <v>22</v>
      </c>
      <c r="D866">
        <v>4.4000000000000004</v>
      </c>
      <c r="E866">
        <v>0.4</v>
      </c>
      <c r="F866">
        <v>0</v>
      </c>
      <c r="G866">
        <v>11</v>
      </c>
      <c r="H866">
        <v>0</v>
      </c>
      <c r="I866">
        <v>5.9</v>
      </c>
      <c r="J866">
        <v>0.3</v>
      </c>
      <c r="K866">
        <v>0</v>
      </c>
      <c r="L866">
        <v>19.3</v>
      </c>
      <c r="M866">
        <v>0</v>
      </c>
      <c r="N866">
        <v>1181533</v>
      </c>
      <c r="O866">
        <v>1367281</v>
      </c>
      <c r="P866">
        <v>0</v>
      </c>
      <c r="Q866">
        <v>52</v>
      </c>
      <c r="R866">
        <v>6</v>
      </c>
      <c r="S866">
        <v>0</v>
      </c>
      <c r="T866">
        <v>999</v>
      </c>
      <c r="U866">
        <v>999</v>
      </c>
    </row>
    <row r="867" spans="1:21" x14ac:dyDescent="0.35">
      <c r="A867" t="s">
        <v>28</v>
      </c>
      <c r="B867" s="1">
        <v>44919</v>
      </c>
      <c r="C867" t="s">
        <v>23</v>
      </c>
      <c r="D867">
        <v>493.5</v>
      </c>
      <c r="E867">
        <v>119.6</v>
      </c>
      <c r="F867">
        <v>187.6</v>
      </c>
      <c r="G867">
        <v>4.0999999999999996</v>
      </c>
      <c r="H867">
        <v>2.6</v>
      </c>
      <c r="I867">
        <v>0</v>
      </c>
      <c r="J867">
        <v>0</v>
      </c>
      <c r="K867">
        <v>0</v>
      </c>
      <c r="L867">
        <v>0</v>
      </c>
      <c r="M867">
        <v>0</v>
      </c>
      <c r="N867">
        <v>35058</v>
      </c>
      <c r="O867">
        <v>125409</v>
      </c>
      <c r="P867">
        <v>246789</v>
      </c>
      <c r="Q867">
        <v>173</v>
      </c>
      <c r="R867">
        <v>150</v>
      </c>
      <c r="S867">
        <v>463</v>
      </c>
      <c r="T867">
        <v>50</v>
      </c>
      <c r="U867">
        <v>64</v>
      </c>
    </row>
    <row r="868" spans="1:21" x14ac:dyDescent="0.35">
      <c r="A868" t="s">
        <v>21</v>
      </c>
      <c r="B868" s="1">
        <v>44295</v>
      </c>
      <c r="C868" t="s">
        <v>29</v>
      </c>
      <c r="D868">
        <v>2.5</v>
      </c>
      <c r="E868">
        <v>0</v>
      </c>
      <c r="F868">
        <v>0</v>
      </c>
      <c r="G868">
        <v>0</v>
      </c>
      <c r="H868">
        <v>0</v>
      </c>
      <c r="I868">
        <v>0</v>
      </c>
      <c r="J868">
        <v>0</v>
      </c>
      <c r="K868">
        <v>0</v>
      </c>
      <c r="L868">
        <v>0</v>
      </c>
      <c r="M868">
        <v>0</v>
      </c>
      <c r="N868">
        <v>237570</v>
      </c>
      <c r="O868">
        <v>516114</v>
      </c>
      <c r="P868">
        <v>0</v>
      </c>
      <c r="Q868">
        <v>6</v>
      </c>
      <c r="R868">
        <v>0</v>
      </c>
      <c r="S868">
        <v>0</v>
      </c>
      <c r="T868">
        <v>30</v>
      </c>
      <c r="U868">
        <v>49</v>
      </c>
    </row>
    <row r="869" spans="1:21" x14ac:dyDescent="0.35">
      <c r="A869" t="s">
        <v>21</v>
      </c>
      <c r="B869" s="1">
        <v>44632</v>
      </c>
      <c r="C869" t="s">
        <v>32</v>
      </c>
      <c r="D869">
        <v>0</v>
      </c>
      <c r="E869">
        <v>0</v>
      </c>
      <c r="F869">
        <v>0</v>
      </c>
      <c r="G869">
        <v>0</v>
      </c>
      <c r="H869">
        <v>0</v>
      </c>
      <c r="I869">
        <v>0</v>
      </c>
      <c r="J869">
        <v>0</v>
      </c>
      <c r="K869">
        <v>0</v>
      </c>
      <c r="L869">
        <v>0</v>
      </c>
      <c r="M869">
        <v>0</v>
      </c>
      <c r="N869">
        <v>162642</v>
      </c>
      <c r="O869">
        <v>0</v>
      </c>
      <c r="P869">
        <v>0</v>
      </c>
      <c r="Q869">
        <v>0</v>
      </c>
      <c r="R869">
        <v>0</v>
      </c>
      <c r="S869">
        <v>0</v>
      </c>
      <c r="T869">
        <v>0</v>
      </c>
      <c r="U869">
        <v>4</v>
      </c>
    </row>
    <row r="870" spans="1:21" x14ac:dyDescent="0.35">
      <c r="A870" t="s">
        <v>26</v>
      </c>
      <c r="B870" s="1">
        <v>44891</v>
      </c>
      <c r="C870" t="s">
        <v>32</v>
      </c>
      <c r="D870">
        <v>1.2</v>
      </c>
      <c r="E870">
        <v>0</v>
      </c>
      <c r="F870">
        <v>0</v>
      </c>
      <c r="G870">
        <v>0</v>
      </c>
      <c r="H870">
        <v>0</v>
      </c>
      <c r="I870">
        <v>0</v>
      </c>
      <c r="J870">
        <v>0</v>
      </c>
      <c r="K870">
        <v>0</v>
      </c>
      <c r="L870">
        <v>0</v>
      </c>
      <c r="M870">
        <v>0</v>
      </c>
      <c r="N870">
        <v>162642</v>
      </c>
      <c r="O870">
        <v>0</v>
      </c>
      <c r="P870">
        <v>0</v>
      </c>
      <c r="Q870">
        <v>2</v>
      </c>
      <c r="R870">
        <v>0</v>
      </c>
      <c r="S870">
        <v>0</v>
      </c>
      <c r="T870">
        <v>0</v>
      </c>
      <c r="U870">
        <v>4</v>
      </c>
    </row>
    <row r="871" spans="1:21" x14ac:dyDescent="0.35">
      <c r="A871" t="s">
        <v>28</v>
      </c>
      <c r="B871" s="1">
        <v>45010</v>
      </c>
      <c r="C871" t="s">
        <v>25</v>
      </c>
      <c r="D871">
        <v>69.5</v>
      </c>
      <c r="E871">
        <v>32.700000000000003</v>
      </c>
      <c r="F871">
        <v>45.2</v>
      </c>
      <c r="G871">
        <v>2.1</v>
      </c>
      <c r="H871">
        <v>1.5</v>
      </c>
      <c r="I871">
        <v>0</v>
      </c>
      <c r="J871">
        <v>0</v>
      </c>
      <c r="K871">
        <v>0</v>
      </c>
      <c r="L871">
        <v>0</v>
      </c>
      <c r="M871">
        <v>0</v>
      </c>
      <c r="N871">
        <v>76243</v>
      </c>
      <c r="O871">
        <v>213785</v>
      </c>
      <c r="P871">
        <v>161673</v>
      </c>
      <c r="Q871">
        <v>53</v>
      </c>
      <c r="R871">
        <v>70</v>
      </c>
      <c r="S871">
        <v>73</v>
      </c>
      <c r="T871">
        <v>18</v>
      </c>
      <c r="U871">
        <v>29</v>
      </c>
    </row>
    <row r="872" spans="1:21" x14ac:dyDescent="0.35">
      <c r="A872" t="s">
        <v>28</v>
      </c>
      <c r="B872" s="1">
        <v>44863</v>
      </c>
      <c r="C872" t="s">
        <v>30</v>
      </c>
      <c r="D872">
        <v>122.4</v>
      </c>
      <c r="E872">
        <v>211.1</v>
      </c>
      <c r="F872">
        <v>165.7</v>
      </c>
      <c r="G872">
        <v>0.6</v>
      </c>
      <c r="H872">
        <v>0.7</v>
      </c>
      <c r="I872">
        <v>0</v>
      </c>
      <c r="J872">
        <v>0</v>
      </c>
      <c r="K872">
        <v>0</v>
      </c>
      <c r="L872">
        <v>0</v>
      </c>
      <c r="M872">
        <v>0</v>
      </c>
      <c r="N872">
        <v>25326</v>
      </c>
      <c r="O872">
        <v>11370</v>
      </c>
      <c r="P872">
        <v>47077</v>
      </c>
      <c r="Q872">
        <v>31</v>
      </c>
      <c r="R872">
        <v>24</v>
      </c>
      <c r="S872">
        <v>78</v>
      </c>
      <c r="T872">
        <v>80</v>
      </c>
      <c r="U872">
        <v>200</v>
      </c>
    </row>
    <row r="873" spans="1:21" x14ac:dyDescent="0.35">
      <c r="A873" t="s">
        <v>28</v>
      </c>
      <c r="B873" s="1">
        <v>44975</v>
      </c>
      <c r="C873" t="s">
        <v>27</v>
      </c>
      <c r="D873">
        <v>210.6</v>
      </c>
      <c r="E873">
        <v>74.099999999999994</v>
      </c>
      <c r="F873">
        <v>74.099999999999994</v>
      </c>
      <c r="G873">
        <v>2.8</v>
      </c>
      <c r="H873">
        <v>2.8</v>
      </c>
      <c r="I873">
        <v>0</v>
      </c>
      <c r="J873">
        <v>0</v>
      </c>
      <c r="K873">
        <v>0</v>
      </c>
      <c r="L873">
        <v>0</v>
      </c>
      <c r="M873">
        <v>0</v>
      </c>
      <c r="N873">
        <v>33231</v>
      </c>
      <c r="O873">
        <v>86353</v>
      </c>
      <c r="P873">
        <v>44558</v>
      </c>
      <c r="Q873">
        <v>70</v>
      </c>
      <c r="R873">
        <v>64</v>
      </c>
      <c r="S873">
        <v>33</v>
      </c>
      <c r="T873">
        <v>12</v>
      </c>
      <c r="U873">
        <v>17</v>
      </c>
    </row>
    <row r="874" spans="1:21" x14ac:dyDescent="0.35">
      <c r="A874" t="s">
        <v>21</v>
      </c>
      <c r="B874" s="1">
        <v>44793</v>
      </c>
      <c r="C874" t="s">
        <v>22</v>
      </c>
      <c r="D874">
        <v>0.8</v>
      </c>
      <c r="E874">
        <v>0.2</v>
      </c>
      <c r="F874">
        <v>0.5</v>
      </c>
      <c r="G874">
        <v>4</v>
      </c>
      <c r="H874">
        <v>1.6</v>
      </c>
      <c r="I874">
        <v>0.8</v>
      </c>
      <c r="J874">
        <v>0.6</v>
      </c>
      <c r="K874">
        <v>0.3</v>
      </c>
      <c r="L874">
        <v>1.4</v>
      </c>
      <c r="M874">
        <v>2.4</v>
      </c>
      <c r="N874">
        <v>608684</v>
      </c>
      <c r="O874">
        <v>846709</v>
      </c>
      <c r="P874">
        <v>1022491</v>
      </c>
      <c r="Q874">
        <v>5</v>
      </c>
      <c r="R874">
        <v>2</v>
      </c>
      <c r="S874">
        <v>5</v>
      </c>
      <c r="T874">
        <v>999</v>
      </c>
      <c r="U874">
        <v>999</v>
      </c>
    </row>
    <row r="875" spans="1:21" x14ac:dyDescent="0.35">
      <c r="A875" t="s">
        <v>21</v>
      </c>
      <c r="B875" s="1">
        <v>45003</v>
      </c>
      <c r="C875" t="s">
        <v>22</v>
      </c>
      <c r="D875">
        <v>0.2</v>
      </c>
      <c r="E875">
        <v>0.3</v>
      </c>
      <c r="F875">
        <v>0.2</v>
      </c>
      <c r="G875">
        <v>0.7</v>
      </c>
      <c r="H875">
        <v>1</v>
      </c>
      <c r="I875">
        <v>0.1</v>
      </c>
      <c r="J875">
        <v>0.7</v>
      </c>
      <c r="K875">
        <v>0.1</v>
      </c>
      <c r="L875">
        <v>0.2</v>
      </c>
      <c r="M875">
        <v>1.2</v>
      </c>
      <c r="N875">
        <v>542688</v>
      </c>
      <c r="O875">
        <v>858373</v>
      </c>
      <c r="P875">
        <v>1040492</v>
      </c>
      <c r="Q875">
        <v>1</v>
      </c>
      <c r="R875">
        <v>3</v>
      </c>
      <c r="S875">
        <v>2</v>
      </c>
      <c r="T875">
        <v>999</v>
      </c>
      <c r="U875">
        <v>999</v>
      </c>
    </row>
    <row r="876" spans="1:21" x14ac:dyDescent="0.35">
      <c r="A876" t="s">
        <v>26</v>
      </c>
      <c r="B876" s="1">
        <v>45019</v>
      </c>
      <c r="C876" t="s">
        <v>29</v>
      </c>
      <c r="D876">
        <v>5.4</v>
      </c>
      <c r="E876">
        <v>2.5</v>
      </c>
      <c r="F876">
        <v>3.5</v>
      </c>
      <c r="G876">
        <v>2.2000000000000002</v>
      </c>
      <c r="H876">
        <v>1.5</v>
      </c>
      <c r="I876">
        <v>0</v>
      </c>
      <c r="J876">
        <v>0</v>
      </c>
      <c r="K876">
        <v>0</v>
      </c>
      <c r="L876">
        <v>0</v>
      </c>
      <c r="M876">
        <v>0</v>
      </c>
      <c r="N876">
        <v>110600</v>
      </c>
      <c r="O876">
        <v>277895</v>
      </c>
      <c r="P876">
        <v>347260</v>
      </c>
      <c r="Q876">
        <v>6</v>
      </c>
      <c r="R876">
        <v>7</v>
      </c>
      <c r="S876">
        <v>12</v>
      </c>
      <c r="T876">
        <v>30</v>
      </c>
      <c r="U876">
        <v>49</v>
      </c>
    </row>
    <row r="877" spans="1:21" x14ac:dyDescent="0.35">
      <c r="A877" t="s">
        <v>21</v>
      </c>
      <c r="B877" s="1">
        <v>44259</v>
      </c>
      <c r="C877" t="s">
        <v>27</v>
      </c>
      <c r="D877">
        <v>0</v>
      </c>
      <c r="E877">
        <v>0</v>
      </c>
      <c r="F877">
        <v>0</v>
      </c>
      <c r="G877">
        <v>0</v>
      </c>
      <c r="H877">
        <v>0</v>
      </c>
      <c r="I877">
        <v>0</v>
      </c>
      <c r="J877">
        <v>0</v>
      </c>
      <c r="K877">
        <v>0</v>
      </c>
      <c r="L877">
        <v>0</v>
      </c>
      <c r="M877">
        <v>0</v>
      </c>
      <c r="N877">
        <v>178794</v>
      </c>
      <c r="O877">
        <v>0</v>
      </c>
      <c r="P877">
        <v>0</v>
      </c>
      <c r="Q877">
        <v>0</v>
      </c>
      <c r="R877">
        <v>0</v>
      </c>
      <c r="S877">
        <v>0</v>
      </c>
      <c r="T877">
        <v>12</v>
      </c>
      <c r="U877">
        <v>17</v>
      </c>
    </row>
    <row r="878" spans="1:21" x14ac:dyDescent="0.35">
      <c r="A878" t="s">
        <v>26</v>
      </c>
      <c r="B878" s="1">
        <v>44322</v>
      </c>
      <c r="C878" t="s">
        <v>23</v>
      </c>
      <c r="D878">
        <v>25.5</v>
      </c>
      <c r="E878">
        <v>0.4</v>
      </c>
      <c r="F878">
        <v>0</v>
      </c>
      <c r="G878">
        <v>63.8</v>
      </c>
      <c r="H878">
        <v>0</v>
      </c>
      <c r="I878">
        <v>0</v>
      </c>
      <c r="J878">
        <v>0</v>
      </c>
      <c r="K878">
        <v>0</v>
      </c>
      <c r="L878">
        <v>0</v>
      </c>
      <c r="M878">
        <v>0</v>
      </c>
      <c r="N878">
        <v>121592</v>
      </c>
      <c r="O878">
        <v>270415</v>
      </c>
      <c r="P878">
        <v>0</v>
      </c>
      <c r="Q878">
        <v>31</v>
      </c>
      <c r="R878">
        <v>1</v>
      </c>
      <c r="S878">
        <v>0</v>
      </c>
      <c r="T878">
        <v>50</v>
      </c>
      <c r="U878">
        <v>64</v>
      </c>
    </row>
    <row r="879" spans="1:21" x14ac:dyDescent="0.35">
      <c r="A879" t="s">
        <v>21</v>
      </c>
      <c r="B879" s="1">
        <v>44303</v>
      </c>
      <c r="C879" t="s">
        <v>29</v>
      </c>
      <c r="D879">
        <v>0.7</v>
      </c>
      <c r="E879">
        <v>0</v>
      </c>
      <c r="F879">
        <v>0</v>
      </c>
      <c r="G879">
        <v>0</v>
      </c>
      <c r="H879">
        <v>0</v>
      </c>
      <c r="I879">
        <v>0</v>
      </c>
      <c r="J879">
        <v>0</v>
      </c>
      <c r="K879">
        <v>0</v>
      </c>
      <c r="L879">
        <v>0</v>
      </c>
      <c r="M879">
        <v>0</v>
      </c>
      <c r="N879">
        <v>419282</v>
      </c>
      <c r="O879">
        <v>148748</v>
      </c>
      <c r="P879">
        <v>0</v>
      </c>
      <c r="Q879">
        <v>3</v>
      </c>
      <c r="R879">
        <v>0</v>
      </c>
      <c r="S879">
        <v>0</v>
      </c>
      <c r="T879">
        <v>30</v>
      </c>
      <c r="U879">
        <v>49</v>
      </c>
    </row>
    <row r="880" spans="1:21" x14ac:dyDescent="0.35">
      <c r="A880" t="s">
        <v>21</v>
      </c>
      <c r="B880" s="1">
        <v>44629</v>
      </c>
      <c r="C880" t="s">
        <v>22</v>
      </c>
      <c r="D880">
        <v>0.5</v>
      </c>
      <c r="E880">
        <v>0.1</v>
      </c>
      <c r="F880">
        <v>0.4</v>
      </c>
      <c r="G880">
        <v>5</v>
      </c>
      <c r="H880">
        <v>1.2</v>
      </c>
      <c r="I880">
        <v>0.5</v>
      </c>
      <c r="J880">
        <v>0.1</v>
      </c>
      <c r="K880">
        <v>0.3</v>
      </c>
      <c r="L880">
        <v>4.5</v>
      </c>
      <c r="M880">
        <v>1.8</v>
      </c>
      <c r="N880">
        <v>604544</v>
      </c>
      <c r="O880">
        <v>842367</v>
      </c>
      <c r="P880">
        <v>1030965</v>
      </c>
      <c r="Q880">
        <v>3</v>
      </c>
      <c r="R880">
        <v>1</v>
      </c>
      <c r="S880">
        <v>4</v>
      </c>
      <c r="T880">
        <v>999</v>
      </c>
      <c r="U880">
        <v>999</v>
      </c>
    </row>
    <row r="881" spans="1:21" x14ac:dyDescent="0.35">
      <c r="A881" t="s">
        <v>21</v>
      </c>
      <c r="B881" s="1">
        <v>44800</v>
      </c>
      <c r="C881" t="s">
        <v>29</v>
      </c>
      <c r="D881">
        <v>0</v>
      </c>
      <c r="E881">
        <v>0</v>
      </c>
      <c r="F881">
        <v>0</v>
      </c>
      <c r="G881">
        <v>0</v>
      </c>
      <c r="H881">
        <v>0</v>
      </c>
      <c r="I881">
        <v>0</v>
      </c>
      <c r="J881">
        <v>0</v>
      </c>
      <c r="K881">
        <v>0</v>
      </c>
      <c r="L881">
        <v>0</v>
      </c>
      <c r="M881">
        <v>0</v>
      </c>
      <c r="N881">
        <v>125403</v>
      </c>
      <c r="O881">
        <v>276779</v>
      </c>
      <c r="P881">
        <v>345420</v>
      </c>
      <c r="Q881">
        <v>0</v>
      </c>
      <c r="R881">
        <v>0</v>
      </c>
      <c r="S881">
        <v>0</v>
      </c>
      <c r="T881">
        <v>30</v>
      </c>
      <c r="U881">
        <v>49</v>
      </c>
    </row>
    <row r="882" spans="1:21" x14ac:dyDescent="0.35">
      <c r="A882" t="s">
        <v>28</v>
      </c>
      <c r="B882" s="1">
        <v>44512</v>
      </c>
      <c r="C882" t="s">
        <v>27</v>
      </c>
      <c r="D882">
        <v>750.4</v>
      </c>
      <c r="E882">
        <v>134.9</v>
      </c>
      <c r="F882">
        <v>0</v>
      </c>
      <c r="G882">
        <v>5.6</v>
      </c>
      <c r="H882">
        <v>0</v>
      </c>
      <c r="I882">
        <v>0</v>
      </c>
      <c r="J882">
        <v>0</v>
      </c>
      <c r="K882">
        <v>0</v>
      </c>
      <c r="L882">
        <v>0</v>
      </c>
      <c r="M882">
        <v>0</v>
      </c>
      <c r="N882">
        <v>57433</v>
      </c>
      <c r="O882">
        <v>105995</v>
      </c>
      <c r="P882">
        <v>469</v>
      </c>
      <c r="Q882">
        <v>431</v>
      </c>
      <c r="R882">
        <v>143</v>
      </c>
      <c r="S882">
        <v>0</v>
      </c>
      <c r="T882">
        <v>12</v>
      </c>
      <c r="U882">
        <v>17</v>
      </c>
    </row>
    <row r="883" spans="1:21" x14ac:dyDescent="0.35">
      <c r="A883" t="s">
        <v>21</v>
      </c>
      <c r="B883" s="1">
        <v>44786</v>
      </c>
      <c r="C883" t="s">
        <v>32</v>
      </c>
      <c r="D883">
        <v>0</v>
      </c>
      <c r="E883">
        <v>0</v>
      </c>
      <c r="F883">
        <v>0</v>
      </c>
      <c r="G883">
        <v>0</v>
      </c>
      <c r="H883">
        <v>0</v>
      </c>
      <c r="I883">
        <v>0</v>
      </c>
      <c r="J883">
        <v>0</v>
      </c>
      <c r="K883">
        <v>0</v>
      </c>
      <c r="L883">
        <v>0</v>
      </c>
      <c r="M883">
        <v>0</v>
      </c>
      <c r="N883">
        <v>162642</v>
      </c>
      <c r="O883">
        <v>0</v>
      </c>
      <c r="P883">
        <v>0</v>
      </c>
      <c r="Q883">
        <v>0</v>
      </c>
      <c r="R883">
        <v>0</v>
      </c>
      <c r="S883">
        <v>0</v>
      </c>
      <c r="T883">
        <v>0</v>
      </c>
      <c r="U883">
        <v>4</v>
      </c>
    </row>
    <row r="884" spans="1:21" x14ac:dyDescent="0.35">
      <c r="A884" t="s">
        <v>28</v>
      </c>
      <c r="B884" s="1">
        <v>45082</v>
      </c>
      <c r="C884" t="s">
        <v>29</v>
      </c>
      <c r="D884">
        <v>52.3</v>
      </c>
      <c r="E884">
        <v>22.3</v>
      </c>
      <c r="F884">
        <v>27.1</v>
      </c>
      <c r="G884">
        <v>2.2999999999999998</v>
      </c>
      <c r="H884">
        <v>1.9</v>
      </c>
      <c r="I884">
        <v>0</v>
      </c>
      <c r="J884">
        <v>0</v>
      </c>
      <c r="K884">
        <v>0</v>
      </c>
      <c r="L884">
        <v>0</v>
      </c>
      <c r="M884">
        <v>0</v>
      </c>
      <c r="N884">
        <v>109056</v>
      </c>
      <c r="O884">
        <v>278396</v>
      </c>
      <c r="P884">
        <v>347295</v>
      </c>
      <c r="Q884">
        <v>57</v>
      </c>
      <c r="R884">
        <v>62</v>
      </c>
      <c r="S884">
        <v>94</v>
      </c>
      <c r="T884">
        <v>30</v>
      </c>
      <c r="U884">
        <v>49</v>
      </c>
    </row>
    <row r="885" spans="1:21" x14ac:dyDescent="0.35">
      <c r="A885" t="s">
        <v>21</v>
      </c>
      <c r="B885" s="1">
        <v>45117</v>
      </c>
      <c r="C885" t="s">
        <v>25</v>
      </c>
      <c r="D885">
        <v>0</v>
      </c>
      <c r="E885">
        <v>0</v>
      </c>
      <c r="F885">
        <v>0</v>
      </c>
      <c r="G885">
        <v>0</v>
      </c>
      <c r="H885">
        <v>0</v>
      </c>
      <c r="I885">
        <v>0</v>
      </c>
      <c r="J885">
        <v>0</v>
      </c>
      <c r="K885">
        <v>0</v>
      </c>
      <c r="L885">
        <v>0</v>
      </c>
      <c r="M885">
        <v>0</v>
      </c>
      <c r="N885">
        <v>71968</v>
      </c>
      <c r="O885">
        <v>214276</v>
      </c>
      <c r="P885">
        <v>161803</v>
      </c>
      <c r="Q885">
        <v>0</v>
      </c>
      <c r="R885">
        <v>0</v>
      </c>
      <c r="S885">
        <v>0</v>
      </c>
      <c r="T885">
        <v>18</v>
      </c>
      <c r="U885">
        <v>29</v>
      </c>
    </row>
    <row r="886" spans="1:21" x14ac:dyDescent="0.35">
      <c r="A886" t="s">
        <v>26</v>
      </c>
      <c r="B886" s="1">
        <v>44449</v>
      </c>
      <c r="C886" t="s">
        <v>31</v>
      </c>
      <c r="D886">
        <v>34.1</v>
      </c>
      <c r="E886">
        <v>8.9</v>
      </c>
      <c r="F886">
        <v>0</v>
      </c>
      <c r="G886">
        <v>3.8</v>
      </c>
      <c r="H886">
        <v>0</v>
      </c>
      <c r="I886">
        <v>0</v>
      </c>
      <c r="J886">
        <v>0</v>
      </c>
      <c r="K886">
        <v>0</v>
      </c>
      <c r="L886">
        <v>0</v>
      </c>
      <c r="M886">
        <v>0</v>
      </c>
      <c r="N886">
        <v>61521</v>
      </c>
      <c r="O886">
        <v>191460</v>
      </c>
      <c r="P886">
        <v>0</v>
      </c>
      <c r="Q886">
        <v>21</v>
      </c>
      <c r="R886">
        <v>17</v>
      </c>
      <c r="S886">
        <v>0</v>
      </c>
      <c r="T886">
        <v>65</v>
      </c>
      <c r="U886">
        <v>79</v>
      </c>
    </row>
    <row r="887" spans="1:21" x14ac:dyDescent="0.35">
      <c r="A887" t="s">
        <v>21</v>
      </c>
      <c r="B887" s="1">
        <v>44646</v>
      </c>
      <c r="C887" t="s">
        <v>29</v>
      </c>
      <c r="D887">
        <v>0</v>
      </c>
      <c r="E887">
        <v>0</v>
      </c>
      <c r="F887">
        <v>0</v>
      </c>
      <c r="G887">
        <v>0</v>
      </c>
      <c r="H887">
        <v>0</v>
      </c>
      <c r="I887">
        <v>0</v>
      </c>
      <c r="J887">
        <v>0</v>
      </c>
      <c r="K887">
        <v>0</v>
      </c>
      <c r="L887">
        <v>0</v>
      </c>
      <c r="M887">
        <v>0</v>
      </c>
      <c r="N887">
        <v>133230</v>
      </c>
      <c r="O887">
        <v>291909</v>
      </c>
      <c r="P887">
        <v>322847</v>
      </c>
      <c r="Q887">
        <v>0</v>
      </c>
      <c r="R887">
        <v>0</v>
      </c>
      <c r="S887">
        <v>0</v>
      </c>
      <c r="T887">
        <v>30</v>
      </c>
      <c r="U887">
        <v>49</v>
      </c>
    </row>
    <row r="888" spans="1:21" x14ac:dyDescent="0.35">
      <c r="A888" t="s">
        <v>21</v>
      </c>
      <c r="B888" s="1">
        <v>45010</v>
      </c>
      <c r="C888" t="s">
        <v>29</v>
      </c>
      <c r="D888">
        <v>0</v>
      </c>
      <c r="E888">
        <v>0</v>
      </c>
      <c r="F888">
        <v>0.3</v>
      </c>
      <c r="G888">
        <v>0</v>
      </c>
      <c r="H888">
        <v>0</v>
      </c>
      <c r="I888">
        <v>0</v>
      </c>
      <c r="J888">
        <v>0</v>
      </c>
      <c r="K888">
        <v>0</v>
      </c>
      <c r="L888">
        <v>0</v>
      </c>
      <c r="M888">
        <v>0</v>
      </c>
      <c r="N888">
        <v>110064</v>
      </c>
      <c r="O888">
        <v>278072</v>
      </c>
      <c r="P888">
        <v>347275</v>
      </c>
      <c r="Q888">
        <v>0</v>
      </c>
      <c r="R888">
        <v>0</v>
      </c>
      <c r="S888">
        <v>1</v>
      </c>
      <c r="T888">
        <v>30</v>
      </c>
      <c r="U888">
        <v>49</v>
      </c>
    </row>
    <row r="889" spans="1:21" x14ac:dyDescent="0.35">
      <c r="A889" t="s">
        <v>21</v>
      </c>
      <c r="B889" s="1">
        <v>44322</v>
      </c>
      <c r="C889" t="s">
        <v>30</v>
      </c>
      <c r="D889">
        <v>8.6999999999999993</v>
      </c>
      <c r="E889">
        <v>0</v>
      </c>
      <c r="F889">
        <v>0</v>
      </c>
      <c r="G889">
        <v>0</v>
      </c>
      <c r="H889">
        <v>0</v>
      </c>
      <c r="I889">
        <v>0</v>
      </c>
      <c r="J889">
        <v>0</v>
      </c>
      <c r="K889">
        <v>0</v>
      </c>
      <c r="L889">
        <v>0</v>
      </c>
      <c r="M889">
        <v>0</v>
      </c>
      <c r="N889">
        <v>34448</v>
      </c>
      <c r="O889">
        <v>49247</v>
      </c>
      <c r="P889">
        <v>0</v>
      </c>
      <c r="Q889">
        <v>3</v>
      </c>
      <c r="R889">
        <v>0</v>
      </c>
      <c r="S889">
        <v>0</v>
      </c>
      <c r="T889">
        <v>80</v>
      </c>
      <c r="U889">
        <v>200</v>
      </c>
    </row>
    <row r="890" spans="1:21" x14ac:dyDescent="0.35">
      <c r="A890" t="s">
        <v>28</v>
      </c>
      <c r="B890" s="1">
        <v>44295</v>
      </c>
      <c r="C890" t="s">
        <v>24</v>
      </c>
      <c r="D890">
        <v>154.4</v>
      </c>
      <c r="E890">
        <v>0</v>
      </c>
      <c r="F890">
        <v>0</v>
      </c>
      <c r="G890">
        <v>0</v>
      </c>
      <c r="H890">
        <v>0</v>
      </c>
      <c r="I890">
        <v>0</v>
      </c>
      <c r="J890">
        <v>0</v>
      </c>
      <c r="K890">
        <v>0</v>
      </c>
      <c r="L890">
        <v>0</v>
      </c>
      <c r="M890">
        <v>0</v>
      </c>
      <c r="N890">
        <v>210448</v>
      </c>
      <c r="O890">
        <v>0</v>
      </c>
      <c r="P890">
        <v>0</v>
      </c>
      <c r="Q890">
        <v>325</v>
      </c>
      <c r="R890">
        <v>0</v>
      </c>
      <c r="S890">
        <v>0</v>
      </c>
      <c r="T890">
        <v>5</v>
      </c>
      <c r="U890">
        <v>11</v>
      </c>
    </row>
    <row r="891" spans="1:21" x14ac:dyDescent="0.35">
      <c r="A891" t="s">
        <v>21</v>
      </c>
      <c r="B891" s="1">
        <v>44667</v>
      </c>
      <c r="C891" t="s">
        <v>22</v>
      </c>
      <c r="D891">
        <v>0.5</v>
      </c>
      <c r="E891">
        <v>0</v>
      </c>
      <c r="F891">
        <v>0.1</v>
      </c>
      <c r="G891">
        <v>0</v>
      </c>
      <c r="H891">
        <v>5</v>
      </c>
      <c r="I891">
        <v>0.8</v>
      </c>
      <c r="J891">
        <v>0</v>
      </c>
      <c r="K891">
        <v>0.1</v>
      </c>
      <c r="L891">
        <v>0</v>
      </c>
      <c r="M891">
        <v>14.3</v>
      </c>
      <c r="N891">
        <v>653769</v>
      </c>
      <c r="O891">
        <v>896402</v>
      </c>
      <c r="P891">
        <v>943061</v>
      </c>
      <c r="Q891">
        <v>3</v>
      </c>
      <c r="R891">
        <v>0</v>
      </c>
      <c r="S891">
        <v>1</v>
      </c>
      <c r="T891">
        <v>999</v>
      </c>
      <c r="U891">
        <v>999</v>
      </c>
    </row>
    <row r="892" spans="1:21" x14ac:dyDescent="0.35">
      <c r="A892" t="s">
        <v>28</v>
      </c>
      <c r="B892" s="1">
        <v>44709</v>
      </c>
      <c r="C892" t="s">
        <v>24</v>
      </c>
      <c r="D892">
        <v>317.7</v>
      </c>
      <c r="E892">
        <v>422.5</v>
      </c>
      <c r="F892">
        <v>717.7</v>
      </c>
      <c r="G892">
        <v>0.8</v>
      </c>
      <c r="H892">
        <v>0.4</v>
      </c>
      <c r="I892">
        <v>0</v>
      </c>
      <c r="J892">
        <v>0</v>
      </c>
      <c r="K892">
        <v>0</v>
      </c>
      <c r="L892">
        <v>0</v>
      </c>
      <c r="M892">
        <v>0</v>
      </c>
      <c r="N892">
        <v>100718</v>
      </c>
      <c r="O892">
        <v>94665</v>
      </c>
      <c r="P892">
        <v>418</v>
      </c>
      <c r="Q892">
        <v>320</v>
      </c>
      <c r="R892">
        <v>400</v>
      </c>
      <c r="S892">
        <v>3</v>
      </c>
      <c r="T892">
        <v>5</v>
      </c>
      <c r="U892">
        <v>11</v>
      </c>
    </row>
    <row r="893" spans="1:21" x14ac:dyDescent="0.35">
      <c r="A893" t="s">
        <v>28</v>
      </c>
      <c r="B893" s="1">
        <v>44485</v>
      </c>
      <c r="C893" t="s">
        <v>31</v>
      </c>
      <c r="D893">
        <v>111.7</v>
      </c>
      <c r="E893">
        <v>41.5</v>
      </c>
      <c r="F893">
        <v>0</v>
      </c>
      <c r="G893">
        <v>2.7</v>
      </c>
      <c r="H893">
        <v>0</v>
      </c>
      <c r="I893">
        <v>0</v>
      </c>
      <c r="J893">
        <v>0</v>
      </c>
      <c r="K893">
        <v>0</v>
      </c>
      <c r="L893">
        <v>0</v>
      </c>
      <c r="M893">
        <v>0</v>
      </c>
      <c r="N893">
        <v>60852</v>
      </c>
      <c r="O893">
        <v>182996</v>
      </c>
      <c r="P893">
        <v>0</v>
      </c>
      <c r="Q893">
        <v>68</v>
      </c>
      <c r="R893">
        <v>76</v>
      </c>
      <c r="S893">
        <v>0</v>
      </c>
      <c r="T893">
        <v>65</v>
      </c>
      <c r="U893">
        <v>79</v>
      </c>
    </row>
    <row r="894" spans="1:21" x14ac:dyDescent="0.35">
      <c r="A894" t="s">
        <v>21</v>
      </c>
      <c r="B894" s="1">
        <v>45019</v>
      </c>
      <c r="C894" t="s">
        <v>24</v>
      </c>
      <c r="D894">
        <v>0</v>
      </c>
      <c r="E894">
        <v>0</v>
      </c>
      <c r="F894">
        <v>0</v>
      </c>
      <c r="G894">
        <v>0</v>
      </c>
      <c r="H894">
        <v>0</v>
      </c>
      <c r="I894">
        <v>0</v>
      </c>
      <c r="J894">
        <v>0</v>
      </c>
      <c r="K894">
        <v>0</v>
      </c>
      <c r="L894">
        <v>0</v>
      </c>
      <c r="M894">
        <v>0</v>
      </c>
      <c r="N894">
        <v>91467</v>
      </c>
      <c r="O894">
        <v>82250</v>
      </c>
      <c r="P894">
        <v>21203</v>
      </c>
      <c r="Q894">
        <v>0</v>
      </c>
      <c r="R894">
        <v>0</v>
      </c>
      <c r="S894">
        <v>0</v>
      </c>
      <c r="T894">
        <v>5</v>
      </c>
      <c r="U894">
        <v>11</v>
      </c>
    </row>
    <row r="895" spans="1:21" x14ac:dyDescent="0.35">
      <c r="A895" t="s">
        <v>26</v>
      </c>
      <c r="B895" s="1">
        <v>44629</v>
      </c>
      <c r="C895" t="s">
        <v>25</v>
      </c>
      <c r="D895">
        <v>7.7</v>
      </c>
      <c r="E895">
        <v>1.4</v>
      </c>
      <c r="F895">
        <v>1.2</v>
      </c>
      <c r="G895">
        <v>5.5</v>
      </c>
      <c r="H895">
        <v>6.4</v>
      </c>
      <c r="I895">
        <v>0</v>
      </c>
      <c r="J895">
        <v>0</v>
      </c>
      <c r="K895">
        <v>0</v>
      </c>
      <c r="L895">
        <v>0</v>
      </c>
      <c r="M895">
        <v>0</v>
      </c>
      <c r="N895">
        <v>90904</v>
      </c>
      <c r="O895">
        <v>211667</v>
      </c>
      <c r="P895">
        <v>160838</v>
      </c>
      <c r="Q895">
        <v>7</v>
      </c>
      <c r="R895">
        <v>3</v>
      </c>
      <c r="S895">
        <v>2</v>
      </c>
      <c r="T895">
        <v>18</v>
      </c>
      <c r="U895">
        <v>29</v>
      </c>
    </row>
    <row r="896" spans="1:21" x14ac:dyDescent="0.35">
      <c r="A896" t="s">
        <v>28</v>
      </c>
      <c r="B896" s="1">
        <v>45164</v>
      </c>
      <c r="C896" t="s">
        <v>31</v>
      </c>
      <c r="D896">
        <v>86.8</v>
      </c>
      <c r="E896">
        <v>43.8</v>
      </c>
      <c r="F896">
        <v>68.099999999999994</v>
      </c>
      <c r="G896">
        <v>2</v>
      </c>
      <c r="H896">
        <v>1.3</v>
      </c>
      <c r="I896">
        <v>0</v>
      </c>
      <c r="J896">
        <v>0</v>
      </c>
      <c r="K896">
        <v>0</v>
      </c>
      <c r="L896">
        <v>0</v>
      </c>
      <c r="M896">
        <v>0</v>
      </c>
      <c r="N896">
        <v>39187</v>
      </c>
      <c r="O896">
        <v>43414</v>
      </c>
      <c r="P896">
        <v>171755</v>
      </c>
      <c r="Q896">
        <v>34</v>
      </c>
      <c r="R896">
        <v>19</v>
      </c>
      <c r="S896">
        <v>117</v>
      </c>
      <c r="T896">
        <v>65</v>
      </c>
      <c r="U896">
        <v>79</v>
      </c>
    </row>
    <row r="897" spans="1:21" x14ac:dyDescent="0.35">
      <c r="A897" t="s">
        <v>21</v>
      </c>
      <c r="B897" s="1">
        <v>45213</v>
      </c>
      <c r="C897" t="s">
        <v>25</v>
      </c>
      <c r="D897">
        <v>0</v>
      </c>
      <c r="E897">
        <v>0</v>
      </c>
      <c r="F897">
        <v>0</v>
      </c>
      <c r="G897">
        <v>0</v>
      </c>
      <c r="H897">
        <v>0</v>
      </c>
      <c r="I897">
        <v>0</v>
      </c>
      <c r="J897">
        <v>0</v>
      </c>
      <c r="K897">
        <v>0</v>
      </c>
      <c r="L897">
        <v>0</v>
      </c>
      <c r="M897">
        <v>0</v>
      </c>
      <c r="N897">
        <v>71300</v>
      </c>
      <c r="O897">
        <v>214478</v>
      </c>
      <c r="P897">
        <v>161898</v>
      </c>
      <c r="Q897">
        <v>0</v>
      </c>
      <c r="R897">
        <v>0</v>
      </c>
      <c r="S897">
        <v>0</v>
      </c>
      <c r="T897">
        <v>18</v>
      </c>
      <c r="U897">
        <v>29</v>
      </c>
    </row>
    <row r="898" spans="1:21" x14ac:dyDescent="0.35">
      <c r="A898" t="s">
        <v>26</v>
      </c>
      <c r="B898" s="1">
        <v>44906</v>
      </c>
      <c r="C898" t="s">
        <v>24</v>
      </c>
      <c r="D898">
        <v>1.1000000000000001</v>
      </c>
      <c r="E898">
        <v>0</v>
      </c>
      <c r="F898">
        <v>0</v>
      </c>
      <c r="G898">
        <v>0</v>
      </c>
      <c r="H898">
        <v>0</v>
      </c>
      <c r="I898">
        <v>0</v>
      </c>
      <c r="J898">
        <v>0</v>
      </c>
      <c r="K898">
        <v>0</v>
      </c>
      <c r="L898">
        <v>0</v>
      </c>
      <c r="M898">
        <v>0</v>
      </c>
      <c r="N898">
        <v>93466</v>
      </c>
      <c r="O898">
        <v>80777</v>
      </c>
      <c r="P898">
        <v>21043</v>
      </c>
      <c r="Q898">
        <v>1</v>
      </c>
      <c r="R898">
        <v>0</v>
      </c>
      <c r="S898">
        <v>0</v>
      </c>
      <c r="T898">
        <v>5</v>
      </c>
      <c r="U898">
        <v>11</v>
      </c>
    </row>
    <row r="899" spans="1:21" x14ac:dyDescent="0.35">
      <c r="A899" t="s">
        <v>21</v>
      </c>
      <c r="B899" s="1">
        <v>45248</v>
      </c>
      <c r="C899" t="s">
        <v>31</v>
      </c>
      <c r="D899">
        <v>0</v>
      </c>
      <c r="E899">
        <v>0</v>
      </c>
      <c r="F899">
        <v>0</v>
      </c>
      <c r="G899">
        <v>0</v>
      </c>
      <c r="H899">
        <v>0</v>
      </c>
      <c r="I899">
        <v>0</v>
      </c>
      <c r="J899">
        <v>0</v>
      </c>
      <c r="K899">
        <v>0</v>
      </c>
      <c r="L899">
        <v>0</v>
      </c>
      <c r="M899">
        <v>0</v>
      </c>
      <c r="N899">
        <v>37394</v>
      </c>
      <c r="O899">
        <v>44197</v>
      </c>
      <c r="P899">
        <v>172519</v>
      </c>
      <c r="Q899">
        <v>0</v>
      </c>
      <c r="R899">
        <v>0</v>
      </c>
      <c r="S899">
        <v>0</v>
      </c>
      <c r="T899">
        <v>65</v>
      </c>
      <c r="U899">
        <v>79</v>
      </c>
    </row>
    <row r="900" spans="1:21" x14ac:dyDescent="0.35">
      <c r="A900" t="s">
        <v>28</v>
      </c>
      <c r="B900" s="1">
        <v>44310</v>
      </c>
      <c r="C900" t="s">
        <v>27</v>
      </c>
      <c r="D900">
        <v>155.6</v>
      </c>
      <c r="E900">
        <v>0</v>
      </c>
      <c r="F900">
        <v>0</v>
      </c>
      <c r="G900">
        <v>0</v>
      </c>
      <c r="H900">
        <v>0</v>
      </c>
      <c r="I900">
        <v>0</v>
      </c>
      <c r="J900">
        <v>0</v>
      </c>
      <c r="K900">
        <v>0</v>
      </c>
      <c r="L900">
        <v>0</v>
      </c>
      <c r="M900">
        <v>0</v>
      </c>
      <c r="N900">
        <v>170936</v>
      </c>
      <c r="O900">
        <v>0</v>
      </c>
      <c r="P900">
        <v>0</v>
      </c>
      <c r="Q900">
        <v>266</v>
      </c>
      <c r="R900">
        <v>0</v>
      </c>
      <c r="S900">
        <v>0</v>
      </c>
      <c r="T900">
        <v>12</v>
      </c>
      <c r="U900">
        <v>17</v>
      </c>
    </row>
    <row r="901" spans="1:21" x14ac:dyDescent="0.35">
      <c r="A901" t="s">
        <v>21</v>
      </c>
      <c r="B901" s="1">
        <v>44599</v>
      </c>
      <c r="C901" t="s">
        <v>29</v>
      </c>
      <c r="D901">
        <v>0</v>
      </c>
      <c r="E901">
        <v>0.4</v>
      </c>
      <c r="F901">
        <v>0</v>
      </c>
      <c r="G901">
        <v>0</v>
      </c>
      <c r="H901">
        <v>0</v>
      </c>
      <c r="I901">
        <v>0</v>
      </c>
      <c r="J901">
        <v>0</v>
      </c>
      <c r="K901">
        <v>0</v>
      </c>
      <c r="L901">
        <v>0</v>
      </c>
      <c r="M901">
        <v>0</v>
      </c>
      <c r="N901">
        <v>127872</v>
      </c>
      <c r="O901">
        <v>280840</v>
      </c>
      <c r="P901">
        <v>339580</v>
      </c>
      <c r="Q901">
        <v>0</v>
      </c>
      <c r="R901">
        <v>1</v>
      </c>
      <c r="S901">
        <v>0</v>
      </c>
      <c r="T901">
        <v>30</v>
      </c>
      <c r="U901">
        <v>49</v>
      </c>
    </row>
    <row r="902" spans="1:21" x14ac:dyDescent="0.35">
      <c r="A902" t="s">
        <v>28</v>
      </c>
      <c r="B902" s="1">
        <v>44536</v>
      </c>
      <c r="C902" t="s">
        <v>31</v>
      </c>
      <c r="D902">
        <v>33.200000000000003</v>
      </c>
      <c r="E902">
        <v>9.9</v>
      </c>
      <c r="F902">
        <v>0</v>
      </c>
      <c r="G902">
        <v>3.4</v>
      </c>
      <c r="H902">
        <v>0</v>
      </c>
      <c r="I902">
        <v>0</v>
      </c>
      <c r="J902">
        <v>0</v>
      </c>
      <c r="K902">
        <v>0</v>
      </c>
      <c r="L902">
        <v>0</v>
      </c>
      <c r="M902">
        <v>0</v>
      </c>
      <c r="N902">
        <v>75414</v>
      </c>
      <c r="O902">
        <v>181840</v>
      </c>
      <c r="P902">
        <v>0</v>
      </c>
      <c r="Q902">
        <v>25</v>
      </c>
      <c r="R902">
        <v>18</v>
      </c>
      <c r="S902">
        <v>0</v>
      </c>
      <c r="T902">
        <v>65</v>
      </c>
      <c r="U902">
        <v>79</v>
      </c>
    </row>
    <row r="903" spans="1:21" x14ac:dyDescent="0.35">
      <c r="A903" t="s">
        <v>26</v>
      </c>
      <c r="B903" s="1">
        <v>45054</v>
      </c>
      <c r="C903" t="s">
        <v>30</v>
      </c>
      <c r="D903">
        <v>12.3</v>
      </c>
      <c r="E903">
        <v>43.9</v>
      </c>
      <c r="F903">
        <v>14.9</v>
      </c>
      <c r="G903">
        <v>0.3</v>
      </c>
      <c r="H903">
        <v>0.8</v>
      </c>
      <c r="I903">
        <v>0</v>
      </c>
      <c r="J903">
        <v>0</v>
      </c>
      <c r="K903">
        <v>0</v>
      </c>
      <c r="L903">
        <v>0</v>
      </c>
      <c r="M903">
        <v>0</v>
      </c>
      <c r="N903">
        <v>24475</v>
      </c>
      <c r="O903">
        <v>11382</v>
      </c>
      <c r="P903">
        <v>47131</v>
      </c>
      <c r="Q903">
        <v>3</v>
      </c>
      <c r="R903">
        <v>5</v>
      </c>
      <c r="S903">
        <v>7</v>
      </c>
      <c r="T903">
        <v>80</v>
      </c>
      <c r="U903">
        <v>200</v>
      </c>
    </row>
    <row r="904" spans="1:21" x14ac:dyDescent="0.35">
      <c r="A904" t="s">
        <v>21</v>
      </c>
      <c r="B904" s="1">
        <v>45066</v>
      </c>
      <c r="C904" t="s">
        <v>23</v>
      </c>
      <c r="D904">
        <v>0</v>
      </c>
      <c r="E904">
        <v>0</v>
      </c>
      <c r="F904">
        <v>0</v>
      </c>
      <c r="G904">
        <v>0</v>
      </c>
      <c r="H904">
        <v>0</v>
      </c>
      <c r="I904">
        <v>0</v>
      </c>
      <c r="J904">
        <v>0</v>
      </c>
      <c r="K904">
        <v>0</v>
      </c>
      <c r="L904">
        <v>0</v>
      </c>
      <c r="M904">
        <v>0</v>
      </c>
      <c r="N904">
        <v>32964</v>
      </c>
      <c r="O904">
        <v>125743</v>
      </c>
      <c r="P904">
        <v>246910</v>
      </c>
      <c r="Q904">
        <v>0</v>
      </c>
      <c r="R904">
        <v>0</v>
      </c>
      <c r="S904">
        <v>0</v>
      </c>
      <c r="T904">
        <v>50</v>
      </c>
      <c r="U904">
        <v>64</v>
      </c>
    </row>
    <row r="905" spans="1:21" x14ac:dyDescent="0.35">
      <c r="A905" t="s">
        <v>28</v>
      </c>
      <c r="B905" s="1">
        <v>44520</v>
      </c>
      <c r="C905" t="s">
        <v>25</v>
      </c>
      <c r="D905">
        <v>289.3</v>
      </c>
      <c r="E905">
        <v>104.3</v>
      </c>
      <c r="F905">
        <v>56.8</v>
      </c>
      <c r="G905">
        <v>2.8</v>
      </c>
      <c r="H905">
        <v>5.0999999999999996</v>
      </c>
      <c r="I905">
        <v>0</v>
      </c>
      <c r="J905">
        <v>0</v>
      </c>
      <c r="K905">
        <v>0</v>
      </c>
      <c r="L905">
        <v>0</v>
      </c>
      <c r="M905">
        <v>0</v>
      </c>
      <c r="N905">
        <v>157265</v>
      </c>
      <c r="O905">
        <v>308782</v>
      </c>
      <c r="P905">
        <v>19377</v>
      </c>
      <c r="Q905">
        <v>455</v>
      </c>
      <c r="R905">
        <v>322</v>
      </c>
      <c r="S905">
        <v>11</v>
      </c>
      <c r="T905">
        <v>18</v>
      </c>
      <c r="U905">
        <v>29</v>
      </c>
    </row>
    <row r="906" spans="1:21" x14ac:dyDescent="0.35">
      <c r="A906" t="s">
        <v>21</v>
      </c>
      <c r="B906" s="1">
        <v>44583</v>
      </c>
      <c r="C906" t="s">
        <v>30</v>
      </c>
      <c r="D906">
        <v>199.5</v>
      </c>
      <c r="E906">
        <v>125.9</v>
      </c>
      <c r="F906">
        <v>15.4</v>
      </c>
      <c r="G906">
        <v>1.6</v>
      </c>
      <c r="H906">
        <v>13</v>
      </c>
      <c r="I906">
        <v>0</v>
      </c>
      <c r="J906">
        <v>0</v>
      </c>
      <c r="K906">
        <v>0</v>
      </c>
      <c r="L906">
        <v>0</v>
      </c>
      <c r="M906">
        <v>0</v>
      </c>
      <c r="N906">
        <v>27573</v>
      </c>
      <c r="O906">
        <v>17479</v>
      </c>
      <c r="P906">
        <v>39032</v>
      </c>
      <c r="Q906">
        <v>55</v>
      </c>
      <c r="R906">
        <v>22</v>
      </c>
      <c r="S906">
        <v>6</v>
      </c>
      <c r="T906">
        <v>80</v>
      </c>
      <c r="U906">
        <v>200</v>
      </c>
    </row>
    <row r="907" spans="1:21" x14ac:dyDescent="0.35">
      <c r="A907" t="s">
        <v>21</v>
      </c>
      <c r="B907" s="1">
        <v>45082</v>
      </c>
      <c r="C907" t="s">
        <v>31</v>
      </c>
      <c r="D907">
        <v>0</v>
      </c>
      <c r="E907">
        <v>0</v>
      </c>
      <c r="F907">
        <v>0</v>
      </c>
      <c r="G907">
        <v>0</v>
      </c>
      <c r="H907">
        <v>0</v>
      </c>
      <c r="I907">
        <v>0</v>
      </c>
      <c r="J907">
        <v>0</v>
      </c>
      <c r="K907">
        <v>0</v>
      </c>
      <c r="L907">
        <v>0</v>
      </c>
      <c r="M907">
        <v>0</v>
      </c>
      <c r="N907">
        <v>39631</v>
      </c>
      <c r="O907">
        <v>43437</v>
      </c>
      <c r="P907">
        <v>171727</v>
      </c>
      <c r="Q907">
        <v>0</v>
      </c>
      <c r="R907">
        <v>0</v>
      </c>
      <c r="S907">
        <v>0</v>
      </c>
      <c r="T907">
        <v>65</v>
      </c>
      <c r="U907">
        <v>79</v>
      </c>
    </row>
    <row r="908" spans="1:21" x14ac:dyDescent="0.35">
      <c r="A908" t="s">
        <v>28</v>
      </c>
      <c r="B908" s="1">
        <v>44536</v>
      </c>
      <c r="C908" t="s">
        <v>24</v>
      </c>
      <c r="D908">
        <v>13.8</v>
      </c>
      <c r="E908">
        <v>0</v>
      </c>
      <c r="F908">
        <v>0</v>
      </c>
      <c r="G908">
        <v>0</v>
      </c>
      <c r="H908">
        <v>0</v>
      </c>
      <c r="I908">
        <v>0</v>
      </c>
      <c r="J908">
        <v>0</v>
      </c>
      <c r="K908">
        <v>0</v>
      </c>
      <c r="L908">
        <v>0</v>
      </c>
      <c r="M908">
        <v>0</v>
      </c>
      <c r="N908">
        <v>210448</v>
      </c>
      <c r="O908">
        <v>0</v>
      </c>
      <c r="P908">
        <v>0</v>
      </c>
      <c r="Q908">
        <v>29</v>
      </c>
      <c r="R908">
        <v>0</v>
      </c>
      <c r="S908">
        <v>0</v>
      </c>
      <c r="T908">
        <v>5</v>
      </c>
      <c r="U908">
        <v>11</v>
      </c>
    </row>
    <row r="909" spans="1:21" x14ac:dyDescent="0.35">
      <c r="A909" t="s">
        <v>26</v>
      </c>
      <c r="B909" s="1">
        <v>44966</v>
      </c>
      <c r="C909" t="s">
        <v>27</v>
      </c>
      <c r="D909">
        <v>0</v>
      </c>
      <c r="E909">
        <v>2.2999999999999998</v>
      </c>
      <c r="F909">
        <v>2.2000000000000002</v>
      </c>
      <c r="G909">
        <v>0</v>
      </c>
      <c r="H909">
        <v>0</v>
      </c>
      <c r="I909">
        <v>0</v>
      </c>
      <c r="J909">
        <v>0</v>
      </c>
      <c r="K909">
        <v>0</v>
      </c>
      <c r="L909">
        <v>0</v>
      </c>
      <c r="M909">
        <v>0</v>
      </c>
      <c r="N909">
        <v>31774</v>
      </c>
      <c r="O909">
        <v>86575</v>
      </c>
      <c r="P909">
        <v>44595</v>
      </c>
      <c r="Q909">
        <v>0</v>
      </c>
      <c r="R909">
        <v>2</v>
      </c>
      <c r="S909">
        <v>1</v>
      </c>
      <c r="T909">
        <v>12</v>
      </c>
      <c r="U909">
        <v>17</v>
      </c>
    </row>
    <row r="910" spans="1:21" x14ac:dyDescent="0.35">
      <c r="A910" t="s">
        <v>26</v>
      </c>
      <c r="B910" s="1">
        <v>44646</v>
      </c>
      <c r="C910" t="s">
        <v>24</v>
      </c>
      <c r="D910">
        <v>0</v>
      </c>
      <c r="E910">
        <v>0</v>
      </c>
      <c r="F910">
        <v>0</v>
      </c>
      <c r="G910">
        <v>0</v>
      </c>
      <c r="H910">
        <v>0</v>
      </c>
      <c r="I910">
        <v>0</v>
      </c>
      <c r="J910">
        <v>0</v>
      </c>
      <c r="K910">
        <v>0</v>
      </c>
      <c r="L910">
        <v>0</v>
      </c>
      <c r="M910">
        <v>0</v>
      </c>
      <c r="N910">
        <v>103859</v>
      </c>
      <c r="O910">
        <v>89867</v>
      </c>
      <c r="P910">
        <v>0</v>
      </c>
      <c r="Q910">
        <v>0</v>
      </c>
      <c r="R910">
        <v>0</v>
      </c>
      <c r="S910">
        <v>0</v>
      </c>
      <c r="T910">
        <v>5</v>
      </c>
      <c r="U910">
        <v>11</v>
      </c>
    </row>
    <row r="911" spans="1:21" x14ac:dyDescent="0.35">
      <c r="A911" t="s">
        <v>28</v>
      </c>
      <c r="B911" s="1">
        <v>44954</v>
      </c>
      <c r="C911" t="s">
        <v>31</v>
      </c>
      <c r="D911">
        <v>106.7</v>
      </c>
      <c r="E911">
        <v>103.7</v>
      </c>
      <c r="F911">
        <v>102.5</v>
      </c>
      <c r="G911">
        <v>1</v>
      </c>
      <c r="H911">
        <v>1</v>
      </c>
      <c r="I911">
        <v>0</v>
      </c>
      <c r="J911">
        <v>0</v>
      </c>
      <c r="K911">
        <v>0</v>
      </c>
      <c r="L911">
        <v>0</v>
      </c>
      <c r="M911">
        <v>0</v>
      </c>
      <c r="N911">
        <v>40317</v>
      </c>
      <c r="O911">
        <v>43381</v>
      </c>
      <c r="P911">
        <v>171689</v>
      </c>
      <c r="Q911">
        <v>43</v>
      </c>
      <c r="R911">
        <v>45</v>
      </c>
      <c r="S911">
        <v>176</v>
      </c>
      <c r="T911">
        <v>65</v>
      </c>
      <c r="U911">
        <v>79</v>
      </c>
    </row>
    <row r="912" spans="1:21" x14ac:dyDescent="0.35">
      <c r="A912" t="s">
        <v>21</v>
      </c>
      <c r="B912" s="1">
        <v>44596</v>
      </c>
      <c r="C912" t="s">
        <v>22</v>
      </c>
      <c r="D912">
        <v>0</v>
      </c>
      <c r="E912">
        <v>0.2</v>
      </c>
      <c r="F912">
        <v>0</v>
      </c>
      <c r="G912">
        <v>0</v>
      </c>
      <c r="H912">
        <v>0</v>
      </c>
      <c r="I912">
        <v>0</v>
      </c>
      <c r="J912">
        <v>0.3</v>
      </c>
      <c r="K912">
        <v>0</v>
      </c>
      <c r="L912">
        <v>0</v>
      </c>
      <c r="M912">
        <v>0</v>
      </c>
      <c r="N912">
        <v>657870</v>
      </c>
      <c r="O912">
        <v>901409</v>
      </c>
      <c r="P912">
        <v>932489</v>
      </c>
      <c r="Q912">
        <v>0</v>
      </c>
      <c r="R912">
        <v>2</v>
      </c>
      <c r="S912">
        <v>0</v>
      </c>
      <c r="T912">
        <v>999</v>
      </c>
      <c r="U912">
        <v>999</v>
      </c>
    </row>
    <row r="913" spans="1:21" x14ac:dyDescent="0.35">
      <c r="A913" t="s">
        <v>28</v>
      </c>
      <c r="B913" s="1">
        <v>44709</v>
      </c>
      <c r="C913" t="s">
        <v>29</v>
      </c>
      <c r="D913">
        <v>351.7</v>
      </c>
      <c r="E913">
        <v>194.8</v>
      </c>
      <c r="F913">
        <v>397.2</v>
      </c>
      <c r="G913">
        <v>1.8</v>
      </c>
      <c r="H913">
        <v>0.9</v>
      </c>
      <c r="I913">
        <v>0</v>
      </c>
      <c r="J913">
        <v>0</v>
      </c>
      <c r="K913">
        <v>0</v>
      </c>
      <c r="L913">
        <v>0</v>
      </c>
      <c r="M913">
        <v>0</v>
      </c>
      <c r="N913">
        <v>129368</v>
      </c>
      <c r="O913">
        <v>283855</v>
      </c>
      <c r="P913">
        <v>335115</v>
      </c>
      <c r="Q913">
        <v>455</v>
      </c>
      <c r="R913">
        <v>553</v>
      </c>
      <c r="S913">
        <v>1331</v>
      </c>
      <c r="T913">
        <v>30</v>
      </c>
      <c r="U913">
        <v>49</v>
      </c>
    </row>
    <row r="914" spans="1:21" x14ac:dyDescent="0.35">
      <c r="A914" t="s">
        <v>26</v>
      </c>
      <c r="B914" s="1">
        <v>44786</v>
      </c>
      <c r="C914" t="s">
        <v>24</v>
      </c>
      <c r="D914">
        <v>1</v>
      </c>
      <c r="E914">
        <v>1.2</v>
      </c>
      <c r="F914">
        <v>0</v>
      </c>
      <c r="G914">
        <v>0.8</v>
      </c>
      <c r="H914">
        <v>0</v>
      </c>
      <c r="I914">
        <v>0</v>
      </c>
      <c r="J914">
        <v>0</v>
      </c>
      <c r="K914">
        <v>0</v>
      </c>
      <c r="L914">
        <v>0</v>
      </c>
      <c r="M914">
        <v>0</v>
      </c>
      <c r="N914">
        <v>96738</v>
      </c>
      <c r="O914">
        <v>85405</v>
      </c>
      <c r="P914">
        <v>12921</v>
      </c>
      <c r="Q914">
        <v>1</v>
      </c>
      <c r="R914">
        <v>1</v>
      </c>
      <c r="S914">
        <v>0</v>
      </c>
      <c r="T914">
        <v>5</v>
      </c>
      <c r="U914">
        <v>11</v>
      </c>
    </row>
    <row r="915" spans="1:21" x14ac:dyDescent="0.35">
      <c r="A915" t="s">
        <v>21</v>
      </c>
      <c r="B915" s="1">
        <v>45241</v>
      </c>
      <c r="C915" t="s">
        <v>31</v>
      </c>
      <c r="D915">
        <v>2.7</v>
      </c>
      <c r="E915">
        <v>0</v>
      </c>
      <c r="F915">
        <v>0</v>
      </c>
      <c r="G915">
        <v>0</v>
      </c>
      <c r="H915">
        <v>0</v>
      </c>
      <c r="I915">
        <v>0</v>
      </c>
      <c r="J915">
        <v>0</v>
      </c>
      <c r="K915">
        <v>0</v>
      </c>
      <c r="L915">
        <v>0</v>
      </c>
      <c r="M915">
        <v>0</v>
      </c>
      <c r="N915">
        <v>37622</v>
      </c>
      <c r="O915">
        <v>44141</v>
      </c>
      <c r="P915">
        <v>172402</v>
      </c>
      <c r="Q915">
        <v>1</v>
      </c>
      <c r="R915">
        <v>0</v>
      </c>
      <c r="S915">
        <v>0</v>
      </c>
      <c r="T915">
        <v>65</v>
      </c>
      <c r="U915">
        <v>79</v>
      </c>
    </row>
    <row r="916" spans="1:21" x14ac:dyDescent="0.35">
      <c r="A916" t="s">
        <v>28</v>
      </c>
      <c r="B916" s="1">
        <v>44632</v>
      </c>
      <c r="C916" t="s">
        <v>23</v>
      </c>
      <c r="D916">
        <v>481</v>
      </c>
      <c r="E916">
        <v>155.6</v>
      </c>
      <c r="F916">
        <v>189.7</v>
      </c>
      <c r="G916">
        <v>3.1</v>
      </c>
      <c r="H916">
        <v>2.5</v>
      </c>
      <c r="I916">
        <v>0</v>
      </c>
      <c r="J916">
        <v>0</v>
      </c>
      <c r="K916">
        <v>0</v>
      </c>
      <c r="L916">
        <v>0</v>
      </c>
      <c r="M916">
        <v>0</v>
      </c>
      <c r="N916">
        <v>35761</v>
      </c>
      <c r="O916">
        <v>125353</v>
      </c>
      <c r="P916">
        <v>246742</v>
      </c>
      <c r="Q916">
        <v>172</v>
      </c>
      <c r="R916">
        <v>195</v>
      </c>
      <c r="S916">
        <v>468</v>
      </c>
      <c r="T916">
        <v>50</v>
      </c>
      <c r="U916">
        <v>64</v>
      </c>
    </row>
    <row r="917" spans="1:21" x14ac:dyDescent="0.35">
      <c r="A917" t="s">
        <v>21</v>
      </c>
      <c r="B917" s="1">
        <v>44681</v>
      </c>
      <c r="C917" t="s">
        <v>25</v>
      </c>
      <c r="D917">
        <v>0</v>
      </c>
      <c r="E917">
        <v>0</v>
      </c>
      <c r="F917">
        <v>0</v>
      </c>
      <c r="G917">
        <v>0</v>
      </c>
      <c r="H917">
        <v>0</v>
      </c>
      <c r="I917">
        <v>0</v>
      </c>
      <c r="J917">
        <v>0</v>
      </c>
      <c r="K917">
        <v>0</v>
      </c>
      <c r="L917">
        <v>0</v>
      </c>
      <c r="M917">
        <v>0</v>
      </c>
      <c r="N917">
        <v>96979</v>
      </c>
      <c r="O917">
        <v>218010</v>
      </c>
      <c r="P917">
        <v>150062</v>
      </c>
      <c r="Q917">
        <v>0</v>
      </c>
      <c r="R917">
        <v>0</v>
      </c>
      <c r="S917">
        <v>0</v>
      </c>
      <c r="T917">
        <v>18</v>
      </c>
      <c r="U917">
        <v>29</v>
      </c>
    </row>
    <row r="918" spans="1:21" x14ac:dyDescent="0.35">
      <c r="A918" t="s">
        <v>21</v>
      </c>
      <c r="B918" s="1">
        <v>44849</v>
      </c>
      <c r="C918" t="s">
        <v>27</v>
      </c>
      <c r="D918">
        <v>0</v>
      </c>
      <c r="E918">
        <v>0</v>
      </c>
      <c r="F918">
        <v>0</v>
      </c>
      <c r="G918">
        <v>0</v>
      </c>
      <c r="H918">
        <v>0</v>
      </c>
      <c r="I918">
        <v>0</v>
      </c>
      <c r="J918">
        <v>0</v>
      </c>
      <c r="K918">
        <v>0</v>
      </c>
      <c r="L918">
        <v>0</v>
      </c>
      <c r="M918">
        <v>0</v>
      </c>
      <c r="N918">
        <v>34672</v>
      </c>
      <c r="O918">
        <v>85875</v>
      </c>
      <c r="P918">
        <v>44459</v>
      </c>
      <c r="Q918">
        <v>0</v>
      </c>
      <c r="R918">
        <v>0</v>
      </c>
      <c r="S918">
        <v>0</v>
      </c>
      <c r="T918">
        <v>12</v>
      </c>
      <c r="U918">
        <v>17</v>
      </c>
    </row>
    <row r="919" spans="1:21" x14ac:dyDescent="0.35">
      <c r="A919" t="s">
        <v>28</v>
      </c>
      <c r="B919" s="1">
        <v>44385</v>
      </c>
      <c r="C919" t="s">
        <v>31</v>
      </c>
      <c r="D919">
        <v>102.2</v>
      </c>
      <c r="E919">
        <v>42</v>
      </c>
      <c r="F919">
        <v>0</v>
      </c>
      <c r="G919">
        <v>2.4</v>
      </c>
      <c r="H919">
        <v>0</v>
      </c>
      <c r="I919">
        <v>0</v>
      </c>
      <c r="J919">
        <v>0</v>
      </c>
      <c r="K919">
        <v>0</v>
      </c>
      <c r="L919">
        <v>0</v>
      </c>
      <c r="M919">
        <v>0</v>
      </c>
      <c r="N919">
        <v>68485</v>
      </c>
      <c r="O919">
        <v>192863</v>
      </c>
      <c r="P919">
        <v>0</v>
      </c>
      <c r="Q919">
        <v>70</v>
      </c>
      <c r="R919">
        <v>81</v>
      </c>
      <c r="S919">
        <v>0</v>
      </c>
      <c r="T919">
        <v>65</v>
      </c>
      <c r="U919">
        <v>79</v>
      </c>
    </row>
    <row r="920" spans="1:21" x14ac:dyDescent="0.35">
      <c r="A920" t="s">
        <v>26</v>
      </c>
      <c r="B920" s="1">
        <v>44345</v>
      </c>
      <c r="C920" t="s">
        <v>25</v>
      </c>
      <c r="D920">
        <v>6.9</v>
      </c>
      <c r="E920">
        <v>0</v>
      </c>
      <c r="F920">
        <v>0</v>
      </c>
      <c r="G920">
        <v>0</v>
      </c>
      <c r="H920">
        <v>0</v>
      </c>
      <c r="I920">
        <v>0</v>
      </c>
      <c r="J920">
        <v>0</v>
      </c>
      <c r="K920">
        <v>0</v>
      </c>
      <c r="L920">
        <v>0</v>
      </c>
      <c r="M920">
        <v>0</v>
      </c>
      <c r="N920">
        <v>246752</v>
      </c>
      <c r="O920">
        <v>207387</v>
      </c>
      <c r="P920">
        <v>0</v>
      </c>
      <c r="Q920">
        <v>17</v>
      </c>
      <c r="R920">
        <v>0</v>
      </c>
      <c r="S920">
        <v>0</v>
      </c>
      <c r="T920">
        <v>18</v>
      </c>
      <c r="U920">
        <v>29</v>
      </c>
    </row>
    <row r="921" spans="1:21" x14ac:dyDescent="0.35">
      <c r="A921" t="s">
        <v>26</v>
      </c>
      <c r="B921" s="1">
        <v>44856</v>
      </c>
      <c r="C921" t="s">
        <v>30</v>
      </c>
      <c r="D921">
        <v>27.5</v>
      </c>
      <c r="E921">
        <v>52.8</v>
      </c>
      <c r="F921">
        <v>42.5</v>
      </c>
      <c r="G921">
        <v>0.5</v>
      </c>
      <c r="H921">
        <v>0.6</v>
      </c>
      <c r="I921">
        <v>0</v>
      </c>
      <c r="J921">
        <v>0</v>
      </c>
      <c r="K921">
        <v>0</v>
      </c>
      <c r="L921">
        <v>0</v>
      </c>
      <c r="M921">
        <v>0</v>
      </c>
      <c r="N921">
        <v>25467</v>
      </c>
      <c r="O921">
        <v>11367</v>
      </c>
      <c r="P921">
        <v>47073</v>
      </c>
      <c r="Q921">
        <v>7</v>
      </c>
      <c r="R921">
        <v>6</v>
      </c>
      <c r="S921">
        <v>20</v>
      </c>
      <c r="T921">
        <v>80</v>
      </c>
      <c r="U921">
        <v>200</v>
      </c>
    </row>
    <row r="922" spans="1:21" x14ac:dyDescent="0.35">
      <c r="A922" t="s">
        <v>21</v>
      </c>
      <c r="B922" s="1">
        <v>44639</v>
      </c>
      <c r="C922" t="s">
        <v>29</v>
      </c>
      <c r="D922">
        <v>0</v>
      </c>
      <c r="E922">
        <v>0</v>
      </c>
      <c r="F922">
        <v>0</v>
      </c>
      <c r="G922">
        <v>0</v>
      </c>
      <c r="H922">
        <v>0</v>
      </c>
      <c r="I922">
        <v>0</v>
      </c>
      <c r="J922">
        <v>0</v>
      </c>
      <c r="K922">
        <v>0</v>
      </c>
      <c r="L922">
        <v>0</v>
      </c>
      <c r="M922">
        <v>0</v>
      </c>
      <c r="N922">
        <v>133820</v>
      </c>
      <c r="O922">
        <v>292802</v>
      </c>
      <c r="P922">
        <v>320838</v>
      </c>
      <c r="Q922">
        <v>0</v>
      </c>
      <c r="R922">
        <v>0</v>
      </c>
      <c r="S922">
        <v>0</v>
      </c>
      <c r="T922">
        <v>30</v>
      </c>
      <c r="U922">
        <v>49</v>
      </c>
    </row>
    <row r="923" spans="1:21" x14ac:dyDescent="0.35">
      <c r="A923" t="s">
        <v>21</v>
      </c>
      <c r="B923" s="1">
        <v>44237</v>
      </c>
      <c r="C923" t="s">
        <v>25</v>
      </c>
      <c r="D923">
        <v>0</v>
      </c>
      <c r="E923">
        <v>0</v>
      </c>
      <c r="F923">
        <v>0</v>
      </c>
      <c r="G923">
        <v>0</v>
      </c>
      <c r="H923">
        <v>0</v>
      </c>
      <c r="I923">
        <v>0</v>
      </c>
      <c r="J923">
        <v>0</v>
      </c>
      <c r="K923">
        <v>0</v>
      </c>
      <c r="L923">
        <v>0</v>
      </c>
      <c r="M923">
        <v>0</v>
      </c>
      <c r="N923">
        <v>175617</v>
      </c>
      <c r="O923">
        <v>307962</v>
      </c>
      <c r="P923">
        <v>0</v>
      </c>
      <c r="Q923">
        <v>0</v>
      </c>
      <c r="R923">
        <v>0</v>
      </c>
      <c r="S923">
        <v>0</v>
      </c>
      <c r="T923">
        <v>18</v>
      </c>
      <c r="U923">
        <v>29</v>
      </c>
    </row>
    <row r="924" spans="1:21" x14ac:dyDescent="0.35">
      <c r="A924" t="s">
        <v>26</v>
      </c>
      <c r="B924" s="1">
        <v>44765</v>
      </c>
      <c r="C924" t="s">
        <v>22</v>
      </c>
      <c r="D924">
        <v>15</v>
      </c>
      <c r="E924">
        <v>9.1999999999999993</v>
      </c>
      <c r="F924">
        <v>10.4</v>
      </c>
      <c r="G924">
        <v>1.6</v>
      </c>
      <c r="H924">
        <v>1.4</v>
      </c>
      <c r="I924">
        <v>18.8</v>
      </c>
      <c r="J924">
        <v>12.6</v>
      </c>
      <c r="K924">
        <v>7.3</v>
      </c>
      <c r="L924">
        <v>1.5</v>
      </c>
      <c r="M924">
        <v>2.6</v>
      </c>
      <c r="N924">
        <v>620290</v>
      </c>
      <c r="O924">
        <v>856799</v>
      </c>
      <c r="P924">
        <v>1004817</v>
      </c>
      <c r="Q924">
        <v>93</v>
      </c>
      <c r="R924">
        <v>79</v>
      </c>
      <c r="S924">
        <v>105</v>
      </c>
      <c r="T924">
        <v>999</v>
      </c>
      <c r="U924">
        <v>999</v>
      </c>
    </row>
    <row r="925" spans="1:21" x14ac:dyDescent="0.35">
      <c r="A925" t="s">
        <v>26</v>
      </c>
      <c r="B925" s="1">
        <v>45117</v>
      </c>
      <c r="C925" t="s">
        <v>31</v>
      </c>
      <c r="D925">
        <v>20.7</v>
      </c>
      <c r="E925">
        <v>9.1999999999999993</v>
      </c>
      <c r="F925">
        <v>11.1</v>
      </c>
      <c r="G925">
        <v>2.2000000000000002</v>
      </c>
      <c r="H925">
        <v>1.9</v>
      </c>
      <c r="I925">
        <v>0</v>
      </c>
      <c r="J925">
        <v>0</v>
      </c>
      <c r="K925">
        <v>0</v>
      </c>
      <c r="L925">
        <v>0</v>
      </c>
      <c r="M925">
        <v>0</v>
      </c>
      <c r="N925">
        <v>38643</v>
      </c>
      <c r="O925">
        <v>43457</v>
      </c>
      <c r="P925">
        <v>171823</v>
      </c>
      <c r="Q925">
        <v>8</v>
      </c>
      <c r="R925">
        <v>4</v>
      </c>
      <c r="S925">
        <v>19</v>
      </c>
      <c r="T925">
        <v>65</v>
      </c>
      <c r="U925">
        <v>79</v>
      </c>
    </row>
    <row r="926" spans="1:21" x14ac:dyDescent="0.35">
      <c r="A926" t="s">
        <v>26</v>
      </c>
      <c r="B926" s="1">
        <v>44684</v>
      </c>
      <c r="C926" t="s">
        <v>22</v>
      </c>
      <c r="D926">
        <v>4.2</v>
      </c>
      <c r="E926">
        <v>2.9</v>
      </c>
      <c r="F926">
        <v>1.4</v>
      </c>
      <c r="G926">
        <v>1.4</v>
      </c>
      <c r="H926">
        <v>3</v>
      </c>
      <c r="I926">
        <v>4.9000000000000004</v>
      </c>
      <c r="J926">
        <v>3.3</v>
      </c>
      <c r="K926">
        <v>1</v>
      </c>
      <c r="L926">
        <v>1.5</v>
      </c>
      <c r="M926">
        <v>4.9000000000000004</v>
      </c>
      <c r="N926">
        <v>668131</v>
      </c>
      <c r="O926">
        <v>908622</v>
      </c>
      <c r="P926">
        <v>900419</v>
      </c>
      <c r="Q926">
        <v>28</v>
      </c>
      <c r="R926">
        <v>26</v>
      </c>
      <c r="S926">
        <v>13</v>
      </c>
      <c r="T926">
        <v>999</v>
      </c>
      <c r="U926">
        <v>999</v>
      </c>
    </row>
    <row r="927" spans="1:21" x14ac:dyDescent="0.35">
      <c r="A927" t="s">
        <v>21</v>
      </c>
      <c r="B927" s="1">
        <v>44730</v>
      </c>
      <c r="C927" t="s">
        <v>25</v>
      </c>
      <c r="D927">
        <v>0</v>
      </c>
      <c r="E927">
        <v>0</v>
      </c>
      <c r="F927">
        <v>0</v>
      </c>
      <c r="G927">
        <v>0</v>
      </c>
      <c r="H927">
        <v>0</v>
      </c>
      <c r="I927">
        <v>0</v>
      </c>
      <c r="J927">
        <v>0</v>
      </c>
      <c r="K927">
        <v>0</v>
      </c>
      <c r="L927">
        <v>0</v>
      </c>
      <c r="M927">
        <v>0</v>
      </c>
      <c r="N927">
        <v>94340</v>
      </c>
      <c r="O927">
        <v>215224</v>
      </c>
      <c r="P927">
        <v>154755</v>
      </c>
      <c r="Q927">
        <v>0</v>
      </c>
      <c r="R927">
        <v>0</v>
      </c>
      <c r="S927">
        <v>0</v>
      </c>
      <c r="T927">
        <v>18</v>
      </c>
      <c r="U927">
        <v>29</v>
      </c>
    </row>
    <row r="928" spans="1:21" x14ac:dyDescent="0.35">
      <c r="A928" t="s">
        <v>28</v>
      </c>
      <c r="B928" s="1">
        <v>45178</v>
      </c>
      <c r="C928" t="s">
        <v>24</v>
      </c>
      <c r="D928">
        <v>19</v>
      </c>
      <c r="E928">
        <v>10.9</v>
      </c>
      <c r="F928">
        <v>9.4</v>
      </c>
      <c r="G928">
        <v>1.7</v>
      </c>
      <c r="H928">
        <v>2</v>
      </c>
      <c r="I928">
        <v>0</v>
      </c>
      <c r="J928">
        <v>0</v>
      </c>
      <c r="K928">
        <v>0</v>
      </c>
      <c r="L928">
        <v>0</v>
      </c>
      <c r="M928">
        <v>0</v>
      </c>
      <c r="N928">
        <v>89422</v>
      </c>
      <c r="O928">
        <v>82670</v>
      </c>
      <c r="P928">
        <v>21265</v>
      </c>
      <c r="Q928">
        <v>17</v>
      </c>
      <c r="R928">
        <v>9</v>
      </c>
      <c r="S928">
        <v>2</v>
      </c>
      <c r="T928">
        <v>5</v>
      </c>
      <c r="U928">
        <v>11</v>
      </c>
    </row>
    <row r="929" spans="1:21" x14ac:dyDescent="0.35">
      <c r="A929" t="s">
        <v>21</v>
      </c>
      <c r="B929" s="1">
        <v>44262</v>
      </c>
      <c r="C929" t="s">
        <v>29</v>
      </c>
      <c r="D929">
        <v>1.1000000000000001</v>
      </c>
      <c r="E929">
        <v>0</v>
      </c>
      <c r="F929">
        <v>0</v>
      </c>
      <c r="G929">
        <v>0</v>
      </c>
      <c r="H929">
        <v>0</v>
      </c>
      <c r="I929">
        <v>0</v>
      </c>
      <c r="J929">
        <v>0</v>
      </c>
      <c r="K929">
        <v>0</v>
      </c>
      <c r="L929">
        <v>0</v>
      </c>
      <c r="M929">
        <v>0</v>
      </c>
      <c r="N929">
        <v>284806</v>
      </c>
      <c r="O929">
        <v>473790</v>
      </c>
      <c r="P929">
        <v>0</v>
      </c>
      <c r="Q929">
        <v>3</v>
      </c>
      <c r="R929">
        <v>0</v>
      </c>
      <c r="S929">
        <v>0</v>
      </c>
      <c r="T929">
        <v>30</v>
      </c>
      <c r="U929">
        <v>49</v>
      </c>
    </row>
    <row r="930" spans="1:21" x14ac:dyDescent="0.35">
      <c r="A930" t="s">
        <v>21</v>
      </c>
      <c r="B930" s="1">
        <v>44737</v>
      </c>
      <c r="C930" t="s">
        <v>23</v>
      </c>
      <c r="D930">
        <v>0</v>
      </c>
      <c r="E930">
        <v>0</v>
      </c>
      <c r="F930">
        <v>0.4</v>
      </c>
      <c r="G930">
        <v>0</v>
      </c>
      <c r="H930">
        <v>0</v>
      </c>
      <c r="I930">
        <v>0</v>
      </c>
      <c r="J930">
        <v>0</v>
      </c>
      <c r="K930">
        <v>0</v>
      </c>
      <c r="L930">
        <v>0</v>
      </c>
      <c r="M930">
        <v>0</v>
      </c>
      <c r="N930">
        <v>42094</v>
      </c>
      <c r="O930">
        <v>130098</v>
      </c>
      <c r="P930">
        <v>239606</v>
      </c>
      <c r="Q930">
        <v>0</v>
      </c>
      <c r="R930">
        <v>0</v>
      </c>
      <c r="S930">
        <v>1</v>
      </c>
      <c r="T930">
        <v>50</v>
      </c>
      <c r="U930">
        <v>64</v>
      </c>
    </row>
    <row r="931" spans="1:21" x14ac:dyDescent="0.35">
      <c r="A931" t="s">
        <v>21</v>
      </c>
      <c r="B931" s="1">
        <v>44783</v>
      </c>
      <c r="C931" t="s">
        <v>24</v>
      </c>
      <c r="D931">
        <v>0</v>
      </c>
      <c r="E931">
        <v>0</v>
      </c>
      <c r="F931">
        <v>0</v>
      </c>
      <c r="G931">
        <v>0</v>
      </c>
      <c r="H931">
        <v>0</v>
      </c>
      <c r="I931">
        <v>0</v>
      </c>
      <c r="J931">
        <v>0</v>
      </c>
      <c r="K931">
        <v>0</v>
      </c>
      <c r="L931">
        <v>0</v>
      </c>
      <c r="M931">
        <v>0</v>
      </c>
      <c r="N931">
        <v>94508</v>
      </c>
      <c r="O931">
        <v>81111</v>
      </c>
      <c r="P931">
        <v>19812</v>
      </c>
      <c r="Q931">
        <v>0</v>
      </c>
      <c r="R931">
        <v>0</v>
      </c>
      <c r="S931">
        <v>0</v>
      </c>
      <c r="T931">
        <v>5</v>
      </c>
      <c r="U931">
        <v>11</v>
      </c>
    </row>
    <row r="932" spans="1:21" x14ac:dyDescent="0.35">
      <c r="A932" t="s">
        <v>21</v>
      </c>
      <c r="B932" s="1">
        <v>45054</v>
      </c>
      <c r="C932" t="s">
        <v>27</v>
      </c>
      <c r="D932">
        <v>0</v>
      </c>
      <c r="E932">
        <v>0</v>
      </c>
      <c r="F932">
        <v>0</v>
      </c>
      <c r="G932">
        <v>0</v>
      </c>
      <c r="H932">
        <v>0</v>
      </c>
      <c r="I932">
        <v>0</v>
      </c>
      <c r="J932">
        <v>0</v>
      </c>
      <c r="K932">
        <v>0</v>
      </c>
      <c r="L932">
        <v>0</v>
      </c>
      <c r="M932">
        <v>0</v>
      </c>
      <c r="N932">
        <v>32022</v>
      </c>
      <c r="O932">
        <v>86577</v>
      </c>
      <c r="P932">
        <v>44592</v>
      </c>
      <c r="Q932">
        <v>0</v>
      </c>
      <c r="R932">
        <v>0</v>
      </c>
      <c r="S932">
        <v>0</v>
      </c>
      <c r="T932">
        <v>12</v>
      </c>
      <c r="U932">
        <v>17</v>
      </c>
    </row>
    <row r="933" spans="1:21" x14ac:dyDescent="0.35">
      <c r="A933" t="s">
        <v>26</v>
      </c>
      <c r="B933" s="1">
        <v>44684</v>
      </c>
      <c r="C933" t="s">
        <v>27</v>
      </c>
      <c r="D933">
        <v>0</v>
      </c>
      <c r="E933">
        <v>1</v>
      </c>
      <c r="F933">
        <v>0</v>
      </c>
      <c r="G933">
        <v>0</v>
      </c>
      <c r="H933">
        <v>0</v>
      </c>
      <c r="I933">
        <v>0</v>
      </c>
      <c r="J933">
        <v>0</v>
      </c>
      <c r="K933">
        <v>0</v>
      </c>
      <c r="L933">
        <v>0</v>
      </c>
      <c r="M933">
        <v>0</v>
      </c>
      <c r="N933">
        <v>39213</v>
      </c>
      <c r="O933">
        <v>95932</v>
      </c>
      <c r="P933">
        <v>27517</v>
      </c>
      <c r="Q933">
        <v>0</v>
      </c>
      <c r="R933">
        <v>1</v>
      </c>
      <c r="S933">
        <v>0</v>
      </c>
      <c r="T933">
        <v>12</v>
      </c>
      <c r="U933">
        <v>17</v>
      </c>
    </row>
    <row r="934" spans="1:21" x14ac:dyDescent="0.35">
      <c r="A934" t="s">
        <v>28</v>
      </c>
      <c r="B934" s="1">
        <v>44772</v>
      </c>
      <c r="C934" t="s">
        <v>24</v>
      </c>
      <c r="D934">
        <v>149.4</v>
      </c>
      <c r="E934">
        <v>127.7</v>
      </c>
      <c r="F934">
        <v>92.3</v>
      </c>
      <c r="G934">
        <v>1.2</v>
      </c>
      <c r="H934">
        <v>1.6</v>
      </c>
      <c r="I934">
        <v>0</v>
      </c>
      <c r="J934">
        <v>0</v>
      </c>
      <c r="K934">
        <v>0</v>
      </c>
      <c r="L934">
        <v>0</v>
      </c>
      <c r="M934">
        <v>0</v>
      </c>
      <c r="N934">
        <v>97719</v>
      </c>
      <c r="O934">
        <v>86946</v>
      </c>
      <c r="P934">
        <v>10832</v>
      </c>
      <c r="Q934">
        <v>146</v>
      </c>
      <c r="R934">
        <v>111</v>
      </c>
      <c r="S934">
        <v>10</v>
      </c>
      <c r="T934">
        <v>5</v>
      </c>
      <c r="U934">
        <v>11</v>
      </c>
    </row>
    <row r="935" spans="1:21" x14ac:dyDescent="0.35">
      <c r="A935" t="s">
        <v>26</v>
      </c>
      <c r="B935" s="1">
        <v>44930</v>
      </c>
      <c r="C935" t="s">
        <v>25</v>
      </c>
      <c r="D935">
        <v>5.3</v>
      </c>
      <c r="E935">
        <v>0.9</v>
      </c>
      <c r="F935">
        <v>2.5</v>
      </c>
      <c r="G935">
        <v>5.9</v>
      </c>
      <c r="H935">
        <v>2.1</v>
      </c>
      <c r="I935">
        <v>0</v>
      </c>
      <c r="J935">
        <v>0</v>
      </c>
      <c r="K935">
        <v>0</v>
      </c>
      <c r="L935">
        <v>0</v>
      </c>
      <c r="M935">
        <v>0</v>
      </c>
      <c r="N935">
        <v>76086</v>
      </c>
      <c r="O935">
        <v>213847</v>
      </c>
      <c r="P935">
        <v>161677</v>
      </c>
      <c r="Q935">
        <v>4</v>
      </c>
      <c r="R935">
        <v>2</v>
      </c>
      <c r="S935">
        <v>4</v>
      </c>
      <c r="T935">
        <v>18</v>
      </c>
      <c r="U935">
        <v>29</v>
      </c>
    </row>
    <row r="936" spans="1:21" x14ac:dyDescent="0.35">
      <c r="A936" t="s">
        <v>26</v>
      </c>
      <c r="B936" s="1">
        <v>44772</v>
      </c>
      <c r="C936" t="s">
        <v>22</v>
      </c>
      <c r="D936">
        <v>14.1</v>
      </c>
      <c r="E936">
        <v>7.1</v>
      </c>
      <c r="F936">
        <v>10.4</v>
      </c>
      <c r="G936">
        <v>2</v>
      </c>
      <c r="H936">
        <v>1.4</v>
      </c>
      <c r="I936">
        <v>18.399999999999999</v>
      </c>
      <c r="J936">
        <v>9.5</v>
      </c>
      <c r="K936">
        <v>7.3</v>
      </c>
      <c r="L936">
        <v>1.9</v>
      </c>
      <c r="M936">
        <v>2.5</v>
      </c>
      <c r="N936">
        <v>617241</v>
      </c>
      <c r="O936">
        <v>853308</v>
      </c>
      <c r="P936">
        <v>1009629</v>
      </c>
      <c r="Q936">
        <v>87</v>
      </c>
      <c r="R936">
        <v>61</v>
      </c>
      <c r="S936">
        <v>105</v>
      </c>
      <c r="T936">
        <v>999</v>
      </c>
      <c r="U936">
        <v>999</v>
      </c>
    </row>
    <row r="937" spans="1:21" x14ac:dyDescent="0.35">
      <c r="A937" t="s">
        <v>28</v>
      </c>
      <c r="B937" s="1">
        <v>44259</v>
      </c>
      <c r="C937" t="s">
        <v>23</v>
      </c>
      <c r="D937">
        <v>224.4</v>
      </c>
      <c r="E937">
        <v>22.6</v>
      </c>
      <c r="F937">
        <v>0</v>
      </c>
      <c r="G937">
        <v>9.9</v>
      </c>
      <c r="H937">
        <v>0</v>
      </c>
      <c r="I937">
        <v>0</v>
      </c>
      <c r="J937">
        <v>0</v>
      </c>
      <c r="K937">
        <v>0</v>
      </c>
      <c r="L937">
        <v>0</v>
      </c>
      <c r="M937">
        <v>0</v>
      </c>
      <c r="N937">
        <v>234356</v>
      </c>
      <c r="O937">
        <v>66383</v>
      </c>
      <c r="P937">
        <v>0</v>
      </c>
      <c r="Q937">
        <v>526</v>
      </c>
      <c r="R937">
        <v>15</v>
      </c>
      <c r="S937">
        <v>0</v>
      </c>
      <c r="T937">
        <v>50</v>
      </c>
      <c r="U937">
        <v>64</v>
      </c>
    </row>
    <row r="938" spans="1:21" x14ac:dyDescent="0.35">
      <c r="A938" t="s">
        <v>21</v>
      </c>
      <c r="B938" s="1">
        <v>44821</v>
      </c>
      <c r="C938" t="s">
        <v>30</v>
      </c>
      <c r="D938">
        <v>3.8</v>
      </c>
      <c r="E938">
        <v>0</v>
      </c>
      <c r="F938">
        <v>4.3</v>
      </c>
      <c r="G938">
        <v>0</v>
      </c>
      <c r="H938">
        <v>0.9</v>
      </c>
      <c r="I938">
        <v>0</v>
      </c>
      <c r="J938">
        <v>0</v>
      </c>
      <c r="K938">
        <v>0</v>
      </c>
      <c r="L938">
        <v>0</v>
      </c>
      <c r="M938">
        <v>0</v>
      </c>
      <c r="N938">
        <v>26096</v>
      </c>
      <c r="O938">
        <v>11381</v>
      </c>
      <c r="P938">
        <v>47028</v>
      </c>
      <c r="Q938">
        <v>1</v>
      </c>
      <c r="R938">
        <v>0</v>
      </c>
      <c r="S938">
        <v>2</v>
      </c>
      <c r="T938">
        <v>80</v>
      </c>
      <c r="U938">
        <v>200</v>
      </c>
    </row>
    <row r="939" spans="1:21" x14ac:dyDescent="0.35">
      <c r="A939" t="s">
        <v>26</v>
      </c>
      <c r="B939" s="1">
        <v>44940</v>
      </c>
      <c r="C939" t="s">
        <v>22</v>
      </c>
      <c r="D939">
        <v>13.2</v>
      </c>
      <c r="E939">
        <v>6.1</v>
      </c>
      <c r="F939">
        <v>10.199999999999999</v>
      </c>
      <c r="G939">
        <v>2.2000000000000002</v>
      </c>
      <c r="H939">
        <v>1.3</v>
      </c>
      <c r="I939">
        <v>17.8</v>
      </c>
      <c r="J939">
        <v>8.6999999999999993</v>
      </c>
      <c r="K939">
        <v>7</v>
      </c>
      <c r="L939">
        <v>2</v>
      </c>
      <c r="M939">
        <v>2.6</v>
      </c>
      <c r="N939">
        <v>552001</v>
      </c>
      <c r="O939">
        <v>854759</v>
      </c>
      <c r="P939">
        <v>1040217</v>
      </c>
      <c r="Q939">
        <v>73</v>
      </c>
      <c r="R939">
        <v>52</v>
      </c>
      <c r="S939">
        <v>106</v>
      </c>
      <c r="T939">
        <v>999</v>
      </c>
      <c r="U939">
        <v>999</v>
      </c>
    </row>
    <row r="940" spans="1:21" x14ac:dyDescent="0.35">
      <c r="A940" t="s">
        <v>26</v>
      </c>
      <c r="B940" s="1">
        <v>45232</v>
      </c>
      <c r="C940" t="s">
        <v>31</v>
      </c>
      <c r="D940">
        <v>27.4</v>
      </c>
      <c r="E940">
        <v>27.7</v>
      </c>
      <c r="F940">
        <v>19.8</v>
      </c>
      <c r="G940">
        <v>1</v>
      </c>
      <c r="H940">
        <v>1.4</v>
      </c>
      <c r="I940">
        <v>0</v>
      </c>
      <c r="J940">
        <v>0</v>
      </c>
      <c r="K940">
        <v>0</v>
      </c>
      <c r="L940">
        <v>0</v>
      </c>
      <c r="M940">
        <v>0</v>
      </c>
      <c r="N940">
        <v>40183</v>
      </c>
      <c r="O940">
        <v>43393</v>
      </c>
      <c r="P940">
        <v>171693</v>
      </c>
      <c r="Q940">
        <v>11</v>
      </c>
      <c r="R940">
        <v>12</v>
      </c>
      <c r="S940">
        <v>34</v>
      </c>
      <c r="T940">
        <v>65</v>
      </c>
      <c r="U940">
        <v>79</v>
      </c>
    </row>
    <row r="941" spans="1:21" x14ac:dyDescent="0.35">
      <c r="A941" t="s">
        <v>21</v>
      </c>
      <c r="B941" s="1">
        <v>44394</v>
      </c>
      <c r="C941" t="s">
        <v>22</v>
      </c>
      <c r="D941">
        <v>0.5</v>
      </c>
      <c r="E941">
        <v>0</v>
      </c>
      <c r="F941">
        <v>0</v>
      </c>
      <c r="G941">
        <v>0</v>
      </c>
      <c r="H941">
        <v>0</v>
      </c>
      <c r="I941">
        <v>0.8</v>
      </c>
      <c r="J941">
        <v>0</v>
      </c>
      <c r="K941">
        <v>0</v>
      </c>
      <c r="L941">
        <v>0</v>
      </c>
      <c r="M941">
        <v>0</v>
      </c>
      <c r="N941">
        <v>1181533</v>
      </c>
      <c r="O941">
        <v>1367281</v>
      </c>
      <c r="P941">
        <v>0</v>
      </c>
      <c r="Q941">
        <v>6</v>
      </c>
      <c r="R941">
        <v>0</v>
      </c>
      <c r="S941">
        <v>0</v>
      </c>
      <c r="T941">
        <v>999</v>
      </c>
      <c r="U941">
        <v>999</v>
      </c>
    </row>
    <row r="942" spans="1:21" x14ac:dyDescent="0.35">
      <c r="A942" t="s">
        <v>21</v>
      </c>
      <c r="B942" s="1">
        <v>44576</v>
      </c>
      <c r="C942" t="s">
        <v>25</v>
      </c>
      <c r="D942">
        <v>0</v>
      </c>
      <c r="E942">
        <v>0.4</v>
      </c>
      <c r="F942">
        <v>0</v>
      </c>
      <c r="G942">
        <v>0</v>
      </c>
      <c r="H942">
        <v>0</v>
      </c>
      <c r="I942">
        <v>0</v>
      </c>
      <c r="J942">
        <v>0</v>
      </c>
      <c r="K942">
        <v>0</v>
      </c>
      <c r="L942">
        <v>0</v>
      </c>
      <c r="M942">
        <v>0</v>
      </c>
      <c r="N942">
        <v>121679</v>
      </c>
      <c r="O942">
        <v>248007</v>
      </c>
      <c r="P942">
        <v>93335</v>
      </c>
      <c r="Q942">
        <v>0</v>
      </c>
      <c r="R942">
        <v>1</v>
      </c>
      <c r="S942">
        <v>0</v>
      </c>
      <c r="T942">
        <v>18</v>
      </c>
      <c r="U942">
        <v>29</v>
      </c>
    </row>
    <row r="943" spans="1:21" x14ac:dyDescent="0.35">
      <c r="A943" t="s">
        <v>21</v>
      </c>
      <c r="B943" s="1">
        <v>44596</v>
      </c>
      <c r="C943" t="s">
        <v>23</v>
      </c>
      <c r="D943">
        <v>0</v>
      </c>
      <c r="E943">
        <v>0.7</v>
      </c>
      <c r="F943">
        <v>0</v>
      </c>
      <c r="G943">
        <v>0</v>
      </c>
      <c r="H943">
        <v>0</v>
      </c>
      <c r="I943">
        <v>0</v>
      </c>
      <c r="J943">
        <v>0</v>
      </c>
      <c r="K943">
        <v>0</v>
      </c>
      <c r="L943">
        <v>0</v>
      </c>
      <c r="M943">
        <v>0</v>
      </c>
      <c r="N943">
        <v>45178</v>
      </c>
      <c r="O943">
        <v>138856</v>
      </c>
      <c r="P943">
        <v>227154</v>
      </c>
      <c r="Q943">
        <v>0</v>
      </c>
      <c r="R943">
        <v>1</v>
      </c>
      <c r="S943">
        <v>0</v>
      </c>
      <c r="T943">
        <v>50</v>
      </c>
      <c r="U943">
        <v>64</v>
      </c>
    </row>
    <row r="944" spans="1:21" x14ac:dyDescent="0.35">
      <c r="A944" t="s">
        <v>28</v>
      </c>
      <c r="B944" s="1">
        <v>44464</v>
      </c>
      <c r="C944" t="s">
        <v>31</v>
      </c>
      <c r="D944">
        <v>107.5</v>
      </c>
      <c r="E944">
        <v>48.6</v>
      </c>
      <c r="F944">
        <v>0</v>
      </c>
      <c r="G944">
        <v>2.2000000000000002</v>
      </c>
      <c r="H944">
        <v>0</v>
      </c>
      <c r="I944">
        <v>0</v>
      </c>
      <c r="J944">
        <v>0</v>
      </c>
      <c r="K944">
        <v>0</v>
      </c>
      <c r="L944">
        <v>0</v>
      </c>
      <c r="M944">
        <v>0</v>
      </c>
      <c r="N944">
        <v>63251</v>
      </c>
      <c r="O944">
        <v>193577</v>
      </c>
      <c r="P944">
        <v>0</v>
      </c>
      <c r="Q944">
        <v>68</v>
      </c>
      <c r="R944">
        <v>94</v>
      </c>
      <c r="S944">
        <v>0</v>
      </c>
      <c r="T944">
        <v>65</v>
      </c>
      <c r="U944">
        <v>79</v>
      </c>
    </row>
    <row r="945" spans="1:21" x14ac:dyDescent="0.35">
      <c r="A945" t="s">
        <v>21</v>
      </c>
      <c r="B945" s="1">
        <v>45066</v>
      </c>
      <c r="C945" t="s">
        <v>25</v>
      </c>
      <c r="D945">
        <v>0</v>
      </c>
      <c r="E945">
        <v>0</v>
      </c>
      <c r="F945">
        <v>0</v>
      </c>
      <c r="G945">
        <v>0</v>
      </c>
      <c r="H945">
        <v>0</v>
      </c>
      <c r="I945">
        <v>0</v>
      </c>
      <c r="J945">
        <v>0</v>
      </c>
      <c r="K945">
        <v>0</v>
      </c>
      <c r="L945">
        <v>0</v>
      </c>
      <c r="M945">
        <v>0</v>
      </c>
      <c r="N945">
        <v>75004</v>
      </c>
      <c r="O945">
        <v>214136</v>
      </c>
      <c r="P945">
        <v>161691</v>
      </c>
      <c r="Q945">
        <v>0</v>
      </c>
      <c r="R945">
        <v>0</v>
      </c>
      <c r="S945">
        <v>0</v>
      </c>
      <c r="T945">
        <v>18</v>
      </c>
      <c r="U945">
        <v>29</v>
      </c>
    </row>
    <row r="946" spans="1:21" x14ac:dyDescent="0.35">
      <c r="A946" t="s">
        <v>21</v>
      </c>
      <c r="B946" s="1">
        <v>44811</v>
      </c>
      <c r="C946" t="s">
        <v>29</v>
      </c>
      <c r="D946">
        <v>0</v>
      </c>
      <c r="E946">
        <v>0</v>
      </c>
      <c r="F946">
        <v>0</v>
      </c>
      <c r="G946">
        <v>0</v>
      </c>
      <c r="H946">
        <v>0</v>
      </c>
      <c r="I946">
        <v>0</v>
      </c>
      <c r="J946">
        <v>0</v>
      </c>
      <c r="K946">
        <v>0</v>
      </c>
      <c r="L946">
        <v>0</v>
      </c>
      <c r="M946">
        <v>0</v>
      </c>
      <c r="N946">
        <v>127602</v>
      </c>
      <c r="O946">
        <v>280376</v>
      </c>
      <c r="P946">
        <v>340282</v>
      </c>
      <c r="Q946">
        <v>0</v>
      </c>
      <c r="R946">
        <v>0</v>
      </c>
      <c r="S946">
        <v>0</v>
      </c>
      <c r="T946">
        <v>30</v>
      </c>
      <c r="U946">
        <v>49</v>
      </c>
    </row>
    <row r="947" spans="1:21" x14ac:dyDescent="0.35">
      <c r="A947" t="s">
        <v>28</v>
      </c>
      <c r="B947" s="1">
        <v>45019</v>
      </c>
      <c r="C947" t="s">
        <v>25</v>
      </c>
      <c r="D947">
        <v>136.69999999999999</v>
      </c>
      <c r="E947">
        <v>43.5</v>
      </c>
      <c r="F947">
        <v>60</v>
      </c>
      <c r="G947">
        <v>3.1</v>
      </c>
      <c r="H947">
        <v>2.2999999999999998</v>
      </c>
      <c r="I947">
        <v>0</v>
      </c>
      <c r="J947">
        <v>0</v>
      </c>
      <c r="K947">
        <v>0</v>
      </c>
      <c r="L947">
        <v>0</v>
      </c>
      <c r="M947">
        <v>0</v>
      </c>
      <c r="N947">
        <v>76784</v>
      </c>
      <c r="O947">
        <v>213571</v>
      </c>
      <c r="P947">
        <v>161659</v>
      </c>
      <c r="Q947">
        <v>105</v>
      </c>
      <c r="R947">
        <v>93</v>
      </c>
      <c r="S947">
        <v>97</v>
      </c>
      <c r="T947">
        <v>18</v>
      </c>
      <c r="U947">
        <v>29</v>
      </c>
    </row>
    <row r="948" spans="1:21" x14ac:dyDescent="0.35">
      <c r="A948" t="s">
        <v>28</v>
      </c>
      <c r="B948" s="1">
        <v>44933</v>
      </c>
      <c r="C948" t="s">
        <v>29</v>
      </c>
      <c r="D948">
        <v>13.9</v>
      </c>
      <c r="E948">
        <v>6.8</v>
      </c>
      <c r="F948">
        <v>8.3000000000000007</v>
      </c>
      <c r="G948">
        <v>2</v>
      </c>
      <c r="H948">
        <v>1.7</v>
      </c>
      <c r="I948">
        <v>0</v>
      </c>
      <c r="J948">
        <v>0</v>
      </c>
      <c r="K948">
        <v>0</v>
      </c>
      <c r="L948">
        <v>0</v>
      </c>
      <c r="M948">
        <v>0</v>
      </c>
      <c r="N948">
        <v>107930</v>
      </c>
      <c r="O948">
        <v>278403</v>
      </c>
      <c r="P948">
        <v>347308</v>
      </c>
      <c r="Q948">
        <v>15</v>
      </c>
      <c r="R948">
        <v>19</v>
      </c>
      <c r="S948">
        <v>29</v>
      </c>
      <c r="T948">
        <v>30</v>
      </c>
      <c r="U948">
        <v>49</v>
      </c>
    </row>
    <row r="949" spans="1:21" x14ac:dyDescent="0.35">
      <c r="A949" t="s">
        <v>21</v>
      </c>
      <c r="B949" s="1">
        <v>45213</v>
      </c>
      <c r="C949" t="s">
        <v>31</v>
      </c>
      <c r="D949">
        <v>0</v>
      </c>
      <c r="E949">
        <v>0</v>
      </c>
      <c r="F949">
        <v>0.6</v>
      </c>
      <c r="G949">
        <v>0</v>
      </c>
      <c r="H949">
        <v>0</v>
      </c>
      <c r="I949">
        <v>0</v>
      </c>
      <c r="J949">
        <v>0</v>
      </c>
      <c r="K949">
        <v>0</v>
      </c>
      <c r="L949">
        <v>0</v>
      </c>
      <c r="M949">
        <v>0</v>
      </c>
      <c r="N949">
        <v>38416</v>
      </c>
      <c r="O949">
        <v>43494</v>
      </c>
      <c r="P949">
        <v>171905</v>
      </c>
      <c r="Q949">
        <v>0</v>
      </c>
      <c r="R949">
        <v>0</v>
      </c>
      <c r="S949">
        <v>1</v>
      </c>
      <c r="T949">
        <v>65</v>
      </c>
      <c r="U949">
        <v>79</v>
      </c>
    </row>
    <row r="950" spans="1:21" x14ac:dyDescent="0.35">
      <c r="A950" t="s">
        <v>28</v>
      </c>
      <c r="B950" s="1">
        <v>45073</v>
      </c>
      <c r="C950" t="s">
        <v>23</v>
      </c>
      <c r="D950">
        <v>36.5</v>
      </c>
      <c r="E950">
        <v>15.1</v>
      </c>
      <c r="F950">
        <v>19.399999999999999</v>
      </c>
      <c r="G950">
        <v>2.4</v>
      </c>
      <c r="H950">
        <v>1.9</v>
      </c>
      <c r="I950">
        <v>0</v>
      </c>
      <c r="J950">
        <v>0</v>
      </c>
      <c r="K950">
        <v>0</v>
      </c>
      <c r="L950">
        <v>0</v>
      </c>
      <c r="M950">
        <v>0</v>
      </c>
      <c r="N950">
        <v>32906</v>
      </c>
      <c r="O950">
        <v>125743</v>
      </c>
      <c r="P950">
        <v>246912</v>
      </c>
      <c r="Q950">
        <v>12</v>
      </c>
      <c r="R950">
        <v>19</v>
      </c>
      <c r="S950">
        <v>48</v>
      </c>
      <c r="T950">
        <v>50</v>
      </c>
      <c r="U950">
        <v>64</v>
      </c>
    </row>
    <row r="951" spans="1:21" x14ac:dyDescent="0.35">
      <c r="A951" t="s">
        <v>28</v>
      </c>
      <c r="B951" s="1">
        <v>44683</v>
      </c>
      <c r="C951" t="s">
        <v>27</v>
      </c>
      <c r="D951">
        <v>234.8</v>
      </c>
      <c r="E951">
        <v>143.6</v>
      </c>
      <c r="F951">
        <v>87.9</v>
      </c>
      <c r="G951">
        <v>1.6</v>
      </c>
      <c r="H951">
        <v>2.7</v>
      </c>
      <c r="I951">
        <v>0</v>
      </c>
      <c r="J951">
        <v>0</v>
      </c>
      <c r="K951">
        <v>0</v>
      </c>
      <c r="L951">
        <v>0</v>
      </c>
      <c r="M951">
        <v>0</v>
      </c>
      <c r="N951">
        <v>42597</v>
      </c>
      <c r="O951">
        <v>97526</v>
      </c>
      <c r="P951">
        <v>18212</v>
      </c>
      <c r="Q951">
        <v>100</v>
      </c>
      <c r="R951">
        <v>140</v>
      </c>
      <c r="S951">
        <v>16</v>
      </c>
      <c r="T951">
        <v>12</v>
      </c>
      <c r="U951">
        <v>17</v>
      </c>
    </row>
    <row r="952" spans="1:21" x14ac:dyDescent="0.35">
      <c r="A952" t="s">
        <v>26</v>
      </c>
      <c r="B952" s="1">
        <v>45227</v>
      </c>
      <c r="C952" t="s">
        <v>22</v>
      </c>
      <c r="D952">
        <v>4.0999999999999996</v>
      </c>
      <c r="E952">
        <v>1.4</v>
      </c>
      <c r="F952">
        <v>3.7</v>
      </c>
      <c r="G952">
        <v>2.9</v>
      </c>
      <c r="H952">
        <v>1.1000000000000001</v>
      </c>
      <c r="I952">
        <v>4.9000000000000004</v>
      </c>
      <c r="J952">
        <v>2.5</v>
      </c>
      <c r="K952">
        <v>2.5</v>
      </c>
      <c r="L952">
        <v>2</v>
      </c>
      <c r="M952">
        <v>2</v>
      </c>
      <c r="N952">
        <v>514722</v>
      </c>
      <c r="O952">
        <v>862266</v>
      </c>
      <c r="P952">
        <v>1043533</v>
      </c>
      <c r="Q952">
        <v>21</v>
      </c>
      <c r="R952">
        <v>12</v>
      </c>
      <c r="S952">
        <v>39</v>
      </c>
      <c r="T952">
        <v>999</v>
      </c>
      <c r="U952">
        <v>999</v>
      </c>
    </row>
    <row r="953" spans="1:21" x14ac:dyDescent="0.35">
      <c r="A953" t="s">
        <v>26</v>
      </c>
      <c r="B953" s="1">
        <v>44394</v>
      </c>
      <c r="C953" t="s">
        <v>23</v>
      </c>
      <c r="D953">
        <v>7.6</v>
      </c>
      <c r="E953">
        <v>0.6</v>
      </c>
      <c r="F953">
        <v>0</v>
      </c>
      <c r="G953">
        <v>12.7</v>
      </c>
      <c r="H953">
        <v>0</v>
      </c>
      <c r="I953">
        <v>0</v>
      </c>
      <c r="J953">
        <v>0</v>
      </c>
      <c r="K953">
        <v>0</v>
      </c>
      <c r="L953">
        <v>0</v>
      </c>
      <c r="M953">
        <v>0</v>
      </c>
      <c r="N953">
        <v>105017</v>
      </c>
      <c r="O953">
        <v>308063</v>
      </c>
      <c r="P953">
        <v>0</v>
      </c>
      <c r="Q953">
        <v>8</v>
      </c>
      <c r="R953">
        <v>2</v>
      </c>
      <c r="S953">
        <v>0</v>
      </c>
      <c r="T953">
        <v>50</v>
      </c>
      <c r="U953">
        <v>64</v>
      </c>
    </row>
    <row r="954" spans="1:21" x14ac:dyDescent="0.35">
      <c r="A954" t="s">
        <v>26</v>
      </c>
      <c r="B954" s="1">
        <v>44730</v>
      </c>
      <c r="C954" t="s">
        <v>23</v>
      </c>
      <c r="D954">
        <v>37.799999999999997</v>
      </c>
      <c r="E954">
        <v>5.4</v>
      </c>
      <c r="F954">
        <v>6.3</v>
      </c>
      <c r="G954">
        <v>7</v>
      </c>
      <c r="H954">
        <v>6</v>
      </c>
      <c r="I954">
        <v>0</v>
      </c>
      <c r="J954">
        <v>0</v>
      </c>
      <c r="K954">
        <v>0</v>
      </c>
      <c r="L954">
        <v>0</v>
      </c>
      <c r="M954">
        <v>0</v>
      </c>
      <c r="N954">
        <v>42287</v>
      </c>
      <c r="O954">
        <v>130631</v>
      </c>
      <c r="P954">
        <v>238855</v>
      </c>
      <c r="Q954">
        <v>16</v>
      </c>
      <c r="R954">
        <v>7</v>
      </c>
      <c r="S954">
        <v>15</v>
      </c>
      <c r="T954">
        <v>50</v>
      </c>
      <c r="U954">
        <v>64</v>
      </c>
    </row>
    <row r="955" spans="1:21" x14ac:dyDescent="0.35">
      <c r="A955" t="s">
        <v>28</v>
      </c>
      <c r="B955" s="1">
        <v>44611</v>
      </c>
      <c r="C955" t="s">
        <v>29</v>
      </c>
      <c r="D955">
        <v>111.7</v>
      </c>
      <c r="E955">
        <v>50.8</v>
      </c>
      <c r="F955">
        <v>82</v>
      </c>
      <c r="G955">
        <v>2.2000000000000002</v>
      </c>
      <c r="H955">
        <v>1.4</v>
      </c>
      <c r="I955">
        <v>0</v>
      </c>
      <c r="J955">
        <v>0</v>
      </c>
      <c r="K955">
        <v>0</v>
      </c>
      <c r="L955">
        <v>0</v>
      </c>
      <c r="M955">
        <v>0</v>
      </c>
      <c r="N955">
        <v>137833</v>
      </c>
      <c r="O955">
        <v>299049</v>
      </c>
      <c r="P955">
        <v>303628</v>
      </c>
      <c r="Q955">
        <v>154</v>
      </c>
      <c r="R955">
        <v>152</v>
      </c>
      <c r="S955">
        <v>249</v>
      </c>
      <c r="T955">
        <v>30</v>
      </c>
      <c r="U955">
        <v>49</v>
      </c>
    </row>
    <row r="956" spans="1:21" x14ac:dyDescent="0.35">
      <c r="A956" t="s">
        <v>21</v>
      </c>
      <c r="B956" s="1">
        <v>44975</v>
      </c>
      <c r="C956" t="s">
        <v>32</v>
      </c>
      <c r="D956">
        <v>0</v>
      </c>
      <c r="E956">
        <v>0</v>
      </c>
      <c r="F956">
        <v>0</v>
      </c>
      <c r="G956">
        <v>0</v>
      </c>
      <c r="H956">
        <v>0</v>
      </c>
      <c r="I956">
        <v>0</v>
      </c>
      <c r="J956">
        <v>0</v>
      </c>
      <c r="K956">
        <v>0</v>
      </c>
      <c r="L956">
        <v>0</v>
      </c>
      <c r="M956">
        <v>0</v>
      </c>
      <c r="N956">
        <v>162642</v>
      </c>
      <c r="O956">
        <v>0</v>
      </c>
      <c r="P956">
        <v>0</v>
      </c>
      <c r="Q956">
        <v>0</v>
      </c>
      <c r="R956">
        <v>0</v>
      </c>
      <c r="S956">
        <v>0</v>
      </c>
      <c r="T956">
        <v>0</v>
      </c>
      <c r="U956">
        <v>4</v>
      </c>
    </row>
    <row r="957" spans="1:21" x14ac:dyDescent="0.35">
      <c r="A957" t="s">
        <v>28</v>
      </c>
      <c r="B957" s="1">
        <v>45027</v>
      </c>
      <c r="C957" t="s">
        <v>30</v>
      </c>
      <c r="D957">
        <v>37.4</v>
      </c>
      <c r="E957">
        <v>77.900000000000006</v>
      </c>
      <c r="F957">
        <v>95.2</v>
      </c>
      <c r="G957">
        <v>0.5</v>
      </c>
      <c r="H957">
        <v>0.4</v>
      </c>
      <c r="I957">
        <v>0</v>
      </c>
      <c r="J957">
        <v>0</v>
      </c>
      <c r="K957">
        <v>0</v>
      </c>
      <c r="L957">
        <v>0</v>
      </c>
      <c r="M957">
        <v>0</v>
      </c>
      <c r="N957">
        <v>24080</v>
      </c>
      <c r="O957">
        <v>11553</v>
      </c>
      <c r="P957">
        <v>47261</v>
      </c>
      <c r="Q957">
        <v>9</v>
      </c>
      <c r="R957">
        <v>9</v>
      </c>
      <c r="S957">
        <v>45</v>
      </c>
      <c r="T957">
        <v>80</v>
      </c>
      <c r="U957">
        <v>200</v>
      </c>
    </row>
    <row r="958" spans="1:21" x14ac:dyDescent="0.35">
      <c r="A958" t="s">
        <v>21</v>
      </c>
      <c r="B958" s="1">
        <v>45227</v>
      </c>
      <c r="C958" t="s">
        <v>30</v>
      </c>
      <c r="D958">
        <v>4.0999999999999996</v>
      </c>
      <c r="E958">
        <v>17.399999999999999</v>
      </c>
      <c r="F958">
        <v>0</v>
      </c>
      <c r="G958">
        <v>0.2</v>
      </c>
      <c r="H958">
        <v>0</v>
      </c>
      <c r="I958">
        <v>0</v>
      </c>
      <c r="J958">
        <v>0</v>
      </c>
      <c r="K958">
        <v>0</v>
      </c>
      <c r="L958">
        <v>0</v>
      </c>
      <c r="M958">
        <v>0</v>
      </c>
      <c r="N958">
        <v>24124</v>
      </c>
      <c r="O958">
        <v>11521</v>
      </c>
      <c r="P958">
        <v>47222</v>
      </c>
      <c r="Q958">
        <v>1</v>
      </c>
      <c r="R958">
        <v>2</v>
      </c>
      <c r="S958">
        <v>0</v>
      </c>
      <c r="T958">
        <v>80</v>
      </c>
      <c r="U958">
        <v>200</v>
      </c>
    </row>
    <row r="959" spans="1:21" x14ac:dyDescent="0.35">
      <c r="A959" t="s">
        <v>26</v>
      </c>
      <c r="B959" s="1">
        <v>45227</v>
      </c>
      <c r="C959" t="s">
        <v>30</v>
      </c>
      <c r="D959">
        <v>16.600000000000001</v>
      </c>
      <c r="E959">
        <v>34.700000000000003</v>
      </c>
      <c r="F959">
        <v>21.2</v>
      </c>
      <c r="G959">
        <v>0.5</v>
      </c>
      <c r="H959">
        <v>0.8</v>
      </c>
      <c r="I959">
        <v>0</v>
      </c>
      <c r="J959">
        <v>0</v>
      </c>
      <c r="K959">
        <v>0</v>
      </c>
      <c r="L959">
        <v>0</v>
      </c>
      <c r="M959">
        <v>0</v>
      </c>
      <c r="N959">
        <v>24124</v>
      </c>
      <c r="O959">
        <v>11521</v>
      </c>
      <c r="P959">
        <v>47222</v>
      </c>
      <c r="Q959">
        <v>4</v>
      </c>
      <c r="R959">
        <v>4</v>
      </c>
      <c r="S959">
        <v>10</v>
      </c>
      <c r="T959">
        <v>80</v>
      </c>
      <c r="U959">
        <v>200</v>
      </c>
    </row>
    <row r="960" spans="1:21" x14ac:dyDescent="0.35">
      <c r="A960" t="s">
        <v>21</v>
      </c>
      <c r="B960" s="1">
        <v>44509</v>
      </c>
      <c r="C960" t="s">
        <v>23</v>
      </c>
      <c r="D960">
        <v>10.6</v>
      </c>
      <c r="E960">
        <v>0.3</v>
      </c>
      <c r="F960">
        <v>0</v>
      </c>
      <c r="G960">
        <v>35.299999999999997</v>
      </c>
      <c r="H960">
        <v>0</v>
      </c>
      <c r="I960">
        <v>0</v>
      </c>
      <c r="J960">
        <v>0</v>
      </c>
      <c r="K960">
        <v>0</v>
      </c>
      <c r="L960">
        <v>0</v>
      </c>
      <c r="M960">
        <v>0</v>
      </c>
      <c r="N960">
        <v>84837</v>
      </c>
      <c r="O960">
        <v>325536</v>
      </c>
      <c r="P960">
        <v>0</v>
      </c>
      <c r="Q960">
        <v>9</v>
      </c>
      <c r="R960">
        <v>1</v>
      </c>
      <c r="S960">
        <v>0</v>
      </c>
      <c r="T960">
        <v>50</v>
      </c>
      <c r="U960">
        <v>64</v>
      </c>
    </row>
    <row r="961" spans="1:21" x14ac:dyDescent="0.35">
      <c r="A961" t="s">
        <v>26</v>
      </c>
      <c r="B961" s="1">
        <v>44583</v>
      </c>
      <c r="C961" t="s">
        <v>25</v>
      </c>
      <c r="D961">
        <v>31</v>
      </c>
      <c r="E961">
        <v>6.3</v>
      </c>
      <c r="F961">
        <v>1.9</v>
      </c>
      <c r="G961">
        <v>4.9000000000000004</v>
      </c>
      <c r="H961">
        <v>16.3</v>
      </c>
      <c r="I961">
        <v>0</v>
      </c>
      <c r="J961">
        <v>0</v>
      </c>
      <c r="K961">
        <v>0</v>
      </c>
      <c r="L961">
        <v>0</v>
      </c>
      <c r="M961">
        <v>0</v>
      </c>
      <c r="N961">
        <v>116024</v>
      </c>
      <c r="O961">
        <v>239720</v>
      </c>
      <c r="P961">
        <v>103823</v>
      </c>
      <c r="Q961">
        <v>36</v>
      </c>
      <c r="R961">
        <v>15</v>
      </c>
      <c r="S961">
        <v>2</v>
      </c>
      <c r="T961">
        <v>18</v>
      </c>
      <c r="U961">
        <v>29</v>
      </c>
    </row>
    <row r="962" spans="1:21" x14ac:dyDescent="0.35">
      <c r="A962" t="s">
        <v>21</v>
      </c>
      <c r="B962" s="1">
        <v>45227</v>
      </c>
      <c r="C962" t="s">
        <v>31</v>
      </c>
      <c r="D962">
        <v>0</v>
      </c>
      <c r="E962">
        <v>0</v>
      </c>
      <c r="F962">
        <v>0.6</v>
      </c>
      <c r="G962">
        <v>0</v>
      </c>
      <c r="H962">
        <v>0</v>
      </c>
      <c r="I962">
        <v>0</v>
      </c>
      <c r="J962">
        <v>0</v>
      </c>
      <c r="K962">
        <v>0</v>
      </c>
      <c r="L962">
        <v>0</v>
      </c>
      <c r="M962">
        <v>0</v>
      </c>
      <c r="N962">
        <v>37995</v>
      </c>
      <c r="O962">
        <v>43884</v>
      </c>
      <c r="P962">
        <v>172161</v>
      </c>
      <c r="Q962">
        <v>0</v>
      </c>
      <c r="R962">
        <v>0</v>
      </c>
      <c r="S962">
        <v>1</v>
      </c>
      <c r="T962">
        <v>65</v>
      </c>
      <c r="U962">
        <v>79</v>
      </c>
    </row>
    <row r="963" spans="1:21" x14ac:dyDescent="0.35">
      <c r="A963" t="s">
        <v>26</v>
      </c>
      <c r="B963" s="1">
        <v>45145</v>
      </c>
      <c r="C963" t="s">
        <v>32</v>
      </c>
      <c r="D963">
        <v>1.2</v>
      </c>
      <c r="E963">
        <v>0</v>
      </c>
      <c r="F963">
        <v>0</v>
      </c>
      <c r="G963">
        <v>0</v>
      </c>
      <c r="H963">
        <v>0</v>
      </c>
      <c r="I963">
        <v>0</v>
      </c>
      <c r="J963">
        <v>0</v>
      </c>
      <c r="K963">
        <v>0</v>
      </c>
      <c r="L963">
        <v>0</v>
      </c>
      <c r="M963">
        <v>0</v>
      </c>
      <c r="N963">
        <v>162642</v>
      </c>
      <c r="O963">
        <v>0</v>
      </c>
      <c r="P963">
        <v>0</v>
      </c>
      <c r="Q963">
        <v>2</v>
      </c>
      <c r="R963">
        <v>0</v>
      </c>
      <c r="S963">
        <v>0</v>
      </c>
      <c r="T963">
        <v>0</v>
      </c>
      <c r="U963">
        <v>4</v>
      </c>
    </row>
    <row r="964" spans="1:21" x14ac:dyDescent="0.35">
      <c r="A964" t="s">
        <v>26</v>
      </c>
      <c r="B964" s="1">
        <v>44906</v>
      </c>
      <c r="C964" t="s">
        <v>22</v>
      </c>
      <c r="D964">
        <v>15.4</v>
      </c>
      <c r="E964">
        <v>4.5</v>
      </c>
      <c r="F964">
        <v>9</v>
      </c>
      <c r="G964">
        <v>3.4</v>
      </c>
      <c r="H964">
        <v>1.7</v>
      </c>
      <c r="I964">
        <v>19.100000000000001</v>
      </c>
      <c r="J964">
        <v>6.8</v>
      </c>
      <c r="K964">
        <v>6.2</v>
      </c>
      <c r="L964">
        <v>2.8</v>
      </c>
      <c r="M964">
        <v>3.1</v>
      </c>
      <c r="N964">
        <v>570386</v>
      </c>
      <c r="O964">
        <v>848167</v>
      </c>
      <c r="P964">
        <v>1039564</v>
      </c>
      <c r="Q964">
        <v>88</v>
      </c>
      <c r="R964">
        <v>38</v>
      </c>
      <c r="S964">
        <v>94</v>
      </c>
      <c r="T964">
        <v>999</v>
      </c>
      <c r="U964">
        <v>999</v>
      </c>
    </row>
    <row r="965" spans="1:21" x14ac:dyDescent="0.35">
      <c r="A965" t="s">
        <v>21</v>
      </c>
      <c r="B965" s="1">
        <v>45157</v>
      </c>
      <c r="C965" t="s">
        <v>23</v>
      </c>
      <c r="D965">
        <v>0</v>
      </c>
      <c r="E965">
        <v>0</v>
      </c>
      <c r="F965">
        <v>0</v>
      </c>
      <c r="G965">
        <v>0</v>
      </c>
      <c r="H965">
        <v>0</v>
      </c>
      <c r="I965">
        <v>0</v>
      </c>
      <c r="J965">
        <v>0</v>
      </c>
      <c r="K965">
        <v>0</v>
      </c>
      <c r="L965">
        <v>0</v>
      </c>
      <c r="M965">
        <v>0</v>
      </c>
      <c r="N965">
        <v>32398</v>
      </c>
      <c r="O965">
        <v>125726</v>
      </c>
      <c r="P965">
        <v>246936</v>
      </c>
      <c r="Q965">
        <v>0</v>
      </c>
      <c r="R965">
        <v>0</v>
      </c>
      <c r="S965">
        <v>0</v>
      </c>
      <c r="T965">
        <v>50</v>
      </c>
      <c r="U965">
        <v>64</v>
      </c>
    </row>
    <row r="966" spans="1:21" x14ac:dyDescent="0.35">
      <c r="A966" t="s">
        <v>21</v>
      </c>
      <c r="B966" s="1">
        <v>45192</v>
      </c>
      <c r="C966" t="s">
        <v>25</v>
      </c>
      <c r="D966">
        <v>0</v>
      </c>
      <c r="E966">
        <v>0</v>
      </c>
      <c r="F966">
        <v>0</v>
      </c>
      <c r="G966">
        <v>0</v>
      </c>
      <c r="H966">
        <v>0</v>
      </c>
      <c r="I966">
        <v>0</v>
      </c>
      <c r="J966">
        <v>0</v>
      </c>
      <c r="K966">
        <v>0</v>
      </c>
      <c r="L966">
        <v>0</v>
      </c>
      <c r="M966">
        <v>0</v>
      </c>
      <c r="N966">
        <v>72891</v>
      </c>
      <c r="O966">
        <v>214123</v>
      </c>
      <c r="P966">
        <v>161728</v>
      </c>
      <c r="Q966">
        <v>0</v>
      </c>
      <c r="R966">
        <v>0</v>
      </c>
      <c r="S966">
        <v>0</v>
      </c>
      <c r="T966">
        <v>18</v>
      </c>
      <c r="U966">
        <v>29</v>
      </c>
    </row>
    <row r="967" spans="1:21" x14ac:dyDescent="0.35">
      <c r="A967" t="s">
        <v>21</v>
      </c>
      <c r="B967" s="1">
        <v>44849</v>
      </c>
      <c r="C967" t="s">
        <v>22</v>
      </c>
      <c r="D967">
        <v>1</v>
      </c>
      <c r="E967">
        <v>0</v>
      </c>
      <c r="F967">
        <v>0.1</v>
      </c>
      <c r="G967">
        <v>0</v>
      </c>
      <c r="H967">
        <v>10</v>
      </c>
      <c r="I967">
        <v>1</v>
      </c>
      <c r="J967">
        <v>0</v>
      </c>
      <c r="K967">
        <v>0.1</v>
      </c>
      <c r="L967">
        <v>0</v>
      </c>
      <c r="M967">
        <v>17.3</v>
      </c>
      <c r="N967">
        <v>584290</v>
      </c>
      <c r="O967">
        <v>844343</v>
      </c>
      <c r="P967">
        <v>1038311</v>
      </c>
      <c r="Q967">
        <v>6</v>
      </c>
      <c r="R967">
        <v>0</v>
      </c>
      <c r="S967">
        <v>1</v>
      </c>
      <c r="T967">
        <v>999</v>
      </c>
      <c r="U967">
        <v>999</v>
      </c>
    </row>
    <row r="968" spans="1:21" x14ac:dyDescent="0.35">
      <c r="A968" t="s">
        <v>21</v>
      </c>
      <c r="B968" s="1">
        <v>44322</v>
      </c>
      <c r="C968" t="s">
        <v>25</v>
      </c>
      <c r="D968">
        <v>0</v>
      </c>
      <c r="E968">
        <v>0</v>
      </c>
      <c r="F968">
        <v>0</v>
      </c>
      <c r="G968">
        <v>0</v>
      </c>
      <c r="H968">
        <v>0</v>
      </c>
      <c r="I968">
        <v>0</v>
      </c>
      <c r="J968">
        <v>0</v>
      </c>
      <c r="K968">
        <v>0</v>
      </c>
      <c r="L968">
        <v>0</v>
      </c>
      <c r="M968">
        <v>0</v>
      </c>
      <c r="N968">
        <v>241512</v>
      </c>
      <c r="O968">
        <v>225206</v>
      </c>
      <c r="P968">
        <v>0</v>
      </c>
      <c r="Q968">
        <v>0</v>
      </c>
      <c r="R968">
        <v>0</v>
      </c>
      <c r="S968">
        <v>0</v>
      </c>
      <c r="T968">
        <v>18</v>
      </c>
      <c r="U968">
        <v>29</v>
      </c>
    </row>
    <row r="969" spans="1:21" x14ac:dyDescent="0.35">
      <c r="A969" t="s">
        <v>26</v>
      </c>
      <c r="B969" s="1">
        <v>45108</v>
      </c>
      <c r="C969" t="s">
        <v>22</v>
      </c>
      <c r="D969">
        <v>18.100000000000001</v>
      </c>
      <c r="E969">
        <v>6.4</v>
      </c>
      <c r="F969">
        <v>12.7</v>
      </c>
      <c r="G969">
        <v>2.8</v>
      </c>
      <c r="H969">
        <v>1.4</v>
      </c>
      <c r="I969">
        <v>22.7</v>
      </c>
      <c r="J969">
        <v>10.5</v>
      </c>
      <c r="K969">
        <v>8.5</v>
      </c>
      <c r="L969">
        <v>2.2000000000000002</v>
      </c>
      <c r="M969">
        <v>2.7</v>
      </c>
      <c r="N969">
        <v>553739</v>
      </c>
      <c r="O969">
        <v>854331</v>
      </c>
      <c r="P969">
        <v>1040190</v>
      </c>
      <c r="Q969">
        <v>100</v>
      </c>
      <c r="R969">
        <v>55</v>
      </c>
      <c r="S969">
        <v>132</v>
      </c>
      <c r="T969">
        <v>999</v>
      </c>
      <c r="U969">
        <v>999</v>
      </c>
    </row>
    <row r="970" spans="1:21" x14ac:dyDescent="0.35">
      <c r="A970" t="s">
        <v>26</v>
      </c>
      <c r="B970" s="1">
        <v>44509</v>
      </c>
      <c r="C970" t="s">
        <v>27</v>
      </c>
      <c r="D970">
        <v>6.8</v>
      </c>
      <c r="E970">
        <v>0</v>
      </c>
      <c r="F970">
        <v>0</v>
      </c>
      <c r="G970">
        <v>0</v>
      </c>
      <c r="H970">
        <v>0</v>
      </c>
      <c r="I970">
        <v>0</v>
      </c>
      <c r="J970">
        <v>0</v>
      </c>
      <c r="K970">
        <v>0</v>
      </c>
      <c r="L970">
        <v>0</v>
      </c>
      <c r="M970">
        <v>0</v>
      </c>
      <c r="N970">
        <v>73661</v>
      </c>
      <c r="O970">
        <v>83778</v>
      </c>
      <c r="P970">
        <v>0</v>
      </c>
      <c r="Q970">
        <v>5</v>
      </c>
      <c r="R970">
        <v>0</v>
      </c>
      <c r="S970">
        <v>0</v>
      </c>
      <c r="T970">
        <v>12</v>
      </c>
      <c r="U970">
        <v>17</v>
      </c>
    </row>
    <row r="971" spans="1:21" x14ac:dyDescent="0.35">
      <c r="A971" t="s">
        <v>26</v>
      </c>
      <c r="B971" s="1">
        <v>44512</v>
      </c>
      <c r="C971" t="s">
        <v>24</v>
      </c>
      <c r="D971">
        <v>2</v>
      </c>
      <c r="E971">
        <v>0</v>
      </c>
      <c r="F971">
        <v>0</v>
      </c>
      <c r="G971">
        <v>0</v>
      </c>
      <c r="H971">
        <v>0</v>
      </c>
      <c r="I971">
        <v>0</v>
      </c>
      <c r="J971">
        <v>0</v>
      </c>
      <c r="K971">
        <v>0</v>
      </c>
      <c r="L971">
        <v>0</v>
      </c>
      <c r="M971">
        <v>0</v>
      </c>
      <c r="N971">
        <v>151855</v>
      </c>
      <c r="O971">
        <v>2846</v>
      </c>
      <c r="P971">
        <v>0</v>
      </c>
      <c r="Q971">
        <v>3</v>
      </c>
      <c r="R971">
        <v>0</v>
      </c>
      <c r="S971">
        <v>0</v>
      </c>
      <c r="T971">
        <v>5</v>
      </c>
      <c r="U971">
        <v>11</v>
      </c>
    </row>
    <row r="972" spans="1:21" x14ac:dyDescent="0.35">
      <c r="A972" t="s">
        <v>28</v>
      </c>
      <c r="B972" s="1">
        <v>44919</v>
      </c>
      <c r="C972" t="s">
        <v>24</v>
      </c>
      <c r="D972">
        <v>166.4</v>
      </c>
      <c r="E972">
        <v>116.7</v>
      </c>
      <c r="F972">
        <v>175</v>
      </c>
      <c r="G972">
        <v>1.4</v>
      </c>
      <c r="H972">
        <v>1</v>
      </c>
      <c r="I972">
        <v>0</v>
      </c>
      <c r="J972">
        <v>0</v>
      </c>
      <c r="K972">
        <v>0</v>
      </c>
      <c r="L972">
        <v>0</v>
      </c>
      <c r="M972">
        <v>0</v>
      </c>
      <c r="N972">
        <v>92531</v>
      </c>
      <c r="O972">
        <v>81440</v>
      </c>
      <c r="P972">
        <v>21142</v>
      </c>
      <c r="Q972">
        <v>154</v>
      </c>
      <c r="R972">
        <v>95</v>
      </c>
      <c r="S972">
        <v>37</v>
      </c>
      <c r="T972">
        <v>5</v>
      </c>
      <c r="U972">
        <v>11</v>
      </c>
    </row>
    <row r="973" spans="1:21" x14ac:dyDescent="0.35">
      <c r="A973" t="s">
        <v>21</v>
      </c>
      <c r="B973" s="1">
        <v>44774</v>
      </c>
      <c r="C973" t="s">
        <v>31</v>
      </c>
      <c r="D973">
        <v>73.599999999999994</v>
      </c>
      <c r="E973">
        <v>28.5</v>
      </c>
      <c r="F973">
        <v>3</v>
      </c>
      <c r="G973">
        <v>2.6</v>
      </c>
      <c r="H973">
        <v>24.5</v>
      </c>
      <c r="I973">
        <v>0</v>
      </c>
      <c r="J973">
        <v>0</v>
      </c>
      <c r="K973">
        <v>0</v>
      </c>
      <c r="L973">
        <v>0</v>
      </c>
      <c r="M973">
        <v>0</v>
      </c>
      <c r="N973">
        <v>51599</v>
      </c>
      <c r="O973">
        <v>73634</v>
      </c>
      <c r="P973">
        <v>133598</v>
      </c>
      <c r="Q973">
        <v>38</v>
      </c>
      <c r="R973">
        <v>21</v>
      </c>
      <c r="S973">
        <v>4</v>
      </c>
      <c r="T973">
        <v>65</v>
      </c>
      <c r="U973">
        <v>79</v>
      </c>
    </row>
    <row r="974" spans="1:21" x14ac:dyDescent="0.35">
      <c r="A974" t="s">
        <v>28</v>
      </c>
      <c r="B974" s="1">
        <v>45045</v>
      </c>
      <c r="C974" t="s">
        <v>30</v>
      </c>
      <c r="D974">
        <v>28.5</v>
      </c>
      <c r="E974">
        <v>43.9</v>
      </c>
      <c r="F974">
        <v>74.3</v>
      </c>
      <c r="G974">
        <v>0.6</v>
      </c>
      <c r="H974">
        <v>0.4</v>
      </c>
      <c r="I974">
        <v>0</v>
      </c>
      <c r="J974">
        <v>0</v>
      </c>
      <c r="K974">
        <v>0</v>
      </c>
      <c r="L974">
        <v>0</v>
      </c>
      <c r="M974">
        <v>0</v>
      </c>
      <c r="N974">
        <v>24593</v>
      </c>
      <c r="O974">
        <v>11384</v>
      </c>
      <c r="P974">
        <v>47127</v>
      </c>
      <c r="Q974">
        <v>7</v>
      </c>
      <c r="R974">
        <v>5</v>
      </c>
      <c r="S974">
        <v>35</v>
      </c>
      <c r="T974">
        <v>80</v>
      </c>
      <c r="U974">
        <v>200</v>
      </c>
    </row>
    <row r="975" spans="1:21" x14ac:dyDescent="0.35">
      <c r="A975" t="s">
        <v>28</v>
      </c>
      <c r="B975" s="1">
        <v>44898</v>
      </c>
      <c r="C975" t="s">
        <v>32</v>
      </c>
      <c r="D975">
        <v>35.700000000000003</v>
      </c>
      <c r="E975">
        <v>0</v>
      </c>
      <c r="F975">
        <v>0</v>
      </c>
      <c r="G975">
        <v>0</v>
      </c>
      <c r="H975">
        <v>0</v>
      </c>
      <c r="I975">
        <v>0</v>
      </c>
      <c r="J975">
        <v>0</v>
      </c>
      <c r="K975">
        <v>0</v>
      </c>
      <c r="L975">
        <v>0</v>
      </c>
      <c r="M975">
        <v>0</v>
      </c>
      <c r="N975">
        <v>162642</v>
      </c>
      <c r="O975">
        <v>0</v>
      </c>
      <c r="P975">
        <v>0</v>
      </c>
      <c r="Q975">
        <v>58</v>
      </c>
      <c r="R975">
        <v>0</v>
      </c>
      <c r="S975">
        <v>0</v>
      </c>
      <c r="T975">
        <v>0</v>
      </c>
      <c r="U975">
        <v>4</v>
      </c>
    </row>
    <row r="976" spans="1:21" x14ac:dyDescent="0.35">
      <c r="A976" t="s">
        <v>28</v>
      </c>
      <c r="B976" s="1">
        <v>44476</v>
      </c>
      <c r="C976" t="s">
        <v>31</v>
      </c>
      <c r="D976">
        <v>13.9</v>
      </c>
      <c r="E976">
        <v>6.3</v>
      </c>
      <c r="F976">
        <v>0</v>
      </c>
      <c r="G976">
        <v>2.2000000000000002</v>
      </c>
      <c r="H976">
        <v>0</v>
      </c>
      <c r="I976">
        <v>0</v>
      </c>
      <c r="J976">
        <v>0</v>
      </c>
      <c r="K976">
        <v>0</v>
      </c>
      <c r="L976">
        <v>0</v>
      </c>
      <c r="M976">
        <v>0</v>
      </c>
      <c r="N976">
        <v>71806</v>
      </c>
      <c r="O976">
        <v>189097</v>
      </c>
      <c r="P976">
        <v>0</v>
      </c>
      <c r="Q976">
        <v>10</v>
      </c>
      <c r="R976">
        <v>12</v>
      </c>
      <c r="S976">
        <v>0</v>
      </c>
      <c r="T976">
        <v>65</v>
      </c>
      <c r="U976">
        <v>79</v>
      </c>
    </row>
    <row r="977" spans="1:21" x14ac:dyDescent="0.35">
      <c r="A977" t="s">
        <v>26</v>
      </c>
      <c r="B977" s="1">
        <v>44898</v>
      </c>
      <c r="C977" t="s">
        <v>30</v>
      </c>
      <c r="D977">
        <v>14.7</v>
      </c>
      <c r="E977">
        <v>13.9</v>
      </c>
      <c r="F977">
        <v>11.7</v>
      </c>
      <c r="G977">
        <v>1.1000000000000001</v>
      </c>
      <c r="H977">
        <v>1.3</v>
      </c>
      <c r="I977">
        <v>0</v>
      </c>
      <c r="J977">
        <v>0</v>
      </c>
      <c r="K977">
        <v>0</v>
      </c>
      <c r="L977">
        <v>0</v>
      </c>
      <c r="M977">
        <v>0</v>
      </c>
      <c r="N977">
        <v>27140</v>
      </c>
      <c r="O977">
        <v>14363</v>
      </c>
      <c r="P977">
        <v>42701</v>
      </c>
      <c r="Q977">
        <v>4</v>
      </c>
      <c r="R977">
        <v>2</v>
      </c>
      <c r="S977">
        <v>5</v>
      </c>
      <c r="T977">
        <v>80</v>
      </c>
      <c r="U977">
        <v>200</v>
      </c>
    </row>
    <row r="978" spans="1:21" x14ac:dyDescent="0.35">
      <c r="A978" t="s">
        <v>28</v>
      </c>
      <c r="B978" s="1">
        <v>44747</v>
      </c>
      <c r="C978" t="s">
        <v>23</v>
      </c>
      <c r="D978">
        <v>308</v>
      </c>
      <c r="E978">
        <v>134.5</v>
      </c>
      <c r="F978">
        <v>265.39999999999998</v>
      </c>
      <c r="G978">
        <v>2.2999999999999998</v>
      </c>
      <c r="H978">
        <v>1.2</v>
      </c>
      <c r="I978">
        <v>0</v>
      </c>
      <c r="J978">
        <v>0</v>
      </c>
      <c r="K978">
        <v>0</v>
      </c>
      <c r="L978">
        <v>0</v>
      </c>
      <c r="M978">
        <v>0</v>
      </c>
      <c r="N978">
        <v>43830</v>
      </c>
      <c r="O978">
        <v>134524</v>
      </c>
      <c r="P978">
        <v>233206</v>
      </c>
      <c r="Q978">
        <v>135</v>
      </c>
      <c r="R978">
        <v>181</v>
      </c>
      <c r="S978">
        <v>619</v>
      </c>
      <c r="T978">
        <v>50</v>
      </c>
      <c r="U978">
        <v>64</v>
      </c>
    </row>
    <row r="979" spans="1:21" x14ac:dyDescent="0.35">
      <c r="A979" t="s">
        <v>21</v>
      </c>
      <c r="B979" s="1">
        <v>44512</v>
      </c>
      <c r="C979" t="s">
        <v>27</v>
      </c>
      <c r="D979">
        <v>0</v>
      </c>
      <c r="E979">
        <v>0</v>
      </c>
      <c r="F979">
        <v>0</v>
      </c>
      <c r="G979">
        <v>0</v>
      </c>
      <c r="H979">
        <v>0</v>
      </c>
      <c r="I979">
        <v>0</v>
      </c>
      <c r="J979">
        <v>0</v>
      </c>
      <c r="K979">
        <v>0</v>
      </c>
      <c r="L979">
        <v>0</v>
      </c>
      <c r="M979">
        <v>0</v>
      </c>
      <c r="N979">
        <v>57433</v>
      </c>
      <c r="O979">
        <v>105995</v>
      </c>
      <c r="P979">
        <v>469</v>
      </c>
      <c r="Q979">
        <v>0</v>
      </c>
      <c r="R979">
        <v>0</v>
      </c>
      <c r="S979">
        <v>0</v>
      </c>
      <c r="T979">
        <v>12</v>
      </c>
      <c r="U979">
        <v>17</v>
      </c>
    </row>
    <row r="980" spans="1:21" x14ac:dyDescent="0.35">
      <c r="A980" t="s">
        <v>21</v>
      </c>
      <c r="B980" s="1">
        <v>44730</v>
      </c>
      <c r="C980" t="s">
        <v>27</v>
      </c>
      <c r="D980">
        <v>0</v>
      </c>
      <c r="E980">
        <v>0</v>
      </c>
      <c r="F980">
        <v>0</v>
      </c>
      <c r="G980">
        <v>0</v>
      </c>
      <c r="H980">
        <v>0</v>
      </c>
      <c r="I980">
        <v>0</v>
      </c>
      <c r="J980">
        <v>0</v>
      </c>
      <c r="K980">
        <v>0</v>
      </c>
      <c r="L980">
        <v>0</v>
      </c>
      <c r="M980">
        <v>0</v>
      </c>
      <c r="N980">
        <v>36709</v>
      </c>
      <c r="O980">
        <v>92398</v>
      </c>
      <c r="P980">
        <v>36325</v>
      </c>
      <c r="Q980">
        <v>0</v>
      </c>
      <c r="R980">
        <v>0</v>
      </c>
      <c r="S980">
        <v>0</v>
      </c>
      <c r="T980">
        <v>12</v>
      </c>
      <c r="U980">
        <v>17</v>
      </c>
    </row>
    <row r="981" spans="1:21" x14ac:dyDescent="0.35">
      <c r="A981" t="s">
        <v>26</v>
      </c>
      <c r="B981" s="1">
        <v>45066</v>
      </c>
      <c r="C981" t="s">
        <v>29</v>
      </c>
      <c r="D981">
        <v>3.7</v>
      </c>
      <c r="E981">
        <v>0.4</v>
      </c>
      <c r="F981">
        <v>0.3</v>
      </c>
      <c r="G981">
        <v>9.1999999999999993</v>
      </c>
      <c r="H981">
        <v>12.3</v>
      </c>
      <c r="I981">
        <v>0</v>
      </c>
      <c r="J981">
        <v>0</v>
      </c>
      <c r="K981">
        <v>0</v>
      </c>
      <c r="L981">
        <v>0</v>
      </c>
      <c r="M981">
        <v>0</v>
      </c>
      <c r="N981">
        <v>108712</v>
      </c>
      <c r="O981">
        <v>278401</v>
      </c>
      <c r="P981">
        <v>347297</v>
      </c>
      <c r="Q981">
        <v>4</v>
      </c>
      <c r="R981">
        <v>1</v>
      </c>
      <c r="S981">
        <v>1</v>
      </c>
      <c r="T981">
        <v>30</v>
      </c>
      <c r="U981">
        <v>49</v>
      </c>
    </row>
    <row r="982" spans="1:21" x14ac:dyDescent="0.35">
      <c r="A982" t="s">
        <v>26</v>
      </c>
      <c r="B982" s="1">
        <v>45059</v>
      </c>
      <c r="C982" t="s">
        <v>23</v>
      </c>
      <c r="D982">
        <v>3</v>
      </c>
      <c r="E982">
        <v>3.2</v>
      </c>
      <c r="F982">
        <v>3.6</v>
      </c>
      <c r="G982">
        <v>0.9</v>
      </c>
      <c r="H982">
        <v>0.8</v>
      </c>
      <c r="I982">
        <v>0</v>
      </c>
      <c r="J982">
        <v>0</v>
      </c>
      <c r="K982">
        <v>0</v>
      </c>
      <c r="L982">
        <v>0</v>
      </c>
      <c r="M982">
        <v>0</v>
      </c>
      <c r="N982">
        <v>33018</v>
      </c>
      <c r="O982">
        <v>125743</v>
      </c>
      <c r="P982">
        <v>246910</v>
      </c>
      <c r="Q982">
        <v>1</v>
      </c>
      <c r="R982">
        <v>4</v>
      </c>
      <c r="S982">
        <v>9</v>
      </c>
      <c r="T982">
        <v>50</v>
      </c>
      <c r="U982">
        <v>64</v>
      </c>
    </row>
    <row r="983" spans="1:21" x14ac:dyDescent="0.35">
      <c r="A983" t="s">
        <v>28</v>
      </c>
      <c r="B983" s="1">
        <v>44930</v>
      </c>
      <c r="C983" t="s">
        <v>27</v>
      </c>
      <c r="D983">
        <v>75.900000000000006</v>
      </c>
      <c r="E983">
        <v>41.6</v>
      </c>
      <c r="F983">
        <v>51.6</v>
      </c>
      <c r="G983">
        <v>1.8</v>
      </c>
      <c r="H983">
        <v>1.5</v>
      </c>
      <c r="I983">
        <v>0</v>
      </c>
      <c r="J983">
        <v>0</v>
      </c>
      <c r="K983">
        <v>0</v>
      </c>
      <c r="L983">
        <v>0</v>
      </c>
      <c r="M983">
        <v>0</v>
      </c>
      <c r="N983">
        <v>32922</v>
      </c>
      <c r="O983">
        <v>86490</v>
      </c>
      <c r="P983">
        <v>44568</v>
      </c>
      <c r="Q983">
        <v>25</v>
      </c>
      <c r="R983">
        <v>36</v>
      </c>
      <c r="S983">
        <v>23</v>
      </c>
      <c r="T983">
        <v>12</v>
      </c>
      <c r="U983">
        <v>17</v>
      </c>
    </row>
    <row r="984" spans="1:21" x14ac:dyDescent="0.35">
      <c r="A984" t="s">
        <v>28</v>
      </c>
      <c r="B984" s="1">
        <v>44856</v>
      </c>
      <c r="C984" t="s">
        <v>32</v>
      </c>
      <c r="D984">
        <v>58.4</v>
      </c>
      <c r="E984">
        <v>6.1</v>
      </c>
      <c r="F984">
        <v>0</v>
      </c>
      <c r="G984">
        <v>9.6</v>
      </c>
      <c r="H984">
        <v>0</v>
      </c>
      <c r="I984">
        <v>0</v>
      </c>
      <c r="J984">
        <v>0</v>
      </c>
      <c r="K984">
        <v>0</v>
      </c>
      <c r="L984">
        <v>0</v>
      </c>
      <c r="M984">
        <v>0</v>
      </c>
      <c r="N984">
        <v>162642</v>
      </c>
      <c r="O984">
        <v>0</v>
      </c>
      <c r="P984">
        <v>0</v>
      </c>
      <c r="Q984">
        <v>95</v>
      </c>
      <c r="R984">
        <v>10</v>
      </c>
      <c r="S984">
        <v>0</v>
      </c>
      <c r="T984">
        <v>0</v>
      </c>
      <c r="U984">
        <v>4</v>
      </c>
    </row>
    <row r="985" spans="1:21" x14ac:dyDescent="0.35">
      <c r="A985" t="s">
        <v>26</v>
      </c>
      <c r="B985" s="1">
        <v>44856</v>
      </c>
      <c r="C985" t="s">
        <v>29</v>
      </c>
      <c r="D985">
        <v>8.4</v>
      </c>
      <c r="E985">
        <v>2.5</v>
      </c>
      <c r="F985">
        <v>3.2</v>
      </c>
      <c r="G985">
        <v>3.4</v>
      </c>
      <c r="H985">
        <v>2.6</v>
      </c>
      <c r="I985">
        <v>0</v>
      </c>
      <c r="J985">
        <v>0</v>
      </c>
      <c r="K985">
        <v>0</v>
      </c>
      <c r="L985">
        <v>0</v>
      </c>
      <c r="M985">
        <v>0</v>
      </c>
      <c r="N985">
        <v>119057</v>
      </c>
      <c r="O985">
        <v>276343</v>
      </c>
      <c r="P985">
        <v>347017</v>
      </c>
      <c r="Q985">
        <v>10</v>
      </c>
      <c r="R985">
        <v>7</v>
      </c>
      <c r="S985">
        <v>11</v>
      </c>
      <c r="T985">
        <v>30</v>
      </c>
      <c r="U985">
        <v>49</v>
      </c>
    </row>
    <row r="986" spans="1:21" x14ac:dyDescent="0.35">
      <c r="A986" t="s">
        <v>21</v>
      </c>
      <c r="B986" s="1">
        <v>45003</v>
      </c>
      <c r="C986" t="s">
        <v>23</v>
      </c>
      <c r="D986">
        <v>0</v>
      </c>
      <c r="E986">
        <v>0.8</v>
      </c>
      <c r="F986">
        <v>0</v>
      </c>
      <c r="G986">
        <v>0</v>
      </c>
      <c r="H986">
        <v>0</v>
      </c>
      <c r="I986">
        <v>0</v>
      </c>
      <c r="J986">
        <v>0</v>
      </c>
      <c r="K986">
        <v>0</v>
      </c>
      <c r="L986">
        <v>0</v>
      </c>
      <c r="M986">
        <v>0</v>
      </c>
      <c r="N986">
        <v>33625</v>
      </c>
      <c r="O986">
        <v>125634</v>
      </c>
      <c r="P986">
        <v>246883</v>
      </c>
      <c r="Q986">
        <v>0</v>
      </c>
      <c r="R986">
        <v>1</v>
      </c>
      <c r="S986">
        <v>0</v>
      </c>
      <c r="T986">
        <v>50</v>
      </c>
      <c r="U986">
        <v>64</v>
      </c>
    </row>
    <row r="987" spans="1:21" x14ac:dyDescent="0.35">
      <c r="A987" t="s">
        <v>28</v>
      </c>
      <c r="B987" s="1">
        <v>44429</v>
      </c>
      <c r="C987" t="s">
        <v>31</v>
      </c>
      <c r="D987">
        <v>134.9</v>
      </c>
      <c r="E987">
        <v>54.6</v>
      </c>
      <c r="F987">
        <v>0</v>
      </c>
      <c r="G987">
        <v>2.5</v>
      </c>
      <c r="H987">
        <v>0</v>
      </c>
      <c r="I987">
        <v>0</v>
      </c>
      <c r="J987">
        <v>0</v>
      </c>
      <c r="K987">
        <v>0</v>
      </c>
      <c r="L987">
        <v>0</v>
      </c>
      <c r="M987">
        <v>0</v>
      </c>
      <c r="N987">
        <v>66724</v>
      </c>
      <c r="O987">
        <v>194251</v>
      </c>
      <c r="P987">
        <v>0</v>
      </c>
      <c r="Q987">
        <v>90</v>
      </c>
      <c r="R987">
        <v>106</v>
      </c>
      <c r="S987">
        <v>0</v>
      </c>
      <c r="T987">
        <v>65</v>
      </c>
      <c r="U987">
        <v>79</v>
      </c>
    </row>
    <row r="988" spans="1:21" x14ac:dyDescent="0.35">
      <c r="A988" t="s">
        <v>26</v>
      </c>
      <c r="B988" s="1">
        <v>44871</v>
      </c>
      <c r="C988" t="s">
        <v>27</v>
      </c>
      <c r="D988">
        <v>2.7</v>
      </c>
      <c r="E988">
        <v>1.1000000000000001</v>
      </c>
      <c r="F988">
        <v>2.8</v>
      </c>
      <c r="G988">
        <v>2.5</v>
      </c>
      <c r="H988">
        <v>1</v>
      </c>
      <c r="I988">
        <v>0</v>
      </c>
      <c r="J988">
        <v>0</v>
      </c>
      <c r="K988">
        <v>0</v>
      </c>
      <c r="L988">
        <v>0</v>
      </c>
      <c r="M988">
        <v>0</v>
      </c>
      <c r="N988">
        <v>36826</v>
      </c>
      <c r="O988">
        <v>92726</v>
      </c>
      <c r="P988">
        <v>35890</v>
      </c>
      <c r="Q988">
        <v>1</v>
      </c>
      <c r="R988">
        <v>1</v>
      </c>
      <c r="S988">
        <v>1</v>
      </c>
      <c r="T988">
        <v>12</v>
      </c>
      <c r="U988">
        <v>17</v>
      </c>
    </row>
    <row r="989" spans="1:21" x14ac:dyDescent="0.35">
      <c r="A989" t="s">
        <v>28</v>
      </c>
      <c r="B989" s="1">
        <v>44473</v>
      </c>
      <c r="C989" t="s">
        <v>25</v>
      </c>
      <c r="D989">
        <v>336.3</v>
      </c>
      <c r="E989">
        <v>45.8</v>
      </c>
      <c r="F989">
        <v>0</v>
      </c>
      <c r="G989">
        <v>7.3</v>
      </c>
      <c r="H989">
        <v>0</v>
      </c>
      <c r="I989">
        <v>0</v>
      </c>
      <c r="J989">
        <v>0</v>
      </c>
      <c r="K989">
        <v>0</v>
      </c>
      <c r="L989">
        <v>0</v>
      </c>
      <c r="M989">
        <v>0</v>
      </c>
      <c r="N989">
        <v>353270</v>
      </c>
      <c r="O989">
        <v>54598</v>
      </c>
      <c r="P989">
        <v>0</v>
      </c>
      <c r="Q989">
        <v>1188</v>
      </c>
      <c r="R989">
        <v>25</v>
      </c>
      <c r="S989">
        <v>0</v>
      </c>
      <c r="T989">
        <v>18</v>
      </c>
      <c r="U989">
        <v>29</v>
      </c>
    </row>
    <row r="990" spans="1:21" x14ac:dyDescent="0.35">
      <c r="A990" t="s">
        <v>21</v>
      </c>
      <c r="B990" s="1">
        <v>44786</v>
      </c>
      <c r="C990" t="s">
        <v>27</v>
      </c>
      <c r="D990">
        <v>0</v>
      </c>
      <c r="E990">
        <v>0</v>
      </c>
      <c r="F990">
        <v>0</v>
      </c>
      <c r="G990">
        <v>0</v>
      </c>
      <c r="H990">
        <v>0</v>
      </c>
      <c r="I990">
        <v>0</v>
      </c>
      <c r="J990">
        <v>0</v>
      </c>
      <c r="K990">
        <v>0</v>
      </c>
      <c r="L990">
        <v>0</v>
      </c>
      <c r="M990">
        <v>0</v>
      </c>
      <c r="N990">
        <v>35638</v>
      </c>
      <c r="O990">
        <v>88571</v>
      </c>
      <c r="P990">
        <v>41021</v>
      </c>
      <c r="Q990">
        <v>0</v>
      </c>
      <c r="R990">
        <v>0</v>
      </c>
      <c r="S990">
        <v>0</v>
      </c>
      <c r="T990">
        <v>12</v>
      </c>
      <c r="U990">
        <v>17</v>
      </c>
    </row>
    <row r="991" spans="1:21" x14ac:dyDescent="0.35">
      <c r="A991" t="s">
        <v>28</v>
      </c>
      <c r="B991" s="1">
        <v>44555</v>
      </c>
      <c r="C991" t="s">
        <v>24</v>
      </c>
      <c r="D991">
        <v>845.2</v>
      </c>
      <c r="E991">
        <v>495.4</v>
      </c>
      <c r="F991">
        <v>0</v>
      </c>
      <c r="G991">
        <v>1.7</v>
      </c>
      <c r="H991">
        <v>0</v>
      </c>
      <c r="I991">
        <v>0</v>
      </c>
      <c r="J991">
        <v>0</v>
      </c>
      <c r="K991">
        <v>0</v>
      </c>
      <c r="L991">
        <v>0</v>
      </c>
      <c r="M991">
        <v>0</v>
      </c>
      <c r="N991">
        <v>143394</v>
      </c>
      <c r="O991">
        <v>37144</v>
      </c>
      <c r="P991">
        <v>0</v>
      </c>
      <c r="Q991">
        <v>1212</v>
      </c>
      <c r="R991">
        <v>184</v>
      </c>
      <c r="S991">
        <v>0</v>
      </c>
      <c r="T991">
        <v>5</v>
      </c>
      <c r="U991">
        <v>11</v>
      </c>
    </row>
    <row r="992" spans="1:21" x14ac:dyDescent="0.35">
      <c r="A992" t="s">
        <v>21</v>
      </c>
      <c r="B992" s="1">
        <v>45157</v>
      </c>
      <c r="C992" t="s">
        <v>24</v>
      </c>
      <c r="D992">
        <v>0</v>
      </c>
      <c r="E992">
        <v>0</v>
      </c>
      <c r="F992">
        <v>0</v>
      </c>
      <c r="G992">
        <v>0</v>
      </c>
      <c r="H992">
        <v>0</v>
      </c>
      <c r="I992">
        <v>0</v>
      </c>
      <c r="J992">
        <v>0</v>
      </c>
      <c r="K992">
        <v>0</v>
      </c>
      <c r="L992">
        <v>0</v>
      </c>
      <c r="M992">
        <v>0</v>
      </c>
      <c r="N992">
        <v>89655</v>
      </c>
      <c r="O992">
        <v>82672</v>
      </c>
      <c r="P992">
        <v>21262</v>
      </c>
      <c r="Q992">
        <v>0</v>
      </c>
      <c r="R992">
        <v>0</v>
      </c>
      <c r="S992">
        <v>0</v>
      </c>
      <c r="T992">
        <v>5</v>
      </c>
      <c r="U992">
        <v>11</v>
      </c>
    </row>
    <row r="993" spans="1:21" x14ac:dyDescent="0.35">
      <c r="A993" t="s">
        <v>28</v>
      </c>
      <c r="B993" s="1">
        <v>44849</v>
      </c>
      <c r="C993" t="s">
        <v>29</v>
      </c>
      <c r="D993">
        <v>137.5</v>
      </c>
      <c r="E993">
        <v>52.5</v>
      </c>
      <c r="F993">
        <v>81</v>
      </c>
      <c r="G993">
        <v>2.6</v>
      </c>
      <c r="H993">
        <v>1.7</v>
      </c>
      <c r="I993">
        <v>0</v>
      </c>
      <c r="J993">
        <v>0</v>
      </c>
      <c r="K993">
        <v>0</v>
      </c>
      <c r="L993">
        <v>0</v>
      </c>
      <c r="M993">
        <v>0</v>
      </c>
      <c r="N993">
        <v>119967</v>
      </c>
      <c r="O993">
        <v>276252</v>
      </c>
      <c r="P993">
        <v>346982</v>
      </c>
      <c r="Q993">
        <v>165</v>
      </c>
      <c r="R993">
        <v>145</v>
      </c>
      <c r="S993">
        <v>281</v>
      </c>
      <c r="T993">
        <v>30</v>
      </c>
      <c r="U993">
        <v>49</v>
      </c>
    </row>
    <row r="994" spans="1:21" x14ac:dyDescent="0.35">
      <c r="A994" t="s">
        <v>26</v>
      </c>
      <c r="B994" s="1">
        <v>45117</v>
      </c>
      <c r="C994" t="s">
        <v>23</v>
      </c>
      <c r="D994">
        <v>6.3</v>
      </c>
      <c r="E994">
        <v>1.6</v>
      </c>
      <c r="F994">
        <v>2.8</v>
      </c>
      <c r="G994">
        <v>3.9</v>
      </c>
      <c r="H994">
        <v>2.2000000000000002</v>
      </c>
      <c r="I994">
        <v>0</v>
      </c>
      <c r="J994">
        <v>0</v>
      </c>
      <c r="K994">
        <v>0</v>
      </c>
      <c r="L994">
        <v>0</v>
      </c>
      <c r="M994">
        <v>0</v>
      </c>
      <c r="N994">
        <v>31672</v>
      </c>
      <c r="O994">
        <v>125732</v>
      </c>
      <c r="P994">
        <v>247019</v>
      </c>
      <c r="Q994">
        <v>2</v>
      </c>
      <c r="R994">
        <v>2</v>
      </c>
      <c r="S994">
        <v>7</v>
      </c>
      <c r="T994">
        <v>50</v>
      </c>
      <c r="U994">
        <v>64</v>
      </c>
    </row>
    <row r="995" spans="1:21" x14ac:dyDescent="0.35">
      <c r="A995" t="s">
        <v>26</v>
      </c>
      <c r="B995" s="1">
        <v>44849</v>
      </c>
      <c r="C995" t="s">
        <v>32</v>
      </c>
      <c r="D995">
        <v>4.9000000000000004</v>
      </c>
      <c r="E995">
        <v>0</v>
      </c>
      <c r="F995">
        <v>0</v>
      </c>
      <c r="G995">
        <v>0</v>
      </c>
      <c r="H995">
        <v>0</v>
      </c>
      <c r="I995">
        <v>0</v>
      </c>
      <c r="J995">
        <v>0</v>
      </c>
      <c r="K995">
        <v>0</v>
      </c>
      <c r="L995">
        <v>0</v>
      </c>
      <c r="M995">
        <v>0</v>
      </c>
      <c r="N995">
        <v>162642</v>
      </c>
      <c r="O995">
        <v>0</v>
      </c>
      <c r="P995">
        <v>0</v>
      </c>
      <c r="Q995">
        <v>8</v>
      </c>
      <c r="R995">
        <v>0</v>
      </c>
      <c r="S995">
        <v>0</v>
      </c>
      <c r="T995">
        <v>0</v>
      </c>
      <c r="U995">
        <v>4</v>
      </c>
    </row>
    <row r="996" spans="1:21" x14ac:dyDescent="0.35">
      <c r="A996" t="s">
        <v>21</v>
      </c>
      <c r="B996" s="1">
        <v>44555</v>
      </c>
      <c r="C996" t="s">
        <v>27</v>
      </c>
      <c r="D996">
        <v>0</v>
      </c>
      <c r="E996">
        <v>0</v>
      </c>
      <c r="F996">
        <v>0</v>
      </c>
      <c r="G996">
        <v>0</v>
      </c>
      <c r="H996">
        <v>0</v>
      </c>
      <c r="I996">
        <v>0</v>
      </c>
      <c r="J996">
        <v>0</v>
      </c>
      <c r="K996">
        <v>0</v>
      </c>
      <c r="L996">
        <v>0</v>
      </c>
      <c r="M996">
        <v>0</v>
      </c>
      <c r="N996">
        <v>55052</v>
      </c>
      <c r="O996">
        <v>108573</v>
      </c>
      <c r="P996">
        <v>799</v>
      </c>
      <c r="Q996">
        <v>0</v>
      </c>
      <c r="R996">
        <v>0</v>
      </c>
      <c r="S996">
        <v>0</v>
      </c>
      <c r="T996">
        <v>12</v>
      </c>
      <c r="U996">
        <v>17</v>
      </c>
    </row>
    <row r="997" spans="1:21" x14ac:dyDescent="0.35">
      <c r="A997" t="s">
        <v>21</v>
      </c>
      <c r="B997" s="1">
        <v>44684</v>
      </c>
      <c r="C997" t="s">
        <v>27</v>
      </c>
      <c r="D997">
        <v>0</v>
      </c>
      <c r="E997">
        <v>0</v>
      </c>
      <c r="F997">
        <v>0</v>
      </c>
      <c r="G997">
        <v>0</v>
      </c>
      <c r="H997">
        <v>0</v>
      </c>
      <c r="I997">
        <v>0</v>
      </c>
      <c r="J997">
        <v>0</v>
      </c>
      <c r="K997">
        <v>0</v>
      </c>
      <c r="L997">
        <v>0</v>
      </c>
      <c r="M997">
        <v>0</v>
      </c>
      <c r="N997">
        <v>39213</v>
      </c>
      <c r="O997">
        <v>95932</v>
      </c>
      <c r="P997">
        <v>27517</v>
      </c>
      <c r="Q997">
        <v>0</v>
      </c>
      <c r="R997">
        <v>0</v>
      </c>
      <c r="S997">
        <v>0</v>
      </c>
      <c r="T997">
        <v>12</v>
      </c>
      <c r="U997">
        <v>17</v>
      </c>
    </row>
    <row r="998" spans="1:21" x14ac:dyDescent="0.35">
      <c r="A998" t="s">
        <v>28</v>
      </c>
      <c r="B998" s="1">
        <v>44338</v>
      </c>
      <c r="C998" t="s">
        <v>25</v>
      </c>
      <c r="D998">
        <v>138.4</v>
      </c>
      <c r="E998">
        <v>9.3000000000000007</v>
      </c>
      <c r="F998">
        <v>0</v>
      </c>
      <c r="G998">
        <v>14.9</v>
      </c>
      <c r="H998">
        <v>0</v>
      </c>
      <c r="I998">
        <v>0</v>
      </c>
      <c r="J998">
        <v>0</v>
      </c>
      <c r="K998">
        <v>0</v>
      </c>
      <c r="L998">
        <v>0</v>
      </c>
      <c r="M998">
        <v>0</v>
      </c>
      <c r="N998">
        <v>254347</v>
      </c>
      <c r="O998">
        <v>182708</v>
      </c>
      <c r="P998">
        <v>0</v>
      </c>
      <c r="Q998">
        <v>352</v>
      </c>
      <c r="R998">
        <v>17</v>
      </c>
      <c r="S998">
        <v>0</v>
      </c>
      <c r="T998">
        <v>18</v>
      </c>
      <c r="U998">
        <v>29</v>
      </c>
    </row>
    <row r="999" spans="1:21" x14ac:dyDescent="0.35">
      <c r="A999" t="s">
        <v>28</v>
      </c>
      <c r="B999" s="1">
        <v>44401</v>
      </c>
      <c r="C999" t="s">
        <v>25</v>
      </c>
      <c r="D999">
        <v>116.2</v>
      </c>
      <c r="E999">
        <v>41.7</v>
      </c>
      <c r="F999">
        <v>0</v>
      </c>
      <c r="G999">
        <v>2.8</v>
      </c>
      <c r="H999">
        <v>0</v>
      </c>
      <c r="I999">
        <v>0</v>
      </c>
      <c r="J999">
        <v>0</v>
      </c>
      <c r="K999">
        <v>0</v>
      </c>
      <c r="L999">
        <v>0</v>
      </c>
      <c r="M999">
        <v>0</v>
      </c>
      <c r="N999">
        <v>215115</v>
      </c>
      <c r="O999">
        <v>275913</v>
      </c>
      <c r="P999">
        <v>0</v>
      </c>
      <c r="Q999">
        <v>250</v>
      </c>
      <c r="R999">
        <v>115</v>
      </c>
      <c r="S999">
        <v>0</v>
      </c>
      <c r="T999">
        <v>18</v>
      </c>
      <c r="U999">
        <v>29</v>
      </c>
    </row>
    <row r="1000" spans="1:21" x14ac:dyDescent="0.35">
      <c r="A1000" t="s">
        <v>26</v>
      </c>
      <c r="B1000" s="1">
        <v>45227</v>
      </c>
      <c r="C1000" t="s">
        <v>27</v>
      </c>
      <c r="D1000">
        <v>0</v>
      </c>
      <c r="E1000">
        <v>1.2</v>
      </c>
      <c r="F1000">
        <v>0</v>
      </c>
      <c r="G1000">
        <v>0</v>
      </c>
      <c r="H1000">
        <v>0</v>
      </c>
      <c r="I1000">
        <v>0</v>
      </c>
      <c r="J1000">
        <v>0</v>
      </c>
      <c r="K1000">
        <v>0</v>
      </c>
      <c r="L1000">
        <v>0</v>
      </c>
      <c r="M1000">
        <v>0</v>
      </c>
      <c r="N1000">
        <v>31598</v>
      </c>
      <c r="O1000">
        <v>86545</v>
      </c>
      <c r="P1000">
        <v>44641</v>
      </c>
      <c r="Q1000">
        <v>0</v>
      </c>
      <c r="R1000">
        <v>1</v>
      </c>
      <c r="S1000">
        <v>0</v>
      </c>
      <c r="T1000">
        <v>12</v>
      </c>
      <c r="U1000">
        <v>17</v>
      </c>
    </row>
    <row r="1001" spans="1:21" x14ac:dyDescent="0.35">
      <c r="A1001" t="s">
        <v>28</v>
      </c>
      <c r="B1001" s="1">
        <v>44843</v>
      </c>
      <c r="C1001" t="s">
        <v>24</v>
      </c>
      <c r="D1001">
        <v>117.5</v>
      </c>
      <c r="E1001">
        <v>124.2</v>
      </c>
      <c r="F1001">
        <v>118.7</v>
      </c>
      <c r="G1001">
        <v>0.9</v>
      </c>
      <c r="H1001">
        <v>1</v>
      </c>
      <c r="I1001">
        <v>0</v>
      </c>
      <c r="J1001">
        <v>0</v>
      </c>
      <c r="K1001">
        <v>0</v>
      </c>
      <c r="L1001">
        <v>0</v>
      </c>
      <c r="M1001">
        <v>0</v>
      </c>
      <c r="N1001">
        <v>95349</v>
      </c>
      <c r="O1001">
        <v>82126</v>
      </c>
      <c r="P1001">
        <v>17689</v>
      </c>
      <c r="Q1001">
        <v>112</v>
      </c>
      <c r="R1001">
        <v>102</v>
      </c>
      <c r="S1001">
        <v>21</v>
      </c>
      <c r="T1001">
        <v>5</v>
      </c>
      <c r="U1001">
        <v>11</v>
      </c>
    </row>
    <row r="1002" spans="1:21" x14ac:dyDescent="0.35">
      <c r="A1002" t="s">
        <v>26</v>
      </c>
      <c r="B1002" s="1">
        <v>45233</v>
      </c>
      <c r="C1002" t="s">
        <v>22</v>
      </c>
      <c r="D1002">
        <v>9</v>
      </c>
      <c r="E1002">
        <v>3.7</v>
      </c>
      <c r="F1002">
        <v>7.2</v>
      </c>
      <c r="G1002">
        <v>2.4</v>
      </c>
      <c r="H1002">
        <v>1.2</v>
      </c>
      <c r="I1002">
        <v>12.7</v>
      </c>
      <c r="J1002">
        <v>5.4</v>
      </c>
      <c r="K1002">
        <v>4.9000000000000004</v>
      </c>
      <c r="L1002">
        <v>2.2999999999999998</v>
      </c>
      <c r="M1002">
        <v>2.6</v>
      </c>
      <c r="N1002">
        <v>543537</v>
      </c>
      <c r="O1002">
        <v>858035</v>
      </c>
      <c r="P1002">
        <v>1040472</v>
      </c>
      <c r="Q1002">
        <v>49</v>
      </c>
      <c r="R1002">
        <v>32</v>
      </c>
      <c r="S1002">
        <v>75</v>
      </c>
      <c r="T1002">
        <v>999</v>
      </c>
      <c r="U1002">
        <v>999</v>
      </c>
    </row>
    <row r="1003" spans="1:21" x14ac:dyDescent="0.35">
      <c r="A1003" t="s">
        <v>21</v>
      </c>
      <c r="B1003" s="1">
        <v>44947</v>
      </c>
      <c r="C1003" t="s">
        <v>24</v>
      </c>
      <c r="D1003">
        <v>0</v>
      </c>
      <c r="E1003">
        <v>0</v>
      </c>
      <c r="F1003">
        <v>0</v>
      </c>
      <c r="G1003">
        <v>0</v>
      </c>
      <c r="H1003">
        <v>0</v>
      </c>
      <c r="I1003">
        <v>0</v>
      </c>
      <c r="J1003">
        <v>0</v>
      </c>
      <c r="K1003">
        <v>0</v>
      </c>
      <c r="L1003">
        <v>0</v>
      </c>
      <c r="M1003">
        <v>0</v>
      </c>
      <c r="N1003">
        <v>92044</v>
      </c>
      <c r="O1003">
        <v>81778</v>
      </c>
      <c r="P1003">
        <v>21171</v>
      </c>
      <c r="Q1003">
        <v>0</v>
      </c>
      <c r="R1003">
        <v>0</v>
      </c>
      <c r="S1003">
        <v>0</v>
      </c>
      <c r="T1003">
        <v>5</v>
      </c>
      <c r="U1003">
        <v>11</v>
      </c>
    </row>
    <row r="1004" spans="1:21" x14ac:dyDescent="0.35">
      <c r="A1004" t="s">
        <v>21</v>
      </c>
      <c r="B1004" s="1">
        <v>44629</v>
      </c>
      <c r="C1004" t="s">
        <v>23</v>
      </c>
      <c r="D1004">
        <v>0</v>
      </c>
      <c r="E1004">
        <v>0.8</v>
      </c>
      <c r="F1004">
        <v>0.4</v>
      </c>
      <c r="G1004">
        <v>0</v>
      </c>
      <c r="H1004">
        <v>0</v>
      </c>
      <c r="I1004">
        <v>0</v>
      </c>
      <c r="J1004">
        <v>0</v>
      </c>
      <c r="K1004">
        <v>0</v>
      </c>
      <c r="L1004">
        <v>0</v>
      </c>
      <c r="M1004">
        <v>0</v>
      </c>
      <c r="N1004">
        <v>40251</v>
      </c>
      <c r="O1004">
        <v>125600</v>
      </c>
      <c r="P1004">
        <v>245831</v>
      </c>
      <c r="Q1004">
        <v>0</v>
      </c>
      <c r="R1004">
        <v>1</v>
      </c>
      <c r="S1004">
        <v>1</v>
      </c>
      <c r="T1004">
        <v>50</v>
      </c>
      <c r="U1004">
        <v>64</v>
      </c>
    </row>
    <row r="1005" spans="1:21" x14ac:dyDescent="0.35">
      <c r="A1005" t="s">
        <v>28</v>
      </c>
      <c r="B1005" s="1">
        <v>44765</v>
      </c>
      <c r="C1005" t="s">
        <v>23</v>
      </c>
      <c r="D1005">
        <v>547.6</v>
      </c>
      <c r="E1005">
        <v>196.2</v>
      </c>
      <c r="F1005">
        <v>278.89999999999998</v>
      </c>
      <c r="G1005">
        <v>2.8</v>
      </c>
      <c r="H1005">
        <v>2</v>
      </c>
      <c r="I1005">
        <v>0</v>
      </c>
      <c r="J1005">
        <v>0</v>
      </c>
      <c r="K1005">
        <v>0</v>
      </c>
      <c r="L1005">
        <v>0</v>
      </c>
      <c r="M1005">
        <v>0</v>
      </c>
      <c r="N1005">
        <v>41269</v>
      </c>
      <c r="O1005">
        <v>128418</v>
      </c>
      <c r="P1005">
        <v>242018</v>
      </c>
      <c r="Q1005">
        <v>226</v>
      </c>
      <c r="R1005">
        <v>252</v>
      </c>
      <c r="S1005">
        <v>675</v>
      </c>
      <c r="T1005">
        <v>50</v>
      </c>
      <c r="U1005">
        <v>64</v>
      </c>
    </row>
    <row r="1006" spans="1:21" x14ac:dyDescent="0.35">
      <c r="A1006" t="s">
        <v>21</v>
      </c>
      <c r="B1006" s="1">
        <v>44737</v>
      </c>
      <c r="C1006" t="s">
        <v>25</v>
      </c>
      <c r="D1006">
        <v>0</v>
      </c>
      <c r="E1006">
        <v>0</v>
      </c>
      <c r="F1006">
        <v>0</v>
      </c>
      <c r="G1006">
        <v>0</v>
      </c>
      <c r="H1006">
        <v>0</v>
      </c>
      <c r="I1006">
        <v>0</v>
      </c>
      <c r="J1006">
        <v>0</v>
      </c>
      <c r="K1006">
        <v>0</v>
      </c>
      <c r="L1006">
        <v>0</v>
      </c>
      <c r="M1006">
        <v>0</v>
      </c>
      <c r="N1006">
        <v>94060</v>
      </c>
      <c r="O1006">
        <v>214919</v>
      </c>
      <c r="P1006">
        <v>155323</v>
      </c>
      <c r="Q1006">
        <v>0</v>
      </c>
      <c r="R1006">
        <v>0</v>
      </c>
      <c r="S1006">
        <v>0</v>
      </c>
      <c r="T1006">
        <v>18</v>
      </c>
      <c r="U1006">
        <v>29</v>
      </c>
    </row>
    <row r="1007" spans="1:21" x14ac:dyDescent="0.35">
      <c r="A1007" t="s">
        <v>28</v>
      </c>
      <c r="B1007" s="1">
        <v>45205</v>
      </c>
      <c r="C1007" t="s">
        <v>23</v>
      </c>
      <c r="D1007">
        <v>36.6</v>
      </c>
      <c r="E1007">
        <v>6.4</v>
      </c>
      <c r="F1007">
        <v>13.4</v>
      </c>
      <c r="G1007">
        <v>5.7</v>
      </c>
      <c r="H1007">
        <v>2.7</v>
      </c>
      <c r="I1007">
        <v>0</v>
      </c>
      <c r="J1007">
        <v>0</v>
      </c>
      <c r="K1007">
        <v>0</v>
      </c>
      <c r="L1007">
        <v>0</v>
      </c>
      <c r="M1007">
        <v>0</v>
      </c>
      <c r="N1007">
        <v>32808</v>
      </c>
      <c r="O1007">
        <v>125744</v>
      </c>
      <c r="P1007">
        <v>246916</v>
      </c>
      <c r="Q1007">
        <v>12</v>
      </c>
      <c r="R1007">
        <v>8</v>
      </c>
      <c r="S1007">
        <v>33</v>
      </c>
      <c r="T1007">
        <v>50</v>
      </c>
      <c r="U1007">
        <v>64</v>
      </c>
    </row>
    <row r="1008" spans="1:21" x14ac:dyDescent="0.35">
      <c r="A1008" t="s">
        <v>28</v>
      </c>
      <c r="B1008" s="1">
        <v>44702</v>
      </c>
      <c r="C1008" t="s">
        <v>32</v>
      </c>
      <c r="D1008">
        <v>220.7</v>
      </c>
      <c r="E1008">
        <v>0</v>
      </c>
      <c r="F1008">
        <v>0</v>
      </c>
      <c r="G1008">
        <v>0</v>
      </c>
      <c r="H1008">
        <v>0</v>
      </c>
      <c r="I1008">
        <v>0</v>
      </c>
      <c r="J1008">
        <v>0</v>
      </c>
      <c r="K1008">
        <v>0</v>
      </c>
      <c r="L1008">
        <v>0</v>
      </c>
      <c r="M1008">
        <v>0</v>
      </c>
      <c r="N1008">
        <v>162642</v>
      </c>
      <c r="O1008">
        <v>0</v>
      </c>
      <c r="P1008">
        <v>0</v>
      </c>
      <c r="Q1008">
        <v>359</v>
      </c>
      <c r="R1008">
        <v>0</v>
      </c>
      <c r="S1008">
        <v>0</v>
      </c>
      <c r="T1008">
        <v>0</v>
      </c>
      <c r="U1008">
        <v>4</v>
      </c>
    </row>
    <row r="1009" spans="1:21" x14ac:dyDescent="0.35">
      <c r="A1009" t="s">
        <v>21</v>
      </c>
      <c r="B1009" s="1">
        <v>45066</v>
      </c>
      <c r="C1009" t="s">
        <v>27</v>
      </c>
      <c r="D1009">
        <v>0</v>
      </c>
      <c r="E1009">
        <v>0</v>
      </c>
      <c r="F1009">
        <v>0</v>
      </c>
      <c r="G1009">
        <v>0</v>
      </c>
      <c r="H1009">
        <v>0</v>
      </c>
      <c r="I1009">
        <v>0</v>
      </c>
      <c r="J1009">
        <v>0</v>
      </c>
      <c r="K1009">
        <v>0</v>
      </c>
      <c r="L1009">
        <v>0</v>
      </c>
      <c r="M1009">
        <v>0</v>
      </c>
      <c r="N1009">
        <v>32543</v>
      </c>
      <c r="O1009">
        <v>86583</v>
      </c>
      <c r="P1009">
        <v>44578</v>
      </c>
      <c r="Q1009">
        <v>0</v>
      </c>
      <c r="R1009">
        <v>0</v>
      </c>
      <c r="S1009">
        <v>0</v>
      </c>
      <c r="T1009">
        <v>12</v>
      </c>
      <c r="U1009">
        <v>17</v>
      </c>
    </row>
    <row r="1010" spans="1:21" x14ac:dyDescent="0.35">
      <c r="A1010" t="s">
        <v>26</v>
      </c>
      <c r="B1010" s="1">
        <v>44401</v>
      </c>
      <c r="C1010" t="s">
        <v>22</v>
      </c>
      <c r="D1010">
        <v>6.3</v>
      </c>
      <c r="E1010">
        <v>1.1000000000000001</v>
      </c>
      <c r="F1010">
        <v>0</v>
      </c>
      <c r="G1010">
        <v>5.7</v>
      </c>
      <c r="H1010">
        <v>0</v>
      </c>
      <c r="I1010">
        <v>8.3000000000000007</v>
      </c>
      <c r="J1010">
        <v>0.8</v>
      </c>
      <c r="K1010">
        <v>0</v>
      </c>
      <c r="L1010">
        <v>9.6999999999999993</v>
      </c>
      <c r="M1010">
        <v>0</v>
      </c>
      <c r="N1010">
        <v>1165954</v>
      </c>
      <c r="O1010">
        <v>1383641</v>
      </c>
      <c r="P1010">
        <v>0</v>
      </c>
      <c r="Q1010">
        <v>73</v>
      </c>
      <c r="R1010">
        <v>15</v>
      </c>
      <c r="S1010">
        <v>0</v>
      </c>
      <c r="T1010">
        <v>999</v>
      </c>
      <c r="U1010">
        <v>999</v>
      </c>
    </row>
    <row r="1011" spans="1:21" x14ac:dyDescent="0.35">
      <c r="A1011" t="s">
        <v>21</v>
      </c>
      <c r="B1011" s="1">
        <v>45019</v>
      </c>
      <c r="C1011" t="s">
        <v>27</v>
      </c>
      <c r="D1011">
        <v>0</v>
      </c>
      <c r="E1011">
        <v>0</v>
      </c>
      <c r="F1011">
        <v>0</v>
      </c>
      <c r="G1011">
        <v>0</v>
      </c>
      <c r="H1011">
        <v>0</v>
      </c>
      <c r="I1011">
        <v>0</v>
      </c>
      <c r="J1011">
        <v>0</v>
      </c>
      <c r="K1011">
        <v>0</v>
      </c>
      <c r="L1011">
        <v>0</v>
      </c>
      <c r="M1011">
        <v>0</v>
      </c>
      <c r="N1011">
        <v>33129</v>
      </c>
      <c r="O1011">
        <v>86403</v>
      </c>
      <c r="P1011">
        <v>44558</v>
      </c>
      <c r="Q1011">
        <v>0</v>
      </c>
      <c r="R1011">
        <v>0</v>
      </c>
      <c r="S1011">
        <v>0</v>
      </c>
      <c r="T1011">
        <v>12</v>
      </c>
      <c r="U1011">
        <v>17</v>
      </c>
    </row>
    <row r="1012" spans="1:21" x14ac:dyDescent="0.35">
      <c r="A1012" t="s">
        <v>21</v>
      </c>
      <c r="B1012" s="1">
        <v>44821</v>
      </c>
      <c r="C1012" t="s">
        <v>22</v>
      </c>
      <c r="D1012">
        <v>0.3</v>
      </c>
      <c r="E1012">
        <v>0</v>
      </c>
      <c r="F1012">
        <v>0.3</v>
      </c>
      <c r="G1012">
        <v>0</v>
      </c>
      <c r="H1012">
        <v>1</v>
      </c>
      <c r="I1012">
        <v>0.5</v>
      </c>
      <c r="J1012">
        <v>0</v>
      </c>
      <c r="K1012">
        <v>0.2</v>
      </c>
      <c r="L1012">
        <v>0</v>
      </c>
      <c r="M1012">
        <v>2.5</v>
      </c>
      <c r="N1012">
        <v>599179</v>
      </c>
      <c r="O1012">
        <v>840837</v>
      </c>
      <c r="P1012">
        <v>1035714</v>
      </c>
      <c r="Q1012">
        <v>2</v>
      </c>
      <c r="R1012">
        <v>0</v>
      </c>
      <c r="S1012">
        <v>3</v>
      </c>
      <c r="T1012">
        <v>999</v>
      </c>
      <c r="U1012">
        <v>999</v>
      </c>
    </row>
    <row r="1013" spans="1:21" x14ac:dyDescent="0.35">
      <c r="A1013" t="s">
        <v>28</v>
      </c>
      <c r="B1013" s="1">
        <v>45157</v>
      </c>
      <c r="C1013" t="s">
        <v>31</v>
      </c>
      <c r="D1013">
        <v>53.6</v>
      </c>
      <c r="E1013">
        <v>50.7</v>
      </c>
      <c r="F1013">
        <v>61.7</v>
      </c>
      <c r="G1013">
        <v>1.1000000000000001</v>
      </c>
      <c r="H1013">
        <v>0.9</v>
      </c>
      <c r="I1013">
        <v>0</v>
      </c>
      <c r="J1013">
        <v>0</v>
      </c>
      <c r="K1013">
        <v>0</v>
      </c>
      <c r="L1013">
        <v>0</v>
      </c>
      <c r="M1013">
        <v>0</v>
      </c>
      <c r="N1013">
        <v>39214</v>
      </c>
      <c r="O1013">
        <v>43417</v>
      </c>
      <c r="P1013">
        <v>171752</v>
      </c>
      <c r="Q1013">
        <v>21</v>
      </c>
      <c r="R1013">
        <v>22</v>
      </c>
      <c r="S1013">
        <v>106</v>
      </c>
      <c r="T1013">
        <v>65</v>
      </c>
      <c r="U1013">
        <v>79</v>
      </c>
    </row>
    <row r="1014" spans="1:21" x14ac:dyDescent="0.35">
      <c r="A1014" t="s">
        <v>21</v>
      </c>
      <c r="B1014" s="1">
        <v>44401</v>
      </c>
      <c r="C1014" t="s">
        <v>22</v>
      </c>
      <c r="D1014">
        <v>0.7</v>
      </c>
      <c r="E1014">
        <v>0</v>
      </c>
      <c r="F1014">
        <v>0</v>
      </c>
      <c r="G1014">
        <v>0</v>
      </c>
      <c r="H1014">
        <v>0</v>
      </c>
      <c r="I1014">
        <v>1.1000000000000001</v>
      </c>
      <c r="J1014">
        <v>0</v>
      </c>
      <c r="K1014">
        <v>0</v>
      </c>
      <c r="L1014">
        <v>0</v>
      </c>
      <c r="M1014">
        <v>0</v>
      </c>
      <c r="N1014">
        <v>1165954</v>
      </c>
      <c r="O1014">
        <v>1383641</v>
      </c>
      <c r="P1014">
        <v>0</v>
      </c>
      <c r="Q1014">
        <v>8</v>
      </c>
      <c r="R1014">
        <v>0</v>
      </c>
      <c r="S1014">
        <v>0</v>
      </c>
      <c r="T1014">
        <v>999</v>
      </c>
      <c r="U1014">
        <v>999</v>
      </c>
    </row>
    <row r="1015" spans="1:21" x14ac:dyDescent="0.35">
      <c r="A1015" t="s">
        <v>26</v>
      </c>
      <c r="B1015" s="1">
        <v>45227</v>
      </c>
      <c r="C1015" t="s">
        <v>23</v>
      </c>
      <c r="D1015">
        <v>13</v>
      </c>
      <c r="E1015">
        <v>2.4</v>
      </c>
      <c r="F1015">
        <v>3.2</v>
      </c>
      <c r="G1015">
        <v>5.4</v>
      </c>
      <c r="H1015">
        <v>4.0999999999999996</v>
      </c>
      <c r="I1015">
        <v>0</v>
      </c>
      <c r="J1015">
        <v>0</v>
      </c>
      <c r="K1015">
        <v>0</v>
      </c>
      <c r="L1015">
        <v>0</v>
      </c>
      <c r="M1015">
        <v>0</v>
      </c>
      <c r="N1015">
        <v>30857</v>
      </c>
      <c r="O1015">
        <v>125795</v>
      </c>
      <c r="P1015">
        <v>247425</v>
      </c>
      <c r="Q1015">
        <v>4</v>
      </c>
      <c r="R1015">
        <v>3</v>
      </c>
      <c r="S1015">
        <v>8</v>
      </c>
      <c r="T1015">
        <v>50</v>
      </c>
      <c r="U1015">
        <v>64</v>
      </c>
    </row>
    <row r="1016" spans="1:21" x14ac:dyDescent="0.35">
      <c r="A1016" t="s">
        <v>28</v>
      </c>
      <c r="B1016" s="1">
        <v>44811</v>
      </c>
      <c r="C1016" t="s">
        <v>30</v>
      </c>
      <c r="D1016">
        <v>117.3</v>
      </c>
      <c r="E1016">
        <v>248.2</v>
      </c>
      <c r="F1016">
        <v>219.4</v>
      </c>
      <c r="G1016">
        <v>0.5</v>
      </c>
      <c r="H1016">
        <v>0.5</v>
      </c>
      <c r="I1016">
        <v>0</v>
      </c>
      <c r="J1016">
        <v>0</v>
      </c>
      <c r="K1016">
        <v>0</v>
      </c>
      <c r="L1016">
        <v>0</v>
      </c>
      <c r="M1016">
        <v>0</v>
      </c>
      <c r="N1016">
        <v>26425</v>
      </c>
      <c r="O1016">
        <v>12088</v>
      </c>
      <c r="P1016">
        <v>46042</v>
      </c>
      <c r="Q1016">
        <v>31</v>
      </c>
      <c r="R1016">
        <v>30</v>
      </c>
      <c r="S1016">
        <v>101</v>
      </c>
      <c r="T1016">
        <v>80</v>
      </c>
      <c r="U1016">
        <v>200</v>
      </c>
    </row>
    <row r="1017" spans="1:21" x14ac:dyDescent="0.35">
      <c r="A1017" t="s">
        <v>21</v>
      </c>
      <c r="B1017" s="1">
        <v>44843</v>
      </c>
      <c r="C1017" t="s">
        <v>30</v>
      </c>
      <c r="D1017">
        <v>15.3</v>
      </c>
      <c r="E1017">
        <v>8.8000000000000007</v>
      </c>
      <c r="F1017">
        <v>2.1</v>
      </c>
      <c r="G1017">
        <v>1.7</v>
      </c>
      <c r="H1017">
        <v>7.3</v>
      </c>
      <c r="I1017">
        <v>0</v>
      </c>
      <c r="J1017">
        <v>0</v>
      </c>
      <c r="K1017">
        <v>0</v>
      </c>
      <c r="L1017">
        <v>0</v>
      </c>
      <c r="M1017">
        <v>0</v>
      </c>
      <c r="N1017">
        <v>26174</v>
      </c>
      <c r="O1017">
        <v>11409</v>
      </c>
      <c r="P1017">
        <v>46990</v>
      </c>
      <c r="Q1017">
        <v>4</v>
      </c>
      <c r="R1017">
        <v>1</v>
      </c>
      <c r="S1017">
        <v>1</v>
      </c>
      <c r="T1017">
        <v>80</v>
      </c>
      <c r="U1017">
        <v>200</v>
      </c>
    </row>
    <row r="1018" spans="1:21" x14ac:dyDescent="0.35">
      <c r="A1018" t="s">
        <v>28</v>
      </c>
      <c r="B1018" s="1">
        <v>44413</v>
      </c>
      <c r="C1018" t="s">
        <v>31</v>
      </c>
      <c r="D1018">
        <v>118.8</v>
      </c>
      <c r="E1018">
        <v>13.1</v>
      </c>
      <c r="F1018">
        <v>0</v>
      </c>
      <c r="G1018">
        <v>9.1</v>
      </c>
      <c r="H1018">
        <v>0</v>
      </c>
      <c r="I1018">
        <v>0</v>
      </c>
      <c r="J1018">
        <v>0</v>
      </c>
      <c r="K1018">
        <v>0</v>
      </c>
      <c r="L1018">
        <v>0</v>
      </c>
      <c r="M1018">
        <v>0</v>
      </c>
      <c r="N1018">
        <v>84155</v>
      </c>
      <c r="O1018">
        <v>160587</v>
      </c>
      <c r="P1018">
        <v>0</v>
      </c>
      <c r="Q1018">
        <v>100</v>
      </c>
      <c r="R1018">
        <v>21</v>
      </c>
      <c r="S1018">
        <v>0</v>
      </c>
      <c r="T1018">
        <v>65</v>
      </c>
      <c r="U1018">
        <v>79</v>
      </c>
    </row>
    <row r="1019" spans="1:21" x14ac:dyDescent="0.35">
      <c r="A1019" t="s">
        <v>26</v>
      </c>
      <c r="B1019" s="1">
        <v>44891</v>
      </c>
      <c r="C1019" t="s">
        <v>23</v>
      </c>
      <c r="D1019">
        <v>30.5</v>
      </c>
      <c r="E1019">
        <v>5.6</v>
      </c>
      <c r="F1019">
        <v>8.5</v>
      </c>
      <c r="G1019">
        <v>5.4</v>
      </c>
      <c r="H1019">
        <v>3.6</v>
      </c>
      <c r="I1019">
        <v>0</v>
      </c>
      <c r="J1019">
        <v>0</v>
      </c>
      <c r="K1019">
        <v>0</v>
      </c>
      <c r="L1019">
        <v>0</v>
      </c>
      <c r="M1019">
        <v>0</v>
      </c>
      <c r="N1019">
        <v>36067</v>
      </c>
      <c r="O1019">
        <v>125335</v>
      </c>
      <c r="P1019">
        <v>246724</v>
      </c>
      <c r="Q1019">
        <v>11</v>
      </c>
      <c r="R1019">
        <v>7</v>
      </c>
      <c r="S1019">
        <v>21</v>
      </c>
      <c r="T1019">
        <v>50</v>
      </c>
      <c r="U1019">
        <v>64</v>
      </c>
    </row>
    <row r="1020" spans="1:21" x14ac:dyDescent="0.35">
      <c r="A1020" t="s">
        <v>28</v>
      </c>
      <c r="B1020" s="1">
        <v>44548</v>
      </c>
      <c r="C1020" t="s">
        <v>31</v>
      </c>
      <c r="D1020">
        <v>405.7</v>
      </c>
      <c r="E1020">
        <v>300.5</v>
      </c>
      <c r="F1020">
        <v>112.7</v>
      </c>
      <c r="G1020">
        <v>1.4</v>
      </c>
      <c r="H1020">
        <v>3.6</v>
      </c>
      <c r="I1020">
        <v>0</v>
      </c>
      <c r="J1020">
        <v>0</v>
      </c>
      <c r="K1020">
        <v>0</v>
      </c>
      <c r="L1020">
        <v>0</v>
      </c>
      <c r="M1020">
        <v>0</v>
      </c>
      <c r="N1020">
        <v>53484</v>
      </c>
      <c r="O1020">
        <v>94857</v>
      </c>
      <c r="P1020">
        <v>110903</v>
      </c>
      <c r="Q1020">
        <v>217</v>
      </c>
      <c r="R1020">
        <v>285</v>
      </c>
      <c r="S1020">
        <v>125</v>
      </c>
      <c r="T1020">
        <v>65</v>
      </c>
      <c r="U1020">
        <v>79</v>
      </c>
    </row>
    <row r="1021" spans="1:21" x14ac:dyDescent="0.35">
      <c r="A1021" t="s">
        <v>26</v>
      </c>
      <c r="B1021" s="1">
        <v>44358</v>
      </c>
      <c r="C1021" t="s">
        <v>25</v>
      </c>
      <c r="D1021">
        <v>8.6</v>
      </c>
      <c r="E1021">
        <v>0.6</v>
      </c>
      <c r="F1021">
        <v>0</v>
      </c>
      <c r="G1021">
        <v>14.3</v>
      </c>
      <c r="H1021">
        <v>0</v>
      </c>
      <c r="I1021">
        <v>0</v>
      </c>
      <c r="J1021">
        <v>0</v>
      </c>
      <c r="K1021">
        <v>0</v>
      </c>
      <c r="L1021">
        <v>0</v>
      </c>
      <c r="M1021">
        <v>0</v>
      </c>
      <c r="N1021">
        <v>162718</v>
      </c>
      <c r="O1021">
        <v>313731</v>
      </c>
      <c r="P1021">
        <v>10229</v>
      </c>
      <c r="Q1021">
        <v>14</v>
      </c>
      <c r="R1021">
        <v>2</v>
      </c>
      <c r="S1021">
        <v>0</v>
      </c>
      <c r="T1021">
        <v>18</v>
      </c>
      <c r="U1021">
        <v>29</v>
      </c>
    </row>
    <row r="1022" spans="1:21" x14ac:dyDescent="0.35">
      <c r="A1022" t="s">
        <v>28</v>
      </c>
      <c r="B1022" s="1">
        <v>44897</v>
      </c>
      <c r="C1022" t="s">
        <v>22</v>
      </c>
      <c r="D1022">
        <v>160.80000000000001</v>
      </c>
      <c r="E1022">
        <v>85.1</v>
      </c>
      <c r="F1022">
        <v>96.5</v>
      </c>
      <c r="G1022">
        <v>1.9</v>
      </c>
      <c r="H1022">
        <v>1.7</v>
      </c>
      <c r="I1022">
        <v>172</v>
      </c>
      <c r="J1022">
        <v>84.9</v>
      </c>
      <c r="K1022">
        <v>80.3</v>
      </c>
      <c r="L1022">
        <v>2</v>
      </c>
      <c r="M1022">
        <v>2.1</v>
      </c>
      <c r="N1022">
        <v>684647</v>
      </c>
      <c r="O1022">
        <v>914673</v>
      </c>
      <c r="P1022">
        <v>848563</v>
      </c>
      <c r="Q1022">
        <v>1101</v>
      </c>
      <c r="R1022">
        <v>778</v>
      </c>
      <c r="S1022">
        <v>819</v>
      </c>
      <c r="T1022">
        <v>999</v>
      </c>
      <c r="U1022">
        <v>999</v>
      </c>
    </row>
    <row r="1023" spans="1:21" x14ac:dyDescent="0.35">
      <c r="A1023" t="s">
        <v>21</v>
      </c>
      <c r="B1023" s="1">
        <v>44571</v>
      </c>
      <c r="C1023" t="s">
        <v>23</v>
      </c>
      <c r="D1023">
        <v>0</v>
      </c>
      <c r="E1023">
        <v>0</v>
      </c>
      <c r="F1023">
        <v>0</v>
      </c>
      <c r="G1023">
        <v>0</v>
      </c>
      <c r="H1023">
        <v>0</v>
      </c>
      <c r="I1023">
        <v>0</v>
      </c>
      <c r="J1023">
        <v>0</v>
      </c>
      <c r="K1023">
        <v>0</v>
      </c>
      <c r="L1023">
        <v>0</v>
      </c>
      <c r="M1023">
        <v>0</v>
      </c>
      <c r="N1023">
        <v>39014</v>
      </c>
      <c r="O1023">
        <v>125154</v>
      </c>
      <c r="P1023">
        <v>246575</v>
      </c>
      <c r="Q1023">
        <v>0</v>
      </c>
      <c r="R1023">
        <v>0</v>
      </c>
      <c r="S1023">
        <v>0</v>
      </c>
      <c r="T1023">
        <v>50</v>
      </c>
      <c r="U1023">
        <v>64</v>
      </c>
    </row>
    <row r="1024" spans="1:21" x14ac:dyDescent="0.35">
      <c r="A1024" t="s">
        <v>21</v>
      </c>
      <c r="B1024" s="1">
        <v>45019</v>
      </c>
      <c r="C1024" t="s">
        <v>32</v>
      </c>
      <c r="D1024">
        <v>0</v>
      </c>
      <c r="E1024">
        <v>0</v>
      </c>
      <c r="F1024">
        <v>0</v>
      </c>
      <c r="G1024">
        <v>0</v>
      </c>
      <c r="H1024">
        <v>0</v>
      </c>
      <c r="I1024">
        <v>0</v>
      </c>
      <c r="J1024">
        <v>0</v>
      </c>
      <c r="K1024">
        <v>0</v>
      </c>
      <c r="L1024">
        <v>0</v>
      </c>
      <c r="M1024">
        <v>0</v>
      </c>
      <c r="N1024">
        <v>162642</v>
      </c>
      <c r="O1024">
        <v>0</v>
      </c>
      <c r="P1024">
        <v>0</v>
      </c>
      <c r="Q1024">
        <v>0</v>
      </c>
      <c r="R1024">
        <v>0</v>
      </c>
      <c r="S1024">
        <v>0</v>
      </c>
      <c r="T1024">
        <v>0</v>
      </c>
      <c r="U1024">
        <v>4</v>
      </c>
    </row>
    <row r="1025" spans="1:21" x14ac:dyDescent="0.35">
      <c r="A1025" t="s">
        <v>26</v>
      </c>
      <c r="B1025" s="1">
        <v>44774</v>
      </c>
      <c r="C1025" t="s">
        <v>30</v>
      </c>
      <c r="D1025">
        <v>546.5</v>
      </c>
      <c r="E1025">
        <v>549</v>
      </c>
      <c r="F1025">
        <v>102.6</v>
      </c>
      <c r="G1025">
        <v>1</v>
      </c>
      <c r="H1025">
        <v>5.3</v>
      </c>
      <c r="I1025">
        <v>0</v>
      </c>
      <c r="J1025">
        <v>0</v>
      </c>
      <c r="K1025">
        <v>0</v>
      </c>
      <c r="L1025">
        <v>0</v>
      </c>
      <c r="M1025">
        <v>0</v>
      </c>
      <c r="N1025">
        <v>27814</v>
      </c>
      <c r="O1025">
        <v>19309</v>
      </c>
      <c r="P1025">
        <v>37045</v>
      </c>
      <c r="Q1025">
        <v>152</v>
      </c>
      <c r="R1025">
        <v>106</v>
      </c>
      <c r="S1025">
        <v>38</v>
      </c>
      <c r="T1025">
        <v>80</v>
      </c>
      <c r="U1025">
        <v>200</v>
      </c>
    </row>
    <row r="1026" spans="1:21" x14ac:dyDescent="0.35">
      <c r="A1026" t="s">
        <v>28</v>
      </c>
      <c r="B1026" s="1">
        <v>45094</v>
      </c>
      <c r="C1026" t="s">
        <v>22</v>
      </c>
      <c r="D1026">
        <v>12.9</v>
      </c>
      <c r="E1026">
        <v>5.5</v>
      </c>
      <c r="F1026">
        <v>10.8</v>
      </c>
      <c r="G1026">
        <v>2.2999999999999998</v>
      </c>
      <c r="H1026">
        <v>1.2</v>
      </c>
      <c r="I1026">
        <v>12.8</v>
      </c>
      <c r="J1026">
        <v>6</v>
      </c>
      <c r="K1026">
        <v>9.1999999999999993</v>
      </c>
      <c r="L1026">
        <v>2.1</v>
      </c>
      <c r="M1026">
        <v>1.4</v>
      </c>
      <c r="N1026">
        <v>533523</v>
      </c>
      <c r="O1026">
        <v>860344</v>
      </c>
      <c r="P1026">
        <v>1040706</v>
      </c>
      <c r="Q1026">
        <v>69</v>
      </c>
      <c r="R1026">
        <v>47</v>
      </c>
      <c r="S1026">
        <v>112</v>
      </c>
      <c r="T1026">
        <v>999</v>
      </c>
      <c r="U1026">
        <v>999</v>
      </c>
    </row>
    <row r="1027" spans="1:21" x14ac:dyDescent="0.35">
      <c r="A1027" t="s">
        <v>28</v>
      </c>
      <c r="B1027" s="1">
        <v>44331</v>
      </c>
      <c r="C1027" t="s">
        <v>22</v>
      </c>
      <c r="D1027">
        <v>125.4</v>
      </c>
      <c r="E1027">
        <v>12.3</v>
      </c>
      <c r="F1027">
        <v>0</v>
      </c>
      <c r="G1027">
        <v>10.199999999999999</v>
      </c>
      <c r="H1027">
        <v>0</v>
      </c>
      <c r="I1027">
        <v>136.5</v>
      </c>
      <c r="J1027">
        <v>9.1999999999999993</v>
      </c>
      <c r="K1027">
        <v>0</v>
      </c>
      <c r="L1027">
        <v>14.9</v>
      </c>
      <c r="M1027">
        <v>0</v>
      </c>
      <c r="N1027">
        <v>1387913</v>
      </c>
      <c r="O1027">
        <v>925369</v>
      </c>
      <c r="P1027">
        <v>0</v>
      </c>
      <c r="Q1027">
        <v>1740</v>
      </c>
      <c r="R1027">
        <v>114</v>
      </c>
      <c r="S1027">
        <v>0</v>
      </c>
      <c r="T1027">
        <v>999</v>
      </c>
      <c r="U1027">
        <v>999</v>
      </c>
    </row>
    <row r="1028" spans="1:21" x14ac:dyDescent="0.35">
      <c r="A1028" t="s">
        <v>26</v>
      </c>
      <c r="B1028" s="1">
        <v>44599</v>
      </c>
      <c r="C1028" t="s">
        <v>32</v>
      </c>
      <c r="D1028">
        <v>5.5</v>
      </c>
      <c r="E1028">
        <v>0</v>
      </c>
      <c r="F1028">
        <v>0</v>
      </c>
      <c r="G1028">
        <v>0</v>
      </c>
      <c r="H1028">
        <v>0</v>
      </c>
      <c r="I1028">
        <v>0</v>
      </c>
      <c r="J1028">
        <v>0</v>
      </c>
      <c r="K1028">
        <v>0</v>
      </c>
      <c r="L1028">
        <v>0</v>
      </c>
      <c r="M1028">
        <v>0</v>
      </c>
      <c r="N1028">
        <v>162642</v>
      </c>
      <c r="O1028">
        <v>0</v>
      </c>
      <c r="P1028">
        <v>0</v>
      </c>
      <c r="Q1028">
        <v>9</v>
      </c>
      <c r="R1028">
        <v>0</v>
      </c>
      <c r="S1028">
        <v>0</v>
      </c>
      <c r="T1028">
        <v>0</v>
      </c>
      <c r="U1028">
        <v>4</v>
      </c>
    </row>
    <row r="1029" spans="1:21" x14ac:dyDescent="0.35">
      <c r="A1029" t="s">
        <v>21</v>
      </c>
      <c r="B1029" s="1">
        <v>45205</v>
      </c>
      <c r="C1029" t="s">
        <v>30</v>
      </c>
      <c r="D1029">
        <v>0</v>
      </c>
      <c r="E1029">
        <v>0</v>
      </c>
      <c r="F1029">
        <v>0</v>
      </c>
      <c r="G1029">
        <v>0</v>
      </c>
      <c r="H1029">
        <v>0</v>
      </c>
      <c r="I1029">
        <v>0</v>
      </c>
      <c r="J1029">
        <v>0</v>
      </c>
      <c r="K1029">
        <v>0</v>
      </c>
      <c r="L1029">
        <v>0</v>
      </c>
      <c r="M1029">
        <v>0</v>
      </c>
      <c r="N1029">
        <v>24522</v>
      </c>
      <c r="O1029">
        <v>11383</v>
      </c>
      <c r="P1029">
        <v>47130</v>
      </c>
      <c r="Q1029">
        <v>0</v>
      </c>
      <c r="R1029">
        <v>0</v>
      </c>
      <c r="S1029">
        <v>0</v>
      </c>
      <c r="T1029">
        <v>80</v>
      </c>
      <c r="U1029">
        <v>200</v>
      </c>
    </row>
    <row r="1030" spans="1:21" x14ac:dyDescent="0.35">
      <c r="A1030" t="s">
        <v>28</v>
      </c>
      <c r="B1030" s="1">
        <v>44702</v>
      </c>
      <c r="C1030" t="s">
        <v>29</v>
      </c>
      <c r="D1030">
        <v>339.9</v>
      </c>
      <c r="E1030">
        <v>193.9</v>
      </c>
      <c r="F1030">
        <v>443.1</v>
      </c>
      <c r="G1030">
        <v>1.8</v>
      </c>
      <c r="H1030">
        <v>0.8</v>
      </c>
      <c r="I1030">
        <v>0</v>
      </c>
      <c r="J1030">
        <v>0</v>
      </c>
      <c r="K1030">
        <v>0</v>
      </c>
      <c r="L1030">
        <v>0</v>
      </c>
      <c r="M1030">
        <v>0</v>
      </c>
      <c r="N1030">
        <v>129750</v>
      </c>
      <c r="O1030">
        <v>284685</v>
      </c>
      <c r="P1030">
        <v>334000</v>
      </c>
      <c r="Q1030">
        <v>441</v>
      </c>
      <c r="R1030">
        <v>552</v>
      </c>
      <c r="S1030">
        <v>1480</v>
      </c>
      <c r="T1030">
        <v>30</v>
      </c>
      <c r="U1030">
        <v>49</v>
      </c>
    </row>
    <row r="1031" spans="1:21" x14ac:dyDescent="0.35">
      <c r="A1031" t="s">
        <v>28</v>
      </c>
      <c r="B1031" s="1">
        <v>44457</v>
      </c>
      <c r="C1031" t="s">
        <v>32</v>
      </c>
      <c r="D1031">
        <v>75</v>
      </c>
      <c r="E1031">
        <v>0</v>
      </c>
      <c r="F1031">
        <v>0</v>
      </c>
      <c r="G1031">
        <v>0</v>
      </c>
      <c r="H1031">
        <v>0</v>
      </c>
      <c r="I1031">
        <v>0</v>
      </c>
      <c r="J1031">
        <v>0</v>
      </c>
      <c r="K1031">
        <v>0</v>
      </c>
      <c r="L1031">
        <v>0</v>
      </c>
      <c r="M1031">
        <v>0</v>
      </c>
      <c r="N1031">
        <v>162642</v>
      </c>
      <c r="O1031">
        <v>0</v>
      </c>
      <c r="P1031">
        <v>0</v>
      </c>
      <c r="Q1031">
        <v>122</v>
      </c>
      <c r="R1031">
        <v>0</v>
      </c>
      <c r="S1031">
        <v>0</v>
      </c>
      <c r="T1031">
        <v>0</v>
      </c>
      <c r="U1031">
        <v>4</v>
      </c>
    </row>
    <row r="1032" spans="1:21" x14ac:dyDescent="0.35">
      <c r="A1032" t="s">
        <v>21</v>
      </c>
      <c r="B1032" s="1">
        <v>44966</v>
      </c>
      <c r="C1032" t="s">
        <v>27</v>
      </c>
      <c r="D1032">
        <v>0</v>
      </c>
      <c r="E1032">
        <v>0</v>
      </c>
      <c r="F1032">
        <v>0</v>
      </c>
      <c r="G1032">
        <v>0</v>
      </c>
      <c r="H1032">
        <v>0</v>
      </c>
      <c r="I1032">
        <v>0</v>
      </c>
      <c r="J1032">
        <v>0</v>
      </c>
      <c r="K1032">
        <v>0</v>
      </c>
      <c r="L1032">
        <v>0</v>
      </c>
      <c r="M1032">
        <v>0</v>
      </c>
      <c r="N1032">
        <v>31774</v>
      </c>
      <c r="O1032">
        <v>86575</v>
      </c>
      <c r="P1032">
        <v>44595</v>
      </c>
      <c r="Q1032">
        <v>0</v>
      </c>
      <c r="R1032">
        <v>0</v>
      </c>
      <c r="S1032">
        <v>0</v>
      </c>
      <c r="T1032">
        <v>12</v>
      </c>
      <c r="U1032">
        <v>17</v>
      </c>
    </row>
    <row r="1033" spans="1:21" x14ac:dyDescent="0.35">
      <c r="A1033" t="s">
        <v>26</v>
      </c>
      <c r="B1033" s="1">
        <v>44310</v>
      </c>
      <c r="C1033" t="s">
        <v>25</v>
      </c>
      <c r="D1033">
        <v>9.3000000000000007</v>
      </c>
      <c r="E1033">
        <v>1.2</v>
      </c>
      <c r="F1033">
        <v>0</v>
      </c>
      <c r="G1033">
        <v>7.8</v>
      </c>
      <c r="H1033">
        <v>0</v>
      </c>
      <c r="I1033">
        <v>0</v>
      </c>
      <c r="J1033">
        <v>0</v>
      </c>
      <c r="K1033">
        <v>0</v>
      </c>
      <c r="L1033">
        <v>0</v>
      </c>
      <c r="M1033">
        <v>0</v>
      </c>
      <c r="N1033">
        <v>301150</v>
      </c>
      <c r="O1033">
        <v>85550</v>
      </c>
      <c r="P1033">
        <v>0</v>
      </c>
      <c r="Q1033">
        <v>28</v>
      </c>
      <c r="R1033">
        <v>1</v>
      </c>
      <c r="S1033">
        <v>0</v>
      </c>
      <c r="T1033">
        <v>18</v>
      </c>
      <c r="U1033">
        <v>29</v>
      </c>
    </row>
    <row r="1034" spans="1:21" x14ac:dyDescent="0.35">
      <c r="A1034" t="s">
        <v>21</v>
      </c>
      <c r="B1034" s="1">
        <v>44590</v>
      </c>
      <c r="C1034" t="s">
        <v>27</v>
      </c>
      <c r="D1034">
        <v>0</v>
      </c>
      <c r="E1034">
        <v>0</v>
      </c>
      <c r="F1034">
        <v>0</v>
      </c>
      <c r="G1034">
        <v>0</v>
      </c>
      <c r="H1034">
        <v>0</v>
      </c>
      <c r="I1034">
        <v>0</v>
      </c>
      <c r="J1034">
        <v>0</v>
      </c>
      <c r="K1034">
        <v>0</v>
      </c>
      <c r="L1034">
        <v>0</v>
      </c>
      <c r="M1034">
        <v>0</v>
      </c>
      <c r="N1034">
        <v>44003</v>
      </c>
      <c r="O1034">
        <v>100652</v>
      </c>
      <c r="P1034">
        <v>13613</v>
      </c>
      <c r="Q1034">
        <v>0</v>
      </c>
      <c r="R1034">
        <v>0</v>
      </c>
      <c r="S1034">
        <v>0</v>
      </c>
      <c r="T1034">
        <v>12</v>
      </c>
      <c r="U1034">
        <v>17</v>
      </c>
    </row>
    <row r="1035" spans="1:21" x14ac:dyDescent="0.35">
      <c r="A1035" t="s">
        <v>21</v>
      </c>
      <c r="B1035" s="1">
        <v>44295</v>
      </c>
      <c r="C1035" t="s">
        <v>22</v>
      </c>
      <c r="D1035">
        <v>2.5</v>
      </c>
      <c r="E1035">
        <v>0.5</v>
      </c>
      <c r="F1035">
        <v>0</v>
      </c>
      <c r="G1035">
        <v>5</v>
      </c>
      <c r="H1035">
        <v>0</v>
      </c>
      <c r="I1035">
        <v>3.5</v>
      </c>
      <c r="J1035">
        <v>0.4</v>
      </c>
      <c r="K1035">
        <v>0</v>
      </c>
      <c r="L1035">
        <v>9.8000000000000007</v>
      </c>
      <c r="M1035">
        <v>0</v>
      </c>
      <c r="N1035">
        <v>1059836</v>
      </c>
      <c r="O1035">
        <v>1462025</v>
      </c>
      <c r="P1035">
        <v>0</v>
      </c>
      <c r="Q1035">
        <v>27</v>
      </c>
      <c r="R1035">
        <v>7</v>
      </c>
      <c r="S1035">
        <v>0</v>
      </c>
      <c r="T1035">
        <v>999</v>
      </c>
      <c r="U1035">
        <v>999</v>
      </c>
    </row>
    <row r="1036" spans="1:21" x14ac:dyDescent="0.35">
      <c r="A1036" t="s">
        <v>26</v>
      </c>
      <c r="B1036" s="1">
        <v>45220</v>
      </c>
      <c r="C1036" t="s">
        <v>23</v>
      </c>
      <c r="D1036">
        <v>9.6</v>
      </c>
      <c r="E1036">
        <v>4</v>
      </c>
      <c r="F1036">
        <v>4</v>
      </c>
      <c r="G1036">
        <v>2.4</v>
      </c>
      <c r="H1036">
        <v>2.4</v>
      </c>
      <c r="I1036">
        <v>0</v>
      </c>
      <c r="J1036">
        <v>0</v>
      </c>
      <c r="K1036">
        <v>0</v>
      </c>
      <c r="L1036">
        <v>0</v>
      </c>
      <c r="M1036">
        <v>0</v>
      </c>
      <c r="N1036">
        <v>31095</v>
      </c>
      <c r="O1036">
        <v>125782</v>
      </c>
      <c r="P1036">
        <v>247254</v>
      </c>
      <c r="Q1036">
        <v>3</v>
      </c>
      <c r="R1036">
        <v>5</v>
      </c>
      <c r="S1036">
        <v>10</v>
      </c>
      <c r="T1036">
        <v>50</v>
      </c>
      <c r="U1036">
        <v>64</v>
      </c>
    </row>
    <row r="1037" spans="1:21" x14ac:dyDescent="0.35">
      <c r="A1037" t="s">
        <v>26</v>
      </c>
      <c r="B1037" s="1">
        <v>44513</v>
      </c>
      <c r="C1037" t="s">
        <v>27</v>
      </c>
      <c r="D1037">
        <v>6.5</v>
      </c>
      <c r="E1037">
        <v>0</v>
      </c>
      <c r="F1037">
        <v>0</v>
      </c>
      <c r="G1037">
        <v>0</v>
      </c>
      <c r="H1037">
        <v>0</v>
      </c>
      <c r="I1037">
        <v>0</v>
      </c>
      <c r="J1037">
        <v>0</v>
      </c>
      <c r="K1037">
        <v>0</v>
      </c>
      <c r="L1037">
        <v>0</v>
      </c>
      <c r="M1037">
        <v>0</v>
      </c>
      <c r="N1037">
        <v>61336</v>
      </c>
      <c r="O1037">
        <v>102949</v>
      </c>
      <c r="P1037">
        <v>0</v>
      </c>
      <c r="Q1037">
        <v>4</v>
      </c>
      <c r="R1037">
        <v>0</v>
      </c>
      <c r="S1037">
        <v>0</v>
      </c>
      <c r="T1037">
        <v>12</v>
      </c>
      <c r="U1037">
        <v>17</v>
      </c>
    </row>
    <row r="1038" spans="1:21" x14ac:dyDescent="0.35">
      <c r="A1038" t="s">
        <v>26</v>
      </c>
      <c r="B1038" s="1">
        <v>45003</v>
      </c>
      <c r="C1038" t="s">
        <v>22</v>
      </c>
      <c r="D1038">
        <v>5.3</v>
      </c>
      <c r="E1038">
        <v>2.6</v>
      </c>
      <c r="F1038">
        <v>5.0999999999999996</v>
      </c>
      <c r="G1038">
        <v>2</v>
      </c>
      <c r="H1038">
        <v>1</v>
      </c>
      <c r="I1038">
        <v>7</v>
      </c>
      <c r="J1038">
        <v>3.6</v>
      </c>
      <c r="K1038">
        <v>3.5</v>
      </c>
      <c r="L1038">
        <v>2</v>
      </c>
      <c r="M1038">
        <v>2</v>
      </c>
      <c r="N1038">
        <v>542688</v>
      </c>
      <c r="O1038">
        <v>858373</v>
      </c>
      <c r="P1038">
        <v>1040492</v>
      </c>
      <c r="Q1038">
        <v>29</v>
      </c>
      <c r="R1038">
        <v>22</v>
      </c>
      <c r="S1038">
        <v>53</v>
      </c>
      <c r="T1038">
        <v>999</v>
      </c>
      <c r="U1038">
        <v>999</v>
      </c>
    </row>
    <row r="1039" spans="1:21" x14ac:dyDescent="0.35">
      <c r="A1039" t="s">
        <v>26</v>
      </c>
      <c r="B1039" s="1">
        <v>44765</v>
      </c>
      <c r="C1039" t="s">
        <v>27</v>
      </c>
      <c r="D1039">
        <v>0</v>
      </c>
      <c r="E1039">
        <v>2.2000000000000002</v>
      </c>
      <c r="F1039">
        <v>0</v>
      </c>
      <c r="G1039">
        <v>0</v>
      </c>
      <c r="H1039">
        <v>0</v>
      </c>
      <c r="I1039">
        <v>0</v>
      </c>
      <c r="J1039">
        <v>0</v>
      </c>
      <c r="K1039">
        <v>0</v>
      </c>
      <c r="L1039">
        <v>0</v>
      </c>
      <c r="M1039">
        <v>0</v>
      </c>
      <c r="N1039">
        <v>36073</v>
      </c>
      <c r="O1039">
        <v>90284</v>
      </c>
      <c r="P1039">
        <v>39015</v>
      </c>
      <c r="Q1039">
        <v>0</v>
      </c>
      <c r="R1039">
        <v>2</v>
      </c>
      <c r="S1039">
        <v>0</v>
      </c>
      <c r="T1039">
        <v>12</v>
      </c>
      <c r="U1039">
        <v>17</v>
      </c>
    </row>
    <row r="1040" spans="1:21" x14ac:dyDescent="0.35">
      <c r="A1040" t="s">
        <v>26</v>
      </c>
      <c r="B1040" s="1">
        <v>44464</v>
      </c>
      <c r="C1040" t="s">
        <v>23</v>
      </c>
      <c r="D1040">
        <v>37.1</v>
      </c>
      <c r="E1040">
        <v>2.4</v>
      </c>
      <c r="F1040">
        <v>0</v>
      </c>
      <c r="G1040">
        <v>15.5</v>
      </c>
      <c r="H1040">
        <v>0</v>
      </c>
      <c r="I1040">
        <v>0</v>
      </c>
      <c r="J1040">
        <v>0</v>
      </c>
      <c r="K1040">
        <v>0</v>
      </c>
      <c r="L1040">
        <v>0</v>
      </c>
      <c r="M1040">
        <v>0</v>
      </c>
      <c r="N1040">
        <v>80946</v>
      </c>
      <c r="O1040">
        <v>328443</v>
      </c>
      <c r="P1040">
        <v>0</v>
      </c>
      <c r="Q1040">
        <v>30</v>
      </c>
      <c r="R1040">
        <v>8</v>
      </c>
      <c r="S1040">
        <v>0</v>
      </c>
      <c r="T1040">
        <v>50</v>
      </c>
      <c r="U1040">
        <v>64</v>
      </c>
    </row>
    <row r="1041" spans="1:21" x14ac:dyDescent="0.35">
      <c r="A1041" t="s">
        <v>28</v>
      </c>
      <c r="B1041" s="1">
        <v>44947</v>
      </c>
      <c r="C1041" t="s">
        <v>30</v>
      </c>
      <c r="D1041">
        <v>92.9</v>
      </c>
      <c r="E1041">
        <v>123.1</v>
      </c>
      <c r="F1041">
        <v>144.30000000000001</v>
      </c>
      <c r="G1041">
        <v>0.8</v>
      </c>
      <c r="H1041">
        <v>0.6</v>
      </c>
      <c r="I1041">
        <v>0</v>
      </c>
      <c r="J1041">
        <v>0</v>
      </c>
      <c r="K1041">
        <v>0</v>
      </c>
      <c r="L1041">
        <v>0</v>
      </c>
      <c r="M1041">
        <v>0</v>
      </c>
      <c r="N1041">
        <v>24751</v>
      </c>
      <c r="O1041">
        <v>11374</v>
      </c>
      <c r="P1041">
        <v>47117</v>
      </c>
      <c r="Q1041">
        <v>23</v>
      </c>
      <c r="R1041">
        <v>14</v>
      </c>
      <c r="S1041">
        <v>68</v>
      </c>
      <c r="T1041">
        <v>80</v>
      </c>
      <c r="U1041">
        <v>200</v>
      </c>
    </row>
    <row r="1042" spans="1:21" x14ac:dyDescent="0.35">
      <c r="A1042" t="s">
        <v>28</v>
      </c>
      <c r="B1042" s="1">
        <v>45233</v>
      </c>
      <c r="C1042" t="s">
        <v>25</v>
      </c>
      <c r="D1042">
        <v>121.4</v>
      </c>
      <c r="E1042">
        <v>38.4</v>
      </c>
      <c r="F1042">
        <v>51.3</v>
      </c>
      <c r="G1042">
        <v>3.2</v>
      </c>
      <c r="H1042">
        <v>2.4</v>
      </c>
      <c r="I1042">
        <v>0</v>
      </c>
      <c r="J1042">
        <v>0</v>
      </c>
      <c r="K1042">
        <v>0</v>
      </c>
      <c r="L1042">
        <v>0</v>
      </c>
      <c r="M1042">
        <v>0</v>
      </c>
      <c r="N1042">
        <v>76587</v>
      </c>
      <c r="O1042">
        <v>213618</v>
      </c>
      <c r="P1042">
        <v>161667</v>
      </c>
      <c r="Q1042">
        <v>93</v>
      </c>
      <c r="R1042">
        <v>82</v>
      </c>
      <c r="S1042">
        <v>83</v>
      </c>
      <c r="T1042">
        <v>18</v>
      </c>
      <c r="U1042">
        <v>29</v>
      </c>
    </row>
    <row r="1043" spans="1:21" x14ac:dyDescent="0.35">
      <c r="A1043" t="s">
        <v>26</v>
      </c>
      <c r="B1043" s="1">
        <v>45010</v>
      </c>
      <c r="C1043" t="s">
        <v>25</v>
      </c>
      <c r="D1043">
        <v>2.6</v>
      </c>
      <c r="E1043">
        <v>0.9</v>
      </c>
      <c r="F1043">
        <v>1.2</v>
      </c>
      <c r="G1043">
        <v>2.9</v>
      </c>
      <c r="H1043">
        <v>2.2000000000000002</v>
      </c>
      <c r="I1043">
        <v>0</v>
      </c>
      <c r="J1043">
        <v>0</v>
      </c>
      <c r="K1043">
        <v>0</v>
      </c>
      <c r="L1043">
        <v>0</v>
      </c>
      <c r="M1043">
        <v>0</v>
      </c>
      <c r="N1043">
        <v>76243</v>
      </c>
      <c r="O1043">
        <v>213785</v>
      </c>
      <c r="P1043">
        <v>161673</v>
      </c>
      <c r="Q1043">
        <v>2</v>
      </c>
      <c r="R1043">
        <v>2</v>
      </c>
      <c r="S1043">
        <v>2</v>
      </c>
      <c r="T1043">
        <v>18</v>
      </c>
      <c r="U1043">
        <v>29</v>
      </c>
    </row>
    <row r="1044" spans="1:21" x14ac:dyDescent="0.35">
      <c r="A1044" t="s">
        <v>21</v>
      </c>
      <c r="B1044" s="1">
        <v>45157</v>
      </c>
      <c r="C1044" t="s">
        <v>22</v>
      </c>
      <c r="D1044">
        <v>0</v>
      </c>
      <c r="E1044">
        <v>0.1</v>
      </c>
      <c r="F1044">
        <v>0.2</v>
      </c>
      <c r="G1044">
        <v>0</v>
      </c>
      <c r="H1044">
        <v>0</v>
      </c>
      <c r="I1044">
        <v>0</v>
      </c>
      <c r="J1044">
        <v>0.3</v>
      </c>
      <c r="K1044">
        <v>0.1</v>
      </c>
      <c r="L1044">
        <v>0</v>
      </c>
      <c r="M1044">
        <v>0</v>
      </c>
      <c r="N1044">
        <v>528293</v>
      </c>
      <c r="O1044">
        <v>860304</v>
      </c>
      <c r="P1044">
        <v>1040794</v>
      </c>
      <c r="Q1044">
        <v>0</v>
      </c>
      <c r="R1044">
        <v>1</v>
      </c>
      <c r="S1044">
        <v>2</v>
      </c>
      <c r="T1044">
        <v>999</v>
      </c>
      <c r="U1044">
        <v>999</v>
      </c>
    </row>
    <row r="1045" spans="1:21" x14ac:dyDescent="0.35">
      <c r="A1045" t="s">
        <v>26</v>
      </c>
      <c r="B1045" s="1">
        <v>44520</v>
      </c>
      <c r="C1045" t="s">
        <v>23</v>
      </c>
      <c r="D1045">
        <v>69.599999999999994</v>
      </c>
      <c r="E1045">
        <v>5.7</v>
      </c>
      <c r="F1045">
        <v>0</v>
      </c>
      <c r="G1045">
        <v>12.2</v>
      </c>
      <c r="H1045">
        <v>0</v>
      </c>
      <c r="I1045">
        <v>0</v>
      </c>
      <c r="J1045">
        <v>0</v>
      </c>
      <c r="K1045">
        <v>0</v>
      </c>
      <c r="L1045">
        <v>0</v>
      </c>
      <c r="M1045">
        <v>0</v>
      </c>
      <c r="N1045">
        <v>67514</v>
      </c>
      <c r="O1045">
        <v>297169</v>
      </c>
      <c r="P1045">
        <v>49704</v>
      </c>
      <c r="Q1045">
        <v>47</v>
      </c>
      <c r="R1045">
        <v>17</v>
      </c>
      <c r="S1045">
        <v>0</v>
      </c>
      <c r="T1045">
        <v>50</v>
      </c>
      <c r="U1045">
        <v>64</v>
      </c>
    </row>
    <row r="1046" spans="1:21" x14ac:dyDescent="0.35">
      <c r="A1046" t="s">
        <v>21</v>
      </c>
      <c r="B1046" s="1">
        <v>44303</v>
      </c>
      <c r="C1046" t="s">
        <v>27</v>
      </c>
      <c r="D1046">
        <v>0</v>
      </c>
      <c r="E1046">
        <v>0</v>
      </c>
      <c r="F1046">
        <v>0</v>
      </c>
      <c r="G1046">
        <v>0</v>
      </c>
      <c r="H1046">
        <v>0</v>
      </c>
      <c r="I1046">
        <v>0</v>
      </c>
      <c r="J1046">
        <v>0</v>
      </c>
      <c r="K1046">
        <v>0</v>
      </c>
      <c r="L1046">
        <v>0</v>
      </c>
      <c r="M1046">
        <v>0</v>
      </c>
      <c r="N1046">
        <v>175134</v>
      </c>
      <c r="O1046">
        <v>0</v>
      </c>
      <c r="P1046">
        <v>0</v>
      </c>
      <c r="Q1046">
        <v>0</v>
      </c>
      <c r="R1046">
        <v>0</v>
      </c>
      <c r="S1046">
        <v>0</v>
      </c>
      <c r="T1046">
        <v>12</v>
      </c>
      <c r="U1046">
        <v>17</v>
      </c>
    </row>
    <row r="1047" spans="1:21" x14ac:dyDescent="0.35">
      <c r="A1047" t="s">
        <v>21</v>
      </c>
      <c r="B1047" s="1">
        <v>44856</v>
      </c>
      <c r="C1047" t="s">
        <v>23</v>
      </c>
      <c r="D1047">
        <v>0</v>
      </c>
      <c r="E1047">
        <v>0.8</v>
      </c>
      <c r="F1047">
        <v>0</v>
      </c>
      <c r="G1047">
        <v>0</v>
      </c>
      <c r="H1047">
        <v>0</v>
      </c>
      <c r="I1047">
        <v>0</v>
      </c>
      <c r="J1047">
        <v>0</v>
      </c>
      <c r="K1047">
        <v>0</v>
      </c>
      <c r="L1047">
        <v>0</v>
      </c>
      <c r="M1047">
        <v>0</v>
      </c>
      <c r="N1047">
        <v>37697</v>
      </c>
      <c r="O1047">
        <v>125220</v>
      </c>
      <c r="P1047">
        <v>246635</v>
      </c>
      <c r="Q1047">
        <v>0</v>
      </c>
      <c r="R1047">
        <v>1</v>
      </c>
      <c r="S1047">
        <v>0</v>
      </c>
      <c r="T1047">
        <v>50</v>
      </c>
      <c r="U1047">
        <v>64</v>
      </c>
    </row>
    <row r="1048" spans="1:21" x14ac:dyDescent="0.35">
      <c r="A1048" t="s">
        <v>21</v>
      </c>
      <c r="B1048" s="1">
        <v>44646</v>
      </c>
      <c r="C1048" t="s">
        <v>23</v>
      </c>
      <c r="D1048">
        <v>2.2000000000000002</v>
      </c>
      <c r="E1048">
        <v>0</v>
      </c>
      <c r="F1048">
        <v>0</v>
      </c>
      <c r="G1048">
        <v>0</v>
      </c>
      <c r="H1048">
        <v>0</v>
      </c>
      <c r="I1048">
        <v>0</v>
      </c>
      <c r="J1048">
        <v>0</v>
      </c>
      <c r="K1048">
        <v>0</v>
      </c>
      <c r="L1048">
        <v>0</v>
      </c>
      <c r="M1048">
        <v>0</v>
      </c>
      <c r="N1048">
        <v>45447</v>
      </c>
      <c r="O1048">
        <v>140025</v>
      </c>
      <c r="P1048">
        <v>225645</v>
      </c>
      <c r="Q1048">
        <v>1</v>
      </c>
      <c r="R1048">
        <v>0</v>
      </c>
      <c r="S1048">
        <v>0</v>
      </c>
      <c r="T1048">
        <v>50</v>
      </c>
      <c r="U1048">
        <v>64</v>
      </c>
    </row>
    <row r="1049" spans="1:21" x14ac:dyDescent="0.35">
      <c r="A1049" t="s">
        <v>21</v>
      </c>
      <c r="B1049" s="1">
        <v>45010</v>
      </c>
      <c r="C1049" t="s">
        <v>32</v>
      </c>
      <c r="D1049">
        <v>0</v>
      </c>
      <c r="E1049">
        <v>0</v>
      </c>
      <c r="F1049">
        <v>0</v>
      </c>
      <c r="G1049">
        <v>0</v>
      </c>
      <c r="H1049">
        <v>0</v>
      </c>
      <c r="I1049">
        <v>0</v>
      </c>
      <c r="J1049">
        <v>0</v>
      </c>
      <c r="K1049">
        <v>0</v>
      </c>
      <c r="L1049">
        <v>0</v>
      </c>
      <c r="M1049">
        <v>0</v>
      </c>
      <c r="N1049">
        <v>162642</v>
      </c>
      <c r="O1049">
        <v>0</v>
      </c>
      <c r="P1049">
        <v>0</v>
      </c>
      <c r="Q1049">
        <v>0</v>
      </c>
      <c r="R1049">
        <v>0</v>
      </c>
      <c r="S1049">
        <v>0</v>
      </c>
      <c r="T1049">
        <v>0</v>
      </c>
      <c r="U1049">
        <v>4</v>
      </c>
    </row>
    <row r="1050" spans="1:21" x14ac:dyDescent="0.35">
      <c r="A1050" t="s">
        <v>21</v>
      </c>
      <c r="B1050" s="1">
        <v>44611</v>
      </c>
      <c r="C1050" t="s">
        <v>24</v>
      </c>
      <c r="D1050">
        <v>0</v>
      </c>
      <c r="E1050">
        <v>0</v>
      </c>
      <c r="F1050">
        <v>0</v>
      </c>
      <c r="G1050">
        <v>0</v>
      </c>
      <c r="H1050">
        <v>0</v>
      </c>
      <c r="I1050">
        <v>0</v>
      </c>
      <c r="J1050">
        <v>0</v>
      </c>
      <c r="K1050">
        <v>0</v>
      </c>
      <c r="L1050">
        <v>0</v>
      </c>
      <c r="M1050">
        <v>0</v>
      </c>
      <c r="N1050">
        <v>107897</v>
      </c>
      <c r="O1050">
        <v>74396</v>
      </c>
      <c r="P1050">
        <v>0</v>
      </c>
      <c r="Q1050">
        <v>0</v>
      </c>
      <c r="R1050">
        <v>0</v>
      </c>
      <c r="S1050">
        <v>0</v>
      </c>
      <c r="T1050">
        <v>5</v>
      </c>
      <c r="U1050">
        <v>11</v>
      </c>
    </row>
    <row r="1051" spans="1:21" x14ac:dyDescent="0.35">
      <c r="A1051" t="s">
        <v>21</v>
      </c>
      <c r="B1051" s="1">
        <v>44576</v>
      </c>
      <c r="C1051" t="s">
        <v>30</v>
      </c>
      <c r="D1051">
        <v>119.2</v>
      </c>
      <c r="E1051">
        <v>158.4</v>
      </c>
      <c r="F1051">
        <v>26.2</v>
      </c>
      <c r="G1051">
        <v>0.8</v>
      </c>
      <c r="H1051">
        <v>4.5</v>
      </c>
      <c r="I1051">
        <v>0</v>
      </c>
      <c r="J1051">
        <v>0</v>
      </c>
      <c r="K1051">
        <v>0</v>
      </c>
      <c r="L1051">
        <v>0</v>
      </c>
      <c r="M1051">
        <v>0</v>
      </c>
      <c r="N1051">
        <v>27679</v>
      </c>
      <c r="O1051">
        <v>18306</v>
      </c>
      <c r="P1051">
        <v>38129</v>
      </c>
      <c r="Q1051">
        <v>33</v>
      </c>
      <c r="R1051">
        <v>29</v>
      </c>
      <c r="S1051">
        <v>10</v>
      </c>
      <c r="T1051">
        <v>80</v>
      </c>
      <c r="U1051">
        <v>200</v>
      </c>
    </row>
    <row r="1052" spans="1:21" x14ac:dyDescent="0.35">
      <c r="A1052" t="s">
        <v>21</v>
      </c>
      <c r="B1052" s="1">
        <v>44930</v>
      </c>
      <c r="C1052" t="s">
        <v>32</v>
      </c>
      <c r="D1052">
        <v>0</v>
      </c>
      <c r="E1052">
        <v>0</v>
      </c>
      <c r="F1052">
        <v>0</v>
      </c>
      <c r="G1052">
        <v>0</v>
      </c>
      <c r="H1052">
        <v>0</v>
      </c>
      <c r="I1052">
        <v>0</v>
      </c>
      <c r="J1052">
        <v>0</v>
      </c>
      <c r="K1052">
        <v>0</v>
      </c>
      <c r="L1052">
        <v>0</v>
      </c>
      <c r="M1052">
        <v>0</v>
      </c>
      <c r="N1052">
        <v>162642</v>
      </c>
      <c r="O1052">
        <v>0</v>
      </c>
      <c r="P1052">
        <v>0</v>
      </c>
      <c r="Q1052">
        <v>0</v>
      </c>
      <c r="R1052">
        <v>0</v>
      </c>
      <c r="S1052">
        <v>0</v>
      </c>
      <c r="T1052">
        <v>0</v>
      </c>
      <c r="U1052">
        <v>4</v>
      </c>
    </row>
    <row r="1053" spans="1:21" x14ac:dyDescent="0.35">
      <c r="A1053" t="s">
        <v>21</v>
      </c>
      <c r="B1053" s="1">
        <v>44345</v>
      </c>
      <c r="C1053" t="s">
        <v>29</v>
      </c>
      <c r="D1053">
        <v>1.3</v>
      </c>
      <c r="E1053">
        <v>0</v>
      </c>
      <c r="F1053">
        <v>0</v>
      </c>
      <c r="G1053">
        <v>0</v>
      </c>
      <c r="H1053">
        <v>0</v>
      </c>
      <c r="I1053">
        <v>0</v>
      </c>
      <c r="J1053">
        <v>0</v>
      </c>
      <c r="K1053">
        <v>0</v>
      </c>
      <c r="L1053">
        <v>0</v>
      </c>
      <c r="M1053">
        <v>0</v>
      </c>
      <c r="N1053">
        <v>314424</v>
      </c>
      <c r="O1053">
        <v>398788</v>
      </c>
      <c r="P1053">
        <v>0</v>
      </c>
      <c r="Q1053">
        <v>4</v>
      </c>
      <c r="R1053">
        <v>0</v>
      </c>
      <c r="S1053">
        <v>0</v>
      </c>
      <c r="T1053">
        <v>30</v>
      </c>
      <c r="U1053">
        <v>49</v>
      </c>
    </row>
    <row r="1054" spans="1:21" x14ac:dyDescent="0.35">
      <c r="A1054" t="s">
        <v>28</v>
      </c>
      <c r="B1054" s="1">
        <v>44969</v>
      </c>
      <c r="C1054" t="s">
        <v>29</v>
      </c>
      <c r="D1054">
        <v>118.6</v>
      </c>
      <c r="E1054">
        <v>42.6</v>
      </c>
      <c r="F1054">
        <v>53.2</v>
      </c>
      <c r="G1054">
        <v>2.8</v>
      </c>
      <c r="H1054">
        <v>2.2000000000000002</v>
      </c>
      <c r="I1054">
        <v>0</v>
      </c>
      <c r="J1054">
        <v>0</v>
      </c>
      <c r="K1054">
        <v>0</v>
      </c>
      <c r="L1054">
        <v>0</v>
      </c>
      <c r="M1054">
        <v>0</v>
      </c>
      <c r="N1054">
        <v>99511</v>
      </c>
      <c r="O1054">
        <v>279418</v>
      </c>
      <c r="P1054">
        <v>349413</v>
      </c>
      <c r="Q1054">
        <v>118</v>
      </c>
      <c r="R1054">
        <v>119</v>
      </c>
      <c r="S1054">
        <v>186</v>
      </c>
      <c r="T1054">
        <v>30</v>
      </c>
      <c r="U1054">
        <v>49</v>
      </c>
    </row>
    <row r="1055" spans="1:21" x14ac:dyDescent="0.35">
      <c r="A1055" t="s">
        <v>26</v>
      </c>
      <c r="B1055" s="1">
        <v>45101</v>
      </c>
      <c r="C1055" t="s">
        <v>24</v>
      </c>
      <c r="D1055">
        <v>0</v>
      </c>
      <c r="E1055">
        <v>0</v>
      </c>
      <c r="F1055">
        <v>0</v>
      </c>
      <c r="G1055">
        <v>0</v>
      </c>
      <c r="H1055">
        <v>0</v>
      </c>
      <c r="I1055">
        <v>0</v>
      </c>
      <c r="J1055">
        <v>0</v>
      </c>
      <c r="K1055">
        <v>0</v>
      </c>
      <c r="L1055">
        <v>0</v>
      </c>
      <c r="M1055">
        <v>0</v>
      </c>
      <c r="N1055">
        <v>90346</v>
      </c>
      <c r="O1055">
        <v>82675</v>
      </c>
      <c r="P1055">
        <v>21251</v>
      </c>
      <c r="Q1055">
        <v>0</v>
      </c>
      <c r="R1055">
        <v>0</v>
      </c>
      <c r="S1055">
        <v>0</v>
      </c>
      <c r="T1055">
        <v>5</v>
      </c>
      <c r="U1055">
        <v>11</v>
      </c>
    </row>
    <row r="1056" spans="1:21" x14ac:dyDescent="0.35">
      <c r="A1056" t="s">
        <v>26</v>
      </c>
      <c r="B1056" s="1">
        <v>44940</v>
      </c>
      <c r="C1056" t="s">
        <v>23</v>
      </c>
      <c r="D1056">
        <v>37.700000000000003</v>
      </c>
      <c r="E1056">
        <v>10.4</v>
      </c>
      <c r="F1056">
        <v>7.7</v>
      </c>
      <c r="G1056">
        <v>3.6</v>
      </c>
      <c r="H1056">
        <v>4.9000000000000004</v>
      </c>
      <c r="I1056">
        <v>0</v>
      </c>
      <c r="J1056">
        <v>0</v>
      </c>
      <c r="K1056">
        <v>0</v>
      </c>
      <c r="L1056">
        <v>0</v>
      </c>
      <c r="M1056">
        <v>0</v>
      </c>
      <c r="N1056">
        <v>34510</v>
      </c>
      <c r="O1056">
        <v>125451</v>
      </c>
      <c r="P1056">
        <v>246827</v>
      </c>
      <c r="Q1056">
        <v>13</v>
      </c>
      <c r="R1056">
        <v>13</v>
      </c>
      <c r="S1056">
        <v>19</v>
      </c>
      <c r="T1056">
        <v>50</v>
      </c>
      <c r="U1056">
        <v>64</v>
      </c>
    </row>
    <row r="1057" spans="1:21" x14ac:dyDescent="0.35">
      <c r="A1057" t="s">
        <v>26</v>
      </c>
      <c r="B1057" s="1">
        <v>44912</v>
      </c>
      <c r="C1057" t="s">
        <v>29</v>
      </c>
      <c r="D1057">
        <v>14.9</v>
      </c>
      <c r="E1057">
        <v>3.6</v>
      </c>
      <c r="F1057">
        <v>4</v>
      </c>
      <c r="G1057">
        <v>4.0999999999999996</v>
      </c>
      <c r="H1057">
        <v>3.7</v>
      </c>
      <c r="I1057">
        <v>0</v>
      </c>
      <c r="J1057">
        <v>0</v>
      </c>
      <c r="K1057">
        <v>0</v>
      </c>
      <c r="L1057">
        <v>0</v>
      </c>
      <c r="M1057">
        <v>0</v>
      </c>
      <c r="N1057">
        <v>113869</v>
      </c>
      <c r="O1057">
        <v>277097</v>
      </c>
      <c r="P1057">
        <v>347151</v>
      </c>
      <c r="Q1057">
        <v>17</v>
      </c>
      <c r="R1057">
        <v>10</v>
      </c>
      <c r="S1057">
        <v>14</v>
      </c>
      <c r="T1057">
        <v>30</v>
      </c>
      <c r="U1057">
        <v>49</v>
      </c>
    </row>
    <row r="1058" spans="1:21" x14ac:dyDescent="0.35">
      <c r="A1058" t="s">
        <v>28</v>
      </c>
      <c r="B1058" s="1">
        <v>44933</v>
      </c>
      <c r="C1058" t="s">
        <v>31</v>
      </c>
      <c r="D1058">
        <v>25.4</v>
      </c>
      <c r="E1058">
        <v>2.2999999999999998</v>
      </c>
      <c r="F1058">
        <v>14</v>
      </c>
      <c r="G1058">
        <v>11</v>
      </c>
      <c r="H1058">
        <v>1.8</v>
      </c>
      <c r="I1058">
        <v>0</v>
      </c>
      <c r="J1058">
        <v>0</v>
      </c>
      <c r="K1058">
        <v>0</v>
      </c>
      <c r="L1058">
        <v>0</v>
      </c>
      <c r="M1058">
        <v>0</v>
      </c>
      <c r="N1058">
        <v>39376</v>
      </c>
      <c r="O1058">
        <v>43427</v>
      </c>
      <c r="P1058">
        <v>171741</v>
      </c>
      <c r="Q1058">
        <v>10</v>
      </c>
      <c r="R1058">
        <v>1</v>
      </c>
      <c r="S1058">
        <v>24</v>
      </c>
      <c r="T1058">
        <v>65</v>
      </c>
      <c r="U1058">
        <v>79</v>
      </c>
    </row>
    <row r="1059" spans="1:21" x14ac:dyDescent="0.35">
      <c r="A1059" t="s">
        <v>21</v>
      </c>
      <c r="B1059" s="1">
        <v>44940</v>
      </c>
      <c r="C1059" t="s">
        <v>32</v>
      </c>
      <c r="D1059">
        <v>0.6</v>
      </c>
      <c r="E1059">
        <v>0</v>
      </c>
      <c r="F1059">
        <v>0</v>
      </c>
      <c r="G1059">
        <v>0</v>
      </c>
      <c r="H1059">
        <v>0</v>
      </c>
      <c r="I1059">
        <v>0</v>
      </c>
      <c r="J1059">
        <v>0</v>
      </c>
      <c r="K1059">
        <v>0</v>
      </c>
      <c r="L1059">
        <v>0</v>
      </c>
      <c r="M1059">
        <v>0</v>
      </c>
      <c r="N1059">
        <v>162642</v>
      </c>
      <c r="O1059">
        <v>0</v>
      </c>
      <c r="P1059">
        <v>0</v>
      </c>
      <c r="Q1059">
        <v>1</v>
      </c>
      <c r="R1059">
        <v>0</v>
      </c>
      <c r="S1059">
        <v>0</v>
      </c>
      <c r="T1059">
        <v>0</v>
      </c>
      <c r="U1059">
        <v>4</v>
      </c>
    </row>
    <row r="1060" spans="1:21" x14ac:dyDescent="0.35">
      <c r="A1060" t="s">
        <v>21</v>
      </c>
      <c r="B1060" s="1">
        <v>44897</v>
      </c>
      <c r="C1060" t="s">
        <v>23</v>
      </c>
      <c r="D1060">
        <v>6.3</v>
      </c>
      <c r="E1060">
        <v>3.9</v>
      </c>
      <c r="F1060">
        <v>1</v>
      </c>
      <c r="G1060">
        <v>1.6</v>
      </c>
      <c r="H1060">
        <v>6.3</v>
      </c>
      <c r="I1060">
        <v>0</v>
      </c>
      <c r="J1060">
        <v>0</v>
      </c>
      <c r="K1060">
        <v>0</v>
      </c>
      <c r="L1060">
        <v>0</v>
      </c>
      <c r="M1060">
        <v>0</v>
      </c>
      <c r="N1060">
        <v>47848</v>
      </c>
      <c r="O1060">
        <v>152527</v>
      </c>
      <c r="P1060">
        <v>208125</v>
      </c>
      <c r="Q1060">
        <v>3</v>
      </c>
      <c r="R1060">
        <v>6</v>
      </c>
      <c r="S1060">
        <v>2</v>
      </c>
      <c r="T1060">
        <v>50</v>
      </c>
      <c r="U1060">
        <v>64</v>
      </c>
    </row>
    <row r="1061" spans="1:21" x14ac:dyDescent="0.35">
      <c r="A1061" t="s">
        <v>28</v>
      </c>
      <c r="B1061" s="1">
        <v>44449</v>
      </c>
      <c r="C1061" t="s">
        <v>29</v>
      </c>
      <c r="D1061">
        <v>185.9</v>
      </c>
      <c r="E1061">
        <v>61.4</v>
      </c>
      <c r="F1061">
        <v>0</v>
      </c>
      <c r="G1061">
        <v>3</v>
      </c>
      <c r="H1061">
        <v>0</v>
      </c>
      <c r="I1061">
        <v>0</v>
      </c>
      <c r="J1061">
        <v>0</v>
      </c>
      <c r="K1061">
        <v>0</v>
      </c>
      <c r="L1061">
        <v>0</v>
      </c>
      <c r="M1061">
        <v>0</v>
      </c>
      <c r="N1061">
        <v>214640</v>
      </c>
      <c r="O1061">
        <v>537114</v>
      </c>
      <c r="P1061">
        <v>0</v>
      </c>
      <c r="Q1061">
        <v>399</v>
      </c>
      <c r="R1061">
        <v>330</v>
      </c>
      <c r="S1061">
        <v>0</v>
      </c>
      <c r="T1061">
        <v>30</v>
      </c>
      <c r="U1061">
        <v>49</v>
      </c>
    </row>
    <row r="1062" spans="1:21" x14ac:dyDescent="0.35">
      <c r="A1062" t="s">
        <v>26</v>
      </c>
      <c r="B1062" s="1">
        <v>45027</v>
      </c>
      <c r="C1062" t="s">
        <v>32</v>
      </c>
      <c r="D1062">
        <v>1.8</v>
      </c>
      <c r="E1062">
        <v>0</v>
      </c>
      <c r="F1062">
        <v>0</v>
      </c>
      <c r="G1062">
        <v>0</v>
      </c>
      <c r="H1062">
        <v>0</v>
      </c>
      <c r="I1062">
        <v>0</v>
      </c>
      <c r="J1062">
        <v>0</v>
      </c>
      <c r="K1062">
        <v>0</v>
      </c>
      <c r="L1062">
        <v>0</v>
      </c>
      <c r="M1062">
        <v>0</v>
      </c>
      <c r="N1062">
        <v>162642</v>
      </c>
      <c r="O1062">
        <v>0</v>
      </c>
      <c r="P1062">
        <v>0</v>
      </c>
      <c r="Q1062">
        <v>3</v>
      </c>
      <c r="R1062">
        <v>0</v>
      </c>
      <c r="S1062">
        <v>0</v>
      </c>
      <c r="T1062">
        <v>0</v>
      </c>
      <c r="U1062">
        <v>4</v>
      </c>
    </row>
    <row r="1063" spans="1:21" x14ac:dyDescent="0.35">
      <c r="A1063" t="s">
        <v>26</v>
      </c>
      <c r="B1063" s="1">
        <v>45192</v>
      </c>
      <c r="C1063" t="s">
        <v>31</v>
      </c>
      <c r="D1063">
        <v>30.7</v>
      </c>
      <c r="E1063">
        <v>16.100000000000001</v>
      </c>
      <c r="F1063">
        <v>10.5</v>
      </c>
      <c r="G1063">
        <v>1.9</v>
      </c>
      <c r="H1063">
        <v>2.9</v>
      </c>
      <c r="I1063">
        <v>0</v>
      </c>
      <c r="J1063">
        <v>0</v>
      </c>
      <c r="K1063">
        <v>0</v>
      </c>
      <c r="L1063">
        <v>0</v>
      </c>
      <c r="M1063">
        <v>0</v>
      </c>
      <c r="N1063">
        <v>39028</v>
      </c>
      <c r="O1063">
        <v>43414</v>
      </c>
      <c r="P1063">
        <v>171758</v>
      </c>
      <c r="Q1063">
        <v>12</v>
      </c>
      <c r="R1063">
        <v>7</v>
      </c>
      <c r="S1063">
        <v>18</v>
      </c>
      <c r="T1063">
        <v>65</v>
      </c>
      <c r="U1063">
        <v>79</v>
      </c>
    </row>
    <row r="1064" spans="1:21" x14ac:dyDescent="0.35">
      <c r="A1064" t="s">
        <v>28</v>
      </c>
      <c r="B1064" s="1">
        <v>45241</v>
      </c>
      <c r="C1064" t="s">
        <v>29</v>
      </c>
      <c r="D1064">
        <v>73.3</v>
      </c>
      <c r="E1064">
        <v>30.1</v>
      </c>
      <c r="F1064">
        <v>42.4</v>
      </c>
      <c r="G1064">
        <v>2.4</v>
      </c>
      <c r="H1064">
        <v>1.7</v>
      </c>
      <c r="I1064">
        <v>0</v>
      </c>
      <c r="J1064">
        <v>0</v>
      </c>
      <c r="K1064">
        <v>0</v>
      </c>
      <c r="L1064">
        <v>0</v>
      </c>
      <c r="M1064">
        <v>0</v>
      </c>
      <c r="N1064">
        <v>100910</v>
      </c>
      <c r="O1064">
        <v>279296</v>
      </c>
      <c r="P1064">
        <v>348677</v>
      </c>
      <c r="Q1064">
        <v>74</v>
      </c>
      <c r="R1064">
        <v>84</v>
      </c>
      <c r="S1064">
        <v>148</v>
      </c>
      <c r="T1064">
        <v>30</v>
      </c>
      <c r="U1064">
        <v>49</v>
      </c>
    </row>
    <row r="1065" spans="1:21" x14ac:dyDescent="0.35">
      <c r="A1065" t="s">
        <v>26</v>
      </c>
      <c r="B1065" s="1">
        <v>44499</v>
      </c>
      <c r="C1065" t="s">
        <v>27</v>
      </c>
      <c r="D1065">
        <v>1.6</v>
      </c>
      <c r="E1065">
        <v>0</v>
      </c>
      <c r="F1065">
        <v>0</v>
      </c>
      <c r="G1065">
        <v>0</v>
      </c>
      <c r="H1065">
        <v>0</v>
      </c>
      <c r="I1065">
        <v>0</v>
      </c>
      <c r="J1065">
        <v>0</v>
      </c>
      <c r="K1065">
        <v>0</v>
      </c>
      <c r="L1065">
        <v>0</v>
      </c>
      <c r="M1065">
        <v>0</v>
      </c>
      <c r="N1065">
        <v>64181</v>
      </c>
      <c r="O1065">
        <v>100542</v>
      </c>
      <c r="P1065">
        <v>0</v>
      </c>
      <c r="Q1065">
        <v>1</v>
      </c>
      <c r="R1065">
        <v>0</v>
      </c>
      <c r="S1065">
        <v>0</v>
      </c>
      <c r="T1065">
        <v>12</v>
      </c>
      <c r="U1065">
        <v>17</v>
      </c>
    </row>
    <row r="1066" spans="1:21" x14ac:dyDescent="0.35">
      <c r="A1066" t="s">
        <v>28</v>
      </c>
      <c r="B1066" s="1">
        <v>45199</v>
      </c>
      <c r="C1066" t="s">
        <v>27</v>
      </c>
      <c r="D1066">
        <v>37.9</v>
      </c>
      <c r="E1066">
        <v>6.9</v>
      </c>
      <c r="F1066">
        <v>24.7</v>
      </c>
      <c r="G1066">
        <v>5.5</v>
      </c>
      <c r="H1066">
        <v>1.5</v>
      </c>
      <c r="I1066">
        <v>0</v>
      </c>
      <c r="J1066">
        <v>0</v>
      </c>
      <c r="K1066">
        <v>0</v>
      </c>
      <c r="L1066">
        <v>0</v>
      </c>
      <c r="M1066">
        <v>0</v>
      </c>
      <c r="N1066">
        <v>31687</v>
      </c>
      <c r="O1066">
        <v>86573</v>
      </c>
      <c r="P1066">
        <v>44598</v>
      </c>
      <c r="Q1066">
        <v>12</v>
      </c>
      <c r="R1066">
        <v>6</v>
      </c>
      <c r="S1066">
        <v>11</v>
      </c>
      <c r="T1066">
        <v>12</v>
      </c>
      <c r="U1066">
        <v>17</v>
      </c>
    </row>
    <row r="1067" spans="1:21" x14ac:dyDescent="0.35">
      <c r="A1067" t="s">
        <v>28</v>
      </c>
      <c r="B1067" s="1">
        <v>45031</v>
      </c>
      <c r="C1067" t="s">
        <v>32</v>
      </c>
      <c r="D1067">
        <v>35.700000000000003</v>
      </c>
      <c r="E1067">
        <v>3.1</v>
      </c>
      <c r="F1067">
        <v>0</v>
      </c>
      <c r="G1067">
        <v>11.5</v>
      </c>
      <c r="H1067">
        <v>0</v>
      </c>
      <c r="I1067">
        <v>0</v>
      </c>
      <c r="J1067">
        <v>0</v>
      </c>
      <c r="K1067">
        <v>0</v>
      </c>
      <c r="L1067">
        <v>0</v>
      </c>
      <c r="M1067">
        <v>0</v>
      </c>
      <c r="N1067">
        <v>162642</v>
      </c>
      <c r="O1067">
        <v>0</v>
      </c>
      <c r="P1067">
        <v>0</v>
      </c>
      <c r="Q1067">
        <v>58</v>
      </c>
      <c r="R1067">
        <v>5</v>
      </c>
      <c r="S1067">
        <v>0</v>
      </c>
      <c r="T1067">
        <v>0</v>
      </c>
      <c r="U1067">
        <v>4</v>
      </c>
    </row>
    <row r="1068" spans="1:21" x14ac:dyDescent="0.35">
      <c r="A1068" t="s">
        <v>28</v>
      </c>
      <c r="B1068" s="1">
        <v>44774</v>
      </c>
      <c r="C1068" t="s">
        <v>32</v>
      </c>
      <c r="D1068">
        <v>1359.4</v>
      </c>
      <c r="E1068">
        <v>0</v>
      </c>
      <c r="F1068">
        <v>0</v>
      </c>
      <c r="G1068">
        <v>0</v>
      </c>
      <c r="H1068">
        <v>0</v>
      </c>
      <c r="I1068">
        <v>0</v>
      </c>
      <c r="J1068">
        <v>0</v>
      </c>
      <c r="K1068">
        <v>0</v>
      </c>
      <c r="L1068">
        <v>0</v>
      </c>
      <c r="M1068">
        <v>0</v>
      </c>
      <c r="N1068">
        <v>162642</v>
      </c>
      <c r="O1068">
        <v>0</v>
      </c>
      <c r="P1068">
        <v>0</v>
      </c>
      <c r="Q1068">
        <v>2211</v>
      </c>
      <c r="R1068">
        <v>0</v>
      </c>
      <c r="S1068">
        <v>0</v>
      </c>
      <c r="T1068">
        <v>0</v>
      </c>
      <c r="U1068">
        <v>4</v>
      </c>
    </row>
    <row r="1069" spans="1:21" x14ac:dyDescent="0.35">
      <c r="A1069" t="s">
        <v>28</v>
      </c>
      <c r="B1069" s="1">
        <v>45031</v>
      </c>
      <c r="C1069" t="s">
        <v>30</v>
      </c>
      <c r="D1069">
        <v>77.2</v>
      </c>
      <c r="E1069">
        <v>96.6</v>
      </c>
      <c r="F1069">
        <v>129.4</v>
      </c>
      <c r="G1069">
        <v>0.8</v>
      </c>
      <c r="H1069">
        <v>0.6</v>
      </c>
      <c r="I1069">
        <v>0</v>
      </c>
      <c r="J1069">
        <v>0</v>
      </c>
      <c r="K1069">
        <v>0</v>
      </c>
      <c r="L1069">
        <v>0</v>
      </c>
      <c r="M1069">
        <v>0</v>
      </c>
      <c r="N1069">
        <v>24612</v>
      </c>
      <c r="O1069">
        <v>11385</v>
      </c>
      <c r="P1069">
        <v>47126</v>
      </c>
      <c r="Q1069">
        <v>19</v>
      </c>
      <c r="R1069">
        <v>11</v>
      </c>
      <c r="S1069">
        <v>61</v>
      </c>
      <c r="T1069">
        <v>80</v>
      </c>
      <c r="U1069">
        <v>200</v>
      </c>
    </row>
    <row r="1070" spans="1:21" x14ac:dyDescent="0.35">
      <c r="A1070" t="s">
        <v>26</v>
      </c>
      <c r="B1070" s="1">
        <v>45018</v>
      </c>
      <c r="C1070" t="s">
        <v>31</v>
      </c>
      <c r="D1070">
        <v>22.4</v>
      </c>
      <c r="E1070">
        <v>20.7</v>
      </c>
      <c r="F1070">
        <v>12.8</v>
      </c>
      <c r="G1070">
        <v>1.1000000000000001</v>
      </c>
      <c r="H1070">
        <v>1.8</v>
      </c>
      <c r="I1070">
        <v>0</v>
      </c>
      <c r="J1070">
        <v>0</v>
      </c>
      <c r="K1070">
        <v>0</v>
      </c>
      <c r="L1070">
        <v>0</v>
      </c>
      <c r="M1070">
        <v>0</v>
      </c>
      <c r="N1070">
        <v>40248</v>
      </c>
      <c r="O1070">
        <v>43385</v>
      </c>
      <c r="P1070">
        <v>171692</v>
      </c>
      <c r="Q1070">
        <v>9</v>
      </c>
      <c r="R1070">
        <v>9</v>
      </c>
      <c r="S1070">
        <v>22</v>
      </c>
      <c r="T1070">
        <v>65</v>
      </c>
      <c r="U1070">
        <v>79</v>
      </c>
    </row>
    <row r="1071" spans="1:21" x14ac:dyDescent="0.35">
      <c r="A1071" t="s">
        <v>26</v>
      </c>
      <c r="B1071" s="1">
        <v>44436</v>
      </c>
      <c r="C1071" t="s">
        <v>24</v>
      </c>
      <c r="D1071">
        <v>0.5</v>
      </c>
      <c r="E1071">
        <v>0</v>
      </c>
      <c r="F1071">
        <v>0</v>
      </c>
      <c r="G1071">
        <v>0</v>
      </c>
      <c r="H1071">
        <v>0</v>
      </c>
      <c r="I1071">
        <v>0</v>
      </c>
      <c r="J1071">
        <v>0</v>
      </c>
      <c r="K1071">
        <v>0</v>
      </c>
      <c r="L1071">
        <v>0</v>
      </c>
      <c r="M1071">
        <v>0</v>
      </c>
      <c r="N1071">
        <v>210448</v>
      </c>
      <c r="O1071">
        <v>0</v>
      </c>
      <c r="P1071">
        <v>0</v>
      </c>
      <c r="Q1071">
        <v>1</v>
      </c>
      <c r="R1071">
        <v>0</v>
      </c>
      <c r="S1071">
        <v>0</v>
      </c>
      <c r="T1071">
        <v>5</v>
      </c>
      <c r="U1071">
        <v>11</v>
      </c>
    </row>
    <row r="1072" spans="1:21" x14ac:dyDescent="0.35">
      <c r="A1072" t="s">
        <v>28</v>
      </c>
      <c r="B1072" s="1">
        <v>45220</v>
      </c>
      <c r="C1072" t="s">
        <v>22</v>
      </c>
      <c r="D1072">
        <v>44.5</v>
      </c>
      <c r="E1072">
        <v>20.2</v>
      </c>
      <c r="F1072">
        <v>35</v>
      </c>
      <c r="G1072">
        <v>2.2000000000000002</v>
      </c>
      <c r="H1072">
        <v>1.3</v>
      </c>
      <c r="I1072">
        <v>52.9</v>
      </c>
      <c r="J1072">
        <v>21.3</v>
      </c>
      <c r="K1072">
        <v>29.3</v>
      </c>
      <c r="L1072">
        <v>2.5</v>
      </c>
      <c r="M1072">
        <v>1.8</v>
      </c>
      <c r="N1072">
        <v>517086</v>
      </c>
      <c r="O1072">
        <v>861860</v>
      </c>
      <c r="P1072">
        <v>1042471</v>
      </c>
      <c r="Q1072">
        <v>230</v>
      </c>
      <c r="R1072">
        <v>174</v>
      </c>
      <c r="S1072">
        <v>365</v>
      </c>
      <c r="T1072">
        <v>999</v>
      </c>
      <c r="U1072">
        <v>999</v>
      </c>
    </row>
    <row r="1073" spans="1:21" x14ac:dyDescent="0.35">
      <c r="A1073" t="s">
        <v>26</v>
      </c>
      <c r="B1073" s="1">
        <v>45066</v>
      </c>
      <c r="C1073" t="s">
        <v>27</v>
      </c>
      <c r="D1073">
        <v>0</v>
      </c>
      <c r="E1073">
        <v>0</v>
      </c>
      <c r="F1073">
        <v>0</v>
      </c>
      <c r="G1073">
        <v>0</v>
      </c>
      <c r="H1073">
        <v>0</v>
      </c>
      <c r="I1073">
        <v>0</v>
      </c>
      <c r="J1073">
        <v>0</v>
      </c>
      <c r="K1073">
        <v>0</v>
      </c>
      <c r="L1073">
        <v>0</v>
      </c>
      <c r="M1073">
        <v>0</v>
      </c>
      <c r="N1073">
        <v>32543</v>
      </c>
      <c r="O1073">
        <v>86583</v>
      </c>
      <c r="P1073">
        <v>44578</v>
      </c>
      <c r="Q1073">
        <v>0</v>
      </c>
      <c r="R1073">
        <v>0</v>
      </c>
      <c r="S1073">
        <v>0</v>
      </c>
      <c r="T1073">
        <v>12</v>
      </c>
      <c r="U1073">
        <v>17</v>
      </c>
    </row>
    <row r="1074" spans="1:21" x14ac:dyDescent="0.35">
      <c r="A1074" t="s">
        <v>21</v>
      </c>
      <c r="B1074" s="1">
        <v>44520</v>
      </c>
      <c r="C1074" t="s">
        <v>30</v>
      </c>
      <c r="D1074">
        <v>13.8</v>
      </c>
      <c r="E1074">
        <v>19</v>
      </c>
      <c r="F1074">
        <v>5.4</v>
      </c>
      <c r="G1074">
        <v>0.7</v>
      </c>
      <c r="H1074">
        <v>2.6</v>
      </c>
      <c r="I1074">
        <v>0</v>
      </c>
      <c r="J1074">
        <v>0</v>
      </c>
      <c r="K1074">
        <v>0</v>
      </c>
      <c r="L1074">
        <v>0</v>
      </c>
      <c r="M1074">
        <v>0</v>
      </c>
      <c r="N1074">
        <v>29022</v>
      </c>
      <c r="O1074">
        <v>36868</v>
      </c>
      <c r="P1074">
        <v>18401</v>
      </c>
      <c r="Q1074">
        <v>4</v>
      </c>
      <c r="R1074">
        <v>7</v>
      </c>
      <c r="S1074">
        <v>1</v>
      </c>
      <c r="T1074">
        <v>80</v>
      </c>
      <c r="U1074">
        <v>200</v>
      </c>
    </row>
    <row r="1075" spans="1:21" x14ac:dyDescent="0.35">
      <c r="A1075" t="s">
        <v>28</v>
      </c>
      <c r="B1075" s="1">
        <v>44473</v>
      </c>
      <c r="C1075" t="s">
        <v>24</v>
      </c>
      <c r="D1075">
        <v>149.19999999999999</v>
      </c>
      <c r="E1075">
        <v>0</v>
      </c>
      <c r="F1075">
        <v>0</v>
      </c>
      <c r="G1075">
        <v>0</v>
      </c>
      <c r="H1075">
        <v>0</v>
      </c>
      <c r="I1075">
        <v>0</v>
      </c>
      <c r="J1075">
        <v>0</v>
      </c>
      <c r="K1075">
        <v>0</v>
      </c>
      <c r="L1075">
        <v>0</v>
      </c>
      <c r="M1075">
        <v>0</v>
      </c>
      <c r="N1075">
        <v>210448</v>
      </c>
      <c r="O1075">
        <v>0</v>
      </c>
      <c r="P1075">
        <v>0</v>
      </c>
      <c r="Q1075">
        <v>314</v>
      </c>
      <c r="R1075">
        <v>0</v>
      </c>
      <c r="S1075">
        <v>0</v>
      </c>
      <c r="T1075">
        <v>5</v>
      </c>
      <c r="U1075">
        <v>11</v>
      </c>
    </row>
    <row r="1076" spans="1:21" x14ac:dyDescent="0.35">
      <c r="A1076" t="s">
        <v>26</v>
      </c>
      <c r="B1076" s="1">
        <v>44499</v>
      </c>
      <c r="C1076" t="s">
        <v>31</v>
      </c>
      <c r="D1076">
        <v>27.1</v>
      </c>
      <c r="E1076">
        <v>8.3000000000000007</v>
      </c>
      <c r="F1076">
        <v>0</v>
      </c>
      <c r="G1076">
        <v>3.3</v>
      </c>
      <c r="H1076">
        <v>0</v>
      </c>
      <c r="I1076">
        <v>0</v>
      </c>
      <c r="J1076">
        <v>0</v>
      </c>
      <c r="K1076">
        <v>0</v>
      </c>
      <c r="L1076">
        <v>0</v>
      </c>
      <c r="M1076">
        <v>0</v>
      </c>
      <c r="N1076">
        <v>59028</v>
      </c>
      <c r="O1076">
        <v>168312</v>
      </c>
      <c r="P1076">
        <v>32952</v>
      </c>
      <c r="Q1076">
        <v>16</v>
      </c>
      <c r="R1076">
        <v>14</v>
      </c>
      <c r="S1076">
        <v>0</v>
      </c>
      <c r="T1076">
        <v>65</v>
      </c>
      <c r="U1076">
        <v>79</v>
      </c>
    </row>
    <row r="1077" spans="1:21" x14ac:dyDescent="0.35">
      <c r="A1077" t="s">
        <v>28</v>
      </c>
      <c r="B1077" s="1">
        <v>45018</v>
      </c>
      <c r="C1077" t="s">
        <v>23</v>
      </c>
      <c r="D1077">
        <v>207.8</v>
      </c>
      <c r="E1077">
        <v>62.9</v>
      </c>
      <c r="F1077">
        <v>83.5</v>
      </c>
      <c r="G1077">
        <v>3.3</v>
      </c>
      <c r="H1077">
        <v>2.5</v>
      </c>
      <c r="I1077">
        <v>0</v>
      </c>
      <c r="J1077">
        <v>0</v>
      </c>
      <c r="K1077">
        <v>0</v>
      </c>
      <c r="L1077">
        <v>0</v>
      </c>
      <c r="M1077">
        <v>0</v>
      </c>
      <c r="N1077">
        <v>34169</v>
      </c>
      <c r="O1077">
        <v>125516</v>
      </c>
      <c r="P1077">
        <v>246849</v>
      </c>
      <c r="Q1077">
        <v>71</v>
      </c>
      <c r="R1077">
        <v>79</v>
      </c>
      <c r="S1077">
        <v>206</v>
      </c>
      <c r="T1077">
        <v>50</v>
      </c>
      <c r="U1077">
        <v>64</v>
      </c>
    </row>
    <row r="1078" spans="1:21" x14ac:dyDescent="0.35">
      <c r="A1078" t="s">
        <v>21</v>
      </c>
      <c r="B1078" s="1">
        <v>44681</v>
      </c>
      <c r="C1078" t="s">
        <v>30</v>
      </c>
      <c r="D1078">
        <v>3.7</v>
      </c>
      <c r="E1078">
        <v>7.5</v>
      </c>
      <c r="F1078">
        <v>0</v>
      </c>
      <c r="G1078">
        <v>0.5</v>
      </c>
      <c r="H1078">
        <v>0</v>
      </c>
      <c r="I1078">
        <v>0</v>
      </c>
      <c r="J1078">
        <v>0</v>
      </c>
      <c r="K1078">
        <v>0</v>
      </c>
      <c r="L1078">
        <v>0</v>
      </c>
      <c r="M1078">
        <v>0</v>
      </c>
      <c r="N1078">
        <v>26860</v>
      </c>
      <c r="O1078">
        <v>13328</v>
      </c>
      <c r="P1078">
        <v>44158</v>
      </c>
      <c r="Q1078">
        <v>1</v>
      </c>
      <c r="R1078">
        <v>1</v>
      </c>
      <c r="S1078">
        <v>0</v>
      </c>
      <c r="T1078">
        <v>80</v>
      </c>
      <c r="U1078">
        <v>200</v>
      </c>
    </row>
    <row r="1079" spans="1:21" x14ac:dyDescent="0.35">
      <c r="A1079" t="s">
        <v>21</v>
      </c>
      <c r="B1079" s="1">
        <v>44933</v>
      </c>
      <c r="C1079" t="s">
        <v>32</v>
      </c>
      <c r="D1079">
        <v>0</v>
      </c>
      <c r="E1079">
        <v>0</v>
      </c>
      <c r="F1079">
        <v>0</v>
      </c>
      <c r="G1079">
        <v>0</v>
      </c>
      <c r="H1079">
        <v>0</v>
      </c>
      <c r="I1079">
        <v>0</v>
      </c>
      <c r="J1079">
        <v>0</v>
      </c>
      <c r="K1079">
        <v>0</v>
      </c>
      <c r="L1079">
        <v>0</v>
      </c>
      <c r="M1079">
        <v>0</v>
      </c>
      <c r="N1079">
        <v>162642</v>
      </c>
      <c r="O1079">
        <v>0</v>
      </c>
      <c r="P1079">
        <v>0</v>
      </c>
      <c r="Q1079">
        <v>0</v>
      </c>
      <c r="R1079">
        <v>0</v>
      </c>
      <c r="S1079">
        <v>0</v>
      </c>
      <c r="T1079">
        <v>0</v>
      </c>
      <c r="U1079">
        <v>4</v>
      </c>
    </row>
    <row r="1080" spans="1:21" x14ac:dyDescent="0.35">
      <c r="A1080" t="s">
        <v>21</v>
      </c>
      <c r="B1080" s="1">
        <v>44828</v>
      </c>
      <c r="C1080" t="s">
        <v>23</v>
      </c>
      <c r="D1080">
        <v>0</v>
      </c>
      <c r="E1080">
        <v>0</v>
      </c>
      <c r="F1080">
        <v>0</v>
      </c>
      <c r="G1080">
        <v>0</v>
      </c>
      <c r="H1080">
        <v>0</v>
      </c>
      <c r="I1080">
        <v>0</v>
      </c>
      <c r="J1080">
        <v>0</v>
      </c>
      <c r="K1080">
        <v>0</v>
      </c>
      <c r="L1080">
        <v>0</v>
      </c>
      <c r="M1080">
        <v>0</v>
      </c>
      <c r="N1080">
        <v>39417</v>
      </c>
      <c r="O1080">
        <v>125139</v>
      </c>
      <c r="P1080">
        <v>246539</v>
      </c>
      <c r="Q1080">
        <v>0</v>
      </c>
      <c r="R1080">
        <v>0</v>
      </c>
      <c r="S1080">
        <v>0</v>
      </c>
      <c r="T1080">
        <v>50</v>
      </c>
      <c r="U1080">
        <v>64</v>
      </c>
    </row>
    <row r="1081" spans="1:21" x14ac:dyDescent="0.35">
      <c r="A1081" t="s">
        <v>26</v>
      </c>
      <c r="B1081" s="1">
        <v>44576</v>
      </c>
      <c r="C1081" t="s">
        <v>27</v>
      </c>
      <c r="D1081">
        <v>16.600000000000001</v>
      </c>
      <c r="E1081">
        <v>1.9</v>
      </c>
      <c r="F1081">
        <v>0</v>
      </c>
      <c r="G1081">
        <v>8.6999999999999993</v>
      </c>
      <c r="H1081">
        <v>0</v>
      </c>
      <c r="I1081">
        <v>0</v>
      </c>
      <c r="J1081">
        <v>0</v>
      </c>
      <c r="K1081">
        <v>0</v>
      </c>
      <c r="L1081">
        <v>0</v>
      </c>
      <c r="M1081">
        <v>0</v>
      </c>
      <c r="N1081">
        <v>48295</v>
      </c>
      <c r="O1081">
        <v>106637</v>
      </c>
      <c r="P1081">
        <v>5029</v>
      </c>
      <c r="Q1081">
        <v>8</v>
      </c>
      <c r="R1081">
        <v>2</v>
      </c>
      <c r="S1081">
        <v>0</v>
      </c>
      <c r="T1081">
        <v>12</v>
      </c>
      <c r="U1081">
        <v>17</v>
      </c>
    </row>
    <row r="1082" spans="1:21" x14ac:dyDescent="0.35">
      <c r="A1082" t="s">
        <v>26</v>
      </c>
      <c r="B1082" s="1">
        <v>45136</v>
      </c>
      <c r="C1082" t="s">
        <v>31</v>
      </c>
      <c r="D1082">
        <v>5.0999999999999996</v>
      </c>
      <c r="E1082">
        <v>0</v>
      </c>
      <c r="F1082">
        <v>4.0999999999999996</v>
      </c>
      <c r="G1082">
        <v>0</v>
      </c>
      <c r="H1082">
        <v>1.2</v>
      </c>
      <c r="I1082">
        <v>0</v>
      </c>
      <c r="J1082">
        <v>0</v>
      </c>
      <c r="K1082">
        <v>0</v>
      </c>
      <c r="L1082">
        <v>0</v>
      </c>
      <c r="M1082">
        <v>0</v>
      </c>
      <c r="N1082">
        <v>39287</v>
      </c>
      <c r="O1082">
        <v>43420</v>
      </c>
      <c r="P1082">
        <v>171749</v>
      </c>
      <c r="Q1082">
        <v>2</v>
      </c>
      <c r="R1082">
        <v>0</v>
      </c>
      <c r="S1082">
        <v>7</v>
      </c>
      <c r="T1082">
        <v>65</v>
      </c>
      <c r="U1082">
        <v>79</v>
      </c>
    </row>
    <row r="1083" spans="1:21" x14ac:dyDescent="0.35">
      <c r="A1083" t="s">
        <v>21</v>
      </c>
      <c r="B1083" s="1">
        <v>45018</v>
      </c>
      <c r="C1083" t="s">
        <v>32</v>
      </c>
      <c r="D1083">
        <v>0</v>
      </c>
      <c r="E1083">
        <v>0</v>
      </c>
      <c r="F1083">
        <v>0</v>
      </c>
      <c r="G1083">
        <v>0</v>
      </c>
      <c r="H1083">
        <v>0</v>
      </c>
      <c r="I1083">
        <v>0</v>
      </c>
      <c r="J1083">
        <v>0</v>
      </c>
      <c r="K1083">
        <v>0</v>
      </c>
      <c r="L1083">
        <v>0</v>
      </c>
      <c r="M1083">
        <v>0</v>
      </c>
      <c r="N1083">
        <v>162642</v>
      </c>
      <c r="O1083">
        <v>0</v>
      </c>
      <c r="P1083">
        <v>0</v>
      </c>
      <c r="Q1083">
        <v>0</v>
      </c>
      <c r="R1083">
        <v>0</v>
      </c>
      <c r="S1083">
        <v>0</v>
      </c>
      <c r="T1083">
        <v>0</v>
      </c>
      <c r="U1083">
        <v>4</v>
      </c>
    </row>
    <row r="1084" spans="1:21" x14ac:dyDescent="0.35">
      <c r="A1084" t="s">
        <v>26</v>
      </c>
      <c r="B1084" s="1">
        <v>44457</v>
      </c>
      <c r="C1084" t="s">
        <v>30</v>
      </c>
      <c r="D1084">
        <v>38.6</v>
      </c>
      <c r="E1084">
        <v>13.2</v>
      </c>
      <c r="F1084">
        <v>0</v>
      </c>
      <c r="G1084">
        <v>2.9</v>
      </c>
      <c r="H1084">
        <v>0</v>
      </c>
      <c r="I1084">
        <v>0</v>
      </c>
      <c r="J1084">
        <v>0</v>
      </c>
      <c r="K1084">
        <v>0</v>
      </c>
      <c r="L1084">
        <v>0</v>
      </c>
      <c r="M1084">
        <v>0</v>
      </c>
      <c r="N1084">
        <v>31106</v>
      </c>
      <c r="O1084">
        <v>52895</v>
      </c>
      <c r="P1084">
        <v>0</v>
      </c>
      <c r="Q1084">
        <v>12</v>
      </c>
      <c r="R1084">
        <v>7</v>
      </c>
      <c r="S1084">
        <v>0</v>
      </c>
      <c r="T1084">
        <v>80</v>
      </c>
      <c r="U1084">
        <v>200</v>
      </c>
    </row>
    <row r="1085" spans="1:21" x14ac:dyDescent="0.35">
      <c r="A1085" t="s">
        <v>26</v>
      </c>
      <c r="B1085" s="1">
        <v>44492</v>
      </c>
      <c r="C1085" t="s">
        <v>30</v>
      </c>
      <c r="D1085">
        <v>13.3</v>
      </c>
      <c r="E1085">
        <v>14.6</v>
      </c>
      <c r="F1085">
        <v>0</v>
      </c>
      <c r="G1085">
        <v>0.9</v>
      </c>
      <c r="H1085">
        <v>0</v>
      </c>
      <c r="I1085">
        <v>0</v>
      </c>
      <c r="J1085">
        <v>0</v>
      </c>
      <c r="K1085">
        <v>0</v>
      </c>
      <c r="L1085">
        <v>0</v>
      </c>
      <c r="M1085">
        <v>0</v>
      </c>
      <c r="N1085">
        <v>30106</v>
      </c>
      <c r="O1085">
        <v>47937</v>
      </c>
      <c r="P1085">
        <v>6673</v>
      </c>
      <c r="Q1085">
        <v>4</v>
      </c>
      <c r="R1085">
        <v>7</v>
      </c>
      <c r="S1085">
        <v>0</v>
      </c>
      <c r="T1085">
        <v>80</v>
      </c>
      <c r="U1085">
        <v>200</v>
      </c>
    </row>
    <row r="1086" spans="1:21" x14ac:dyDescent="0.35">
      <c r="A1086" t="s">
        <v>21</v>
      </c>
      <c r="B1086" s="1">
        <v>45027</v>
      </c>
      <c r="C1086" t="s">
        <v>24</v>
      </c>
      <c r="D1086">
        <v>0</v>
      </c>
      <c r="E1086">
        <v>0</v>
      </c>
      <c r="F1086">
        <v>0</v>
      </c>
      <c r="G1086">
        <v>0</v>
      </c>
      <c r="H1086">
        <v>0</v>
      </c>
      <c r="I1086">
        <v>0</v>
      </c>
      <c r="J1086">
        <v>0</v>
      </c>
      <c r="K1086">
        <v>0</v>
      </c>
      <c r="L1086">
        <v>0</v>
      </c>
      <c r="M1086">
        <v>0</v>
      </c>
      <c r="N1086">
        <v>88776</v>
      </c>
      <c r="O1086">
        <v>82330</v>
      </c>
      <c r="P1086">
        <v>21744</v>
      </c>
      <c r="Q1086">
        <v>0</v>
      </c>
      <c r="R1086">
        <v>0</v>
      </c>
      <c r="S1086">
        <v>0</v>
      </c>
      <c r="T1086">
        <v>5</v>
      </c>
      <c r="U1086">
        <v>11</v>
      </c>
    </row>
    <row r="1087" spans="1:21" x14ac:dyDescent="0.35">
      <c r="A1087" t="s">
        <v>28</v>
      </c>
      <c r="B1087" s="1">
        <v>44674</v>
      </c>
      <c r="C1087" t="s">
        <v>32</v>
      </c>
      <c r="D1087">
        <v>127.9</v>
      </c>
      <c r="E1087">
        <v>0</v>
      </c>
      <c r="F1087">
        <v>0</v>
      </c>
      <c r="G1087">
        <v>0</v>
      </c>
      <c r="H1087">
        <v>0</v>
      </c>
      <c r="I1087">
        <v>0</v>
      </c>
      <c r="J1087">
        <v>0</v>
      </c>
      <c r="K1087">
        <v>0</v>
      </c>
      <c r="L1087">
        <v>0</v>
      </c>
      <c r="M1087">
        <v>0</v>
      </c>
      <c r="N1087">
        <v>162642</v>
      </c>
      <c r="O1087">
        <v>0</v>
      </c>
      <c r="P1087">
        <v>0</v>
      </c>
      <c r="Q1087">
        <v>208</v>
      </c>
      <c r="R1087">
        <v>0</v>
      </c>
      <c r="S1087">
        <v>0</v>
      </c>
      <c r="T1087">
        <v>0</v>
      </c>
      <c r="U1087">
        <v>4</v>
      </c>
    </row>
    <row r="1088" spans="1:21" x14ac:dyDescent="0.35">
      <c r="A1088" t="s">
        <v>26</v>
      </c>
      <c r="B1088" s="1">
        <v>45031</v>
      </c>
      <c r="C1088" t="s">
        <v>32</v>
      </c>
      <c r="D1088">
        <v>1.8</v>
      </c>
      <c r="E1088">
        <v>0</v>
      </c>
      <c r="F1088">
        <v>0</v>
      </c>
      <c r="G1088">
        <v>0</v>
      </c>
      <c r="H1088">
        <v>0</v>
      </c>
      <c r="I1088">
        <v>0</v>
      </c>
      <c r="J1088">
        <v>0</v>
      </c>
      <c r="K1088">
        <v>0</v>
      </c>
      <c r="L1088">
        <v>0</v>
      </c>
      <c r="M1088">
        <v>0</v>
      </c>
      <c r="N1088">
        <v>162642</v>
      </c>
      <c r="O1088">
        <v>0</v>
      </c>
      <c r="P1088">
        <v>0</v>
      </c>
      <c r="Q1088">
        <v>3</v>
      </c>
      <c r="R1088">
        <v>0</v>
      </c>
      <c r="S1088">
        <v>0</v>
      </c>
      <c r="T1088">
        <v>0</v>
      </c>
      <c r="U1088">
        <v>4</v>
      </c>
    </row>
    <row r="1089" spans="1:21" x14ac:dyDescent="0.35">
      <c r="A1089" t="s">
        <v>26</v>
      </c>
      <c r="B1089" s="1">
        <v>44401</v>
      </c>
      <c r="C1089" t="s">
        <v>30</v>
      </c>
      <c r="D1089">
        <v>15.3</v>
      </c>
      <c r="E1089">
        <v>7.7</v>
      </c>
      <c r="F1089">
        <v>0</v>
      </c>
      <c r="G1089">
        <v>2</v>
      </c>
      <c r="H1089">
        <v>0</v>
      </c>
      <c r="I1089">
        <v>0</v>
      </c>
      <c r="J1089">
        <v>0</v>
      </c>
      <c r="K1089">
        <v>0</v>
      </c>
      <c r="L1089">
        <v>0</v>
      </c>
      <c r="M1089">
        <v>0</v>
      </c>
      <c r="N1089">
        <v>32759</v>
      </c>
      <c r="O1089">
        <v>52117</v>
      </c>
      <c r="P1089">
        <v>0</v>
      </c>
      <c r="Q1089">
        <v>5</v>
      </c>
      <c r="R1089">
        <v>4</v>
      </c>
      <c r="S1089">
        <v>0</v>
      </c>
      <c r="T1089">
        <v>80</v>
      </c>
      <c r="U1089">
        <v>200</v>
      </c>
    </row>
    <row r="1090" spans="1:21" x14ac:dyDescent="0.35">
      <c r="A1090" t="s">
        <v>21</v>
      </c>
      <c r="B1090" s="1">
        <v>44856</v>
      </c>
      <c r="C1090" t="s">
        <v>32</v>
      </c>
      <c r="D1090">
        <v>0</v>
      </c>
      <c r="E1090">
        <v>0</v>
      </c>
      <c r="F1090">
        <v>0</v>
      </c>
      <c r="G1090">
        <v>0</v>
      </c>
      <c r="H1090">
        <v>0</v>
      </c>
      <c r="I1090">
        <v>0</v>
      </c>
      <c r="J1090">
        <v>0</v>
      </c>
      <c r="K1090">
        <v>0</v>
      </c>
      <c r="L1090">
        <v>0</v>
      </c>
      <c r="M1090">
        <v>0</v>
      </c>
      <c r="N1090">
        <v>162642</v>
      </c>
      <c r="O1090">
        <v>0</v>
      </c>
      <c r="P1090">
        <v>0</v>
      </c>
      <c r="Q1090">
        <v>0</v>
      </c>
      <c r="R1090">
        <v>0</v>
      </c>
      <c r="S1090">
        <v>0</v>
      </c>
      <c r="T1090">
        <v>0</v>
      </c>
      <c r="U1090">
        <v>4</v>
      </c>
    </row>
    <row r="1091" spans="1:21" x14ac:dyDescent="0.35">
      <c r="A1091" t="s">
        <v>26</v>
      </c>
      <c r="B1091" s="1">
        <v>45045</v>
      </c>
      <c r="C1091" t="s">
        <v>22</v>
      </c>
      <c r="D1091">
        <v>3.7</v>
      </c>
      <c r="E1091">
        <v>2.1</v>
      </c>
      <c r="F1091">
        <v>3.2</v>
      </c>
      <c r="G1091">
        <v>1.8</v>
      </c>
      <c r="H1091">
        <v>1.2</v>
      </c>
      <c r="I1091">
        <v>5.7</v>
      </c>
      <c r="J1091">
        <v>3</v>
      </c>
      <c r="K1091">
        <v>2.2999999999999998</v>
      </c>
      <c r="L1091">
        <v>1.9</v>
      </c>
      <c r="M1091">
        <v>2.5</v>
      </c>
      <c r="N1091">
        <v>538163</v>
      </c>
      <c r="O1091">
        <v>860165</v>
      </c>
      <c r="P1091">
        <v>1040623</v>
      </c>
      <c r="Q1091">
        <v>20</v>
      </c>
      <c r="R1091">
        <v>18</v>
      </c>
      <c r="S1091">
        <v>33</v>
      </c>
      <c r="T1091">
        <v>999</v>
      </c>
      <c r="U1091">
        <v>999</v>
      </c>
    </row>
    <row r="1092" spans="1:21" x14ac:dyDescent="0.35">
      <c r="A1092" t="s">
        <v>28</v>
      </c>
      <c r="B1092" s="1">
        <v>44485</v>
      </c>
      <c r="C1092" t="s">
        <v>24</v>
      </c>
      <c r="D1092">
        <v>109.3</v>
      </c>
      <c r="E1092">
        <v>0</v>
      </c>
      <c r="F1092">
        <v>0</v>
      </c>
      <c r="G1092">
        <v>0</v>
      </c>
      <c r="H1092">
        <v>0</v>
      </c>
      <c r="I1092">
        <v>0</v>
      </c>
      <c r="J1092">
        <v>0</v>
      </c>
      <c r="K1092">
        <v>0</v>
      </c>
      <c r="L1092">
        <v>0</v>
      </c>
      <c r="M1092">
        <v>0</v>
      </c>
      <c r="N1092">
        <v>210448</v>
      </c>
      <c r="O1092">
        <v>0</v>
      </c>
      <c r="P1092">
        <v>0</v>
      </c>
      <c r="Q1092">
        <v>230</v>
      </c>
      <c r="R1092">
        <v>0</v>
      </c>
      <c r="S1092">
        <v>0</v>
      </c>
      <c r="T1092">
        <v>5</v>
      </c>
      <c r="U1092">
        <v>11</v>
      </c>
    </row>
    <row r="1093" spans="1:21" x14ac:dyDescent="0.35">
      <c r="A1093" t="s">
        <v>21</v>
      </c>
      <c r="B1093" s="1">
        <v>44692</v>
      </c>
      <c r="C1093" t="s">
        <v>29</v>
      </c>
      <c r="D1093">
        <v>0</v>
      </c>
      <c r="E1093">
        <v>0.4</v>
      </c>
      <c r="F1093">
        <v>0</v>
      </c>
      <c r="G1093">
        <v>0</v>
      </c>
      <c r="H1093">
        <v>0</v>
      </c>
      <c r="I1093">
        <v>0</v>
      </c>
      <c r="J1093">
        <v>0</v>
      </c>
      <c r="K1093">
        <v>0</v>
      </c>
      <c r="L1093">
        <v>0</v>
      </c>
      <c r="M1093">
        <v>0</v>
      </c>
      <c r="N1093">
        <v>117430</v>
      </c>
      <c r="O1093">
        <v>276538</v>
      </c>
      <c r="P1093">
        <v>347053</v>
      </c>
      <c r="Q1093">
        <v>0</v>
      </c>
      <c r="R1093">
        <v>1</v>
      </c>
      <c r="S1093">
        <v>0</v>
      </c>
      <c r="T1093">
        <v>30</v>
      </c>
      <c r="U1093">
        <v>49</v>
      </c>
    </row>
    <row r="1094" spans="1:21" x14ac:dyDescent="0.35">
      <c r="A1094" t="s">
        <v>26</v>
      </c>
      <c r="B1094" s="1">
        <v>44975</v>
      </c>
      <c r="C1094" t="s">
        <v>31</v>
      </c>
      <c r="D1094">
        <v>17.399999999999999</v>
      </c>
      <c r="E1094">
        <v>18.399999999999999</v>
      </c>
      <c r="F1094">
        <v>16.3</v>
      </c>
      <c r="G1094">
        <v>0.9</v>
      </c>
      <c r="H1094">
        <v>1.1000000000000001</v>
      </c>
      <c r="I1094">
        <v>0</v>
      </c>
      <c r="J1094">
        <v>0</v>
      </c>
      <c r="K1094">
        <v>0</v>
      </c>
      <c r="L1094">
        <v>0</v>
      </c>
      <c r="M1094">
        <v>0</v>
      </c>
      <c r="N1094">
        <v>40129</v>
      </c>
      <c r="O1094">
        <v>43398</v>
      </c>
      <c r="P1094">
        <v>171695</v>
      </c>
      <c r="Q1094">
        <v>7</v>
      </c>
      <c r="R1094">
        <v>8</v>
      </c>
      <c r="S1094">
        <v>28</v>
      </c>
      <c r="T1094">
        <v>65</v>
      </c>
      <c r="U1094">
        <v>79</v>
      </c>
    </row>
    <row r="1095" spans="1:21" x14ac:dyDescent="0.35">
      <c r="A1095" t="s">
        <v>26</v>
      </c>
      <c r="B1095" s="1">
        <v>44571</v>
      </c>
      <c r="C1095" t="s">
        <v>32</v>
      </c>
      <c r="D1095">
        <v>3.7</v>
      </c>
      <c r="E1095">
        <v>0</v>
      </c>
      <c r="F1095">
        <v>0</v>
      </c>
      <c r="G1095">
        <v>0</v>
      </c>
      <c r="H1095">
        <v>0</v>
      </c>
      <c r="I1095">
        <v>0</v>
      </c>
      <c r="J1095">
        <v>0</v>
      </c>
      <c r="K1095">
        <v>0</v>
      </c>
      <c r="L1095">
        <v>0</v>
      </c>
      <c r="M1095">
        <v>0</v>
      </c>
      <c r="N1095">
        <v>162642</v>
      </c>
      <c r="O1095">
        <v>0</v>
      </c>
      <c r="P1095">
        <v>0</v>
      </c>
      <c r="Q1095">
        <v>6</v>
      </c>
      <c r="R1095">
        <v>0</v>
      </c>
      <c r="S1095">
        <v>0</v>
      </c>
      <c r="T1095">
        <v>0</v>
      </c>
      <c r="U1095">
        <v>4</v>
      </c>
    </row>
    <row r="1096" spans="1:21" x14ac:dyDescent="0.35">
      <c r="A1096" t="s">
        <v>26</v>
      </c>
      <c r="B1096" s="1">
        <v>44783</v>
      </c>
      <c r="C1096" t="s">
        <v>32</v>
      </c>
      <c r="D1096">
        <v>0.6</v>
      </c>
      <c r="E1096">
        <v>0</v>
      </c>
      <c r="F1096">
        <v>0</v>
      </c>
      <c r="G1096">
        <v>0</v>
      </c>
      <c r="H1096">
        <v>0</v>
      </c>
      <c r="I1096">
        <v>0</v>
      </c>
      <c r="J1096">
        <v>0</v>
      </c>
      <c r="K1096">
        <v>0</v>
      </c>
      <c r="L1096">
        <v>0</v>
      </c>
      <c r="M1096">
        <v>0</v>
      </c>
      <c r="N1096">
        <v>162642</v>
      </c>
      <c r="O1096">
        <v>0</v>
      </c>
      <c r="P1096">
        <v>0</v>
      </c>
      <c r="Q1096">
        <v>1</v>
      </c>
      <c r="R1096">
        <v>0</v>
      </c>
      <c r="S1096">
        <v>0</v>
      </c>
      <c r="T1096">
        <v>0</v>
      </c>
      <c r="U1096">
        <v>4</v>
      </c>
    </row>
    <row r="1097" spans="1:21" x14ac:dyDescent="0.35">
      <c r="A1097" t="s">
        <v>21</v>
      </c>
      <c r="B1097" s="1">
        <v>45178</v>
      </c>
      <c r="C1097" t="s">
        <v>25</v>
      </c>
      <c r="D1097">
        <v>0</v>
      </c>
      <c r="E1097">
        <v>0</v>
      </c>
      <c r="F1097">
        <v>0</v>
      </c>
      <c r="G1097">
        <v>0</v>
      </c>
      <c r="H1097">
        <v>0</v>
      </c>
      <c r="I1097">
        <v>0</v>
      </c>
      <c r="J1097">
        <v>0</v>
      </c>
      <c r="K1097">
        <v>0</v>
      </c>
      <c r="L1097">
        <v>0</v>
      </c>
      <c r="M1097">
        <v>0</v>
      </c>
      <c r="N1097">
        <v>73215</v>
      </c>
      <c r="O1097">
        <v>214129</v>
      </c>
      <c r="P1097">
        <v>161722</v>
      </c>
      <c r="Q1097">
        <v>0</v>
      </c>
      <c r="R1097">
        <v>0</v>
      </c>
      <c r="S1097">
        <v>0</v>
      </c>
      <c r="T1097">
        <v>18</v>
      </c>
      <c r="U1097">
        <v>29</v>
      </c>
    </row>
    <row r="1098" spans="1:21" x14ac:dyDescent="0.35">
      <c r="A1098" t="s">
        <v>21</v>
      </c>
      <c r="B1098" s="1">
        <v>44982</v>
      </c>
      <c r="C1098" t="s">
        <v>32</v>
      </c>
      <c r="D1098">
        <v>0</v>
      </c>
      <c r="E1098">
        <v>0</v>
      </c>
      <c r="F1098">
        <v>0</v>
      </c>
      <c r="G1098">
        <v>0</v>
      </c>
      <c r="H1098">
        <v>0</v>
      </c>
      <c r="I1098">
        <v>0</v>
      </c>
      <c r="J1098">
        <v>0</v>
      </c>
      <c r="K1098">
        <v>0</v>
      </c>
      <c r="L1098">
        <v>0</v>
      </c>
      <c r="M1098">
        <v>0</v>
      </c>
      <c r="N1098">
        <v>162642</v>
      </c>
      <c r="O1098">
        <v>0</v>
      </c>
      <c r="P1098">
        <v>0</v>
      </c>
      <c r="Q1098">
        <v>0</v>
      </c>
      <c r="R1098">
        <v>0</v>
      </c>
      <c r="S1098">
        <v>0</v>
      </c>
      <c r="T1098">
        <v>0</v>
      </c>
      <c r="U1098">
        <v>4</v>
      </c>
    </row>
    <row r="1099" spans="1:21" x14ac:dyDescent="0.35">
      <c r="A1099" t="s">
        <v>21</v>
      </c>
      <c r="B1099" s="1">
        <v>44492</v>
      </c>
      <c r="C1099" t="s">
        <v>30</v>
      </c>
      <c r="D1099">
        <v>10</v>
      </c>
      <c r="E1099">
        <v>6.3</v>
      </c>
      <c r="F1099">
        <v>0</v>
      </c>
      <c r="G1099">
        <v>1.6</v>
      </c>
      <c r="H1099">
        <v>0</v>
      </c>
      <c r="I1099">
        <v>0</v>
      </c>
      <c r="J1099">
        <v>0</v>
      </c>
      <c r="K1099">
        <v>0</v>
      </c>
      <c r="L1099">
        <v>0</v>
      </c>
      <c r="M1099">
        <v>0</v>
      </c>
      <c r="N1099">
        <v>30106</v>
      </c>
      <c r="O1099">
        <v>47937</v>
      </c>
      <c r="P1099">
        <v>6673</v>
      </c>
      <c r="Q1099">
        <v>3</v>
      </c>
      <c r="R1099">
        <v>3</v>
      </c>
      <c r="S1099">
        <v>0</v>
      </c>
      <c r="T1099">
        <v>80</v>
      </c>
      <c r="U1099">
        <v>200</v>
      </c>
    </row>
    <row r="1100" spans="1:21" x14ac:dyDescent="0.35">
      <c r="A1100" t="s">
        <v>26</v>
      </c>
      <c r="B1100" s="1">
        <v>45101</v>
      </c>
      <c r="C1100" t="s">
        <v>22</v>
      </c>
      <c r="D1100">
        <v>1.7</v>
      </c>
      <c r="E1100">
        <v>0.1</v>
      </c>
      <c r="F1100">
        <v>1.8</v>
      </c>
      <c r="G1100">
        <v>17</v>
      </c>
      <c r="H1100">
        <v>0.9</v>
      </c>
      <c r="I1100">
        <v>2</v>
      </c>
      <c r="J1100">
        <v>0.1</v>
      </c>
      <c r="K1100">
        <v>1.1000000000000001</v>
      </c>
      <c r="L1100">
        <v>16</v>
      </c>
      <c r="M1100">
        <v>1.7</v>
      </c>
      <c r="N1100">
        <v>532973</v>
      </c>
      <c r="O1100">
        <v>860337</v>
      </c>
      <c r="P1100">
        <v>1040720</v>
      </c>
      <c r="Q1100">
        <v>9</v>
      </c>
      <c r="R1100">
        <v>1</v>
      </c>
      <c r="S1100">
        <v>19</v>
      </c>
      <c r="T1100">
        <v>999</v>
      </c>
      <c r="U1100">
        <v>999</v>
      </c>
    </row>
    <row r="1101" spans="1:21" x14ac:dyDescent="0.35">
      <c r="A1101" t="s">
        <v>21</v>
      </c>
      <c r="B1101" s="1">
        <v>44413</v>
      </c>
      <c r="C1101" t="s">
        <v>30</v>
      </c>
      <c r="D1101">
        <v>35.799999999999997</v>
      </c>
      <c r="E1101">
        <v>2.2999999999999998</v>
      </c>
      <c r="F1101">
        <v>0</v>
      </c>
      <c r="G1101">
        <v>15.6</v>
      </c>
      <c r="H1101">
        <v>0</v>
      </c>
      <c r="I1101">
        <v>0</v>
      </c>
      <c r="J1101">
        <v>0</v>
      </c>
      <c r="K1101">
        <v>0</v>
      </c>
      <c r="L1101">
        <v>0</v>
      </c>
      <c r="M1101">
        <v>0</v>
      </c>
      <c r="N1101">
        <v>36289</v>
      </c>
      <c r="O1101">
        <v>44240</v>
      </c>
      <c r="P1101">
        <v>0</v>
      </c>
      <c r="Q1101">
        <v>13</v>
      </c>
      <c r="R1101">
        <v>1</v>
      </c>
      <c r="S1101">
        <v>0</v>
      </c>
      <c r="T1101">
        <v>80</v>
      </c>
      <c r="U1101">
        <v>200</v>
      </c>
    </row>
    <row r="1102" spans="1:21" x14ac:dyDescent="0.35">
      <c r="A1102" t="s">
        <v>21</v>
      </c>
      <c r="B1102" s="1">
        <v>44702</v>
      </c>
      <c r="C1102" t="s">
        <v>23</v>
      </c>
      <c r="D1102">
        <v>0</v>
      </c>
      <c r="E1102">
        <v>0.8</v>
      </c>
      <c r="F1102">
        <v>0</v>
      </c>
      <c r="G1102">
        <v>0</v>
      </c>
      <c r="H1102">
        <v>0</v>
      </c>
      <c r="I1102">
        <v>0</v>
      </c>
      <c r="J1102">
        <v>0</v>
      </c>
      <c r="K1102">
        <v>0</v>
      </c>
      <c r="L1102">
        <v>0</v>
      </c>
      <c r="M1102">
        <v>0</v>
      </c>
      <c r="N1102">
        <v>43239</v>
      </c>
      <c r="O1102">
        <v>133132</v>
      </c>
      <c r="P1102">
        <v>235218</v>
      </c>
      <c r="Q1102">
        <v>0</v>
      </c>
      <c r="R1102">
        <v>1</v>
      </c>
      <c r="S1102">
        <v>0</v>
      </c>
      <c r="T1102">
        <v>50</v>
      </c>
      <c r="U1102">
        <v>64</v>
      </c>
    </row>
    <row r="1103" spans="1:21" x14ac:dyDescent="0.35">
      <c r="A1103" t="s">
        <v>28</v>
      </c>
      <c r="B1103" s="1">
        <v>44331</v>
      </c>
      <c r="C1103" t="s">
        <v>30</v>
      </c>
      <c r="D1103">
        <v>58.8</v>
      </c>
      <c r="E1103">
        <v>13.1</v>
      </c>
      <c r="F1103">
        <v>0</v>
      </c>
      <c r="G1103">
        <v>4.5</v>
      </c>
      <c r="H1103">
        <v>0</v>
      </c>
      <c r="I1103">
        <v>0</v>
      </c>
      <c r="J1103">
        <v>0</v>
      </c>
      <c r="K1103">
        <v>0</v>
      </c>
      <c r="L1103">
        <v>0</v>
      </c>
      <c r="M1103">
        <v>0</v>
      </c>
      <c r="N1103">
        <v>35729</v>
      </c>
      <c r="O1103">
        <v>45820</v>
      </c>
      <c r="P1103">
        <v>0</v>
      </c>
      <c r="Q1103">
        <v>21</v>
      </c>
      <c r="R1103">
        <v>6</v>
      </c>
      <c r="S1103">
        <v>0</v>
      </c>
      <c r="T1103">
        <v>80</v>
      </c>
      <c r="U1103">
        <v>200</v>
      </c>
    </row>
    <row r="1104" spans="1:21" x14ac:dyDescent="0.35">
      <c r="A1104" t="s">
        <v>28</v>
      </c>
      <c r="B1104" s="1">
        <v>44954</v>
      </c>
      <c r="C1104" t="s">
        <v>32</v>
      </c>
      <c r="D1104">
        <v>59</v>
      </c>
      <c r="E1104">
        <v>3.1</v>
      </c>
      <c r="F1104">
        <v>0</v>
      </c>
      <c r="G1104">
        <v>19</v>
      </c>
      <c r="H1104">
        <v>0</v>
      </c>
      <c r="I1104">
        <v>0</v>
      </c>
      <c r="J1104">
        <v>0</v>
      </c>
      <c r="K1104">
        <v>0</v>
      </c>
      <c r="L1104">
        <v>0</v>
      </c>
      <c r="M1104">
        <v>0</v>
      </c>
      <c r="N1104">
        <v>162642</v>
      </c>
      <c r="O1104">
        <v>0</v>
      </c>
      <c r="P1104">
        <v>0</v>
      </c>
      <c r="Q1104">
        <v>96</v>
      </c>
      <c r="R1104">
        <v>5</v>
      </c>
      <c r="S1104">
        <v>0</v>
      </c>
      <c r="T1104">
        <v>0</v>
      </c>
      <c r="U1104">
        <v>4</v>
      </c>
    </row>
    <row r="1105" spans="1:21" x14ac:dyDescent="0.35">
      <c r="A1105" t="s">
        <v>21</v>
      </c>
      <c r="B1105" s="1">
        <v>45232</v>
      </c>
      <c r="C1105" t="s">
        <v>24</v>
      </c>
      <c r="D1105">
        <v>0</v>
      </c>
      <c r="E1105">
        <v>0</v>
      </c>
      <c r="F1105">
        <v>0</v>
      </c>
      <c r="G1105">
        <v>0</v>
      </c>
      <c r="H1105">
        <v>0</v>
      </c>
      <c r="I1105">
        <v>0</v>
      </c>
      <c r="J1105">
        <v>0</v>
      </c>
      <c r="K1105">
        <v>0</v>
      </c>
      <c r="L1105">
        <v>0</v>
      </c>
      <c r="M1105">
        <v>0</v>
      </c>
      <c r="N1105">
        <v>91730</v>
      </c>
      <c r="O1105">
        <v>82035</v>
      </c>
      <c r="P1105">
        <v>21195</v>
      </c>
      <c r="Q1105">
        <v>0</v>
      </c>
      <c r="R1105">
        <v>0</v>
      </c>
      <c r="S1105">
        <v>0</v>
      </c>
      <c r="T1105">
        <v>5</v>
      </c>
      <c r="U1105">
        <v>11</v>
      </c>
    </row>
    <row r="1106" spans="1:21" x14ac:dyDescent="0.35">
      <c r="A1106" t="s">
        <v>21</v>
      </c>
      <c r="B1106" s="1">
        <v>44891</v>
      </c>
      <c r="C1106" t="s">
        <v>31</v>
      </c>
      <c r="D1106">
        <v>0</v>
      </c>
      <c r="E1106">
        <v>0</v>
      </c>
      <c r="F1106">
        <v>0</v>
      </c>
      <c r="G1106">
        <v>0</v>
      </c>
      <c r="H1106">
        <v>0</v>
      </c>
      <c r="I1106">
        <v>0</v>
      </c>
      <c r="J1106">
        <v>0</v>
      </c>
      <c r="K1106">
        <v>0</v>
      </c>
      <c r="L1106">
        <v>0</v>
      </c>
      <c r="M1106">
        <v>0</v>
      </c>
      <c r="N1106">
        <v>41575</v>
      </c>
      <c r="O1106">
        <v>43350</v>
      </c>
      <c r="P1106">
        <v>171612</v>
      </c>
      <c r="Q1106">
        <v>0</v>
      </c>
      <c r="R1106">
        <v>0</v>
      </c>
      <c r="S1106">
        <v>0</v>
      </c>
      <c r="T1106">
        <v>65</v>
      </c>
      <c r="U1106">
        <v>79</v>
      </c>
    </row>
    <row r="1107" spans="1:21" x14ac:dyDescent="0.35">
      <c r="A1107" t="s">
        <v>28</v>
      </c>
      <c r="B1107" s="1">
        <v>45178</v>
      </c>
      <c r="C1107" t="s">
        <v>32</v>
      </c>
      <c r="D1107">
        <v>46.7</v>
      </c>
      <c r="E1107">
        <v>2.5</v>
      </c>
      <c r="F1107">
        <v>0</v>
      </c>
      <c r="G1107">
        <v>18.7</v>
      </c>
      <c r="H1107">
        <v>0</v>
      </c>
      <c r="I1107">
        <v>0</v>
      </c>
      <c r="J1107">
        <v>0</v>
      </c>
      <c r="K1107">
        <v>0</v>
      </c>
      <c r="L1107">
        <v>0</v>
      </c>
      <c r="M1107">
        <v>0</v>
      </c>
      <c r="N1107">
        <v>162642</v>
      </c>
      <c r="O1107">
        <v>0</v>
      </c>
      <c r="P1107">
        <v>0</v>
      </c>
      <c r="Q1107">
        <v>76</v>
      </c>
      <c r="R1107">
        <v>4</v>
      </c>
      <c r="S1107">
        <v>0</v>
      </c>
      <c r="T1107">
        <v>0</v>
      </c>
      <c r="U1107">
        <v>4</v>
      </c>
    </row>
    <row r="1108" spans="1:21" x14ac:dyDescent="0.35">
      <c r="A1108" t="s">
        <v>28</v>
      </c>
      <c r="B1108" s="1">
        <v>44783</v>
      </c>
      <c r="C1108" t="s">
        <v>24</v>
      </c>
      <c r="D1108">
        <v>96.3</v>
      </c>
      <c r="E1108">
        <v>74</v>
      </c>
      <c r="F1108">
        <v>116.1</v>
      </c>
      <c r="G1108">
        <v>1.3</v>
      </c>
      <c r="H1108">
        <v>0.8</v>
      </c>
      <c r="I1108">
        <v>0</v>
      </c>
      <c r="J1108">
        <v>0</v>
      </c>
      <c r="K1108">
        <v>0</v>
      </c>
      <c r="L1108">
        <v>0</v>
      </c>
      <c r="M1108">
        <v>0</v>
      </c>
      <c r="N1108">
        <v>94508</v>
      </c>
      <c r="O1108">
        <v>81111</v>
      </c>
      <c r="P1108">
        <v>19812</v>
      </c>
      <c r="Q1108">
        <v>91</v>
      </c>
      <c r="R1108">
        <v>60</v>
      </c>
      <c r="S1108">
        <v>23</v>
      </c>
      <c r="T1108">
        <v>5</v>
      </c>
      <c r="U1108">
        <v>11</v>
      </c>
    </row>
    <row r="1109" spans="1:21" x14ac:dyDescent="0.35">
      <c r="A1109" t="s">
        <v>26</v>
      </c>
      <c r="B1109" s="1">
        <v>44303</v>
      </c>
      <c r="C1109" t="s">
        <v>30</v>
      </c>
      <c r="D1109">
        <v>87</v>
      </c>
      <c r="E1109">
        <v>11.5</v>
      </c>
      <c r="F1109">
        <v>0</v>
      </c>
      <c r="G1109">
        <v>7.6</v>
      </c>
      <c r="H1109">
        <v>0</v>
      </c>
      <c r="I1109">
        <v>0</v>
      </c>
      <c r="J1109">
        <v>0</v>
      </c>
      <c r="K1109">
        <v>0</v>
      </c>
      <c r="L1109">
        <v>0</v>
      </c>
      <c r="M1109">
        <v>0</v>
      </c>
      <c r="N1109">
        <v>39089</v>
      </c>
      <c r="O1109">
        <v>34683</v>
      </c>
      <c r="P1109">
        <v>0</v>
      </c>
      <c r="Q1109">
        <v>34</v>
      </c>
      <c r="R1109">
        <v>4</v>
      </c>
      <c r="S1109">
        <v>0</v>
      </c>
      <c r="T1109">
        <v>80</v>
      </c>
      <c r="U1109">
        <v>200</v>
      </c>
    </row>
    <row r="1110" spans="1:21" x14ac:dyDescent="0.35">
      <c r="A1110" t="s">
        <v>21</v>
      </c>
      <c r="B1110" s="1">
        <v>45101</v>
      </c>
      <c r="C1110" t="s">
        <v>24</v>
      </c>
      <c r="D1110">
        <v>0</v>
      </c>
      <c r="E1110">
        <v>0</v>
      </c>
      <c r="F1110">
        <v>0</v>
      </c>
      <c r="G1110">
        <v>0</v>
      </c>
      <c r="H1110">
        <v>0</v>
      </c>
      <c r="I1110">
        <v>0</v>
      </c>
      <c r="J1110">
        <v>0</v>
      </c>
      <c r="K1110">
        <v>0</v>
      </c>
      <c r="L1110">
        <v>0</v>
      </c>
      <c r="M1110">
        <v>0</v>
      </c>
      <c r="N1110">
        <v>90346</v>
      </c>
      <c r="O1110">
        <v>82675</v>
      </c>
      <c r="P1110">
        <v>21251</v>
      </c>
      <c r="Q1110">
        <v>0</v>
      </c>
      <c r="R1110">
        <v>0</v>
      </c>
      <c r="S1110">
        <v>0</v>
      </c>
      <c r="T1110">
        <v>5</v>
      </c>
      <c r="U1110">
        <v>11</v>
      </c>
    </row>
    <row r="1111" spans="1:21" x14ac:dyDescent="0.35">
      <c r="A1111" t="s">
        <v>26</v>
      </c>
      <c r="B1111" s="1">
        <v>44513</v>
      </c>
      <c r="C1111" t="s">
        <v>32</v>
      </c>
      <c r="D1111">
        <v>0</v>
      </c>
      <c r="E1111">
        <v>0</v>
      </c>
      <c r="F1111">
        <v>0</v>
      </c>
      <c r="G1111">
        <v>0</v>
      </c>
      <c r="H1111">
        <v>0</v>
      </c>
      <c r="I1111">
        <v>0</v>
      </c>
      <c r="J1111">
        <v>0</v>
      </c>
      <c r="K1111">
        <v>0</v>
      </c>
      <c r="L1111">
        <v>0</v>
      </c>
      <c r="M1111">
        <v>0</v>
      </c>
      <c r="N1111">
        <v>162642</v>
      </c>
      <c r="O1111">
        <v>0</v>
      </c>
      <c r="P1111">
        <v>0</v>
      </c>
      <c r="Q1111">
        <v>0</v>
      </c>
      <c r="R1111">
        <v>0</v>
      </c>
      <c r="S1111">
        <v>0</v>
      </c>
      <c r="T1111">
        <v>0</v>
      </c>
      <c r="U1111">
        <v>4</v>
      </c>
    </row>
    <row r="1112" spans="1:21" x14ac:dyDescent="0.35">
      <c r="A1112" t="s">
        <v>21</v>
      </c>
      <c r="B1112" s="1">
        <v>45205</v>
      </c>
      <c r="C1112" t="s">
        <v>25</v>
      </c>
      <c r="D1112">
        <v>0</v>
      </c>
      <c r="E1112">
        <v>0</v>
      </c>
      <c r="F1112">
        <v>0</v>
      </c>
      <c r="G1112">
        <v>0</v>
      </c>
      <c r="H1112">
        <v>0</v>
      </c>
      <c r="I1112">
        <v>0</v>
      </c>
      <c r="J1112">
        <v>0</v>
      </c>
      <c r="K1112">
        <v>0</v>
      </c>
      <c r="L1112">
        <v>0</v>
      </c>
      <c r="M1112">
        <v>0</v>
      </c>
      <c r="N1112">
        <v>74610</v>
      </c>
      <c r="O1112">
        <v>214134</v>
      </c>
      <c r="P1112">
        <v>161697</v>
      </c>
      <c r="Q1112">
        <v>0</v>
      </c>
      <c r="R1112">
        <v>0</v>
      </c>
      <c r="S1112">
        <v>0</v>
      </c>
      <c r="T1112">
        <v>18</v>
      </c>
      <c r="U1112">
        <v>29</v>
      </c>
    </row>
    <row r="1113" spans="1:21" x14ac:dyDescent="0.35">
      <c r="A1113" t="s">
        <v>26</v>
      </c>
      <c r="B1113" s="1">
        <v>44692</v>
      </c>
      <c r="C1113" t="s">
        <v>32</v>
      </c>
      <c r="D1113">
        <v>2.5</v>
      </c>
      <c r="E1113">
        <v>0</v>
      </c>
      <c r="F1113">
        <v>0</v>
      </c>
      <c r="G1113">
        <v>0</v>
      </c>
      <c r="H1113">
        <v>0</v>
      </c>
      <c r="I1113">
        <v>0</v>
      </c>
      <c r="J1113">
        <v>0</v>
      </c>
      <c r="K1113">
        <v>0</v>
      </c>
      <c r="L1113">
        <v>0</v>
      </c>
      <c r="M1113">
        <v>0</v>
      </c>
      <c r="N1113">
        <v>162642</v>
      </c>
      <c r="O1113">
        <v>0</v>
      </c>
      <c r="P1113">
        <v>0</v>
      </c>
      <c r="Q1113">
        <v>4</v>
      </c>
      <c r="R1113">
        <v>0</v>
      </c>
      <c r="S1113">
        <v>0</v>
      </c>
      <c r="T1113">
        <v>0</v>
      </c>
      <c r="U1113">
        <v>4</v>
      </c>
    </row>
    <row r="1114" spans="1:21" x14ac:dyDescent="0.35">
      <c r="A1114" t="s">
        <v>21</v>
      </c>
      <c r="B1114" s="1">
        <v>44408</v>
      </c>
      <c r="C1114" t="s">
        <v>27</v>
      </c>
      <c r="D1114">
        <v>0</v>
      </c>
      <c r="E1114">
        <v>0</v>
      </c>
      <c r="F1114">
        <v>0</v>
      </c>
      <c r="G1114">
        <v>0</v>
      </c>
      <c r="H1114">
        <v>0</v>
      </c>
      <c r="I1114">
        <v>0</v>
      </c>
      <c r="J1114">
        <v>0</v>
      </c>
      <c r="K1114">
        <v>0</v>
      </c>
      <c r="L1114">
        <v>0</v>
      </c>
      <c r="M1114">
        <v>0</v>
      </c>
      <c r="N1114">
        <v>94143</v>
      </c>
      <c r="O1114">
        <v>64465</v>
      </c>
      <c r="P1114">
        <v>0</v>
      </c>
      <c r="Q1114">
        <v>0</v>
      </c>
      <c r="R1114">
        <v>0</v>
      </c>
      <c r="S1114">
        <v>0</v>
      </c>
      <c r="T1114">
        <v>12</v>
      </c>
      <c r="U1114">
        <v>17</v>
      </c>
    </row>
    <row r="1115" spans="1:21" x14ac:dyDescent="0.35">
      <c r="A1115" t="s">
        <v>26</v>
      </c>
      <c r="B1115" s="1">
        <v>44772</v>
      </c>
      <c r="C1115" t="s">
        <v>27</v>
      </c>
      <c r="D1115">
        <v>5.6</v>
      </c>
      <c r="E1115">
        <v>1.1000000000000001</v>
      </c>
      <c r="F1115">
        <v>0</v>
      </c>
      <c r="G1115">
        <v>5.0999999999999996</v>
      </c>
      <c r="H1115">
        <v>0</v>
      </c>
      <c r="I1115">
        <v>0</v>
      </c>
      <c r="J1115">
        <v>0</v>
      </c>
      <c r="K1115">
        <v>0</v>
      </c>
      <c r="L1115">
        <v>0</v>
      </c>
      <c r="M1115">
        <v>0</v>
      </c>
      <c r="N1115">
        <v>35932</v>
      </c>
      <c r="O1115">
        <v>89736</v>
      </c>
      <c r="P1115">
        <v>39673</v>
      </c>
      <c r="Q1115">
        <v>2</v>
      </c>
      <c r="R1115">
        <v>1</v>
      </c>
      <c r="S1115">
        <v>0</v>
      </c>
      <c r="T1115">
        <v>12</v>
      </c>
      <c r="U1115">
        <v>17</v>
      </c>
    </row>
    <row r="1116" spans="1:21" x14ac:dyDescent="0.35">
      <c r="A1116" t="s">
        <v>28</v>
      </c>
      <c r="B1116" s="1">
        <v>44555</v>
      </c>
      <c r="C1116" t="s">
        <v>32</v>
      </c>
      <c r="D1116">
        <v>777.2</v>
      </c>
      <c r="E1116">
        <v>0</v>
      </c>
      <c r="F1116">
        <v>0</v>
      </c>
      <c r="G1116">
        <v>0</v>
      </c>
      <c r="H1116">
        <v>0</v>
      </c>
      <c r="I1116">
        <v>0</v>
      </c>
      <c r="J1116">
        <v>0</v>
      </c>
      <c r="K1116">
        <v>0</v>
      </c>
      <c r="L1116">
        <v>0</v>
      </c>
      <c r="M1116">
        <v>0</v>
      </c>
      <c r="N1116">
        <v>162642</v>
      </c>
      <c r="O1116">
        <v>0</v>
      </c>
      <c r="P1116">
        <v>0</v>
      </c>
      <c r="Q1116">
        <v>1264</v>
      </c>
      <c r="R1116">
        <v>0</v>
      </c>
      <c r="S1116">
        <v>0</v>
      </c>
      <c r="T1116">
        <v>0</v>
      </c>
      <c r="U1116">
        <v>4</v>
      </c>
    </row>
    <row r="1117" spans="1:21" x14ac:dyDescent="0.35">
      <c r="A1117" t="s">
        <v>28</v>
      </c>
      <c r="B1117" s="1">
        <v>44657</v>
      </c>
      <c r="C1117" t="s">
        <v>32</v>
      </c>
      <c r="D1117">
        <v>192.4</v>
      </c>
      <c r="E1117">
        <v>0</v>
      </c>
      <c r="F1117">
        <v>0</v>
      </c>
      <c r="G1117">
        <v>0</v>
      </c>
      <c r="H1117">
        <v>0</v>
      </c>
      <c r="I1117">
        <v>0</v>
      </c>
      <c r="J1117">
        <v>0</v>
      </c>
      <c r="K1117">
        <v>0</v>
      </c>
      <c r="L1117">
        <v>0</v>
      </c>
      <c r="M1117">
        <v>0</v>
      </c>
      <c r="N1117">
        <v>162642</v>
      </c>
      <c r="O1117">
        <v>0</v>
      </c>
      <c r="P1117">
        <v>0</v>
      </c>
      <c r="Q1117">
        <v>313</v>
      </c>
      <c r="R1117">
        <v>0</v>
      </c>
      <c r="S1117">
        <v>0</v>
      </c>
      <c r="T1117">
        <v>0</v>
      </c>
      <c r="U1117">
        <v>4</v>
      </c>
    </row>
    <row r="1118" spans="1:21" x14ac:dyDescent="0.35">
      <c r="A1118" t="s">
        <v>28</v>
      </c>
      <c r="B1118" s="1">
        <v>44345</v>
      </c>
      <c r="C1118" t="s">
        <v>30</v>
      </c>
      <c r="D1118">
        <v>57.5</v>
      </c>
      <c r="E1118">
        <v>14.5</v>
      </c>
      <c r="F1118">
        <v>0</v>
      </c>
      <c r="G1118">
        <v>4</v>
      </c>
      <c r="H1118">
        <v>0</v>
      </c>
      <c r="I1118">
        <v>0</v>
      </c>
      <c r="J1118">
        <v>0</v>
      </c>
      <c r="K1118">
        <v>0</v>
      </c>
      <c r="L1118">
        <v>0</v>
      </c>
      <c r="M1118">
        <v>0</v>
      </c>
      <c r="N1118">
        <v>34769</v>
      </c>
      <c r="O1118">
        <v>48292</v>
      </c>
      <c r="P1118">
        <v>0</v>
      </c>
      <c r="Q1118">
        <v>20</v>
      </c>
      <c r="R1118">
        <v>7</v>
      </c>
      <c r="S1118">
        <v>0</v>
      </c>
      <c r="T1118">
        <v>80</v>
      </c>
      <c r="U1118">
        <v>200</v>
      </c>
    </row>
    <row r="1119" spans="1:21" x14ac:dyDescent="0.35">
      <c r="A1119" t="s">
        <v>28</v>
      </c>
      <c r="B1119" s="1">
        <v>44765</v>
      </c>
      <c r="C1119" t="s">
        <v>32</v>
      </c>
      <c r="D1119">
        <v>208.4</v>
      </c>
      <c r="E1119">
        <v>0</v>
      </c>
      <c r="F1119">
        <v>0</v>
      </c>
      <c r="G1119">
        <v>0</v>
      </c>
      <c r="H1119">
        <v>0</v>
      </c>
      <c r="I1119">
        <v>0</v>
      </c>
      <c r="J1119">
        <v>0</v>
      </c>
      <c r="K1119">
        <v>0</v>
      </c>
      <c r="L1119">
        <v>0</v>
      </c>
      <c r="M1119">
        <v>0</v>
      </c>
      <c r="N1119">
        <v>162642</v>
      </c>
      <c r="O1119">
        <v>0</v>
      </c>
      <c r="P1119">
        <v>0</v>
      </c>
      <c r="Q1119">
        <v>339</v>
      </c>
      <c r="R1119">
        <v>0</v>
      </c>
      <c r="S1119">
        <v>0</v>
      </c>
      <c r="T1119">
        <v>0</v>
      </c>
      <c r="U1119">
        <v>4</v>
      </c>
    </row>
    <row r="1120" spans="1:21" x14ac:dyDescent="0.35">
      <c r="A1120" t="s">
        <v>21</v>
      </c>
      <c r="B1120" s="1">
        <v>44772</v>
      </c>
      <c r="C1120" t="s">
        <v>32</v>
      </c>
      <c r="D1120">
        <v>0</v>
      </c>
      <c r="E1120">
        <v>0</v>
      </c>
      <c r="F1120">
        <v>0</v>
      </c>
      <c r="G1120">
        <v>0</v>
      </c>
      <c r="H1120">
        <v>0</v>
      </c>
      <c r="I1120">
        <v>0</v>
      </c>
      <c r="J1120">
        <v>0</v>
      </c>
      <c r="K1120">
        <v>0</v>
      </c>
      <c r="L1120">
        <v>0</v>
      </c>
      <c r="M1120">
        <v>0</v>
      </c>
      <c r="N1120">
        <v>162642</v>
      </c>
      <c r="O1120">
        <v>0</v>
      </c>
      <c r="P1120">
        <v>0</v>
      </c>
      <c r="Q1120">
        <v>0</v>
      </c>
      <c r="R1120">
        <v>0</v>
      </c>
      <c r="S1120">
        <v>0</v>
      </c>
      <c r="T1120">
        <v>0</v>
      </c>
      <c r="U1120">
        <v>4</v>
      </c>
    </row>
    <row r="1121" spans="1:21" x14ac:dyDescent="0.35">
      <c r="A1121" t="s">
        <v>26</v>
      </c>
      <c r="B1121" s="1">
        <v>44485</v>
      </c>
      <c r="C1121" t="s">
        <v>30</v>
      </c>
      <c r="D1121">
        <v>16.5</v>
      </c>
      <c r="E1121">
        <v>16</v>
      </c>
      <c r="F1121">
        <v>0</v>
      </c>
      <c r="G1121">
        <v>1</v>
      </c>
      <c r="H1121">
        <v>0</v>
      </c>
      <c r="I1121">
        <v>0</v>
      </c>
      <c r="J1121">
        <v>0</v>
      </c>
      <c r="K1121">
        <v>0</v>
      </c>
      <c r="L1121">
        <v>0</v>
      </c>
      <c r="M1121">
        <v>0</v>
      </c>
      <c r="N1121">
        <v>30320</v>
      </c>
      <c r="O1121">
        <v>49996</v>
      </c>
      <c r="P1121">
        <v>0</v>
      </c>
      <c r="Q1121">
        <v>5</v>
      </c>
      <c r="R1121">
        <v>8</v>
      </c>
      <c r="S1121">
        <v>0</v>
      </c>
      <c r="T1121">
        <v>80</v>
      </c>
      <c r="U1121">
        <v>200</v>
      </c>
    </row>
    <row r="1122" spans="1:21" x14ac:dyDescent="0.35">
      <c r="A1122" t="s">
        <v>28</v>
      </c>
      <c r="B1122" s="1">
        <v>45010</v>
      </c>
      <c r="C1122" t="s">
        <v>32</v>
      </c>
      <c r="D1122">
        <v>48</v>
      </c>
      <c r="E1122">
        <v>3.7</v>
      </c>
      <c r="F1122">
        <v>0</v>
      </c>
      <c r="G1122">
        <v>13</v>
      </c>
      <c r="H1122">
        <v>0</v>
      </c>
      <c r="I1122">
        <v>0</v>
      </c>
      <c r="J1122">
        <v>0</v>
      </c>
      <c r="K1122">
        <v>0</v>
      </c>
      <c r="L1122">
        <v>0</v>
      </c>
      <c r="M1122">
        <v>0</v>
      </c>
      <c r="N1122">
        <v>162642</v>
      </c>
      <c r="O1122">
        <v>0</v>
      </c>
      <c r="P1122">
        <v>0</v>
      </c>
      <c r="Q1122">
        <v>78</v>
      </c>
      <c r="R1122">
        <v>6</v>
      </c>
      <c r="S1122">
        <v>0</v>
      </c>
      <c r="T1122">
        <v>0</v>
      </c>
      <c r="U1122">
        <v>4</v>
      </c>
    </row>
    <row r="1123" spans="1:21" x14ac:dyDescent="0.35">
      <c r="A1123" t="s">
        <v>26</v>
      </c>
      <c r="B1123" s="1">
        <v>45164</v>
      </c>
      <c r="C1123" t="s">
        <v>24</v>
      </c>
      <c r="D1123">
        <v>0</v>
      </c>
      <c r="E1123">
        <v>0</v>
      </c>
      <c r="F1123">
        <v>0</v>
      </c>
      <c r="G1123">
        <v>0</v>
      </c>
      <c r="H1123">
        <v>0</v>
      </c>
      <c r="I1123">
        <v>0</v>
      </c>
      <c r="J1123">
        <v>0</v>
      </c>
      <c r="K1123">
        <v>0</v>
      </c>
      <c r="L1123">
        <v>0</v>
      </c>
      <c r="M1123">
        <v>0</v>
      </c>
      <c r="N1123">
        <v>89580</v>
      </c>
      <c r="O1123">
        <v>82670</v>
      </c>
      <c r="P1123">
        <v>21264</v>
      </c>
      <c r="Q1123">
        <v>0</v>
      </c>
      <c r="R1123">
        <v>0</v>
      </c>
      <c r="S1123">
        <v>0</v>
      </c>
      <c r="T1123">
        <v>5</v>
      </c>
      <c r="U1123">
        <v>11</v>
      </c>
    </row>
    <row r="1124" spans="1:21" x14ac:dyDescent="0.35">
      <c r="A1124" t="s">
        <v>26</v>
      </c>
      <c r="B1124" s="1">
        <v>44408</v>
      </c>
      <c r="C1124" t="s">
        <v>25</v>
      </c>
      <c r="D1124">
        <v>9</v>
      </c>
      <c r="E1124">
        <v>0.7</v>
      </c>
      <c r="F1124">
        <v>0</v>
      </c>
      <c r="G1124">
        <v>12.9</v>
      </c>
      <c r="H1124">
        <v>0</v>
      </c>
      <c r="I1124">
        <v>0</v>
      </c>
      <c r="J1124">
        <v>0</v>
      </c>
      <c r="K1124">
        <v>0</v>
      </c>
      <c r="L1124">
        <v>0</v>
      </c>
      <c r="M1124">
        <v>0</v>
      </c>
      <c r="N1124">
        <v>210867</v>
      </c>
      <c r="O1124">
        <v>279504</v>
      </c>
      <c r="P1124">
        <v>0</v>
      </c>
      <c r="Q1124">
        <v>19</v>
      </c>
      <c r="R1124">
        <v>2</v>
      </c>
      <c r="S1124">
        <v>0</v>
      </c>
      <c r="T1124">
        <v>18</v>
      </c>
      <c r="U1124">
        <v>29</v>
      </c>
    </row>
    <row r="1125" spans="1:21" x14ac:dyDescent="0.35">
      <c r="A1125" t="s">
        <v>26</v>
      </c>
      <c r="B1125" s="1">
        <v>44720</v>
      </c>
      <c r="C1125" t="s">
        <v>31</v>
      </c>
      <c r="D1125">
        <v>37.1</v>
      </c>
      <c r="E1125">
        <v>38</v>
      </c>
      <c r="F1125">
        <v>18.3</v>
      </c>
      <c r="G1125">
        <v>1</v>
      </c>
      <c r="H1125">
        <v>2</v>
      </c>
      <c r="I1125">
        <v>0</v>
      </c>
      <c r="J1125">
        <v>0</v>
      </c>
      <c r="K1125">
        <v>0</v>
      </c>
      <c r="L1125">
        <v>0</v>
      </c>
      <c r="M1125">
        <v>0</v>
      </c>
      <c r="N1125">
        <v>45860</v>
      </c>
      <c r="O1125">
        <v>44684</v>
      </c>
      <c r="P1125">
        <v>169587</v>
      </c>
      <c r="Q1125">
        <v>17</v>
      </c>
      <c r="R1125">
        <v>17</v>
      </c>
      <c r="S1125">
        <v>31</v>
      </c>
      <c r="T1125">
        <v>65</v>
      </c>
      <c r="U1125">
        <v>79</v>
      </c>
    </row>
    <row r="1126" spans="1:21" x14ac:dyDescent="0.35">
      <c r="A1126" t="s">
        <v>21</v>
      </c>
      <c r="B1126" s="1">
        <v>44373</v>
      </c>
      <c r="C1126" t="s">
        <v>27</v>
      </c>
      <c r="D1126">
        <v>0</v>
      </c>
      <c r="E1126">
        <v>0</v>
      </c>
      <c r="F1126">
        <v>0</v>
      </c>
      <c r="G1126">
        <v>0</v>
      </c>
      <c r="H1126">
        <v>0</v>
      </c>
      <c r="I1126">
        <v>0</v>
      </c>
      <c r="J1126">
        <v>0</v>
      </c>
      <c r="K1126">
        <v>0</v>
      </c>
      <c r="L1126">
        <v>0</v>
      </c>
      <c r="M1126">
        <v>0</v>
      </c>
      <c r="N1126">
        <v>111069</v>
      </c>
      <c r="O1126">
        <v>39779</v>
      </c>
      <c r="P1126">
        <v>0</v>
      </c>
      <c r="Q1126">
        <v>0</v>
      </c>
      <c r="R1126">
        <v>0</v>
      </c>
      <c r="S1126">
        <v>0</v>
      </c>
      <c r="T1126">
        <v>12</v>
      </c>
      <c r="U1126">
        <v>17</v>
      </c>
    </row>
    <row r="1127" spans="1:21" x14ac:dyDescent="0.35">
      <c r="A1127" t="s">
        <v>28</v>
      </c>
      <c r="B1127" s="1">
        <v>44358</v>
      </c>
      <c r="C1127" t="s">
        <v>30</v>
      </c>
      <c r="D1127">
        <v>91.4</v>
      </c>
      <c r="E1127">
        <v>52.5</v>
      </c>
      <c r="F1127">
        <v>18</v>
      </c>
      <c r="G1127">
        <v>1.7</v>
      </c>
      <c r="H1127">
        <v>5.0999999999999996</v>
      </c>
      <c r="I1127">
        <v>0</v>
      </c>
      <c r="J1127">
        <v>0</v>
      </c>
      <c r="K1127">
        <v>0</v>
      </c>
      <c r="L1127">
        <v>0</v>
      </c>
      <c r="M1127">
        <v>0</v>
      </c>
      <c r="N1127">
        <v>29553</v>
      </c>
      <c r="O1127">
        <v>43800</v>
      </c>
      <c r="P1127">
        <v>11093</v>
      </c>
      <c r="Q1127">
        <v>27</v>
      </c>
      <c r="R1127">
        <v>23</v>
      </c>
      <c r="S1127">
        <v>2</v>
      </c>
      <c r="T1127">
        <v>80</v>
      </c>
      <c r="U1127">
        <v>200</v>
      </c>
    </row>
    <row r="1128" spans="1:21" x14ac:dyDescent="0.35">
      <c r="A1128" t="s">
        <v>28</v>
      </c>
      <c r="B1128" s="1">
        <v>44476</v>
      </c>
      <c r="C1128" t="s">
        <v>30</v>
      </c>
      <c r="D1128">
        <v>6</v>
      </c>
      <c r="E1128">
        <v>1.9</v>
      </c>
      <c r="F1128">
        <v>0</v>
      </c>
      <c r="G1128">
        <v>3.2</v>
      </c>
      <c r="H1128">
        <v>0</v>
      </c>
      <c r="I1128">
        <v>0</v>
      </c>
      <c r="J1128">
        <v>0</v>
      </c>
      <c r="K1128">
        <v>0</v>
      </c>
      <c r="L1128">
        <v>0</v>
      </c>
      <c r="M1128">
        <v>0</v>
      </c>
      <c r="N1128">
        <v>33207</v>
      </c>
      <c r="O1128">
        <v>51643</v>
      </c>
      <c r="P1128">
        <v>0</v>
      </c>
      <c r="Q1128">
        <v>2</v>
      </c>
      <c r="R1128">
        <v>1</v>
      </c>
      <c r="S1128">
        <v>0</v>
      </c>
      <c r="T1128">
        <v>80</v>
      </c>
      <c r="U1128">
        <v>200</v>
      </c>
    </row>
    <row r="1129" spans="1:21" x14ac:dyDescent="0.35">
      <c r="A1129" t="s">
        <v>26</v>
      </c>
      <c r="B1129" s="1">
        <v>44618</v>
      </c>
      <c r="C1129" t="s">
        <v>27</v>
      </c>
      <c r="D1129">
        <v>0</v>
      </c>
      <c r="E1129">
        <v>0</v>
      </c>
      <c r="F1129">
        <v>0</v>
      </c>
      <c r="G1129">
        <v>0</v>
      </c>
      <c r="H1129">
        <v>0</v>
      </c>
      <c r="I1129">
        <v>0</v>
      </c>
      <c r="J1129">
        <v>0</v>
      </c>
      <c r="K1129">
        <v>0</v>
      </c>
      <c r="L1129">
        <v>0</v>
      </c>
      <c r="M1129">
        <v>0</v>
      </c>
      <c r="N1129">
        <v>39635</v>
      </c>
      <c r="O1129">
        <v>95673</v>
      </c>
      <c r="P1129">
        <v>26095</v>
      </c>
      <c r="Q1129">
        <v>0</v>
      </c>
      <c r="R1129">
        <v>0</v>
      </c>
      <c r="S1129">
        <v>0</v>
      </c>
      <c r="T1129">
        <v>12</v>
      </c>
      <c r="U1129">
        <v>17</v>
      </c>
    </row>
    <row r="1130" spans="1:21" x14ac:dyDescent="0.35">
      <c r="A1130" t="s">
        <v>28</v>
      </c>
      <c r="B1130" s="1">
        <v>44947</v>
      </c>
      <c r="C1130" t="s">
        <v>32</v>
      </c>
      <c r="D1130">
        <v>60.3</v>
      </c>
      <c r="E1130">
        <v>2.5</v>
      </c>
      <c r="F1130">
        <v>0</v>
      </c>
      <c r="G1130">
        <v>24.1</v>
      </c>
      <c r="H1130">
        <v>0</v>
      </c>
      <c r="I1130">
        <v>0</v>
      </c>
      <c r="J1130">
        <v>0</v>
      </c>
      <c r="K1130">
        <v>0</v>
      </c>
      <c r="L1130">
        <v>0</v>
      </c>
      <c r="M1130">
        <v>0</v>
      </c>
      <c r="N1130">
        <v>162642</v>
      </c>
      <c r="O1130">
        <v>0</v>
      </c>
      <c r="P1130">
        <v>0</v>
      </c>
      <c r="Q1130">
        <v>98</v>
      </c>
      <c r="R1130">
        <v>4</v>
      </c>
      <c r="S1130">
        <v>0</v>
      </c>
      <c r="T1130">
        <v>0</v>
      </c>
      <c r="U1130">
        <v>4</v>
      </c>
    </row>
    <row r="1131" spans="1:21" x14ac:dyDescent="0.35">
      <c r="A1131" t="s">
        <v>28</v>
      </c>
      <c r="B1131" s="1">
        <v>44457</v>
      </c>
      <c r="C1131" t="s">
        <v>23</v>
      </c>
      <c r="D1131">
        <v>265.8</v>
      </c>
      <c r="E1131">
        <v>54.1</v>
      </c>
      <c r="F1131">
        <v>0</v>
      </c>
      <c r="G1131">
        <v>4.9000000000000004</v>
      </c>
      <c r="H1131">
        <v>0</v>
      </c>
      <c r="I1131">
        <v>0</v>
      </c>
      <c r="J1131">
        <v>0</v>
      </c>
      <c r="K1131">
        <v>0</v>
      </c>
      <c r="L1131">
        <v>0</v>
      </c>
      <c r="M1131">
        <v>0</v>
      </c>
      <c r="N1131">
        <v>82757</v>
      </c>
      <c r="O1131">
        <v>327000</v>
      </c>
      <c r="P1131">
        <v>0</v>
      </c>
      <c r="Q1131">
        <v>220</v>
      </c>
      <c r="R1131">
        <v>177</v>
      </c>
      <c r="S1131">
        <v>0</v>
      </c>
      <c r="T1131">
        <v>50</v>
      </c>
      <c r="U1131">
        <v>64</v>
      </c>
    </row>
    <row r="1132" spans="1:21" x14ac:dyDescent="0.35">
      <c r="A1132" t="s">
        <v>28</v>
      </c>
      <c r="B1132" s="1">
        <v>45045</v>
      </c>
      <c r="C1132" t="s">
        <v>25</v>
      </c>
      <c r="D1132">
        <v>55.6</v>
      </c>
      <c r="E1132">
        <v>12.6</v>
      </c>
      <c r="F1132">
        <v>24.7</v>
      </c>
      <c r="G1132">
        <v>4.4000000000000004</v>
      </c>
      <c r="H1132">
        <v>2.2999999999999998</v>
      </c>
      <c r="I1132">
        <v>0</v>
      </c>
      <c r="J1132">
        <v>0</v>
      </c>
      <c r="K1132">
        <v>0</v>
      </c>
      <c r="L1132">
        <v>0</v>
      </c>
      <c r="M1132">
        <v>0</v>
      </c>
      <c r="N1132">
        <v>75493</v>
      </c>
      <c r="O1132">
        <v>214091</v>
      </c>
      <c r="P1132">
        <v>161686</v>
      </c>
      <c r="Q1132">
        <v>42</v>
      </c>
      <c r="R1132">
        <v>27</v>
      </c>
      <c r="S1132">
        <v>40</v>
      </c>
      <c r="T1132">
        <v>18</v>
      </c>
      <c r="U1132">
        <v>29</v>
      </c>
    </row>
    <row r="1133" spans="1:21" x14ac:dyDescent="0.35">
      <c r="A1133" t="s">
        <v>21</v>
      </c>
      <c r="B1133" s="1">
        <v>44499</v>
      </c>
      <c r="C1133" t="s">
        <v>30</v>
      </c>
      <c r="D1133">
        <v>10.1</v>
      </c>
      <c r="E1133">
        <v>6.5</v>
      </c>
      <c r="F1133">
        <v>0</v>
      </c>
      <c r="G1133">
        <v>1.6</v>
      </c>
      <c r="H1133">
        <v>0</v>
      </c>
      <c r="I1133">
        <v>0</v>
      </c>
      <c r="J1133">
        <v>0</v>
      </c>
      <c r="K1133">
        <v>0</v>
      </c>
      <c r="L1133">
        <v>0</v>
      </c>
      <c r="M1133">
        <v>0</v>
      </c>
      <c r="N1133">
        <v>29835</v>
      </c>
      <c r="O1133">
        <v>46071</v>
      </c>
      <c r="P1133">
        <v>8679</v>
      </c>
      <c r="Q1133">
        <v>3</v>
      </c>
      <c r="R1133">
        <v>3</v>
      </c>
      <c r="S1133">
        <v>0</v>
      </c>
      <c r="T1133">
        <v>80</v>
      </c>
      <c r="U1133">
        <v>200</v>
      </c>
    </row>
    <row r="1134" spans="1:21" x14ac:dyDescent="0.35">
      <c r="A1134" t="s">
        <v>21</v>
      </c>
      <c r="B1134" s="1">
        <v>45241</v>
      </c>
      <c r="C1134" t="s">
        <v>25</v>
      </c>
      <c r="D1134">
        <v>0</v>
      </c>
      <c r="E1134">
        <v>0</v>
      </c>
      <c r="F1134">
        <v>0</v>
      </c>
      <c r="G1134">
        <v>0</v>
      </c>
      <c r="H1134">
        <v>0</v>
      </c>
      <c r="I1134">
        <v>0</v>
      </c>
      <c r="J1134">
        <v>0</v>
      </c>
      <c r="K1134">
        <v>0</v>
      </c>
      <c r="L1134">
        <v>0</v>
      </c>
      <c r="M1134">
        <v>0</v>
      </c>
      <c r="N1134">
        <v>68798</v>
      </c>
      <c r="O1134">
        <v>215294</v>
      </c>
      <c r="P1134">
        <v>162511</v>
      </c>
      <c r="Q1134">
        <v>0</v>
      </c>
      <c r="R1134">
        <v>0</v>
      </c>
      <c r="S1134">
        <v>0</v>
      </c>
      <c r="T1134">
        <v>18</v>
      </c>
      <c r="U1134">
        <v>29</v>
      </c>
    </row>
    <row r="1135" spans="1:21" x14ac:dyDescent="0.35">
      <c r="A1135" t="s">
        <v>21</v>
      </c>
      <c r="B1135" s="1">
        <v>44358</v>
      </c>
      <c r="C1135" t="s">
        <v>30</v>
      </c>
      <c r="D1135">
        <v>20.3</v>
      </c>
      <c r="E1135">
        <v>6.8</v>
      </c>
      <c r="F1135">
        <v>0</v>
      </c>
      <c r="G1135">
        <v>3</v>
      </c>
      <c r="H1135">
        <v>0</v>
      </c>
      <c r="I1135">
        <v>0</v>
      </c>
      <c r="J1135">
        <v>0</v>
      </c>
      <c r="K1135">
        <v>0</v>
      </c>
      <c r="L1135">
        <v>0</v>
      </c>
      <c r="M1135">
        <v>0</v>
      </c>
      <c r="N1135">
        <v>29553</v>
      </c>
      <c r="O1135">
        <v>43800</v>
      </c>
      <c r="P1135">
        <v>11093</v>
      </c>
      <c r="Q1135">
        <v>6</v>
      </c>
      <c r="R1135">
        <v>3</v>
      </c>
      <c r="S1135">
        <v>0</v>
      </c>
      <c r="T1135">
        <v>80</v>
      </c>
      <c r="U1135">
        <v>200</v>
      </c>
    </row>
    <row r="1136" spans="1:21" x14ac:dyDescent="0.35">
      <c r="A1136" t="s">
        <v>28</v>
      </c>
      <c r="B1136" s="1">
        <v>44583</v>
      </c>
      <c r="C1136" t="s">
        <v>24</v>
      </c>
      <c r="D1136">
        <v>627.5</v>
      </c>
      <c r="E1136">
        <v>873</v>
      </c>
      <c r="F1136">
        <v>0</v>
      </c>
      <c r="G1136">
        <v>0.7</v>
      </c>
      <c r="H1136">
        <v>0</v>
      </c>
      <c r="I1136">
        <v>0</v>
      </c>
      <c r="J1136">
        <v>0</v>
      </c>
      <c r="K1136">
        <v>0</v>
      </c>
      <c r="L1136">
        <v>0</v>
      </c>
      <c r="M1136">
        <v>0</v>
      </c>
      <c r="N1136">
        <v>119848</v>
      </c>
      <c r="O1136">
        <v>54870</v>
      </c>
      <c r="P1136">
        <v>0</v>
      </c>
      <c r="Q1136">
        <v>752</v>
      </c>
      <c r="R1136">
        <v>479</v>
      </c>
      <c r="S1136">
        <v>0</v>
      </c>
      <c r="T1136">
        <v>5</v>
      </c>
      <c r="U1136">
        <v>11</v>
      </c>
    </row>
    <row r="1137" spans="1:21" x14ac:dyDescent="0.35">
      <c r="A1137" t="s">
        <v>26</v>
      </c>
      <c r="B1137" s="1">
        <v>44657</v>
      </c>
      <c r="C1137" t="s">
        <v>32</v>
      </c>
      <c r="D1137">
        <v>6.1</v>
      </c>
      <c r="E1137">
        <v>0</v>
      </c>
      <c r="F1137">
        <v>0</v>
      </c>
      <c r="G1137">
        <v>0</v>
      </c>
      <c r="H1137">
        <v>0</v>
      </c>
      <c r="I1137">
        <v>0</v>
      </c>
      <c r="J1137">
        <v>0</v>
      </c>
      <c r="K1137">
        <v>0</v>
      </c>
      <c r="L1137">
        <v>0</v>
      </c>
      <c r="M1137">
        <v>0</v>
      </c>
      <c r="N1137">
        <v>162642</v>
      </c>
      <c r="O1137">
        <v>0</v>
      </c>
      <c r="P1137">
        <v>0</v>
      </c>
      <c r="Q1137">
        <v>10</v>
      </c>
      <c r="R1137">
        <v>0</v>
      </c>
      <c r="S1137">
        <v>0</v>
      </c>
      <c r="T1137">
        <v>0</v>
      </c>
      <c r="U1137">
        <v>4</v>
      </c>
    </row>
    <row r="1138" spans="1:21" x14ac:dyDescent="0.35">
      <c r="A1138" t="s">
        <v>26</v>
      </c>
      <c r="B1138" s="1">
        <v>44331</v>
      </c>
      <c r="C1138" t="s">
        <v>22</v>
      </c>
      <c r="D1138">
        <v>16.899999999999999</v>
      </c>
      <c r="E1138">
        <v>1.9</v>
      </c>
      <c r="F1138">
        <v>0</v>
      </c>
      <c r="G1138">
        <v>8.9</v>
      </c>
      <c r="H1138">
        <v>0</v>
      </c>
      <c r="I1138">
        <v>22.3</v>
      </c>
      <c r="J1138">
        <v>1.3</v>
      </c>
      <c r="K1138">
        <v>0</v>
      </c>
      <c r="L1138">
        <v>17.8</v>
      </c>
      <c r="M1138">
        <v>0</v>
      </c>
      <c r="N1138">
        <v>1387913</v>
      </c>
      <c r="O1138">
        <v>925369</v>
      </c>
      <c r="P1138">
        <v>0</v>
      </c>
      <c r="Q1138">
        <v>234</v>
      </c>
      <c r="R1138">
        <v>18</v>
      </c>
      <c r="S1138">
        <v>0</v>
      </c>
      <c r="T1138">
        <v>999</v>
      </c>
      <c r="U1138">
        <v>999</v>
      </c>
    </row>
    <row r="1139" spans="1:21" x14ac:dyDescent="0.35">
      <c r="A1139" t="s">
        <v>21</v>
      </c>
      <c r="B1139" s="1">
        <v>45213</v>
      </c>
      <c r="C1139" t="s">
        <v>32</v>
      </c>
      <c r="D1139">
        <v>0</v>
      </c>
      <c r="E1139">
        <v>0</v>
      </c>
      <c r="F1139">
        <v>0</v>
      </c>
      <c r="G1139">
        <v>0</v>
      </c>
      <c r="H1139">
        <v>0</v>
      </c>
      <c r="I1139">
        <v>0</v>
      </c>
      <c r="J1139">
        <v>0</v>
      </c>
      <c r="K1139">
        <v>0</v>
      </c>
      <c r="L1139">
        <v>0</v>
      </c>
      <c r="M1139">
        <v>0</v>
      </c>
      <c r="N1139">
        <v>162642</v>
      </c>
      <c r="O1139">
        <v>0</v>
      </c>
      <c r="P1139">
        <v>0</v>
      </c>
      <c r="Q1139">
        <v>0</v>
      </c>
      <c r="R1139">
        <v>0</v>
      </c>
      <c r="S1139">
        <v>0</v>
      </c>
      <c r="T1139">
        <v>0</v>
      </c>
      <c r="U1139">
        <v>4</v>
      </c>
    </row>
    <row r="1140" spans="1:21" x14ac:dyDescent="0.35">
      <c r="A1140" t="s">
        <v>28</v>
      </c>
      <c r="B1140" s="1">
        <v>44476</v>
      </c>
      <c r="C1140" t="s">
        <v>29</v>
      </c>
      <c r="D1140">
        <v>33.1</v>
      </c>
      <c r="E1140">
        <v>11.2</v>
      </c>
      <c r="F1140">
        <v>0</v>
      </c>
      <c r="G1140">
        <v>3</v>
      </c>
      <c r="H1140">
        <v>0</v>
      </c>
      <c r="I1140">
        <v>0</v>
      </c>
      <c r="J1140">
        <v>0</v>
      </c>
      <c r="K1140">
        <v>0</v>
      </c>
      <c r="L1140">
        <v>0</v>
      </c>
      <c r="M1140">
        <v>0</v>
      </c>
      <c r="N1140">
        <v>280996</v>
      </c>
      <c r="O1140">
        <v>481217</v>
      </c>
      <c r="P1140">
        <v>0</v>
      </c>
      <c r="Q1140">
        <v>93</v>
      </c>
      <c r="R1140">
        <v>54</v>
      </c>
      <c r="S1140">
        <v>0</v>
      </c>
      <c r="T1140">
        <v>30</v>
      </c>
      <c r="U1140">
        <v>49</v>
      </c>
    </row>
    <row r="1141" spans="1:21" x14ac:dyDescent="0.35">
      <c r="A1141" t="s">
        <v>28</v>
      </c>
      <c r="B1141" s="1">
        <v>44596</v>
      </c>
      <c r="C1141" t="s">
        <v>27</v>
      </c>
      <c r="D1141">
        <v>102</v>
      </c>
      <c r="E1141">
        <v>56.5</v>
      </c>
      <c r="F1141">
        <v>76.900000000000006</v>
      </c>
      <c r="G1141">
        <v>1.8</v>
      </c>
      <c r="H1141">
        <v>1.3</v>
      </c>
      <c r="I1141">
        <v>0</v>
      </c>
      <c r="J1141">
        <v>0</v>
      </c>
      <c r="K1141">
        <v>0</v>
      </c>
      <c r="L1141">
        <v>0</v>
      </c>
      <c r="M1141">
        <v>0</v>
      </c>
      <c r="N1141">
        <v>38227</v>
      </c>
      <c r="O1141">
        <v>95562</v>
      </c>
      <c r="P1141">
        <v>31203</v>
      </c>
      <c r="Q1141">
        <v>39</v>
      </c>
      <c r="R1141">
        <v>54</v>
      </c>
      <c r="S1141">
        <v>24</v>
      </c>
      <c r="T1141">
        <v>12</v>
      </c>
      <c r="U1141">
        <v>17</v>
      </c>
    </row>
    <row r="1142" spans="1:21" x14ac:dyDescent="0.35">
      <c r="A1142" t="s">
        <v>28</v>
      </c>
      <c r="B1142" s="1">
        <v>44639</v>
      </c>
      <c r="C1142" t="s">
        <v>23</v>
      </c>
      <c r="D1142">
        <v>72.2</v>
      </c>
      <c r="E1142">
        <v>27.7</v>
      </c>
      <c r="F1142">
        <v>37</v>
      </c>
      <c r="G1142">
        <v>2.6</v>
      </c>
      <c r="H1142">
        <v>2</v>
      </c>
      <c r="I1142">
        <v>0</v>
      </c>
      <c r="J1142">
        <v>0</v>
      </c>
      <c r="K1142">
        <v>0</v>
      </c>
      <c r="L1142">
        <v>0</v>
      </c>
      <c r="M1142">
        <v>0</v>
      </c>
      <c r="N1142">
        <v>45704</v>
      </c>
      <c r="O1142">
        <v>140906</v>
      </c>
      <c r="P1142">
        <v>224298</v>
      </c>
      <c r="Q1142">
        <v>33</v>
      </c>
      <c r="R1142">
        <v>39</v>
      </c>
      <c r="S1142">
        <v>83</v>
      </c>
      <c r="T1142">
        <v>50</v>
      </c>
      <c r="U1142">
        <v>64</v>
      </c>
    </row>
    <row r="1143" spans="1:21" x14ac:dyDescent="0.35">
      <c r="A1143" t="s">
        <v>21</v>
      </c>
      <c r="B1143" s="1">
        <v>44891</v>
      </c>
      <c r="C1143" t="s">
        <v>32</v>
      </c>
      <c r="D1143">
        <v>0</v>
      </c>
      <c r="E1143">
        <v>0</v>
      </c>
      <c r="F1143">
        <v>0</v>
      </c>
      <c r="G1143">
        <v>0</v>
      </c>
      <c r="H1143">
        <v>0</v>
      </c>
      <c r="I1143">
        <v>0</v>
      </c>
      <c r="J1143">
        <v>0</v>
      </c>
      <c r="K1143">
        <v>0</v>
      </c>
      <c r="L1143">
        <v>0</v>
      </c>
      <c r="M1143">
        <v>0</v>
      </c>
      <c r="N1143">
        <v>162642</v>
      </c>
      <c r="O1143">
        <v>0</v>
      </c>
      <c r="P1143">
        <v>0</v>
      </c>
      <c r="Q1143">
        <v>0</v>
      </c>
      <c r="R1143">
        <v>0</v>
      </c>
      <c r="S1143">
        <v>0</v>
      </c>
      <c r="T1143">
        <v>0</v>
      </c>
      <c r="U1143">
        <v>4</v>
      </c>
    </row>
    <row r="1144" spans="1:21" x14ac:dyDescent="0.35">
      <c r="A1144" t="s">
        <v>26</v>
      </c>
      <c r="B1144" s="1">
        <v>44982</v>
      </c>
      <c r="C1144" t="s">
        <v>22</v>
      </c>
      <c r="D1144">
        <v>10.1</v>
      </c>
      <c r="E1144">
        <v>5</v>
      </c>
      <c r="F1144">
        <v>8.1999999999999993</v>
      </c>
      <c r="G1144">
        <v>2</v>
      </c>
      <c r="H1144">
        <v>1.2</v>
      </c>
      <c r="I1144">
        <v>12.9</v>
      </c>
      <c r="J1144">
        <v>8</v>
      </c>
      <c r="K1144">
        <v>5.7</v>
      </c>
      <c r="L1144">
        <v>1.6</v>
      </c>
      <c r="M1144">
        <v>2.2999999999999998</v>
      </c>
      <c r="N1144">
        <v>545222</v>
      </c>
      <c r="O1144">
        <v>857371</v>
      </c>
      <c r="P1144">
        <v>1040416</v>
      </c>
      <c r="Q1144">
        <v>55</v>
      </c>
      <c r="R1144">
        <v>43</v>
      </c>
      <c r="S1144">
        <v>85</v>
      </c>
      <c r="T1144">
        <v>999</v>
      </c>
      <c r="U1144">
        <v>999</v>
      </c>
    </row>
    <row r="1145" spans="1:21" x14ac:dyDescent="0.35">
      <c r="A1145" t="s">
        <v>21</v>
      </c>
      <c r="B1145" s="1">
        <v>44295</v>
      </c>
      <c r="C1145" t="s">
        <v>30</v>
      </c>
      <c r="D1145">
        <v>31.9</v>
      </c>
      <c r="E1145">
        <v>3.8</v>
      </c>
      <c r="F1145">
        <v>0</v>
      </c>
      <c r="G1145">
        <v>8.4</v>
      </c>
      <c r="H1145">
        <v>0</v>
      </c>
      <c r="I1145">
        <v>0</v>
      </c>
      <c r="J1145">
        <v>0</v>
      </c>
      <c r="K1145">
        <v>0</v>
      </c>
      <c r="L1145">
        <v>0</v>
      </c>
      <c r="M1145">
        <v>0</v>
      </c>
      <c r="N1145">
        <v>31387</v>
      </c>
      <c r="O1145">
        <v>53047</v>
      </c>
      <c r="P1145">
        <v>0</v>
      </c>
      <c r="Q1145">
        <v>10</v>
      </c>
      <c r="R1145">
        <v>2</v>
      </c>
      <c r="S1145">
        <v>0</v>
      </c>
      <c r="T1145">
        <v>80</v>
      </c>
      <c r="U1145">
        <v>200</v>
      </c>
    </row>
    <row r="1146" spans="1:21" x14ac:dyDescent="0.35">
      <c r="A1146" t="s">
        <v>28</v>
      </c>
      <c r="B1146" s="1">
        <v>44436</v>
      </c>
      <c r="C1146" t="s">
        <v>30</v>
      </c>
      <c r="D1146">
        <v>107.7</v>
      </c>
      <c r="E1146">
        <v>82.8</v>
      </c>
      <c r="F1146">
        <v>0</v>
      </c>
      <c r="G1146">
        <v>1.3</v>
      </c>
      <c r="H1146">
        <v>0</v>
      </c>
      <c r="I1146">
        <v>0</v>
      </c>
      <c r="J1146">
        <v>0</v>
      </c>
      <c r="K1146">
        <v>0</v>
      </c>
      <c r="L1146">
        <v>0</v>
      </c>
      <c r="M1146">
        <v>0</v>
      </c>
      <c r="N1146">
        <v>31562</v>
      </c>
      <c r="O1146">
        <v>53137</v>
      </c>
      <c r="P1146">
        <v>0</v>
      </c>
      <c r="Q1146">
        <v>34</v>
      </c>
      <c r="R1146">
        <v>44</v>
      </c>
      <c r="S1146">
        <v>0</v>
      </c>
      <c r="T1146">
        <v>80</v>
      </c>
      <c r="U1146">
        <v>200</v>
      </c>
    </row>
    <row r="1147" spans="1:21" x14ac:dyDescent="0.35">
      <c r="A1147" t="s">
        <v>26</v>
      </c>
      <c r="B1147" s="1">
        <v>44828</v>
      </c>
      <c r="C1147" t="s">
        <v>31</v>
      </c>
      <c r="D1147">
        <v>24.6</v>
      </c>
      <c r="E1147">
        <v>23</v>
      </c>
      <c r="F1147">
        <v>16.899999999999999</v>
      </c>
      <c r="G1147">
        <v>1.1000000000000001</v>
      </c>
      <c r="H1147">
        <v>1.5</v>
      </c>
      <c r="I1147">
        <v>0</v>
      </c>
      <c r="J1147">
        <v>0</v>
      </c>
      <c r="K1147">
        <v>0</v>
      </c>
      <c r="L1147">
        <v>0</v>
      </c>
      <c r="M1147">
        <v>0</v>
      </c>
      <c r="N1147">
        <v>44762</v>
      </c>
      <c r="O1147">
        <v>43407</v>
      </c>
      <c r="P1147">
        <v>171353</v>
      </c>
      <c r="Q1147">
        <v>11</v>
      </c>
      <c r="R1147">
        <v>10</v>
      </c>
      <c r="S1147">
        <v>29</v>
      </c>
      <c r="T1147">
        <v>65</v>
      </c>
      <c r="U1147">
        <v>79</v>
      </c>
    </row>
    <row r="1148" spans="1:21" x14ac:dyDescent="0.35">
      <c r="A1148" t="s">
        <v>26</v>
      </c>
      <c r="B1148" s="1">
        <v>44828</v>
      </c>
      <c r="C1148" t="s">
        <v>23</v>
      </c>
      <c r="D1148">
        <v>33</v>
      </c>
      <c r="E1148">
        <v>8.8000000000000007</v>
      </c>
      <c r="F1148">
        <v>6.9</v>
      </c>
      <c r="G1148">
        <v>3.8</v>
      </c>
      <c r="H1148">
        <v>4.8</v>
      </c>
      <c r="I1148">
        <v>0</v>
      </c>
      <c r="J1148">
        <v>0</v>
      </c>
      <c r="K1148">
        <v>0</v>
      </c>
      <c r="L1148">
        <v>0</v>
      </c>
      <c r="M1148">
        <v>0</v>
      </c>
      <c r="N1148">
        <v>39417</v>
      </c>
      <c r="O1148">
        <v>125139</v>
      </c>
      <c r="P1148">
        <v>246539</v>
      </c>
      <c r="Q1148">
        <v>13</v>
      </c>
      <c r="R1148">
        <v>11</v>
      </c>
      <c r="S1148">
        <v>17</v>
      </c>
      <c r="T1148">
        <v>50</v>
      </c>
      <c r="U1148">
        <v>64</v>
      </c>
    </row>
    <row r="1149" spans="1:21" x14ac:dyDescent="0.35">
      <c r="A1149" t="s">
        <v>28</v>
      </c>
      <c r="B1149" s="1">
        <v>44401</v>
      </c>
      <c r="C1149" t="s">
        <v>23</v>
      </c>
      <c r="D1149">
        <v>95.7</v>
      </c>
      <c r="E1149">
        <v>22.8</v>
      </c>
      <c r="F1149">
        <v>0</v>
      </c>
      <c r="G1149">
        <v>4.2</v>
      </c>
      <c r="H1149">
        <v>0</v>
      </c>
      <c r="I1149">
        <v>0</v>
      </c>
      <c r="J1149">
        <v>0</v>
      </c>
      <c r="K1149">
        <v>0</v>
      </c>
      <c r="L1149">
        <v>0</v>
      </c>
      <c r="M1149">
        <v>0</v>
      </c>
      <c r="N1149">
        <v>102426</v>
      </c>
      <c r="O1149">
        <v>311064</v>
      </c>
      <c r="P1149">
        <v>0</v>
      </c>
      <c r="Q1149">
        <v>98</v>
      </c>
      <c r="R1149">
        <v>71</v>
      </c>
      <c r="S1149">
        <v>0</v>
      </c>
      <c r="T1149">
        <v>50</v>
      </c>
      <c r="U1149">
        <v>64</v>
      </c>
    </row>
    <row r="1150" spans="1:21" x14ac:dyDescent="0.35">
      <c r="A1150" t="s">
        <v>26</v>
      </c>
      <c r="B1150" s="1">
        <v>44358</v>
      </c>
      <c r="C1150" t="s">
        <v>24</v>
      </c>
      <c r="D1150">
        <v>2</v>
      </c>
      <c r="E1150">
        <v>0</v>
      </c>
      <c r="F1150">
        <v>0</v>
      </c>
      <c r="G1150">
        <v>0</v>
      </c>
      <c r="H1150">
        <v>0</v>
      </c>
      <c r="I1150">
        <v>0</v>
      </c>
      <c r="J1150">
        <v>0</v>
      </c>
      <c r="K1150">
        <v>0</v>
      </c>
      <c r="L1150">
        <v>0</v>
      </c>
      <c r="M1150">
        <v>0</v>
      </c>
      <c r="N1150">
        <v>204950</v>
      </c>
      <c r="O1150">
        <v>0</v>
      </c>
      <c r="P1150">
        <v>0</v>
      </c>
      <c r="Q1150">
        <v>4</v>
      </c>
      <c r="R1150">
        <v>0</v>
      </c>
      <c r="S1150">
        <v>0</v>
      </c>
      <c r="T1150">
        <v>5</v>
      </c>
      <c r="U1150">
        <v>11</v>
      </c>
    </row>
    <row r="1151" spans="1:21" x14ac:dyDescent="0.35">
      <c r="A1151" t="s">
        <v>28</v>
      </c>
      <c r="B1151" s="1">
        <v>44358</v>
      </c>
      <c r="C1151" t="s">
        <v>24</v>
      </c>
      <c r="D1151">
        <v>178.1</v>
      </c>
      <c r="E1151">
        <v>0</v>
      </c>
      <c r="F1151">
        <v>0</v>
      </c>
      <c r="G1151">
        <v>0</v>
      </c>
      <c r="H1151">
        <v>0</v>
      </c>
      <c r="I1151">
        <v>0</v>
      </c>
      <c r="J1151">
        <v>0</v>
      </c>
      <c r="K1151">
        <v>0</v>
      </c>
      <c r="L1151">
        <v>0</v>
      </c>
      <c r="M1151">
        <v>0</v>
      </c>
      <c r="N1151">
        <v>204950</v>
      </c>
      <c r="O1151">
        <v>0</v>
      </c>
      <c r="P1151">
        <v>0</v>
      </c>
      <c r="Q1151">
        <v>365</v>
      </c>
      <c r="R1151">
        <v>0</v>
      </c>
      <c r="S1151">
        <v>0</v>
      </c>
      <c r="T1151">
        <v>5</v>
      </c>
      <c r="U1151">
        <v>11</v>
      </c>
    </row>
    <row r="1152" spans="1:21" x14ac:dyDescent="0.35">
      <c r="A1152" t="s">
        <v>26</v>
      </c>
      <c r="B1152" s="1">
        <v>44947</v>
      </c>
      <c r="C1152" t="s">
        <v>32</v>
      </c>
      <c r="D1152">
        <v>1.2</v>
      </c>
      <c r="E1152">
        <v>0</v>
      </c>
      <c r="F1152">
        <v>0</v>
      </c>
      <c r="G1152">
        <v>0</v>
      </c>
      <c r="H1152">
        <v>0</v>
      </c>
      <c r="I1152">
        <v>0</v>
      </c>
      <c r="J1152">
        <v>0</v>
      </c>
      <c r="K1152">
        <v>0</v>
      </c>
      <c r="L1152">
        <v>0</v>
      </c>
      <c r="M1152">
        <v>0</v>
      </c>
      <c r="N1152">
        <v>162642</v>
      </c>
      <c r="O1152">
        <v>0</v>
      </c>
      <c r="P1152">
        <v>0</v>
      </c>
      <c r="Q1152">
        <v>2</v>
      </c>
      <c r="R1152">
        <v>0</v>
      </c>
      <c r="S1152">
        <v>0</v>
      </c>
      <c r="T1152">
        <v>0</v>
      </c>
      <c r="U1152">
        <v>4</v>
      </c>
    </row>
    <row r="1153" spans="1:21" x14ac:dyDescent="0.35">
      <c r="A1153" t="s">
        <v>21</v>
      </c>
      <c r="B1153" s="1">
        <v>45117</v>
      </c>
      <c r="C1153" t="s">
        <v>24</v>
      </c>
      <c r="D1153">
        <v>0</v>
      </c>
      <c r="E1153">
        <v>0</v>
      </c>
      <c r="F1153">
        <v>0</v>
      </c>
      <c r="G1153">
        <v>0</v>
      </c>
      <c r="H1153">
        <v>0</v>
      </c>
      <c r="I1153">
        <v>0</v>
      </c>
      <c r="J1153">
        <v>0</v>
      </c>
      <c r="K1153">
        <v>0</v>
      </c>
      <c r="L1153">
        <v>0</v>
      </c>
      <c r="M1153">
        <v>0</v>
      </c>
      <c r="N1153">
        <v>89345</v>
      </c>
      <c r="O1153">
        <v>82666</v>
      </c>
      <c r="P1153">
        <v>21271</v>
      </c>
      <c r="Q1153">
        <v>0</v>
      </c>
      <c r="R1153">
        <v>0</v>
      </c>
      <c r="S1153">
        <v>0</v>
      </c>
      <c r="T1153">
        <v>5</v>
      </c>
      <c r="U1153">
        <v>11</v>
      </c>
    </row>
    <row r="1154" spans="1:21" x14ac:dyDescent="0.35">
      <c r="A1154" t="s">
        <v>26</v>
      </c>
      <c r="B1154" s="1">
        <v>44413</v>
      </c>
      <c r="C1154" t="s">
        <v>30</v>
      </c>
      <c r="D1154">
        <v>71.599999999999994</v>
      </c>
      <c r="E1154">
        <v>2.2999999999999998</v>
      </c>
      <c r="F1154">
        <v>0</v>
      </c>
      <c r="G1154">
        <v>31.1</v>
      </c>
      <c r="H1154">
        <v>0</v>
      </c>
      <c r="I1154">
        <v>0</v>
      </c>
      <c r="J1154">
        <v>0</v>
      </c>
      <c r="K1154">
        <v>0</v>
      </c>
      <c r="L1154">
        <v>0</v>
      </c>
      <c r="M1154">
        <v>0</v>
      </c>
      <c r="N1154">
        <v>36289</v>
      </c>
      <c r="O1154">
        <v>44240</v>
      </c>
      <c r="P1154">
        <v>0</v>
      </c>
      <c r="Q1154">
        <v>26</v>
      </c>
      <c r="R1154">
        <v>1</v>
      </c>
      <c r="S1154">
        <v>0</v>
      </c>
      <c r="T1154">
        <v>80</v>
      </c>
      <c r="U1154">
        <v>200</v>
      </c>
    </row>
    <row r="1155" spans="1:21" x14ac:dyDescent="0.35">
      <c r="A1155" t="s">
        <v>21</v>
      </c>
      <c r="B1155" s="1">
        <v>44513</v>
      </c>
      <c r="C1155" t="s">
        <v>24</v>
      </c>
      <c r="D1155">
        <v>0</v>
      </c>
      <c r="E1155">
        <v>0</v>
      </c>
      <c r="F1155">
        <v>0</v>
      </c>
      <c r="G1155">
        <v>0</v>
      </c>
      <c r="H1155">
        <v>0</v>
      </c>
      <c r="I1155">
        <v>0</v>
      </c>
      <c r="J1155">
        <v>0</v>
      </c>
      <c r="K1155">
        <v>0</v>
      </c>
      <c r="L1155">
        <v>0</v>
      </c>
      <c r="M1155">
        <v>0</v>
      </c>
      <c r="N1155">
        <v>180456</v>
      </c>
      <c r="O1155">
        <v>0</v>
      </c>
      <c r="P1155">
        <v>0</v>
      </c>
      <c r="Q1155">
        <v>0</v>
      </c>
      <c r="R1155">
        <v>0</v>
      </c>
      <c r="S1155">
        <v>0</v>
      </c>
      <c r="T1155">
        <v>5</v>
      </c>
      <c r="U1155">
        <v>11</v>
      </c>
    </row>
    <row r="1156" spans="1:21" x14ac:dyDescent="0.35">
      <c r="A1156" t="s">
        <v>28</v>
      </c>
      <c r="B1156" s="1">
        <v>44298</v>
      </c>
      <c r="C1156" t="s">
        <v>30</v>
      </c>
      <c r="D1156">
        <v>188.7</v>
      </c>
      <c r="E1156">
        <v>178.1</v>
      </c>
      <c r="F1156">
        <v>34.700000000000003</v>
      </c>
      <c r="G1156">
        <v>1.1000000000000001</v>
      </c>
      <c r="H1156">
        <v>5.4</v>
      </c>
      <c r="I1156">
        <v>0</v>
      </c>
      <c r="J1156">
        <v>0</v>
      </c>
      <c r="K1156">
        <v>0</v>
      </c>
      <c r="L1156">
        <v>0</v>
      </c>
      <c r="M1156">
        <v>0</v>
      </c>
      <c r="N1156">
        <v>28623</v>
      </c>
      <c r="O1156">
        <v>29758</v>
      </c>
      <c r="P1156">
        <v>25961</v>
      </c>
      <c r="Q1156">
        <v>54</v>
      </c>
      <c r="R1156">
        <v>53</v>
      </c>
      <c r="S1156">
        <v>9</v>
      </c>
      <c r="T1156">
        <v>80</v>
      </c>
      <c r="U1156">
        <v>200</v>
      </c>
    </row>
    <row r="1157" spans="1:21" x14ac:dyDescent="0.35">
      <c r="A1157" t="s">
        <v>28</v>
      </c>
      <c r="B1157" s="1">
        <v>44345</v>
      </c>
      <c r="C1157" t="s">
        <v>32</v>
      </c>
      <c r="D1157">
        <v>25.8</v>
      </c>
      <c r="E1157">
        <v>0</v>
      </c>
      <c r="F1157">
        <v>0</v>
      </c>
      <c r="G1157">
        <v>0</v>
      </c>
      <c r="H1157">
        <v>0</v>
      </c>
      <c r="I1157">
        <v>0</v>
      </c>
      <c r="J1157">
        <v>0</v>
      </c>
      <c r="K1157">
        <v>0</v>
      </c>
      <c r="L1157">
        <v>0</v>
      </c>
      <c r="M1157">
        <v>0</v>
      </c>
      <c r="N1157">
        <v>162642</v>
      </c>
      <c r="O1157">
        <v>0</v>
      </c>
      <c r="P1157">
        <v>0</v>
      </c>
      <c r="Q1157">
        <v>42</v>
      </c>
      <c r="R1157">
        <v>0</v>
      </c>
      <c r="S1157">
        <v>0</v>
      </c>
      <c r="T1157">
        <v>0</v>
      </c>
      <c r="U1157">
        <v>4</v>
      </c>
    </row>
    <row r="1158" spans="1:21" x14ac:dyDescent="0.35">
      <c r="A1158" t="s">
        <v>28</v>
      </c>
      <c r="B1158" s="1">
        <v>44394</v>
      </c>
      <c r="C1158" t="s">
        <v>30</v>
      </c>
      <c r="D1158">
        <v>24.2</v>
      </c>
      <c r="E1158">
        <v>0</v>
      </c>
      <c r="F1158">
        <v>0</v>
      </c>
      <c r="G1158">
        <v>0</v>
      </c>
      <c r="H1158">
        <v>0</v>
      </c>
      <c r="I1158">
        <v>0</v>
      </c>
      <c r="J1158">
        <v>0</v>
      </c>
      <c r="K1158">
        <v>0</v>
      </c>
      <c r="L1158">
        <v>0</v>
      </c>
      <c r="M1158">
        <v>0</v>
      </c>
      <c r="N1158">
        <v>33027</v>
      </c>
      <c r="O1158">
        <v>51912</v>
      </c>
      <c r="P1158">
        <v>0</v>
      </c>
      <c r="Q1158">
        <v>8</v>
      </c>
      <c r="R1158">
        <v>0</v>
      </c>
      <c r="S1158">
        <v>0</v>
      </c>
      <c r="T1158">
        <v>80</v>
      </c>
      <c r="U1158">
        <v>200</v>
      </c>
    </row>
    <row r="1159" spans="1:21" x14ac:dyDescent="0.35">
      <c r="A1159" t="s">
        <v>26</v>
      </c>
      <c r="B1159" s="1">
        <v>44366</v>
      </c>
      <c r="C1159" t="s">
        <v>30</v>
      </c>
      <c r="D1159">
        <v>3</v>
      </c>
      <c r="E1159">
        <v>0</v>
      </c>
      <c r="F1159">
        <v>0</v>
      </c>
      <c r="G1159">
        <v>0</v>
      </c>
      <c r="H1159">
        <v>0</v>
      </c>
      <c r="I1159">
        <v>0</v>
      </c>
      <c r="J1159">
        <v>0</v>
      </c>
      <c r="K1159">
        <v>0</v>
      </c>
      <c r="L1159">
        <v>0</v>
      </c>
      <c r="M1159">
        <v>0</v>
      </c>
      <c r="N1159">
        <v>33852</v>
      </c>
      <c r="O1159">
        <v>50423</v>
      </c>
      <c r="P1159">
        <v>0</v>
      </c>
      <c r="Q1159">
        <v>1</v>
      </c>
      <c r="R1159">
        <v>0</v>
      </c>
      <c r="S1159">
        <v>0</v>
      </c>
      <c r="T1159">
        <v>80</v>
      </c>
      <c r="U1159">
        <v>200</v>
      </c>
    </row>
    <row r="1160" spans="1:21" x14ac:dyDescent="0.35">
      <c r="A1160" t="s">
        <v>21</v>
      </c>
      <c r="B1160" s="1">
        <v>45003</v>
      </c>
      <c r="C1160" t="s">
        <v>32</v>
      </c>
      <c r="D1160">
        <v>0</v>
      </c>
      <c r="E1160">
        <v>0</v>
      </c>
      <c r="F1160">
        <v>0</v>
      </c>
      <c r="G1160">
        <v>0</v>
      </c>
      <c r="H1160">
        <v>0</v>
      </c>
      <c r="I1160">
        <v>0</v>
      </c>
      <c r="J1160">
        <v>0</v>
      </c>
      <c r="K1160">
        <v>0</v>
      </c>
      <c r="L1160">
        <v>0</v>
      </c>
      <c r="M1160">
        <v>0</v>
      </c>
      <c r="N1160">
        <v>162642</v>
      </c>
      <c r="O1160">
        <v>0</v>
      </c>
      <c r="P1160">
        <v>0</v>
      </c>
      <c r="Q1160">
        <v>0</v>
      </c>
      <c r="R1160">
        <v>0</v>
      </c>
      <c r="S1160">
        <v>0</v>
      </c>
      <c r="T1160">
        <v>0</v>
      </c>
      <c r="U1160">
        <v>4</v>
      </c>
    </row>
    <row r="1161" spans="1:21" x14ac:dyDescent="0.35">
      <c r="A1161" t="s">
        <v>26</v>
      </c>
      <c r="B1161" s="1">
        <v>44385</v>
      </c>
      <c r="C1161" t="s">
        <v>30</v>
      </c>
      <c r="D1161">
        <v>34.1</v>
      </c>
      <c r="E1161">
        <v>15.2</v>
      </c>
      <c r="F1161">
        <v>0</v>
      </c>
      <c r="G1161">
        <v>2.2000000000000002</v>
      </c>
      <c r="H1161">
        <v>0</v>
      </c>
      <c r="I1161">
        <v>0</v>
      </c>
      <c r="J1161">
        <v>0</v>
      </c>
      <c r="K1161">
        <v>0</v>
      </c>
      <c r="L1161">
        <v>0</v>
      </c>
      <c r="M1161">
        <v>0</v>
      </c>
      <c r="N1161">
        <v>32284</v>
      </c>
      <c r="O1161">
        <v>52589</v>
      </c>
      <c r="P1161">
        <v>0</v>
      </c>
      <c r="Q1161">
        <v>11</v>
      </c>
      <c r="R1161">
        <v>8</v>
      </c>
      <c r="S1161">
        <v>0</v>
      </c>
      <c r="T1161">
        <v>80</v>
      </c>
      <c r="U1161">
        <v>200</v>
      </c>
    </row>
    <row r="1162" spans="1:21" x14ac:dyDescent="0.35">
      <c r="A1162" t="s">
        <v>28</v>
      </c>
      <c r="B1162" s="1">
        <v>45038</v>
      </c>
      <c r="C1162" t="s">
        <v>32</v>
      </c>
      <c r="D1162">
        <v>29.5</v>
      </c>
      <c r="E1162">
        <v>1.8</v>
      </c>
      <c r="F1162">
        <v>0</v>
      </c>
      <c r="G1162">
        <v>16.399999999999999</v>
      </c>
      <c r="H1162">
        <v>0</v>
      </c>
      <c r="I1162">
        <v>0</v>
      </c>
      <c r="J1162">
        <v>0</v>
      </c>
      <c r="K1162">
        <v>0</v>
      </c>
      <c r="L1162">
        <v>0</v>
      </c>
      <c r="M1162">
        <v>0</v>
      </c>
      <c r="N1162">
        <v>162642</v>
      </c>
      <c r="O1162">
        <v>0</v>
      </c>
      <c r="P1162">
        <v>0</v>
      </c>
      <c r="Q1162">
        <v>48</v>
      </c>
      <c r="R1162">
        <v>3</v>
      </c>
      <c r="S1162">
        <v>0</v>
      </c>
      <c r="T1162">
        <v>0</v>
      </c>
      <c r="U1162">
        <v>4</v>
      </c>
    </row>
    <row r="1163" spans="1:21" x14ac:dyDescent="0.35">
      <c r="A1163" t="s">
        <v>28</v>
      </c>
      <c r="B1163" s="1">
        <v>45241</v>
      </c>
      <c r="C1163" t="s">
        <v>32</v>
      </c>
      <c r="D1163">
        <v>43.7</v>
      </c>
      <c r="E1163">
        <v>2.5</v>
      </c>
      <c r="F1163">
        <v>0</v>
      </c>
      <c r="G1163">
        <v>17.5</v>
      </c>
      <c r="H1163">
        <v>0</v>
      </c>
      <c r="I1163">
        <v>0</v>
      </c>
      <c r="J1163">
        <v>0</v>
      </c>
      <c r="K1163">
        <v>0</v>
      </c>
      <c r="L1163">
        <v>0</v>
      </c>
      <c r="M1163">
        <v>0</v>
      </c>
      <c r="N1163">
        <v>162642</v>
      </c>
      <c r="O1163">
        <v>0</v>
      </c>
      <c r="P1163">
        <v>0</v>
      </c>
      <c r="Q1163">
        <v>71</v>
      </c>
      <c r="R1163">
        <v>4</v>
      </c>
      <c r="S1163">
        <v>0</v>
      </c>
      <c r="T1163">
        <v>0</v>
      </c>
      <c r="U1163">
        <v>4</v>
      </c>
    </row>
    <row r="1164" spans="1:21" x14ac:dyDescent="0.35">
      <c r="A1164" t="s">
        <v>26</v>
      </c>
      <c r="B1164" s="1">
        <v>44856</v>
      </c>
      <c r="C1164" t="s">
        <v>32</v>
      </c>
      <c r="D1164">
        <v>3.7</v>
      </c>
      <c r="E1164">
        <v>0</v>
      </c>
      <c r="F1164">
        <v>0</v>
      </c>
      <c r="G1164">
        <v>0</v>
      </c>
      <c r="H1164">
        <v>0</v>
      </c>
      <c r="I1164">
        <v>0</v>
      </c>
      <c r="J1164">
        <v>0</v>
      </c>
      <c r="K1164">
        <v>0</v>
      </c>
      <c r="L1164">
        <v>0</v>
      </c>
      <c r="M1164">
        <v>0</v>
      </c>
      <c r="N1164">
        <v>162642</v>
      </c>
      <c r="O1164">
        <v>0</v>
      </c>
      <c r="P1164">
        <v>0</v>
      </c>
      <c r="Q1164">
        <v>6</v>
      </c>
      <c r="R1164">
        <v>0</v>
      </c>
      <c r="S1164">
        <v>0</v>
      </c>
      <c r="T1164">
        <v>0</v>
      </c>
      <c r="U1164">
        <v>4</v>
      </c>
    </row>
    <row r="1165" spans="1:21" x14ac:dyDescent="0.35">
      <c r="A1165" t="s">
        <v>26</v>
      </c>
      <c r="B1165" s="1">
        <v>45038</v>
      </c>
      <c r="C1165" t="s">
        <v>27</v>
      </c>
      <c r="D1165">
        <v>3.1</v>
      </c>
      <c r="E1165">
        <v>0</v>
      </c>
      <c r="F1165">
        <v>0</v>
      </c>
      <c r="G1165">
        <v>0</v>
      </c>
      <c r="H1165">
        <v>0</v>
      </c>
      <c r="I1165">
        <v>0</v>
      </c>
      <c r="J1165">
        <v>0</v>
      </c>
      <c r="K1165">
        <v>0</v>
      </c>
      <c r="L1165">
        <v>0</v>
      </c>
      <c r="M1165">
        <v>0</v>
      </c>
      <c r="N1165">
        <v>32777</v>
      </c>
      <c r="O1165">
        <v>86544</v>
      </c>
      <c r="P1165">
        <v>44574</v>
      </c>
      <c r="Q1165">
        <v>1</v>
      </c>
      <c r="R1165">
        <v>0</v>
      </c>
      <c r="S1165">
        <v>0</v>
      </c>
      <c r="T1165">
        <v>12</v>
      </c>
      <c r="U1165">
        <v>17</v>
      </c>
    </row>
    <row r="1166" spans="1:21" x14ac:dyDescent="0.35">
      <c r="A1166" t="s">
        <v>26</v>
      </c>
      <c r="B1166" s="1">
        <v>44730</v>
      </c>
      <c r="C1166" t="s">
        <v>32</v>
      </c>
      <c r="D1166">
        <v>4.3</v>
      </c>
      <c r="E1166">
        <v>0</v>
      </c>
      <c r="F1166">
        <v>0</v>
      </c>
      <c r="G1166">
        <v>0</v>
      </c>
      <c r="H1166">
        <v>0</v>
      </c>
      <c r="I1166">
        <v>0</v>
      </c>
      <c r="J1166">
        <v>0</v>
      </c>
      <c r="K1166">
        <v>0</v>
      </c>
      <c r="L1166">
        <v>0</v>
      </c>
      <c r="M1166">
        <v>0</v>
      </c>
      <c r="N1166">
        <v>162642</v>
      </c>
      <c r="O1166">
        <v>0</v>
      </c>
      <c r="P1166">
        <v>0</v>
      </c>
      <c r="Q1166">
        <v>7</v>
      </c>
      <c r="R1166">
        <v>0</v>
      </c>
      <c r="S1166">
        <v>0</v>
      </c>
      <c r="T1166">
        <v>0</v>
      </c>
      <c r="U1166">
        <v>4</v>
      </c>
    </row>
    <row r="1167" spans="1:21" x14ac:dyDescent="0.35">
      <c r="A1167" t="s">
        <v>21</v>
      </c>
      <c r="B1167" s="1">
        <v>44596</v>
      </c>
      <c r="C1167" t="s">
        <v>30</v>
      </c>
      <c r="D1167">
        <v>0</v>
      </c>
      <c r="E1167">
        <v>0</v>
      </c>
      <c r="F1167">
        <v>0</v>
      </c>
      <c r="G1167">
        <v>0</v>
      </c>
      <c r="H1167">
        <v>0</v>
      </c>
      <c r="I1167">
        <v>0</v>
      </c>
      <c r="J1167">
        <v>0</v>
      </c>
      <c r="K1167">
        <v>0</v>
      </c>
      <c r="L1167">
        <v>0</v>
      </c>
      <c r="M1167">
        <v>0</v>
      </c>
      <c r="N1167">
        <v>27040</v>
      </c>
      <c r="O1167">
        <v>13879</v>
      </c>
      <c r="P1167">
        <v>43312</v>
      </c>
      <c r="Q1167">
        <v>0</v>
      </c>
      <c r="R1167">
        <v>0</v>
      </c>
      <c r="S1167">
        <v>0</v>
      </c>
      <c r="T1167">
        <v>80</v>
      </c>
      <c r="U1167">
        <v>200</v>
      </c>
    </row>
    <row r="1168" spans="1:21" x14ac:dyDescent="0.35">
      <c r="A1168" t="s">
        <v>28</v>
      </c>
      <c r="B1168" s="1">
        <v>44237</v>
      </c>
      <c r="C1168" t="s">
        <v>32</v>
      </c>
      <c r="D1168">
        <v>60.3</v>
      </c>
      <c r="E1168">
        <v>0</v>
      </c>
      <c r="F1168">
        <v>0</v>
      </c>
      <c r="G1168">
        <v>0</v>
      </c>
      <c r="H1168">
        <v>0</v>
      </c>
      <c r="I1168">
        <v>0</v>
      </c>
      <c r="J1168">
        <v>0</v>
      </c>
      <c r="K1168">
        <v>0</v>
      </c>
      <c r="L1168">
        <v>0</v>
      </c>
      <c r="M1168">
        <v>0</v>
      </c>
      <c r="N1168">
        <v>162642</v>
      </c>
      <c r="O1168">
        <v>0</v>
      </c>
      <c r="P1168">
        <v>0</v>
      </c>
      <c r="Q1168">
        <v>98</v>
      </c>
      <c r="R1168">
        <v>0</v>
      </c>
      <c r="S1168">
        <v>0</v>
      </c>
      <c r="T1168">
        <v>0</v>
      </c>
      <c r="U1168">
        <v>4</v>
      </c>
    </row>
    <row r="1169" spans="1:21" x14ac:dyDescent="0.35">
      <c r="A1169" t="s">
        <v>28</v>
      </c>
      <c r="B1169" s="1">
        <v>45157</v>
      </c>
      <c r="C1169" t="s">
        <v>24</v>
      </c>
      <c r="D1169">
        <v>16.7</v>
      </c>
      <c r="E1169">
        <v>9.6999999999999993</v>
      </c>
      <c r="F1169">
        <v>14.1</v>
      </c>
      <c r="G1169">
        <v>1.7</v>
      </c>
      <c r="H1169">
        <v>1.2</v>
      </c>
      <c r="I1169">
        <v>0</v>
      </c>
      <c r="J1169">
        <v>0</v>
      </c>
      <c r="K1169">
        <v>0</v>
      </c>
      <c r="L1169">
        <v>0</v>
      </c>
      <c r="M1169">
        <v>0</v>
      </c>
      <c r="N1169">
        <v>89655</v>
      </c>
      <c r="O1169">
        <v>82672</v>
      </c>
      <c r="P1169">
        <v>21262</v>
      </c>
      <c r="Q1169">
        <v>15</v>
      </c>
      <c r="R1169">
        <v>8</v>
      </c>
      <c r="S1169">
        <v>3</v>
      </c>
      <c r="T1169">
        <v>5</v>
      </c>
      <c r="U1169">
        <v>11</v>
      </c>
    </row>
    <row r="1170" spans="1:21" x14ac:dyDescent="0.35">
      <c r="A1170" t="s">
        <v>28</v>
      </c>
      <c r="B1170" s="1">
        <v>44975</v>
      </c>
      <c r="C1170" t="s">
        <v>25</v>
      </c>
      <c r="D1170">
        <v>162</v>
      </c>
      <c r="E1170">
        <v>52.5</v>
      </c>
      <c r="F1170">
        <v>66.8</v>
      </c>
      <c r="G1170">
        <v>3.1</v>
      </c>
      <c r="H1170">
        <v>2.4</v>
      </c>
      <c r="I1170">
        <v>0</v>
      </c>
      <c r="J1170">
        <v>0</v>
      </c>
      <c r="K1170">
        <v>0</v>
      </c>
      <c r="L1170">
        <v>0</v>
      </c>
      <c r="M1170">
        <v>0</v>
      </c>
      <c r="N1170">
        <v>77142</v>
      </c>
      <c r="O1170">
        <v>213438</v>
      </c>
      <c r="P1170">
        <v>161646</v>
      </c>
      <c r="Q1170">
        <v>125</v>
      </c>
      <c r="R1170">
        <v>112</v>
      </c>
      <c r="S1170">
        <v>108</v>
      </c>
      <c r="T1170">
        <v>18</v>
      </c>
      <c r="U1170">
        <v>29</v>
      </c>
    </row>
    <row r="1171" spans="1:21" x14ac:dyDescent="0.35">
      <c r="A1171" t="s">
        <v>28</v>
      </c>
      <c r="B1171" s="1">
        <v>45145</v>
      </c>
      <c r="C1171" t="s">
        <v>32</v>
      </c>
      <c r="D1171">
        <v>7.4</v>
      </c>
      <c r="E1171">
        <v>1.2</v>
      </c>
      <c r="F1171">
        <v>0</v>
      </c>
      <c r="G1171">
        <v>6.2</v>
      </c>
      <c r="H1171">
        <v>0</v>
      </c>
      <c r="I1171">
        <v>0</v>
      </c>
      <c r="J1171">
        <v>0</v>
      </c>
      <c r="K1171">
        <v>0</v>
      </c>
      <c r="L1171">
        <v>0</v>
      </c>
      <c r="M1171">
        <v>0</v>
      </c>
      <c r="N1171">
        <v>162642</v>
      </c>
      <c r="O1171">
        <v>0</v>
      </c>
      <c r="P1171">
        <v>0</v>
      </c>
      <c r="Q1171">
        <v>12</v>
      </c>
      <c r="R1171">
        <v>2</v>
      </c>
      <c r="S1171">
        <v>0</v>
      </c>
      <c r="T1171">
        <v>0</v>
      </c>
      <c r="U1171">
        <v>4</v>
      </c>
    </row>
    <row r="1172" spans="1:21" x14ac:dyDescent="0.35">
      <c r="A1172" t="s">
        <v>26</v>
      </c>
      <c r="B1172" s="1">
        <v>44897</v>
      </c>
      <c r="C1172" t="s">
        <v>23</v>
      </c>
      <c r="D1172">
        <v>37.6</v>
      </c>
      <c r="E1172">
        <v>5.2</v>
      </c>
      <c r="F1172">
        <v>3.8</v>
      </c>
      <c r="G1172">
        <v>7.2</v>
      </c>
      <c r="H1172">
        <v>9.9</v>
      </c>
      <c r="I1172">
        <v>0</v>
      </c>
      <c r="J1172">
        <v>0</v>
      </c>
      <c r="K1172">
        <v>0</v>
      </c>
      <c r="L1172">
        <v>0</v>
      </c>
      <c r="M1172">
        <v>0</v>
      </c>
      <c r="N1172">
        <v>47848</v>
      </c>
      <c r="O1172">
        <v>152527</v>
      </c>
      <c r="P1172">
        <v>208125</v>
      </c>
      <c r="Q1172">
        <v>18</v>
      </c>
      <c r="R1172">
        <v>8</v>
      </c>
      <c r="S1172">
        <v>8</v>
      </c>
      <c r="T1172">
        <v>50</v>
      </c>
      <c r="U1172">
        <v>64</v>
      </c>
    </row>
    <row r="1173" spans="1:21" x14ac:dyDescent="0.35">
      <c r="A1173" t="s">
        <v>21</v>
      </c>
      <c r="B1173" s="1">
        <v>44930</v>
      </c>
      <c r="C1173" t="s">
        <v>22</v>
      </c>
      <c r="D1173">
        <v>0.6</v>
      </c>
      <c r="E1173">
        <v>0.1</v>
      </c>
      <c r="F1173">
        <v>0.2</v>
      </c>
      <c r="G1173">
        <v>6</v>
      </c>
      <c r="H1173">
        <v>3</v>
      </c>
      <c r="I1173">
        <v>0.6</v>
      </c>
      <c r="J1173">
        <v>0.2</v>
      </c>
      <c r="K1173">
        <v>0.1</v>
      </c>
      <c r="L1173">
        <v>2.8</v>
      </c>
      <c r="M1173">
        <v>4.5999999999999996</v>
      </c>
      <c r="N1173">
        <v>541142</v>
      </c>
      <c r="O1173">
        <v>859045</v>
      </c>
      <c r="P1173">
        <v>1040539</v>
      </c>
      <c r="Q1173">
        <v>3</v>
      </c>
      <c r="R1173">
        <v>1</v>
      </c>
      <c r="S1173">
        <v>2</v>
      </c>
      <c r="T1173">
        <v>999</v>
      </c>
      <c r="U1173">
        <v>999</v>
      </c>
    </row>
    <row r="1174" spans="1:21" x14ac:dyDescent="0.35">
      <c r="A1174" t="s">
        <v>21</v>
      </c>
      <c r="B1174" s="1">
        <v>44366</v>
      </c>
      <c r="C1174" t="s">
        <v>30</v>
      </c>
      <c r="D1174">
        <v>0</v>
      </c>
      <c r="E1174">
        <v>0</v>
      </c>
      <c r="F1174">
        <v>0</v>
      </c>
      <c r="G1174">
        <v>0</v>
      </c>
      <c r="H1174">
        <v>0</v>
      </c>
      <c r="I1174">
        <v>0</v>
      </c>
      <c r="J1174">
        <v>0</v>
      </c>
      <c r="K1174">
        <v>0</v>
      </c>
      <c r="L1174">
        <v>0</v>
      </c>
      <c r="M1174">
        <v>0</v>
      </c>
      <c r="N1174">
        <v>33852</v>
      </c>
      <c r="O1174">
        <v>50423</v>
      </c>
      <c r="P1174">
        <v>0</v>
      </c>
      <c r="Q1174">
        <v>0</v>
      </c>
      <c r="R1174">
        <v>0</v>
      </c>
      <c r="S1174">
        <v>0</v>
      </c>
      <c r="T1174">
        <v>80</v>
      </c>
      <c r="U1174">
        <v>200</v>
      </c>
    </row>
    <row r="1175" spans="1:21" x14ac:dyDescent="0.35">
      <c r="A1175" t="s">
        <v>28</v>
      </c>
      <c r="B1175" s="1">
        <v>44843</v>
      </c>
      <c r="C1175" t="s">
        <v>23</v>
      </c>
      <c r="D1175">
        <v>356.7</v>
      </c>
      <c r="E1175">
        <v>93.4</v>
      </c>
      <c r="F1175">
        <v>150.69999999999999</v>
      </c>
      <c r="G1175">
        <v>3.8</v>
      </c>
      <c r="H1175">
        <v>2.4</v>
      </c>
      <c r="I1175">
        <v>0</v>
      </c>
      <c r="J1175">
        <v>0</v>
      </c>
      <c r="K1175">
        <v>0</v>
      </c>
      <c r="L1175">
        <v>0</v>
      </c>
      <c r="M1175">
        <v>0</v>
      </c>
      <c r="N1175">
        <v>40087</v>
      </c>
      <c r="O1175">
        <v>125285</v>
      </c>
      <c r="P1175">
        <v>246259</v>
      </c>
      <c r="Q1175">
        <v>143</v>
      </c>
      <c r="R1175">
        <v>117</v>
      </c>
      <c r="S1175">
        <v>371</v>
      </c>
      <c r="T1175">
        <v>50</v>
      </c>
      <c r="U1175">
        <v>64</v>
      </c>
    </row>
    <row r="1176" spans="1:21" x14ac:dyDescent="0.35">
      <c r="A1176" t="s">
        <v>21</v>
      </c>
      <c r="B1176" s="1">
        <v>44237</v>
      </c>
      <c r="C1176" t="s">
        <v>30</v>
      </c>
      <c r="D1176">
        <v>35.9</v>
      </c>
      <c r="E1176">
        <v>1.9</v>
      </c>
      <c r="F1176">
        <v>0</v>
      </c>
      <c r="G1176">
        <v>18.899999999999999</v>
      </c>
      <c r="H1176">
        <v>0</v>
      </c>
      <c r="I1176">
        <v>0</v>
      </c>
      <c r="J1176">
        <v>0</v>
      </c>
      <c r="K1176">
        <v>0</v>
      </c>
      <c r="L1176">
        <v>0</v>
      </c>
      <c r="M1176">
        <v>0</v>
      </c>
      <c r="N1176">
        <v>30671</v>
      </c>
      <c r="O1176">
        <v>52751</v>
      </c>
      <c r="P1176">
        <v>0</v>
      </c>
      <c r="Q1176">
        <v>11</v>
      </c>
      <c r="R1176">
        <v>1</v>
      </c>
      <c r="S1176">
        <v>0</v>
      </c>
      <c r="T1176">
        <v>80</v>
      </c>
      <c r="U1176">
        <v>200</v>
      </c>
    </row>
    <row r="1177" spans="1:21" x14ac:dyDescent="0.35">
      <c r="A1177" t="s">
        <v>28</v>
      </c>
      <c r="B1177" s="1">
        <v>45059</v>
      </c>
      <c r="C1177" t="s">
        <v>32</v>
      </c>
      <c r="D1177">
        <v>27.1</v>
      </c>
      <c r="E1177">
        <v>0.6</v>
      </c>
      <c r="F1177">
        <v>0</v>
      </c>
      <c r="G1177">
        <v>45.2</v>
      </c>
      <c r="H1177">
        <v>0</v>
      </c>
      <c r="I1177">
        <v>0</v>
      </c>
      <c r="J1177">
        <v>0</v>
      </c>
      <c r="K1177">
        <v>0</v>
      </c>
      <c r="L1177">
        <v>0</v>
      </c>
      <c r="M1177">
        <v>0</v>
      </c>
      <c r="N1177">
        <v>162642</v>
      </c>
      <c r="O1177">
        <v>0</v>
      </c>
      <c r="P1177">
        <v>0</v>
      </c>
      <c r="Q1177">
        <v>44</v>
      </c>
      <c r="R1177">
        <v>1</v>
      </c>
      <c r="S1177">
        <v>0</v>
      </c>
      <c r="T1177">
        <v>0</v>
      </c>
      <c r="U1177">
        <v>4</v>
      </c>
    </row>
    <row r="1178" spans="1:21" x14ac:dyDescent="0.35">
      <c r="A1178" t="s">
        <v>21</v>
      </c>
      <c r="B1178" s="1">
        <v>45220</v>
      </c>
      <c r="C1178" t="s">
        <v>32</v>
      </c>
      <c r="D1178">
        <v>0</v>
      </c>
      <c r="E1178">
        <v>0</v>
      </c>
      <c r="F1178">
        <v>0</v>
      </c>
      <c r="G1178">
        <v>0</v>
      </c>
      <c r="H1178">
        <v>0</v>
      </c>
      <c r="I1178">
        <v>0</v>
      </c>
      <c r="J1178">
        <v>0</v>
      </c>
      <c r="K1178">
        <v>0</v>
      </c>
      <c r="L1178">
        <v>0</v>
      </c>
      <c r="M1178">
        <v>0</v>
      </c>
      <c r="N1178">
        <v>162642</v>
      </c>
      <c r="O1178">
        <v>0</v>
      </c>
      <c r="P1178">
        <v>0</v>
      </c>
      <c r="Q1178">
        <v>0</v>
      </c>
      <c r="R1178">
        <v>0</v>
      </c>
      <c r="S1178">
        <v>0</v>
      </c>
      <c r="T1178">
        <v>0</v>
      </c>
      <c r="U1178">
        <v>4</v>
      </c>
    </row>
    <row r="1179" spans="1:21" x14ac:dyDescent="0.35">
      <c r="A1179" t="s">
        <v>28</v>
      </c>
      <c r="B1179" s="1">
        <v>45003</v>
      </c>
      <c r="C1179" t="s">
        <v>32</v>
      </c>
      <c r="D1179">
        <v>42.4</v>
      </c>
      <c r="E1179">
        <v>7.4</v>
      </c>
      <c r="F1179">
        <v>0</v>
      </c>
      <c r="G1179">
        <v>5.7</v>
      </c>
      <c r="H1179">
        <v>0</v>
      </c>
      <c r="I1179">
        <v>0</v>
      </c>
      <c r="J1179">
        <v>0</v>
      </c>
      <c r="K1179">
        <v>0</v>
      </c>
      <c r="L1179">
        <v>0</v>
      </c>
      <c r="M1179">
        <v>0</v>
      </c>
      <c r="N1179">
        <v>162642</v>
      </c>
      <c r="O1179">
        <v>0</v>
      </c>
      <c r="P1179">
        <v>0</v>
      </c>
      <c r="Q1179">
        <v>69</v>
      </c>
      <c r="R1179">
        <v>12</v>
      </c>
      <c r="S1179">
        <v>0</v>
      </c>
      <c r="T1179">
        <v>0</v>
      </c>
      <c r="U1179">
        <v>4</v>
      </c>
    </row>
    <row r="1180" spans="1:21" x14ac:dyDescent="0.35">
      <c r="A1180" t="s">
        <v>26</v>
      </c>
      <c r="B1180" s="1">
        <v>44295</v>
      </c>
      <c r="C1180" t="s">
        <v>30</v>
      </c>
      <c r="D1180">
        <v>31.9</v>
      </c>
      <c r="E1180">
        <v>28.3</v>
      </c>
      <c r="F1180">
        <v>0</v>
      </c>
      <c r="G1180">
        <v>1.1000000000000001</v>
      </c>
      <c r="H1180">
        <v>0</v>
      </c>
      <c r="I1180">
        <v>0</v>
      </c>
      <c r="J1180">
        <v>0</v>
      </c>
      <c r="K1180">
        <v>0</v>
      </c>
      <c r="L1180">
        <v>0</v>
      </c>
      <c r="M1180">
        <v>0</v>
      </c>
      <c r="N1180">
        <v>31387</v>
      </c>
      <c r="O1180">
        <v>53047</v>
      </c>
      <c r="P1180">
        <v>0</v>
      </c>
      <c r="Q1180">
        <v>10</v>
      </c>
      <c r="R1180">
        <v>15</v>
      </c>
      <c r="S1180">
        <v>0</v>
      </c>
      <c r="T1180">
        <v>80</v>
      </c>
      <c r="U1180">
        <v>200</v>
      </c>
    </row>
    <row r="1181" spans="1:21" x14ac:dyDescent="0.35">
      <c r="A1181" t="s">
        <v>26</v>
      </c>
      <c r="B1181" s="1">
        <v>44629</v>
      </c>
      <c r="C1181" t="s">
        <v>32</v>
      </c>
      <c r="D1181">
        <v>4.3</v>
      </c>
      <c r="E1181">
        <v>0.6</v>
      </c>
      <c r="F1181">
        <v>0</v>
      </c>
      <c r="G1181">
        <v>7.2</v>
      </c>
      <c r="H1181">
        <v>0</v>
      </c>
      <c r="I1181">
        <v>0</v>
      </c>
      <c r="J1181">
        <v>0</v>
      </c>
      <c r="K1181">
        <v>0</v>
      </c>
      <c r="L1181">
        <v>0</v>
      </c>
      <c r="M1181">
        <v>0</v>
      </c>
      <c r="N1181">
        <v>162642</v>
      </c>
      <c r="O1181">
        <v>0</v>
      </c>
      <c r="P1181">
        <v>0</v>
      </c>
      <c r="Q1181">
        <v>7</v>
      </c>
      <c r="R1181">
        <v>1</v>
      </c>
      <c r="S1181">
        <v>0</v>
      </c>
      <c r="T1181">
        <v>0</v>
      </c>
      <c r="U1181">
        <v>4</v>
      </c>
    </row>
    <row r="1182" spans="1:21" x14ac:dyDescent="0.35">
      <c r="A1182" t="s">
        <v>26</v>
      </c>
      <c r="B1182" s="1">
        <v>45136</v>
      </c>
      <c r="C1182" t="s">
        <v>32</v>
      </c>
      <c r="D1182">
        <v>0.6</v>
      </c>
      <c r="E1182">
        <v>0</v>
      </c>
      <c r="F1182">
        <v>0</v>
      </c>
      <c r="G1182">
        <v>0</v>
      </c>
      <c r="H1182">
        <v>0</v>
      </c>
      <c r="I1182">
        <v>0</v>
      </c>
      <c r="J1182">
        <v>0</v>
      </c>
      <c r="K1182">
        <v>0</v>
      </c>
      <c r="L1182">
        <v>0</v>
      </c>
      <c r="M1182">
        <v>0</v>
      </c>
      <c r="N1182">
        <v>162642</v>
      </c>
      <c r="O1182">
        <v>0</v>
      </c>
      <c r="P1182">
        <v>0</v>
      </c>
      <c r="Q1182">
        <v>1</v>
      </c>
      <c r="R1182">
        <v>0</v>
      </c>
      <c r="S1182">
        <v>0</v>
      </c>
      <c r="T1182">
        <v>0</v>
      </c>
      <c r="U1182">
        <v>4</v>
      </c>
    </row>
    <row r="1183" spans="1:21" x14ac:dyDescent="0.35">
      <c r="A1183" t="s">
        <v>26</v>
      </c>
      <c r="B1183" s="1">
        <v>44912</v>
      </c>
      <c r="C1183" t="s">
        <v>32</v>
      </c>
      <c r="D1183">
        <v>7.4</v>
      </c>
      <c r="E1183">
        <v>0</v>
      </c>
      <c r="F1183">
        <v>0</v>
      </c>
      <c r="G1183">
        <v>0</v>
      </c>
      <c r="H1183">
        <v>0</v>
      </c>
      <c r="I1183">
        <v>0</v>
      </c>
      <c r="J1183">
        <v>0</v>
      </c>
      <c r="K1183">
        <v>0</v>
      </c>
      <c r="L1183">
        <v>0</v>
      </c>
      <c r="M1183">
        <v>0</v>
      </c>
      <c r="N1183">
        <v>162642</v>
      </c>
      <c r="O1183">
        <v>0</v>
      </c>
      <c r="P1183">
        <v>0</v>
      </c>
      <c r="Q1183">
        <v>12</v>
      </c>
      <c r="R1183">
        <v>0</v>
      </c>
      <c r="S1183">
        <v>0</v>
      </c>
      <c r="T1183">
        <v>0</v>
      </c>
      <c r="U1183">
        <v>4</v>
      </c>
    </row>
    <row r="1184" spans="1:21" x14ac:dyDescent="0.35">
      <c r="A1184" t="s">
        <v>21</v>
      </c>
      <c r="B1184" s="1">
        <v>44536</v>
      </c>
      <c r="C1184" t="s">
        <v>30</v>
      </c>
      <c r="D1184">
        <v>5.9</v>
      </c>
      <c r="E1184">
        <v>4</v>
      </c>
      <c r="F1184">
        <v>0</v>
      </c>
      <c r="G1184">
        <v>1.5</v>
      </c>
      <c r="H1184">
        <v>0</v>
      </c>
      <c r="I1184">
        <v>0</v>
      </c>
      <c r="J1184">
        <v>0</v>
      </c>
      <c r="K1184">
        <v>0</v>
      </c>
      <c r="L1184">
        <v>0</v>
      </c>
      <c r="M1184">
        <v>0</v>
      </c>
      <c r="N1184">
        <v>34140</v>
      </c>
      <c r="O1184">
        <v>49948</v>
      </c>
      <c r="P1184">
        <v>0</v>
      </c>
      <c r="Q1184">
        <v>2</v>
      </c>
      <c r="R1184">
        <v>2</v>
      </c>
      <c r="S1184">
        <v>0</v>
      </c>
      <c r="T1184">
        <v>80</v>
      </c>
      <c r="U1184">
        <v>200</v>
      </c>
    </row>
    <row r="1185" spans="1:21" x14ac:dyDescent="0.35">
      <c r="A1185" t="s">
        <v>21</v>
      </c>
      <c r="B1185" s="1">
        <v>44793</v>
      </c>
      <c r="C1185" t="s">
        <v>32</v>
      </c>
      <c r="D1185">
        <v>0</v>
      </c>
      <c r="E1185">
        <v>0</v>
      </c>
      <c r="F1185">
        <v>0</v>
      </c>
      <c r="G1185">
        <v>0</v>
      </c>
      <c r="H1185">
        <v>0</v>
      </c>
      <c r="I1185">
        <v>0</v>
      </c>
      <c r="J1185">
        <v>0</v>
      </c>
      <c r="K1185">
        <v>0</v>
      </c>
      <c r="L1185">
        <v>0</v>
      </c>
      <c r="M1185">
        <v>0</v>
      </c>
      <c r="N1185">
        <v>162642</v>
      </c>
      <c r="O1185">
        <v>0</v>
      </c>
      <c r="P1185">
        <v>0</v>
      </c>
      <c r="Q1185">
        <v>0</v>
      </c>
      <c r="R1185">
        <v>0</v>
      </c>
      <c r="S1185">
        <v>0</v>
      </c>
      <c r="T1185">
        <v>0</v>
      </c>
      <c r="U1185">
        <v>4</v>
      </c>
    </row>
    <row r="1186" spans="1:21" x14ac:dyDescent="0.35">
      <c r="A1186" t="s">
        <v>21</v>
      </c>
      <c r="B1186" s="1">
        <v>44422</v>
      </c>
      <c r="C1186" t="s">
        <v>30</v>
      </c>
      <c r="D1186">
        <v>6.2</v>
      </c>
      <c r="E1186">
        <v>0</v>
      </c>
      <c r="F1186">
        <v>0</v>
      </c>
      <c r="G1186">
        <v>0</v>
      </c>
      <c r="H1186">
        <v>0</v>
      </c>
      <c r="I1186">
        <v>0</v>
      </c>
      <c r="J1186">
        <v>0</v>
      </c>
      <c r="K1186">
        <v>0</v>
      </c>
      <c r="L1186">
        <v>0</v>
      </c>
      <c r="M1186">
        <v>0</v>
      </c>
      <c r="N1186">
        <v>32042</v>
      </c>
      <c r="O1186">
        <v>52760</v>
      </c>
      <c r="P1186">
        <v>0</v>
      </c>
      <c r="Q1186">
        <v>2</v>
      </c>
      <c r="R1186">
        <v>0</v>
      </c>
      <c r="S1186">
        <v>0</v>
      </c>
      <c r="T1186">
        <v>80</v>
      </c>
      <c r="U1186">
        <v>200</v>
      </c>
    </row>
    <row r="1187" spans="1:21" x14ac:dyDescent="0.35">
      <c r="A1187" t="s">
        <v>26</v>
      </c>
      <c r="B1187" s="1">
        <v>44954</v>
      </c>
      <c r="C1187" t="s">
        <v>25</v>
      </c>
      <c r="D1187">
        <v>10.3</v>
      </c>
      <c r="E1187">
        <v>1.4</v>
      </c>
      <c r="F1187">
        <v>0.6</v>
      </c>
      <c r="G1187">
        <v>7.4</v>
      </c>
      <c r="H1187">
        <v>17.2</v>
      </c>
      <c r="I1187">
        <v>0</v>
      </c>
      <c r="J1187">
        <v>0</v>
      </c>
      <c r="K1187">
        <v>0</v>
      </c>
      <c r="L1187">
        <v>0</v>
      </c>
      <c r="M1187">
        <v>0</v>
      </c>
      <c r="N1187">
        <v>77858</v>
      </c>
      <c r="O1187">
        <v>213199</v>
      </c>
      <c r="P1187">
        <v>161636</v>
      </c>
      <c r="Q1187">
        <v>8</v>
      </c>
      <c r="R1187">
        <v>3</v>
      </c>
      <c r="S1187">
        <v>1</v>
      </c>
      <c r="T1187">
        <v>18</v>
      </c>
      <c r="U1187">
        <v>29</v>
      </c>
    </row>
    <row r="1188" spans="1:21" x14ac:dyDescent="0.35">
      <c r="A1188" t="s">
        <v>21</v>
      </c>
      <c r="B1188" s="1">
        <v>45241</v>
      </c>
      <c r="C1188" t="s">
        <v>32</v>
      </c>
      <c r="D1188">
        <v>0</v>
      </c>
      <c r="E1188">
        <v>0</v>
      </c>
      <c r="F1188">
        <v>0</v>
      </c>
      <c r="G1188">
        <v>0</v>
      </c>
      <c r="H1188">
        <v>0</v>
      </c>
      <c r="I1188">
        <v>0</v>
      </c>
      <c r="J1188">
        <v>0</v>
      </c>
      <c r="K1188">
        <v>0</v>
      </c>
      <c r="L1188">
        <v>0</v>
      </c>
      <c r="M1188">
        <v>0</v>
      </c>
      <c r="N1188">
        <v>162642</v>
      </c>
      <c r="O1188">
        <v>0</v>
      </c>
      <c r="P1188">
        <v>0</v>
      </c>
      <c r="Q1188">
        <v>0</v>
      </c>
      <c r="R1188">
        <v>0</v>
      </c>
      <c r="S1188">
        <v>0</v>
      </c>
      <c r="T1188">
        <v>0</v>
      </c>
      <c r="U1188">
        <v>4</v>
      </c>
    </row>
    <row r="1189" spans="1:21" x14ac:dyDescent="0.35">
      <c r="A1189" t="s">
        <v>26</v>
      </c>
      <c r="B1189" s="1">
        <v>45038</v>
      </c>
      <c r="C1189" t="s">
        <v>32</v>
      </c>
      <c r="D1189">
        <v>0.6</v>
      </c>
      <c r="E1189">
        <v>0</v>
      </c>
      <c r="F1189">
        <v>0</v>
      </c>
      <c r="G1189">
        <v>0</v>
      </c>
      <c r="H1189">
        <v>0</v>
      </c>
      <c r="I1189">
        <v>0</v>
      </c>
      <c r="J1189">
        <v>0</v>
      </c>
      <c r="K1189">
        <v>0</v>
      </c>
      <c r="L1189">
        <v>0</v>
      </c>
      <c r="M1189">
        <v>0</v>
      </c>
      <c r="N1189">
        <v>162642</v>
      </c>
      <c r="O1189">
        <v>0</v>
      </c>
      <c r="P1189">
        <v>0</v>
      </c>
      <c r="Q1189">
        <v>1</v>
      </c>
      <c r="R1189">
        <v>0</v>
      </c>
      <c r="S1189">
        <v>0</v>
      </c>
      <c r="T1189">
        <v>0</v>
      </c>
      <c r="U1189">
        <v>4</v>
      </c>
    </row>
    <row r="1190" spans="1:21" x14ac:dyDescent="0.35">
      <c r="A1190" t="s">
        <v>26</v>
      </c>
      <c r="B1190" s="1">
        <v>44695</v>
      </c>
      <c r="C1190" t="s">
        <v>32</v>
      </c>
      <c r="D1190">
        <v>2.5</v>
      </c>
      <c r="E1190">
        <v>0</v>
      </c>
      <c r="F1190">
        <v>0</v>
      </c>
      <c r="G1190">
        <v>0</v>
      </c>
      <c r="H1190">
        <v>0</v>
      </c>
      <c r="I1190">
        <v>0</v>
      </c>
      <c r="J1190">
        <v>0</v>
      </c>
      <c r="K1190">
        <v>0</v>
      </c>
      <c r="L1190">
        <v>0</v>
      </c>
      <c r="M1190">
        <v>0</v>
      </c>
      <c r="N1190">
        <v>162642</v>
      </c>
      <c r="O1190">
        <v>0</v>
      </c>
      <c r="P1190">
        <v>0</v>
      </c>
      <c r="Q1190">
        <v>4</v>
      </c>
      <c r="R1190">
        <v>0</v>
      </c>
      <c r="S1190">
        <v>0</v>
      </c>
      <c r="T1190">
        <v>0</v>
      </c>
      <c r="U1190">
        <v>4</v>
      </c>
    </row>
    <row r="1191" spans="1:21" x14ac:dyDescent="0.35">
      <c r="A1191" t="s">
        <v>21</v>
      </c>
      <c r="B1191" s="1">
        <v>44512</v>
      </c>
      <c r="C1191" t="s">
        <v>30</v>
      </c>
      <c r="D1191">
        <v>38.700000000000003</v>
      </c>
      <c r="E1191">
        <v>14.4</v>
      </c>
      <c r="F1191">
        <v>3.6</v>
      </c>
      <c r="G1191">
        <v>2.7</v>
      </c>
      <c r="H1191">
        <v>10.8</v>
      </c>
      <c r="I1191">
        <v>0</v>
      </c>
      <c r="J1191">
        <v>0</v>
      </c>
      <c r="K1191">
        <v>0</v>
      </c>
      <c r="L1191">
        <v>0</v>
      </c>
      <c r="M1191">
        <v>0</v>
      </c>
      <c r="N1191">
        <v>28442</v>
      </c>
      <c r="O1191">
        <v>27803</v>
      </c>
      <c r="P1191">
        <v>28010</v>
      </c>
      <c r="Q1191">
        <v>11</v>
      </c>
      <c r="R1191">
        <v>4</v>
      </c>
      <c r="S1191">
        <v>1</v>
      </c>
      <c r="T1191">
        <v>80</v>
      </c>
      <c r="U1191">
        <v>200</v>
      </c>
    </row>
    <row r="1192" spans="1:21" x14ac:dyDescent="0.35">
      <c r="A1192" t="s">
        <v>28</v>
      </c>
      <c r="B1192" s="1">
        <v>44464</v>
      </c>
      <c r="C1192" t="s">
        <v>30</v>
      </c>
      <c r="D1192">
        <v>67.900000000000006</v>
      </c>
      <c r="E1192">
        <v>47.3</v>
      </c>
      <c r="F1192">
        <v>0</v>
      </c>
      <c r="G1192">
        <v>1.4</v>
      </c>
      <c r="H1192">
        <v>0</v>
      </c>
      <c r="I1192">
        <v>0</v>
      </c>
      <c r="J1192">
        <v>0</v>
      </c>
      <c r="K1192">
        <v>0</v>
      </c>
      <c r="L1192">
        <v>0</v>
      </c>
      <c r="M1192">
        <v>0</v>
      </c>
      <c r="N1192">
        <v>30936</v>
      </c>
      <c r="O1192">
        <v>52848</v>
      </c>
      <c r="P1192">
        <v>0</v>
      </c>
      <c r="Q1192">
        <v>21</v>
      </c>
      <c r="R1192">
        <v>25</v>
      </c>
      <c r="S1192">
        <v>0</v>
      </c>
      <c r="T1192">
        <v>80</v>
      </c>
      <c r="U1192">
        <v>200</v>
      </c>
    </row>
    <row r="1193" spans="1:21" x14ac:dyDescent="0.35">
      <c r="A1193" t="s">
        <v>28</v>
      </c>
      <c r="B1193" s="1">
        <v>44322</v>
      </c>
      <c r="C1193" t="s">
        <v>30</v>
      </c>
      <c r="D1193">
        <v>17.399999999999999</v>
      </c>
      <c r="E1193">
        <v>6.1</v>
      </c>
      <c r="F1193">
        <v>0</v>
      </c>
      <c r="G1193">
        <v>2.9</v>
      </c>
      <c r="H1193">
        <v>0</v>
      </c>
      <c r="I1193">
        <v>0</v>
      </c>
      <c r="J1193">
        <v>0</v>
      </c>
      <c r="K1193">
        <v>0</v>
      </c>
      <c r="L1193">
        <v>0</v>
      </c>
      <c r="M1193">
        <v>0</v>
      </c>
      <c r="N1193">
        <v>34448</v>
      </c>
      <c r="O1193">
        <v>49247</v>
      </c>
      <c r="P1193">
        <v>0</v>
      </c>
      <c r="Q1193">
        <v>6</v>
      </c>
      <c r="R1193">
        <v>3</v>
      </c>
      <c r="S1193">
        <v>0</v>
      </c>
      <c r="T1193">
        <v>80</v>
      </c>
      <c r="U1193">
        <v>200</v>
      </c>
    </row>
    <row r="1194" spans="1:21" x14ac:dyDescent="0.35">
      <c r="A1194" t="s">
        <v>28</v>
      </c>
      <c r="B1194" s="1">
        <v>44667</v>
      </c>
      <c r="C1194" t="s">
        <v>32</v>
      </c>
      <c r="D1194">
        <v>90.4</v>
      </c>
      <c r="E1194">
        <v>0</v>
      </c>
      <c r="F1194">
        <v>0</v>
      </c>
      <c r="G1194">
        <v>0</v>
      </c>
      <c r="H1194">
        <v>0</v>
      </c>
      <c r="I1194">
        <v>0</v>
      </c>
      <c r="J1194">
        <v>0</v>
      </c>
      <c r="K1194">
        <v>0</v>
      </c>
      <c r="L1194">
        <v>0</v>
      </c>
      <c r="M1194">
        <v>0</v>
      </c>
      <c r="N1194">
        <v>162642</v>
      </c>
      <c r="O1194">
        <v>0</v>
      </c>
      <c r="P1194">
        <v>0</v>
      </c>
      <c r="Q1194">
        <v>147</v>
      </c>
      <c r="R1194">
        <v>0</v>
      </c>
      <c r="S1194">
        <v>0</v>
      </c>
      <c r="T1194">
        <v>0</v>
      </c>
      <c r="U1194">
        <v>4</v>
      </c>
    </row>
    <row r="1195" spans="1:21" x14ac:dyDescent="0.35">
      <c r="A1195" t="s">
        <v>26</v>
      </c>
      <c r="B1195" s="1">
        <v>44259</v>
      </c>
      <c r="C1195" t="s">
        <v>27</v>
      </c>
      <c r="D1195">
        <v>1.1000000000000001</v>
      </c>
      <c r="E1195">
        <v>0</v>
      </c>
      <c r="F1195">
        <v>0</v>
      </c>
      <c r="G1195">
        <v>0</v>
      </c>
      <c r="H1195">
        <v>0</v>
      </c>
      <c r="I1195">
        <v>0</v>
      </c>
      <c r="J1195">
        <v>0</v>
      </c>
      <c r="K1195">
        <v>0</v>
      </c>
      <c r="L1195">
        <v>0</v>
      </c>
      <c r="M1195">
        <v>0</v>
      </c>
      <c r="N1195">
        <v>178794</v>
      </c>
      <c r="O1195">
        <v>0</v>
      </c>
      <c r="P1195">
        <v>0</v>
      </c>
      <c r="Q1195">
        <v>2</v>
      </c>
      <c r="R1195">
        <v>0</v>
      </c>
      <c r="S1195">
        <v>0</v>
      </c>
      <c r="T1195">
        <v>12</v>
      </c>
      <c r="U1195">
        <v>17</v>
      </c>
    </row>
    <row r="1196" spans="1:21" x14ac:dyDescent="0.35">
      <c r="A1196" t="s">
        <v>21</v>
      </c>
      <c r="B1196" s="1">
        <v>44863</v>
      </c>
      <c r="C1196" t="s">
        <v>32</v>
      </c>
      <c r="D1196">
        <v>0</v>
      </c>
      <c r="E1196">
        <v>0</v>
      </c>
      <c r="F1196">
        <v>0</v>
      </c>
      <c r="G1196">
        <v>0</v>
      </c>
      <c r="H1196">
        <v>0</v>
      </c>
      <c r="I1196">
        <v>0</v>
      </c>
      <c r="J1196">
        <v>0</v>
      </c>
      <c r="K1196">
        <v>0</v>
      </c>
      <c r="L1196">
        <v>0</v>
      </c>
      <c r="M1196">
        <v>0</v>
      </c>
      <c r="N1196">
        <v>162642</v>
      </c>
      <c r="O1196">
        <v>0</v>
      </c>
      <c r="P1196">
        <v>0</v>
      </c>
      <c r="Q1196">
        <v>0</v>
      </c>
      <c r="R1196">
        <v>0</v>
      </c>
      <c r="S1196">
        <v>0</v>
      </c>
      <c r="T1196">
        <v>0</v>
      </c>
      <c r="U1196">
        <v>4</v>
      </c>
    </row>
    <row r="1197" spans="1:21" x14ac:dyDescent="0.35">
      <c r="A1197" t="s">
        <v>21</v>
      </c>
      <c r="B1197" s="1">
        <v>44571</v>
      </c>
      <c r="C1197" t="s">
        <v>32</v>
      </c>
      <c r="D1197">
        <v>0</v>
      </c>
      <c r="E1197">
        <v>0</v>
      </c>
      <c r="F1197">
        <v>0</v>
      </c>
      <c r="G1197">
        <v>0</v>
      </c>
      <c r="H1197">
        <v>0</v>
      </c>
      <c r="I1197">
        <v>0</v>
      </c>
      <c r="J1197">
        <v>0</v>
      </c>
      <c r="K1197">
        <v>0</v>
      </c>
      <c r="L1197">
        <v>0</v>
      </c>
      <c r="M1197">
        <v>0</v>
      </c>
      <c r="N1197">
        <v>162642</v>
      </c>
      <c r="O1197">
        <v>0</v>
      </c>
      <c r="P1197">
        <v>0</v>
      </c>
      <c r="Q1197">
        <v>0</v>
      </c>
      <c r="R1197">
        <v>0</v>
      </c>
      <c r="S1197">
        <v>0</v>
      </c>
      <c r="T1197">
        <v>0</v>
      </c>
      <c r="U1197">
        <v>4</v>
      </c>
    </row>
    <row r="1198" spans="1:21" x14ac:dyDescent="0.35">
      <c r="A1198" t="s">
        <v>28</v>
      </c>
      <c r="B1198" s="1">
        <v>44422</v>
      </c>
      <c r="C1198" t="s">
        <v>24</v>
      </c>
      <c r="D1198">
        <v>111.2</v>
      </c>
      <c r="E1198">
        <v>0</v>
      </c>
      <c r="F1198">
        <v>0</v>
      </c>
      <c r="G1198">
        <v>0</v>
      </c>
      <c r="H1198">
        <v>0</v>
      </c>
      <c r="I1198">
        <v>0</v>
      </c>
      <c r="J1198">
        <v>0</v>
      </c>
      <c r="K1198">
        <v>0</v>
      </c>
      <c r="L1198">
        <v>0</v>
      </c>
      <c r="M1198">
        <v>0</v>
      </c>
      <c r="N1198">
        <v>210448</v>
      </c>
      <c r="O1198">
        <v>0</v>
      </c>
      <c r="P1198">
        <v>0</v>
      </c>
      <c r="Q1198">
        <v>234</v>
      </c>
      <c r="R1198">
        <v>0</v>
      </c>
      <c r="S1198">
        <v>0</v>
      </c>
      <c r="T1198">
        <v>5</v>
      </c>
      <c r="U1198">
        <v>11</v>
      </c>
    </row>
    <row r="1199" spans="1:21" x14ac:dyDescent="0.35">
      <c r="A1199" t="s">
        <v>26</v>
      </c>
      <c r="B1199" s="1">
        <v>44201</v>
      </c>
      <c r="C1199" t="s">
        <v>30</v>
      </c>
      <c r="D1199">
        <v>78.400000000000006</v>
      </c>
      <c r="E1199">
        <v>11.9</v>
      </c>
      <c r="F1199">
        <v>0</v>
      </c>
      <c r="G1199">
        <v>6.6</v>
      </c>
      <c r="H1199">
        <v>0</v>
      </c>
      <c r="I1199">
        <v>0</v>
      </c>
      <c r="J1199">
        <v>0</v>
      </c>
      <c r="K1199">
        <v>0</v>
      </c>
      <c r="L1199">
        <v>0</v>
      </c>
      <c r="M1199">
        <v>0</v>
      </c>
      <c r="N1199">
        <v>37001</v>
      </c>
      <c r="O1199">
        <v>42149</v>
      </c>
      <c r="P1199">
        <v>0</v>
      </c>
      <c r="Q1199">
        <v>29</v>
      </c>
      <c r="R1199">
        <v>5</v>
      </c>
      <c r="S1199">
        <v>0</v>
      </c>
      <c r="T1199">
        <v>80</v>
      </c>
      <c r="U1199">
        <v>200</v>
      </c>
    </row>
    <row r="1200" spans="1:21" x14ac:dyDescent="0.35">
      <c r="A1200" t="s">
        <v>28</v>
      </c>
      <c r="B1200" s="1">
        <v>44772</v>
      </c>
      <c r="C1200" t="s">
        <v>32</v>
      </c>
      <c r="D1200">
        <v>170.9</v>
      </c>
      <c r="E1200">
        <v>0</v>
      </c>
      <c r="F1200">
        <v>0</v>
      </c>
      <c r="G1200">
        <v>0</v>
      </c>
      <c r="H1200">
        <v>0</v>
      </c>
      <c r="I1200">
        <v>0</v>
      </c>
      <c r="J1200">
        <v>0</v>
      </c>
      <c r="K1200">
        <v>0</v>
      </c>
      <c r="L1200">
        <v>0</v>
      </c>
      <c r="M1200">
        <v>0</v>
      </c>
      <c r="N1200">
        <v>162642</v>
      </c>
      <c r="O1200">
        <v>0</v>
      </c>
      <c r="P1200">
        <v>0</v>
      </c>
      <c r="Q1200">
        <v>278</v>
      </c>
      <c r="R1200">
        <v>0</v>
      </c>
      <c r="S1200">
        <v>0</v>
      </c>
      <c r="T1200">
        <v>0</v>
      </c>
      <c r="U1200">
        <v>4</v>
      </c>
    </row>
    <row r="1201" spans="1:21" x14ac:dyDescent="0.35">
      <c r="A1201" t="s">
        <v>21</v>
      </c>
      <c r="B1201" s="1">
        <v>45199</v>
      </c>
      <c r="C1201" t="s">
        <v>32</v>
      </c>
      <c r="D1201">
        <v>0</v>
      </c>
      <c r="E1201">
        <v>0</v>
      </c>
      <c r="F1201">
        <v>0</v>
      </c>
      <c r="G1201">
        <v>0</v>
      </c>
      <c r="H1201">
        <v>0</v>
      </c>
      <c r="I1201">
        <v>0</v>
      </c>
      <c r="J1201">
        <v>0</v>
      </c>
      <c r="K1201">
        <v>0</v>
      </c>
      <c r="L1201">
        <v>0</v>
      </c>
      <c r="M1201">
        <v>0</v>
      </c>
      <c r="N1201">
        <v>162642</v>
      </c>
      <c r="O1201">
        <v>0</v>
      </c>
      <c r="P1201">
        <v>0</v>
      </c>
      <c r="Q1201">
        <v>0</v>
      </c>
      <c r="R1201">
        <v>0</v>
      </c>
      <c r="S1201">
        <v>0</v>
      </c>
      <c r="T1201">
        <v>0</v>
      </c>
      <c r="U1201">
        <v>4</v>
      </c>
    </row>
    <row r="1202" spans="1:21" x14ac:dyDescent="0.35">
      <c r="A1202" t="s">
        <v>21</v>
      </c>
      <c r="B1202" s="1">
        <v>44695</v>
      </c>
      <c r="C1202" t="s">
        <v>22</v>
      </c>
      <c r="D1202">
        <v>0.2</v>
      </c>
      <c r="E1202">
        <v>0.3</v>
      </c>
      <c r="F1202">
        <v>0.3</v>
      </c>
      <c r="G1202">
        <v>0.7</v>
      </c>
      <c r="H1202">
        <v>0.7</v>
      </c>
      <c r="I1202">
        <v>0.1</v>
      </c>
      <c r="J1202">
        <v>0.5</v>
      </c>
      <c r="K1202">
        <v>0.2</v>
      </c>
      <c r="L1202">
        <v>0.2</v>
      </c>
      <c r="M1202">
        <v>0.6</v>
      </c>
      <c r="N1202">
        <v>646969</v>
      </c>
      <c r="O1202">
        <v>886432</v>
      </c>
      <c r="P1202">
        <v>961158</v>
      </c>
      <c r="Q1202">
        <v>1</v>
      </c>
      <c r="R1202">
        <v>3</v>
      </c>
      <c r="S1202">
        <v>3</v>
      </c>
      <c r="T1202">
        <v>999</v>
      </c>
      <c r="U1202">
        <v>999</v>
      </c>
    </row>
    <row r="1203" spans="1:21" x14ac:dyDescent="0.35">
      <c r="A1203" t="s">
        <v>26</v>
      </c>
      <c r="B1203" s="1">
        <v>44473</v>
      </c>
      <c r="C1203" t="s">
        <v>30</v>
      </c>
      <c r="D1203">
        <v>69.3</v>
      </c>
      <c r="E1203">
        <v>9.9</v>
      </c>
      <c r="F1203">
        <v>0</v>
      </c>
      <c r="G1203">
        <v>7</v>
      </c>
      <c r="H1203">
        <v>0</v>
      </c>
      <c r="I1203">
        <v>0</v>
      </c>
      <c r="J1203">
        <v>0</v>
      </c>
      <c r="K1203">
        <v>0</v>
      </c>
      <c r="L1203">
        <v>0</v>
      </c>
      <c r="M1203">
        <v>0</v>
      </c>
      <c r="N1203">
        <v>40425</v>
      </c>
      <c r="O1203">
        <v>30292</v>
      </c>
      <c r="P1203">
        <v>0</v>
      </c>
      <c r="Q1203">
        <v>28</v>
      </c>
      <c r="R1203">
        <v>3</v>
      </c>
      <c r="S1203">
        <v>0</v>
      </c>
      <c r="T1203">
        <v>80</v>
      </c>
      <c r="U1203">
        <v>200</v>
      </c>
    </row>
    <row r="1204" spans="1:21" x14ac:dyDescent="0.35">
      <c r="A1204" t="s">
        <v>28</v>
      </c>
      <c r="B1204" s="1">
        <v>44562</v>
      </c>
      <c r="C1204" t="s">
        <v>32</v>
      </c>
      <c r="D1204">
        <v>1471.3</v>
      </c>
      <c r="E1204">
        <v>0</v>
      </c>
      <c r="F1204">
        <v>0</v>
      </c>
      <c r="G1204">
        <v>0</v>
      </c>
      <c r="H1204">
        <v>0</v>
      </c>
      <c r="I1204">
        <v>0</v>
      </c>
      <c r="J1204">
        <v>0</v>
      </c>
      <c r="K1204">
        <v>0</v>
      </c>
      <c r="L1204">
        <v>0</v>
      </c>
      <c r="M1204">
        <v>0</v>
      </c>
      <c r="N1204">
        <v>162642</v>
      </c>
      <c r="O1204">
        <v>0</v>
      </c>
      <c r="P1204">
        <v>0</v>
      </c>
      <c r="Q1204">
        <v>2393</v>
      </c>
      <c r="R1204">
        <v>0</v>
      </c>
      <c r="S1204">
        <v>0</v>
      </c>
      <c r="T1204">
        <v>0</v>
      </c>
      <c r="U1204">
        <v>4</v>
      </c>
    </row>
    <row r="1205" spans="1:21" x14ac:dyDescent="0.35">
      <c r="A1205" t="s">
        <v>28</v>
      </c>
      <c r="B1205" s="1">
        <v>44201</v>
      </c>
      <c r="C1205" t="s">
        <v>24</v>
      </c>
      <c r="D1205">
        <v>112.6</v>
      </c>
      <c r="E1205">
        <v>0</v>
      </c>
      <c r="F1205">
        <v>0</v>
      </c>
      <c r="G1205">
        <v>0</v>
      </c>
      <c r="H1205">
        <v>0</v>
      </c>
      <c r="I1205">
        <v>0</v>
      </c>
      <c r="J1205">
        <v>0</v>
      </c>
      <c r="K1205">
        <v>0</v>
      </c>
      <c r="L1205">
        <v>0</v>
      </c>
      <c r="M1205">
        <v>0</v>
      </c>
      <c r="N1205">
        <v>210448</v>
      </c>
      <c r="O1205">
        <v>0</v>
      </c>
      <c r="P1205">
        <v>0</v>
      </c>
      <c r="Q1205">
        <v>237</v>
      </c>
      <c r="R1205">
        <v>0</v>
      </c>
      <c r="S1205">
        <v>0</v>
      </c>
      <c r="T1205">
        <v>5</v>
      </c>
      <c r="U1205">
        <v>11</v>
      </c>
    </row>
    <row r="1206" spans="1:21" x14ac:dyDescent="0.35">
      <c r="A1206" t="s">
        <v>26</v>
      </c>
      <c r="B1206" s="1">
        <v>45082</v>
      </c>
      <c r="C1206" t="s">
        <v>32</v>
      </c>
      <c r="D1206">
        <v>1.8</v>
      </c>
      <c r="E1206">
        <v>0</v>
      </c>
      <c r="F1206">
        <v>0</v>
      </c>
      <c r="G1206">
        <v>0</v>
      </c>
      <c r="H1206">
        <v>0</v>
      </c>
      <c r="I1206">
        <v>0</v>
      </c>
      <c r="J1206">
        <v>0</v>
      </c>
      <c r="K1206">
        <v>0</v>
      </c>
      <c r="L1206">
        <v>0</v>
      </c>
      <c r="M1206">
        <v>0</v>
      </c>
      <c r="N1206">
        <v>162642</v>
      </c>
      <c r="O1206">
        <v>0</v>
      </c>
      <c r="P1206">
        <v>0</v>
      </c>
      <c r="Q1206">
        <v>3</v>
      </c>
      <c r="R1206">
        <v>0</v>
      </c>
      <c r="S1206">
        <v>0</v>
      </c>
      <c r="T1206">
        <v>0</v>
      </c>
      <c r="U1206">
        <v>4</v>
      </c>
    </row>
    <row r="1207" spans="1:21" x14ac:dyDescent="0.35">
      <c r="A1207" t="s">
        <v>21</v>
      </c>
      <c r="B1207" s="1">
        <v>44843</v>
      </c>
      <c r="C1207" t="s">
        <v>32</v>
      </c>
      <c r="D1207">
        <v>0</v>
      </c>
      <c r="E1207">
        <v>0</v>
      </c>
      <c r="F1207">
        <v>0</v>
      </c>
      <c r="G1207">
        <v>0</v>
      </c>
      <c r="H1207">
        <v>0</v>
      </c>
      <c r="I1207">
        <v>0</v>
      </c>
      <c r="J1207">
        <v>0</v>
      </c>
      <c r="K1207">
        <v>0</v>
      </c>
      <c r="L1207">
        <v>0</v>
      </c>
      <c r="M1207">
        <v>0</v>
      </c>
      <c r="N1207">
        <v>162642</v>
      </c>
      <c r="O1207">
        <v>0</v>
      </c>
      <c r="P1207">
        <v>0</v>
      </c>
      <c r="Q1207">
        <v>0</v>
      </c>
      <c r="R1207">
        <v>0</v>
      </c>
      <c r="S1207">
        <v>0</v>
      </c>
      <c r="T1207">
        <v>0</v>
      </c>
      <c r="U1207">
        <v>4</v>
      </c>
    </row>
    <row r="1208" spans="1:21" x14ac:dyDescent="0.35">
      <c r="A1208" t="s">
        <v>21</v>
      </c>
      <c r="B1208" s="1">
        <v>45178</v>
      </c>
      <c r="C1208" t="s">
        <v>32</v>
      </c>
      <c r="D1208">
        <v>0</v>
      </c>
      <c r="E1208">
        <v>0</v>
      </c>
      <c r="F1208">
        <v>0</v>
      </c>
      <c r="G1208">
        <v>0</v>
      </c>
      <c r="H1208">
        <v>0</v>
      </c>
      <c r="I1208">
        <v>0</v>
      </c>
      <c r="J1208">
        <v>0</v>
      </c>
      <c r="K1208">
        <v>0</v>
      </c>
      <c r="L1208">
        <v>0</v>
      </c>
      <c r="M1208">
        <v>0</v>
      </c>
      <c r="N1208">
        <v>162642</v>
      </c>
      <c r="O1208">
        <v>0</v>
      </c>
      <c r="P1208">
        <v>0</v>
      </c>
      <c r="Q1208">
        <v>0</v>
      </c>
      <c r="R1208">
        <v>0</v>
      </c>
      <c r="S1208">
        <v>0</v>
      </c>
      <c r="T1208">
        <v>0</v>
      </c>
      <c r="U1208">
        <v>4</v>
      </c>
    </row>
    <row r="1209" spans="1:21" x14ac:dyDescent="0.35">
      <c r="A1209" t="s">
        <v>26</v>
      </c>
      <c r="B1209" s="1">
        <v>45054</v>
      </c>
      <c r="C1209" t="s">
        <v>31</v>
      </c>
      <c r="D1209">
        <v>7.6</v>
      </c>
      <c r="E1209">
        <v>4.5999999999999996</v>
      </c>
      <c r="F1209">
        <v>5.8</v>
      </c>
      <c r="G1209">
        <v>1.7</v>
      </c>
      <c r="H1209">
        <v>1.3</v>
      </c>
      <c r="I1209">
        <v>0</v>
      </c>
      <c r="J1209">
        <v>0</v>
      </c>
      <c r="K1209">
        <v>0</v>
      </c>
      <c r="L1209">
        <v>0</v>
      </c>
      <c r="M1209">
        <v>0</v>
      </c>
      <c r="N1209">
        <v>39261</v>
      </c>
      <c r="O1209">
        <v>43418</v>
      </c>
      <c r="P1209">
        <v>171751</v>
      </c>
      <c r="Q1209">
        <v>3</v>
      </c>
      <c r="R1209">
        <v>2</v>
      </c>
      <c r="S1209">
        <v>10</v>
      </c>
      <c r="T1209">
        <v>65</v>
      </c>
      <c r="U1209">
        <v>79</v>
      </c>
    </row>
    <row r="1210" spans="1:21" x14ac:dyDescent="0.35">
      <c r="A1210" t="s">
        <v>28</v>
      </c>
      <c r="B1210" s="1">
        <v>44730</v>
      </c>
      <c r="C1210" t="s">
        <v>29</v>
      </c>
      <c r="D1210">
        <v>306.10000000000002</v>
      </c>
      <c r="E1210">
        <v>138.4</v>
      </c>
      <c r="F1210">
        <v>277.5</v>
      </c>
      <c r="G1210">
        <v>2.2000000000000002</v>
      </c>
      <c r="H1210">
        <v>1.1000000000000001</v>
      </c>
      <c r="I1210">
        <v>0</v>
      </c>
      <c r="J1210">
        <v>0</v>
      </c>
      <c r="K1210">
        <v>0</v>
      </c>
      <c r="L1210">
        <v>0</v>
      </c>
      <c r="M1210">
        <v>0</v>
      </c>
      <c r="N1210">
        <v>128401</v>
      </c>
      <c r="O1210">
        <v>281885</v>
      </c>
      <c r="P1210">
        <v>338011</v>
      </c>
      <c r="Q1210">
        <v>393</v>
      </c>
      <c r="R1210">
        <v>390</v>
      </c>
      <c r="S1210">
        <v>938</v>
      </c>
      <c r="T1210">
        <v>30</v>
      </c>
      <c r="U1210">
        <v>49</v>
      </c>
    </row>
    <row r="1211" spans="1:21" x14ac:dyDescent="0.35">
      <c r="A1211" t="s">
        <v>21</v>
      </c>
      <c r="B1211" s="1">
        <v>44828</v>
      </c>
      <c r="C1211" t="s">
        <v>32</v>
      </c>
      <c r="D1211">
        <v>0</v>
      </c>
      <c r="E1211">
        <v>0</v>
      </c>
      <c r="F1211">
        <v>0</v>
      </c>
      <c r="G1211">
        <v>0</v>
      </c>
      <c r="H1211">
        <v>0</v>
      </c>
      <c r="I1211">
        <v>0</v>
      </c>
      <c r="J1211">
        <v>0</v>
      </c>
      <c r="K1211">
        <v>0</v>
      </c>
      <c r="L1211">
        <v>0</v>
      </c>
      <c r="M1211">
        <v>0</v>
      </c>
      <c r="N1211">
        <v>162642</v>
      </c>
      <c r="O1211">
        <v>0</v>
      </c>
      <c r="P1211">
        <v>0</v>
      </c>
      <c r="Q1211">
        <v>0</v>
      </c>
      <c r="R1211">
        <v>0</v>
      </c>
      <c r="S1211">
        <v>0</v>
      </c>
      <c r="T1211">
        <v>0</v>
      </c>
      <c r="U1211">
        <v>4</v>
      </c>
    </row>
    <row r="1212" spans="1:21" x14ac:dyDescent="0.35">
      <c r="A1212" t="s">
        <v>28</v>
      </c>
      <c r="B1212" s="1">
        <v>44684</v>
      </c>
      <c r="C1212" t="s">
        <v>32</v>
      </c>
      <c r="D1212">
        <v>45.5</v>
      </c>
      <c r="E1212">
        <v>0</v>
      </c>
      <c r="F1212">
        <v>0</v>
      </c>
      <c r="G1212">
        <v>0</v>
      </c>
      <c r="H1212">
        <v>0</v>
      </c>
      <c r="I1212">
        <v>0</v>
      </c>
      <c r="J1212">
        <v>0</v>
      </c>
      <c r="K1212">
        <v>0</v>
      </c>
      <c r="L1212">
        <v>0</v>
      </c>
      <c r="M1212">
        <v>0</v>
      </c>
      <c r="N1212">
        <v>162642</v>
      </c>
      <c r="O1212">
        <v>0</v>
      </c>
      <c r="P1212">
        <v>0</v>
      </c>
      <c r="Q1212">
        <v>74</v>
      </c>
      <c r="R1212">
        <v>0</v>
      </c>
      <c r="S1212">
        <v>0</v>
      </c>
      <c r="T1212">
        <v>0</v>
      </c>
      <c r="U1212">
        <v>4</v>
      </c>
    </row>
    <row r="1213" spans="1:21" x14ac:dyDescent="0.35">
      <c r="A1213" t="s">
        <v>21</v>
      </c>
      <c r="B1213" s="1">
        <v>44919</v>
      </c>
      <c r="C1213" t="s">
        <v>32</v>
      </c>
      <c r="D1213">
        <v>0</v>
      </c>
      <c r="E1213">
        <v>0</v>
      </c>
      <c r="F1213">
        <v>0</v>
      </c>
      <c r="G1213">
        <v>0</v>
      </c>
      <c r="H1213">
        <v>0</v>
      </c>
      <c r="I1213">
        <v>0</v>
      </c>
      <c r="J1213">
        <v>0</v>
      </c>
      <c r="K1213">
        <v>0</v>
      </c>
      <c r="L1213">
        <v>0</v>
      </c>
      <c r="M1213">
        <v>0</v>
      </c>
      <c r="N1213">
        <v>162642</v>
      </c>
      <c r="O1213">
        <v>0</v>
      </c>
      <c r="P1213">
        <v>0</v>
      </c>
      <c r="Q1213">
        <v>0</v>
      </c>
      <c r="R1213">
        <v>0</v>
      </c>
      <c r="S1213">
        <v>0</v>
      </c>
      <c r="T1213">
        <v>0</v>
      </c>
      <c r="U1213">
        <v>4</v>
      </c>
    </row>
    <row r="1214" spans="1:21" x14ac:dyDescent="0.35">
      <c r="A1214" t="s">
        <v>28</v>
      </c>
      <c r="B1214" s="1">
        <v>44702</v>
      </c>
      <c r="C1214" t="s">
        <v>23</v>
      </c>
      <c r="D1214">
        <v>446.4</v>
      </c>
      <c r="E1214">
        <v>184</v>
      </c>
      <c r="F1214">
        <v>280.2</v>
      </c>
      <c r="G1214">
        <v>2.4</v>
      </c>
      <c r="H1214">
        <v>1.6</v>
      </c>
      <c r="I1214">
        <v>0</v>
      </c>
      <c r="J1214">
        <v>0</v>
      </c>
      <c r="K1214">
        <v>0</v>
      </c>
      <c r="L1214">
        <v>0</v>
      </c>
      <c r="M1214">
        <v>0</v>
      </c>
      <c r="N1214">
        <v>43239</v>
      </c>
      <c r="O1214">
        <v>133132</v>
      </c>
      <c r="P1214">
        <v>235218</v>
      </c>
      <c r="Q1214">
        <v>193</v>
      </c>
      <c r="R1214">
        <v>245</v>
      </c>
      <c r="S1214">
        <v>659</v>
      </c>
      <c r="T1214">
        <v>50</v>
      </c>
      <c r="U1214">
        <v>64</v>
      </c>
    </row>
    <row r="1215" spans="1:21" x14ac:dyDescent="0.35">
      <c r="A1215" t="s">
        <v>26</v>
      </c>
      <c r="B1215" s="1">
        <v>45233</v>
      </c>
      <c r="C1215" t="s">
        <v>32</v>
      </c>
      <c r="D1215">
        <v>1.2</v>
      </c>
      <c r="E1215">
        <v>0.6</v>
      </c>
      <c r="F1215">
        <v>0</v>
      </c>
      <c r="G1215">
        <v>2</v>
      </c>
      <c r="H1215">
        <v>0</v>
      </c>
      <c r="I1215">
        <v>0</v>
      </c>
      <c r="J1215">
        <v>0</v>
      </c>
      <c r="K1215">
        <v>0</v>
      </c>
      <c r="L1215">
        <v>0</v>
      </c>
      <c r="M1215">
        <v>0</v>
      </c>
      <c r="N1215">
        <v>162642</v>
      </c>
      <c r="O1215">
        <v>0</v>
      </c>
      <c r="P1215">
        <v>0</v>
      </c>
      <c r="Q1215">
        <v>2</v>
      </c>
      <c r="R1215">
        <v>1</v>
      </c>
      <c r="S1215">
        <v>0</v>
      </c>
      <c r="T1215">
        <v>0</v>
      </c>
      <c r="U1215">
        <v>4</v>
      </c>
    </row>
    <row r="1216" spans="1:21" x14ac:dyDescent="0.35">
      <c r="A1216" t="s">
        <v>28</v>
      </c>
      <c r="B1216" s="1">
        <v>45232</v>
      </c>
      <c r="C1216" t="s">
        <v>32</v>
      </c>
      <c r="D1216">
        <v>61.5</v>
      </c>
      <c r="E1216">
        <v>2.5</v>
      </c>
      <c r="F1216">
        <v>0</v>
      </c>
      <c r="G1216">
        <v>24.6</v>
      </c>
      <c r="H1216">
        <v>0</v>
      </c>
      <c r="I1216">
        <v>0</v>
      </c>
      <c r="J1216">
        <v>0</v>
      </c>
      <c r="K1216">
        <v>0</v>
      </c>
      <c r="L1216">
        <v>0</v>
      </c>
      <c r="M1216">
        <v>0</v>
      </c>
      <c r="N1216">
        <v>162642</v>
      </c>
      <c r="O1216">
        <v>0</v>
      </c>
      <c r="P1216">
        <v>0</v>
      </c>
      <c r="Q1216">
        <v>100</v>
      </c>
      <c r="R1216">
        <v>4</v>
      </c>
      <c r="S1216">
        <v>0</v>
      </c>
      <c r="T1216">
        <v>0</v>
      </c>
      <c r="U1216">
        <v>4</v>
      </c>
    </row>
    <row r="1217" spans="1:21" x14ac:dyDescent="0.35">
      <c r="A1217" t="s">
        <v>26</v>
      </c>
      <c r="B1217" s="1">
        <v>44702</v>
      </c>
      <c r="C1217" t="s">
        <v>25</v>
      </c>
      <c r="D1217">
        <v>11.5</v>
      </c>
      <c r="E1217">
        <v>0.9</v>
      </c>
      <c r="F1217">
        <v>3.3</v>
      </c>
      <c r="G1217">
        <v>12.8</v>
      </c>
      <c r="H1217">
        <v>3.5</v>
      </c>
      <c r="I1217">
        <v>0</v>
      </c>
      <c r="J1217">
        <v>0</v>
      </c>
      <c r="K1217">
        <v>0</v>
      </c>
      <c r="L1217">
        <v>0</v>
      </c>
      <c r="M1217">
        <v>0</v>
      </c>
      <c r="N1217">
        <v>95759</v>
      </c>
      <c r="O1217">
        <v>216738</v>
      </c>
      <c r="P1217">
        <v>152215</v>
      </c>
      <c r="Q1217">
        <v>11</v>
      </c>
      <c r="R1217">
        <v>2</v>
      </c>
      <c r="S1217">
        <v>5</v>
      </c>
      <c r="T1217">
        <v>18</v>
      </c>
      <c r="U1217">
        <v>29</v>
      </c>
    </row>
    <row r="1218" spans="1:21" x14ac:dyDescent="0.35">
      <c r="A1218" t="s">
        <v>21</v>
      </c>
      <c r="B1218" s="1">
        <v>44331</v>
      </c>
      <c r="C1218" t="s">
        <v>31</v>
      </c>
      <c r="D1218">
        <v>24.4</v>
      </c>
      <c r="E1218">
        <v>1.2</v>
      </c>
      <c r="F1218">
        <v>0</v>
      </c>
      <c r="G1218">
        <v>20.3</v>
      </c>
      <c r="H1218">
        <v>0</v>
      </c>
      <c r="I1218">
        <v>0</v>
      </c>
      <c r="J1218">
        <v>0</v>
      </c>
      <c r="K1218">
        <v>0</v>
      </c>
      <c r="L1218">
        <v>0</v>
      </c>
      <c r="M1218">
        <v>0</v>
      </c>
      <c r="N1218">
        <v>81874</v>
      </c>
      <c r="O1218">
        <v>166358</v>
      </c>
      <c r="P1218">
        <v>0</v>
      </c>
      <c r="Q1218">
        <v>20</v>
      </c>
      <c r="R1218">
        <v>2</v>
      </c>
      <c r="S1218">
        <v>0</v>
      </c>
      <c r="T1218">
        <v>65</v>
      </c>
      <c r="U1218">
        <v>79</v>
      </c>
    </row>
    <row r="1219" spans="1:21" x14ac:dyDescent="0.35">
      <c r="A1219" t="s">
        <v>28</v>
      </c>
      <c r="B1219" s="1">
        <v>44863</v>
      </c>
      <c r="C1219" t="s">
        <v>32</v>
      </c>
      <c r="D1219">
        <v>68.2</v>
      </c>
      <c r="E1219">
        <v>1.8</v>
      </c>
      <c r="F1219">
        <v>0</v>
      </c>
      <c r="G1219">
        <v>37.9</v>
      </c>
      <c r="H1219">
        <v>0</v>
      </c>
      <c r="I1219">
        <v>0</v>
      </c>
      <c r="J1219">
        <v>0</v>
      </c>
      <c r="K1219">
        <v>0</v>
      </c>
      <c r="L1219">
        <v>0</v>
      </c>
      <c r="M1219">
        <v>0</v>
      </c>
      <c r="N1219">
        <v>162642</v>
      </c>
      <c r="O1219">
        <v>0</v>
      </c>
      <c r="P1219">
        <v>0</v>
      </c>
      <c r="Q1219">
        <v>111</v>
      </c>
      <c r="R1219">
        <v>3</v>
      </c>
      <c r="S1219">
        <v>0</v>
      </c>
      <c r="T1219">
        <v>0</v>
      </c>
      <c r="U1219">
        <v>4</v>
      </c>
    </row>
    <row r="1220" spans="1:21" x14ac:dyDescent="0.35">
      <c r="A1220" t="s">
        <v>28</v>
      </c>
      <c r="B1220" s="1">
        <v>44449</v>
      </c>
      <c r="C1220" t="s">
        <v>24</v>
      </c>
      <c r="D1220">
        <v>119.3</v>
      </c>
      <c r="E1220">
        <v>0</v>
      </c>
      <c r="F1220">
        <v>0</v>
      </c>
      <c r="G1220">
        <v>0</v>
      </c>
      <c r="H1220">
        <v>0</v>
      </c>
      <c r="I1220">
        <v>0</v>
      </c>
      <c r="J1220">
        <v>0</v>
      </c>
      <c r="K1220">
        <v>0</v>
      </c>
      <c r="L1220">
        <v>0</v>
      </c>
      <c r="M1220">
        <v>0</v>
      </c>
      <c r="N1220">
        <v>210448</v>
      </c>
      <c r="O1220">
        <v>0</v>
      </c>
      <c r="P1220">
        <v>0</v>
      </c>
      <c r="Q1220">
        <v>251</v>
      </c>
      <c r="R1220">
        <v>0</v>
      </c>
      <c r="S1220">
        <v>0</v>
      </c>
      <c r="T1220">
        <v>5</v>
      </c>
      <c r="U1220">
        <v>11</v>
      </c>
    </row>
    <row r="1221" spans="1:21" x14ac:dyDescent="0.35">
      <c r="A1221" t="s">
        <v>26</v>
      </c>
      <c r="B1221" s="1">
        <v>45059</v>
      </c>
      <c r="C1221" t="s">
        <v>32</v>
      </c>
      <c r="D1221">
        <v>1.2</v>
      </c>
      <c r="E1221">
        <v>0</v>
      </c>
      <c r="F1221">
        <v>0</v>
      </c>
      <c r="G1221">
        <v>0</v>
      </c>
      <c r="H1221">
        <v>0</v>
      </c>
      <c r="I1221">
        <v>0</v>
      </c>
      <c r="J1221">
        <v>0</v>
      </c>
      <c r="K1221">
        <v>0</v>
      </c>
      <c r="L1221">
        <v>0</v>
      </c>
      <c r="M1221">
        <v>0</v>
      </c>
      <c r="N1221">
        <v>162642</v>
      </c>
      <c r="O1221">
        <v>0</v>
      </c>
      <c r="P1221">
        <v>0</v>
      </c>
      <c r="Q1221">
        <v>2</v>
      </c>
      <c r="R1221">
        <v>0</v>
      </c>
      <c r="S1221">
        <v>0</v>
      </c>
      <c r="T1221">
        <v>0</v>
      </c>
      <c r="U1221">
        <v>4</v>
      </c>
    </row>
    <row r="1222" spans="1:21" x14ac:dyDescent="0.35">
      <c r="A1222" t="s">
        <v>21</v>
      </c>
      <c r="B1222" s="1">
        <v>44871</v>
      </c>
      <c r="C1222" t="s">
        <v>27</v>
      </c>
      <c r="D1222">
        <v>0</v>
      </c>
      <c r="E1222">
        <v>0</v>
      </c>
      <c r="F1222">
        <v>0</v>
      </c>
      <c r="G1222">
        <v>0</v>
      </c>
      <c r="H1222">
        <v>0</v>
      </c>
      <c r="I1222">
        <v>0</v>
      </c>
      <c r="J1222">
        <v>0</v>
      </c>
      <c r="K1222">
        <v>0</v>
      </c>
      <c r="L1222">
        <v>0</v>
      </c>
      <c r="M1222">
        <v>0</v>
      </c>
      <c r="N1222">
        <v>36826</v>
      </c>
      <c r="O1222">
        <v>92726</v>
      </c>
      <c r="P1222">
        <v>35890</v>
      </c>
      <c r="Q1222">
        <v>0</v>
      </c>
      <c r="R1222">
        <v>0</v>
      </c>
      <c r="S1222">
        <v>0</v>
      </c>
      <c r="T1222">
        <v>12</v>
      </c>
      <c r="U1222">
        <v>17</v>
      </c>
    </row>
    <row r="1223" spans="1:21" x14ac:dyDescent="0.35">
      <c r="A1223" t="s">
        <v>28</v>
      </c>
      <c r="B1223" s="1">
        <v>45117</v>
      </c>
      <c r="C1223" t="s">
        <v>24</v>
      </c>
      <c r="D1223">
        <v>13.4</v>
      </c>
      <c r="E1223">
        <v>2.4</v>
      </c>
      <c r="F1223">
        <v>9.4</v>
      </c>
      <c r="G1223">
        <v>5.6</v>
      </c>
      <c r="H1223">
        <v>1.4</v>
      </c>
      <c r="I1223">
        <v>0</v>
      </c>
      <c r="J1223">
        <v>0</v>
      </c>
      <c r="K1223">
        <v>0</v>
      </c>
      <c r="L1223">
        <v>0</v>
      </c>
      <c r="M1223">
        <v>0</v>
      </c>
      <c r="N1223">
        <v>89345</v>
      </c>
      <c r="O1223">
        <v>82666</v>
      </c>
      <c r="P1223">
        <v>21271</v>
      </c>
      <c r="Q1223">
        <v>12</v>
      </c>
      <c r="R1223">
        <v>2</v>
      </c>
      <c r="S1223">
        <v>2</v>
      </c>
      <c r="T1223">
        <v>5</v>
      </c>
      <c r="U1223">
        <v>11</v>
      </c>
    </row>
    <row r="1224" spans="1:21" x14ac:dyDescent="0.35">
      <c r="A1224" t="s">
        <v>28</v>
      </c>
      <c r="B1224" s="1">
        <v>44639</v>
      </c>
      <c r="C1224" t="s">
        <v>30</v>
      </c>
      <c r="D1224">
        <v>11.1</v>
      </c>
      <c r="E1224">
        <v>42.3</v>
      </c>
      <c r="F1224">
        <v>30.3</v>
      </c>
      <c r="G1224">
        <v>0.3</v>
      </c>
      <c r="H1224">
        <v>0.4</v>
      </c>
      <c r="I1224">
        <v>0</v>
      </c>
      <c r="J1224">
        <v>0</v>
      </c>
      <c r="K1224">
        <v>0</v>
      </c>
      <c r="L1224">
        <v>0</v>
      </c>
      <c r="M1224">
        <v>0</v>
      </c>
      <c r="N1224">
        <v>27097</v>
      </c>
      <c r="O1224">
        <v>14172</v>
      </c>
      <c r="P1224">
        <v>42943</v>
      </c>
      <c r="Q1224">
        <v>3</v>
      </c>
      <c r="R1224">
        <v>6</v>
      </c>
      <c r="S1224">
        <v>13</v>
      </c>
      <c r="T1224">
        <v>80</v>
      </c>
      <c r="U1224">
        <v>200</v>
      </c>
    </row>
    <row r="1225" spans="1:21" x14ac:dyDescent="0.35">
      <c r="A1225" t="s">
        <v>26</v>
      </c>
      <c r="B1225" s="1">
        <v>45255</v>
      </c>
      <c r="C1225" t="s">
        <v>24</v>
      </c>
      <c r="D1225">
        <v>0</v>
      </c>
      <c r="E1225">
        <v>0</v>
      </c>
      <c r="F1225">
        <v>0</v>
      </c>
      <c r="G1225">
        <v>0</v>
      </c>
      <c r="H1225">
        <v>0</v>
      </c>
      <c r="I1225">
        <v>0</v>
      </c>
      <c r="J1225">
        <v>0</v>
      </c>
      <c r="K1225">
        <v>0</v>
      </c>
      <c r="L1225">
        <v>0</v>
      </c>
      <c r="M1225">
        <v>0</v>
      </c>
      <c r="N1225">
        <v>88264</v>
      </c>
      <c r="O1225">
        <v>81816</v>
      </c>
      <c r="P1225">
        <v>22441</v>
      </c>
      <c r="Q1225">
        <v>0</v>
      </c>
      <c r="R1225">
        <v>0</v>
      </c>
      <c r="S1225">
        <v>0</v>
      </c>
      <c r="T1225">
        <v>5</v>
      </c>
      <c r="U1225">
        <v>11</v>
      </c>
    </row>
    <row r="1226" spans="1:21" x14ac:dyDescent="0.35">
      <c r="A1226" t="s">
        <v>21</v>
      </c>
      <c r="B1226" s="1">
        <v>44408</v>
      </c>
      <c r="C1226" t="s">
        <v>23</v>
      </c>
      <c r="D1226">
        <v>3</v>
      </c>
      <c r="E1226">
        <v>0.3</v>
      </c>
      <c r="F1226">
        <v>0</v>
      </c>
      <c r="G1226">
        <v>10</v>
      </c>
      <c r="H1226">
        <v>0</v>
      </c>
      <c r="I1226">
        <v>0</v>
      </c>
      <c r="J1226">
        <v>0</v>
      </c>
      <c r="K1226">
        <v>0</v>
      </c>
      <c r="L1226">
        <v>0</v>
      </c>
      <c r="M1226">
        <v>0</v>
      </c>
      <c r="N1226">
        <v>99806</v>
      </c>
      <c r="O1226">
        <v>313577</v>
      </c>
      <c r="P1226">
        <v>0</v>
      </c>
      <c r="Q1226">
        <v>3</v>
      </c>
      <c r="R1226">
        <v>1</v>
      </c>
      <c r="S1226">
        <v>0</v>
      </c>
      <c r="T1226">
        <v>50</v>
      </c>
      <c r="U1226">
        <v>64</v>
      </c>
    </row>
    <row r="1227" spans="1:21" x14ac:dyDescent="0.35">
      <c r="A1227" t="s">
        <v>26</v>
      </c>
      <c r="B1227" s="1">
        <v>44982</v>
      </c>
      <c r="C1227" t="s">
        <v>32</v>
      </c>
      <c r="D1227">
        <v>3.7</v>
      </c>
      <c r="E1227">
        <v>0</v>
      </c>
      <c r="F1227">
        <v>0</v>
      </c>
      <c r="G1227">
        <v>0</v>
      </c>
      <c r="H1227">
        <v>0</v>
      </c>
      <c r="I1227">
        <v>0</v>
      </c>
      <c r="J1227">
        <v>0</v>
      </c>
      <c r="K1227">
        <v>0</v>
      </c>
      <c r="L1227">
        <v>0</v>
      </c>
      <c r="M1227">
        <v>0</v>
      </c>
      <c r="N1227">
        <v>162642</v>
      </c>
      <c r="O1227">
        <v>0</v>
      </c>
      <c r="P1227">
        <v>0</v>
      </c>
      <c r="Q1227">
        <v>6</v>
      </c>
      <c r="R1227">
        <v>0</v>
      </c>
      <c r="S1227">
        <v>0</v>
      </c>
      <c r="T1227">
        <v>0</v>
      </c>
      <c r="U1227">
        <v>4</v>
      </c>
    </row>
    <row r="1228" spans="1:21" x14ac:dyDescent="0.35">
      <c r="A1228" t="s">
        <v>26</v>
      </c>
      <c r="B1228" s="1">
        <v>45192</v>
      </c>
      <c r="C1228" t="s">
        <v>22</v>
      </c>
      <c r="D1228">
        <v>8.1999999999999993</v>
      </c>
      <c r="E1228">
        <v>3.1</v>
      </c>
      <c r="F1228">
        <v>6.1</v>
      </c>
      <c r="G1228">
        <v>2.6</v>
      </c>
      <c r="H1228">
        <v>1.3</v>
      </c>
      <c r="I1228">
        <v>10.8</v>
      </c>
      <c r="J1228">
        <v>4.9000000000000004</v>
      </c>
      <c r="K1228">
        <v>4.0999999999999996</v>
      </c>
      <c r="L1228">
        <v>2.2000000000000002</v>
      </c>
      <c r="M1228">
        <v>2.6</v>
      </c>
      <c r="N1228">
        <v>525521</v>
      </c>
      <c r="O1228">
        <v>860278</v>
      </c>
      <c r="P1228">
        <v>1040840</v>
      </c>
      <c r="Q1228">
        <v>43</v>
      </c>
      <c r="R1228">
        <v>27</v>
      </c>
      <c r="S1228">
        <v>63</v>
      </c>
      <c r="T1228">
        <v>999</v>
      </c>
      <c r="U1228">
        <v>999</v>
      </c>
    </row>
    <row r="1229" spans="1:21" x14ac:dyDescent="0.35">
      <c r="A1229" t="s">
        <v>26</v>
      </c>
      <c r="B1229" s="1">
        <v>45185</v>
      </c>
      <c r="C1229" t="s">
        <v>24</v>
      </c>
      <c r="D1229">
        <v>0</v>
      </c>
      <c r="E1229">
        <v>0</v>
      </c>
      <c r="F1229">
        <v>4.7</v>
      </c>
      <c r="G1229">
        <v>0</v>
      </c>
      <c r="H1229">
        <v>0</v>
      </c>
      <c r="I1229">
        <v>0</v>
      </c>
      <c r="J1229">
        <v>0</v>
      </c>
      <c r="K1229">
        <v>0</v>
      </c>
      <c r="L1229">
        <v>0</v>
      </c>
      <c r="M1229">
        <v>0</v>
      </c>
      <c r="N1229">
        <v>89406</v>
      </c>
      <c r="O1229">
        <v>82669</v>
      </c>
      <c r="P1229">
        <v>21266</v>
      </c>
      <c r="Q1229">
        <v>0</v>
      </c>
      <c r="R1229">
        <v>0</v>
      </c>
      <c r="S1229">
        <v>1</v>
      </c>
      <c r="T1229">
        <v>5</v>
      </c>
      <c r="U1229">
        <v>11</v>
      </c>
    </row>
    <row r="1230" spans="1:21" x14ac:dyDescent="0.35">
      <c r="A1230" t="s">
        <v>28</v>
      </c>
      <c r="B1230" s="1">
        <v>45082</v>
      </c>
      <c r="C1230" t="s">
        <v>32</v>
      </c>
      <c r="D1230">
        <v>27.1</v>
      </c>
      <c r="E1230">
        <v>0.6</v>
      </c>
      <c r="F1230">
        <v>0</v>
      </c>
      <c r="G1230">
        <v>45.2</v>
      </c>
      <c r="H1230">
        <v>0</v>
      </c>
      <c r="I1230">
        <v>0</v>
      </c>
      <c r="J1230">
        <v>0</v>
      </c>
      <c r="K1230">
        <v>0</v>
      </c>
      <c r="L1230">
        <v>0</v>
      </c>
      <c r="M1230">
        <v>0</v>
      </c>
      <c r="N1230">
        <v>162642</v>
      </c>
      <c r="O1230">
        <v>0</v>
      </c>
      <c r="P1230">
        <v>0</v>
      </c>
      <c r="Q1230">
        <v>44</v>
      </c>
      <c r="R1230">
        <v>1</v>
      </c>
      <c r="S1230">
        <v>0</v>
      </c>
      <c r="T1230">
        <v>0</v>
      </c>
      <c r="U1230">
        <v>4</v>
      </c>
    </row>
    <row r="1231" spans="1:21" x14ac:dyDescent="0.35">
      <c r="A1231" t="s">
        <v>28</v>
      </c>
      <c r="B1231" s="1">
        <v>44681</v>
      </c>
      <c r="C1231" t="s">
        <v>32</v>
      </c>
      <c r="D1231">
        <v>164.2</v>
      </c>
      <c r="E1231">
        <v>0</v>
      </c>
      <c r="F1231">
        <v>0</v>
      </c>
      <c r="G1231">
        <v>0</v>
      </c>
      <c r="H1231">
        <v>0</v>
      </c>
      <c r="I1231">
        <v>0</v>
      </c>
      <c r="J1231">
        <v>0</v>
      </c>
      <c r="K1231">
        <v>0</v>
      </c>
      <c r="L1231">
        <v>0</v>
      </c>
      <c r="M1231">
        <v>0</v>
      </c>
      <c r="N1231">
        <v>162642</v>
      </c>
      <c r="O1231">
        <v>0</v>
      </c>
      <c r="P1231">
        <v>0</v>
      </c>
      <c r="Q1231">
        <v>267</v>
      </c>
      <c r="R1231">
        <v>0</v>
      </c>
      <c r="S1231">
        <v>0</v>
      </c>
      <c r="T1231">
        <v>0</v>
      </c>
      <c r="U1231">
        <v>4</v>
      </c>
    </row>
    <row r="1232" spans="1:21" x14ac:dyDescent="0.35">
      <c r="A1232" t="s">
        <v>26</v>
      </c>
      <c r="B1232" s="1">
        <v>44800</v>
      </c>
      <c r="C1232" t="s">
        <v>32</v>
      </c>
      <c r="D1232">
        <v>6.8</v>
      </c>
      <c r="E1232">
        <v>0</v>
      </c>
      <c r="F1232">
        <v>0</v>
      </c>
      <c r="G1232">
        <v>0</v>
      </c>
      <c r="H1232">
        <v>0</v>
      </c>
      <c r="I1232">
        <v>0</v>
      </c>
      <c r="J1232">
        <v>0</v>
      </c>
      <c r="K1232">
        <v>0</v>
      </c>
      <c r="L1232">
        <v>0</v>
      </c>
      <c r="M1232">
        <v>0</v>
      </c>
      <c r="N1232">
        <v>162642</v>
      </c>
      <c r="O1232">
        <v>0</v>
      </c>
      <c r="P1232">
        <v>0</v>
      </c>
      <c r="Q1232">
        <v>11</v>
      </c>
      <c r="R1232">
        <v>0</v>
      </c>
      <c r="S1232">
        <v>0</v>
      </c>
      <c r="T1232">
        <v>0</v>
      </c>
      <c r="U1232">
        <v>4</v>
      </c>
    </row>
    <row r="1233" spans="1:21" x14ac:dyDescent="0.35">
      <c r="A1233" t="s">
        <v>26</v>
      </c>
      <c r="B1233" s="1">
        <v>44975</v>
      </c>
      <c r="C1233" t="s">
        <v>22</v>
      </c>
      <c r="D1233">
        <v>8.4</v>
      </c>
      <c r="E1233">
        <v>4.2</v>
      </c>
      <c r="F1233">
        <v>7.1</v>
      </c>
      <c r="G1233">
        <v>2</v>
      </c>
      <c r="H1233">
        <v>1.2</v>
      </c>
      <c r="I1233">
        <v>10.3</v>
      </c>
      <c r="J1233">
        <v>6.3</v>
      </c>
      <c r="K1233">
        <v>5.0999999999999996</v>
      </c>
      <c r="L1233">
        <v>1.6</v>
      </c>
      <c r="M1233">
        <v>2</v>
      </c>
      <c r="N1233">
        <v>546175</v>
      </c>
      <c r="O1233">
        <v>856948</v>
      </c>
      <c r="P1233">
        <v>1040388</v>
      </c>
      <c r="Q1233">
        <v>46</v>
      </c>
      <c r="R1233">
        <v>36</v>
      </c>
      <c r="S1233">
        <v>74</v>
      </c>
      <c r="T1233">
        <v>999</v>
      </c>
      <c r="U1233">
        <v>999</v>
      </c>
    </row>
    <row r="1234" spans="1:21" x14ac:dyDescent="0.35">
      <c r="A1234" t="s">
        <v>21</v>
      </c>
      <c r="B1234" s="1">
        <v>44527</v>
      </c>
      <c r="C1234" t="s">
        <v>30</v>
      </c>
      <c r="D1234">
        <v>6.9</v>
      </c>
      <c r="E1234">
        <v>21</v>
      </c>
      <c r="F1234">
        <v>0</v>
      </c>
      <c r="G1234">
        <v>0.3</v>
      </c>
      <c r="H1234">
        <v>0</v>
      </c>
      <c r="I1234">
        <v>0</v>
      </c>
      <c r="J1234">
        <v>0</v>
      </c>
      <c r="K1234">
        <v>0</v>
      </c>
      <c r="L1234">
        <v>0</v>
      </c>
      <c r="M1234">
        <v>0</v>
      </c>
      <c r="N1234">
        <v>28858</v>
      </c>
      <c r="O1234">
        <v>33319</v>
      </c>
      <c r="P1234">
        <v>22158</v>
      </c>
      <c r="Q1234">
        <v>2</v>
      </c>
      <c r="R1234">
        <v>7</v>
      </c>
      <c r="S1234">
        <v>0</v>
      </c>
      <c r="T1234">
        <v>80</v>
      </c>
      <c r="U1234">
        <v>200</v>
      </c>
    </row>
    <row r="1235" spans="1:21" x14ac:dyDescent="0.35">
      <c r="A1235" t="s">
        <v>28</v>
      </c>
      <c r="B1235" s="1">
        <v>44599</v>
      </c>
      <c r="C1235" t="s">
        <v>32</v>
      </c>
      <c r="D1235">
        <v>175.8</v>
      </c>
      <c r="E1235">
        <v>0</v>
      </c>
      <c r="F1235">
        <v>0</v>
      </c>
      <c r="G1235">
        <v>0</v>
      </c>
      <c r="H1235">
        <v>0</v>
      </c>
      <c r="I1235">
        <v>0</v>
      </c>
      <c r="J1235">
        <v>0</v>
      </c>
      <c r="K1235">
        <v>0</v>
      </c>
      <c r="L1235">
        <v>0</v>
      </c>
      <c r="M1235">
        <v>0</v>
      </c>
      <c r="N1235">
        <v>162642</v>
      </c>
      <c r="O1235">
        <v>0</v>
      </c>
      <c r="P1235">
        <v>0</v>
      </c>
      <c r="Q1235">
        <v>286</v>
      </c>
      <c r="R1235">
        <v>0</v>
      </c>
      <c r="S1235">
        <v>0</v>
      </c>
      <c r="T1235">
        <v>0</v>
      </c>
      <c r="U1235">
        <v>4</v>
      </c>
    </row>
    <row r="1236" spans="1:21" x14ac:dyDescent="0.35">
      <c r="A1236" t="s">
        <v>21</v>
      </c>
      <c r="B1236" s="1">
        <v>44310</v>
      </c>
      <c r="C1236" t="s">
        <v>30</v>
      </c>
      <c r="D1236">
        <v>15.8</v>
      </c>
      <c r="E1236">
        <v>2.6</v>
      </c>
      <c r="F1236">
        <v>0</v>
      </c>
      <c r="G1236">
        <v>6.1</v>
      </c>
      <c r="H1236">
        <v>0</v>
      </c>
      <c r="I1236">
        <v>0</v>
      </c>
      <c r="J1236">
        <v>0</v>
      </c>
      <c r="K1236">
        <v>0</v>
      </c>
      <c r="L1236">
        <v>0</v>
      </c>
      <c r="M1236">
        <v>0</v>
      </c>
      <c r="N1236">
        <v>38015</v>
      </c>
      <c r="O1236">
        <v>38918</v>
      </c>
      <c r="P1236">
        <v>0</v>
      </c>
      <c r="Q1236">
        <v>6</v>
      </c>
      <c r="R1236">
        <v>1</v>
      </c>
      <c r="S1236">
        <v>0</v>
      </c>
      <c r="T1236">
        <v>80</v>
      </c>
      <c r="U1236">
        <v>200</v>
      </c>
    </row>
    <row r="1237" spans="1:21" x14ac:dyDescent="0.35">
      <c r="A1237" t="s">
        <v>28</v>
      </c>
      <c r="B1237" s="1">
        <v>44793</v>
      </c>
      <c r="C1237" t="s">
        <v>32</v>
      </c>
      <c r="D1237">
        <v>145.1</v>
      </c>
      <c r="E1237">
        <v>3.1</v>
      </c>
      <c r="F1237">
        <v>0</v>
      </c>
      <c r="G1237">
        <v>46.8</v>
      </c>
      <c r="H1237">
        <v>0</v>
      </c>
      <c r="I1237">
        <v>0</v>
      </c>
      <c r="J1237">
        <v>0</v>
      </c>
      <c r="K1237">
        <v>0</v>
      </c>
      <c r="L1237">
        <v>0</v>
      </c>
      <c r="M1237">
        <v>0</v>
      </c>
      <c r="N1237">
        <v>162642</v>
      </c>
      <c r="O1237">
        <v>0</v>
      </c>
      <c r="P1237">
        <v>0</v>
      </c>
      <c r="Q1237">
        <v>236</v>
      </c>
      <c r="R1237">
        <v>5</v>
      </c>
      <c r="S1237">
        <v>0</v>
      </c>
      <c r="T1237">
        <v>0</v>
      </c>
      <c r="U1237">
        <v>4</v>
      </c>
    </row>
    <row r="1238" spans="1:21" x14ac:dyDescent="0.35">
      <c r="A1238" t="s">
        <v>28</v>
      </c>
      <c r="B1238" s="1">
        <v>44975</v>
      </c>
      <c r="C1238" t="s">
        <v>32</v>
      </c>
      <c r="D1238">
        <v>57.2</v>
      </c>
      <c r="E1238">
        <v>4.9000000000000004</v>
      </c>
      <c r="F1238">
        <v>0</v>
      </c>
      <c r="G1238">
        <v>11.7</v>
      </c>
      <c r="H1238">
        <v>0</v>
      </c>
      <c r="I1238">
        <v>0</v>
      </c>
      <c r="J1238">
        <v>0</v>
      </c>
      <c r="K1238">
        <v>0</v>
      </c>
      <c r="L1238">
        <v>0</v>
      </c>
      <c r="M1238">
        <v>0</v>
      </c>
      <c r="N1238">
        <v>162642</v>
      </c>
      <c r="O1238">
        <v>0</v>
      </c>
      <c r="P1238">
        <v>0</v>
      </c>
      <c r="Q1238">
        <v>93</v>
      </c>
      <c r="R1238">
        <v>8</v>
      </c>
      <c r="S1238">
        <v>0</v>
      </c>
      <c r="T1238">
        <v>0</v>
      </c>
      <c r="U1238">
        <v>4</v>
      </c>
    </row>
    <row r="1239" spans="1:21" x14ac:dyDescent="0.35">
      <c r="A1239" t="s">
        <v>21</v>
      </c>
      <c r="B1239" s="1">
        <v>44975</v>
      </c>
      <c r="C1239" t="s">
        <v>30</v>
      </c>
      <c r="D1239">
        <v>0</v>
      </c>
      <c r="E1239">
        <v>0</v>
      </c>
      <c r="F1239">
        <v>4.2</v>
      </c>
      <c r="G1239">
        <v>0</v>
      </c>
      <c r="H1239">
        <v>0</v>
      </c>
      <c r="I1239">
        <v>0</v>
      </c>
      <c r="J1239">
        <v>0</v>
      </c>
      <c r="K1239">
        <v>0</v>
      </c>
      <c r="L1239">
        <v>0</v>
      </c>
      <c r="M1239">
        <v>0</v>
      </c>
      <c r="N1239">
        <v>24700</v>
      </c>
      <c r="O1239">
        <v>11377</v>
      </c>
      <c r="P1239">
        <v>47122</v>
      </c>
      <c r="Q1239">
        <v>0</v>
      </c>
      <c r="R1239">
        <v>0</v>
      </c>
      <c r="S1239">
        <v>2</v>
      </c>
      <c r="T1239">
        <v>80</v>
      </c>
      <c r="U1239">
        <v>200</v>
      </c>
    </row>
    <row r="1240" spans="1:21" x14ac:dyDescent="0.35">
      <c r="A1240" t="s">
        <v>21</v>
      </c>
      <c r="B1240" s="1">
        <v>44473</v>
      </c>
      <c r="C1240" t="s">
        <v>25</v>
      </c>
      <c r="D1240">
        <v>0</v>
      </c>
      <c r="E1240">
        <v>0</v>
      </c>
      <c r="F1240">
        <v>0</v>
      </c>
      <c r="G1240">
        <v>0</v>
      </c>
      <c r="H1240">
        <v>0</v>
      </c>
      <c r="I1240">
        <v>0</v>
      </c>
      <c r="J1240">
        <v>0</v>
      </c>
      <c r="K1240">
        <v>0</v>
      </c>
      <c r="L1240">
        <v>0</v>
      </c>
      <c r="M1240">
        <v>0</v>
      </c>
      <c r="N1240">
        <v>353270</v>
      </c>
      <c r="O1240">
        <v>54598</v>
      </c>
      <c r="P1240">
        <v>0</v>
      </c>
      <c r="Q1240">
        <v>0</v>
      </c>
      <c r="R1240">
        <v>0</v>
      </c>
      <c r="S1240">
        <v>0</v>
      </c>
      <c r="T1240">
        <v>18</v>
      </c>
      <c r="U1240">
        <v>29</v>
      </c>
    </row>
    <row r="1241" spans="1:21" x14ac:dyDescent="0.35">
      <c r="A1241" t="s">
        <v>28</v>
      </c>
      <c r="B1241" s="1">
        <v>44930</v>
      </c>
      <c r="C1241" t="s">
        <v>24</v>
      </c>
      <c r="D1241">
        <v>76.8</v>
      </c>
      <c r="E1241">
        <v>98.2</v>
      </c>
      <c r="F1241">
        <v>89.5</v>
      </c>
      <c r="G1241">
        <v>0.8</v>
      </c>
      <c r="H1241">
        <v>0.9</v>
      </c>
      <c r="I1241">
        <v>0</v>
      </c>
      <c r="J1241">
        <v>0</v>
      </c>
      <c r="K1241">
        <v>0</v>
      </c>
      <c r="L1241">
        <v>0</v>
      </c>
      <c r="M1241">
        <v>0</v>
      </c>
      <c r="N1241">
        <v>91185</v>
      </c>
      <c r="O1241">
        <v>82489</v>
      </c>
      <c r="P1241">
        <v>21218</v>
      </c>
      <c r="Q1241">
        <v>70</v>
      </c>
      <c r="R1241">
        <v>81</v>
      </c>
      <c r="S1241">
        <v>19</v>
      </c>
      <c r="T1241">
        <v>5</v>
      </c>
      <c r="U1241">
        <v>11</v>
      </c>
    </row>
    <row r="1242" spans="1:21" x14ac:dyDescent="0.35">
      <c r="A1242" t="s">
        <v>28</v>
      </c>
      <c r="B1242" s="1">
        <v>45157</v>
      </c>
      <c r="C1242" t="s">
        <v>32</v>
      </c>
      <c r="D1242">
        <v>43</v>
      </c>
      <c r="E1242">
        <v>1.8</v>
      </c>
      <c r="F1242">
        <v>0</v>
      </c>
      <c r="G1242">
        <v>23.9</v>
      </c>
      <c r="H1242">
        <v>0</v>
      </c>
      <c r="I1242">
        <v>0</v>
      </c>
      <c r="J1242">
        <v>0</v>
      </c>
      <c r="K1242">
        <v>0</v>
      </c>
      <c r="L1242">
        <v>0</v>
      </c>
      <c r="M1242">
        <v>0</v>
      </c>
      <c r="N1242">
        <v>162642</v>
      </c>
      <c r="O1242">
        <v>0</v>
      </c>
      <c r="P1242">
        <v>0</v>
      </c>
      <c r="Q1242">
        <v>70</v>
      </c>
      <c r="R1242">
        <v>3</v>
      </c>
      <c r="S1242">
        <v>0</v>
      </c>
      <c r="T1242">
        <v>0</v>
      </c>
      <c r="U1242">
        <v>4</v>
      </c>
    </row>
    <row r="1243" spans="1:21" x14ac:dyDescent="0.35">
      <c r="A1243" t="s">
        <v>28</v>
      </c>
      <c r="B1243" s="1">
        <v>44408</v>
      </c>
      <c r="C1243" t="s">
        <v>30</v>
      </c>
      <c r="D1243">
        <v>21.5</v>
      </c>
      <c r="E1243">
        <v>34.4</v>
      </c>
      <c r="F1243">
        <v>0</v>
      </c>
      <c r="G1243">
        <v>0.6</v>
      </c>
      <c r="H1243">
        <v>0</v>
      </c>
      <c r="I1243">
        <v>0</v>
      </c>
      <c r="J1243">
        <v>0</v>
      </c>
      <c r="K1243">
        <v>0</v>
      </c>
      <c r="L1243">
        <v>0</v>
      </c>
      <c r="M1243">
        <v>0</v>
      </c>
      <c r="N1243">
        <v>32548</v>
      </c>
      <c r="O1243">
        <v>52348</v>
      </c>
      <c r="P1243">
        <v>0</v>
      </c>
      <c r="Q1243">
        <v>7</v>
      </c>
      <c r="R1243">
        <v>18</v>
      </c>
      <c r="S1243">
        <v>0</v>
      </c>
      <c r="T1243">
        <v>80</v>
      </c>
      <c r="U1243">
        <v>200</v>
      </c>
    </row>
    <row r="1244" spans="1:21" x14ac:dyDescent="0.35">
      <c r="A1244" t="s">
        <v>21</v>
      </c>
      <c r="B1244" s="1">
        <v>45019</v>
      </c>
      <c r="C1244" t="s">
        <v>22</v>
      </c>
      <c r="D1244">
        <v>0.4</v>
      </c>
      <c r="E1244">
        <v>0.2</v>
      </c>
      <c r="F1244">
        <v>0.9</v>
      </c>
      <c r="G1244">
        <v>2</v>
      </c>
      <c r="H1244">
        <v>0.4</v>
      </c>
      <c r="I1244">
        <v>0.6</v>
      </c>
      <c r="J1244">
        <v>0.4</v>
      </c>
      <c r="K1244">
        <v>0.6</v>
      </c>
      <c r="L1244">
        <v>1.4</v>
      </c>
      <c r="M1244">
        <v>1</v>
      </c>
      <c r="N1244">
        <v>544398</v>
      </c>
      <c r="O1244">
        <v>857702</v>
      </c>
      <c r="P1244">
        <v>1040439</v>
      </c>
      <c r="Q1244">
        <v>2</v>
      </c>
      <c r="R1244">
        <v>2</v>
      </c>
      <c r="S1244">
        <v>9</v>
      </c>
      <c r="T1244">
        <v>999</v>
      </c>
      <c r="U1244">
        <v>999</v>
      </c>
    </row>
    <row r="1245" spans="1:21" x14ac:dyDescent="0.35">
      <c r="A1245" t="s">
        <v>28</v>
      </c>
      <c r="B1245" s="1">
        <v>44808</v>
      </c>
      <c r="C1245" t="s">
        <v>32</v>
      </c>
      <c r="D1245">
        <v>95.3</v>
      </c>
      <c r="E1245">
        <v>0</v>
      </c>
      <c r="F1245">
        <v>0</v>
      </c>
      <c r="G1245">
        <v>0</v>
      </c>
      <c r="H1245">
        <v>0</v>
      </c>
      <c r="I1245">
        <v>0</v>
      </c>
      <c r="J1245">
        <v>0</v>
      </c>
      <c r="K1245">
        <v>0</v>
      </c>
      <c r="L1245">
        <v>0</v>
      </c>
      <c r="M1245">
        <v>0</v>
      </c>
      <c r="N1245">
        <v>162642</v>
      </c>
      <c r="O1245">
        <v>0</v>
      </c>
      <c r="P1245">
        <v>0</v>
      </c>
      <c r="Q1245">
        <v>155</v>
      </c>
      <c r="R1245">
        <v>0</v>
      </c>
      <c r="S1245">
        <v>0</v>
      </c>
      <c r="T1245">
        <v>0</v>
      </c>
      <c r="U1245">
        <v>4</v>
      </c>
    </row>
    <row r="1246" spans="1:21" x14ac:dyDescent="0.35">
      <c r="A1246" t="s">
        <v>28</v>
      </c>
      <c r="B1246" s="1">
        <v>45027</v>
      </c>
      <c r="C1246" t="s">
        <v>31</v>
      </c>
      <c r="D1246">
        <v>47.5</v>
      </c>
      <c r="E1246">
        <v>56.8</v>
      </c>
      <c r="F1246">
        <v>51.7</v>
      </c>
      <c r="G1246">
        <v>0.8</v>
      </c>
      <c r="H1246">
        <v>0.9</v>
      </c>
      <c r="I1246">
        <v>0</v>
      </c>
      <c r="J1246">
        <v>0</v>
      </c>
      <c r="K1246">
        <v>0</v>
      </c>
      <c r="L1246">
        <v>0</v>
      </c>
      <c r="M1246">
        <v>0</v>
      </c>
      <c r="N1246">
        <v>37857</v>
      </c>
      <c r="O1246">
        <v>44044</v>
      </c>
      <c r="P1246">
        <v>172280</v>
      </c>
      <c r="Q1246">
        <v>18</v>
      </c>
      <c r="R1246">
        <v>25</v>
      </c>
      <c r="S1246">
        <v>89</v>
      </c>
      <c r="T1246">
        <v>65</v>
      </c>
      <c r="U1246">
        <v>79</v>
      </c>
    </row>
    <row r="1247" spans="1:21" x14ac:dyDescent="0.35">
      <c r="A1247" t="s">
        <v>28</v>
      </c>
      <c r="B1247" s="1">
        <v>44849</v>
      </c>
      <c r="C1247" t="s">
        <v>32</v>
      </c>
      <c r="D1247">
        <v>45.5</v>
      </c>
      <c r="E1247">
        <v>2.5</v>
      </c>
      <c r="F1247">
        <v>0</v>
      </c>
      <c r="G1247">
        <v>18.2</v>
      </c>
      <c r="H1247">
        <v>0</v>
      </c>
      <c r="I1247">
        <v>0</v>
      </c>
      <c r="J1247">
        <v>0</v>
      </c>
      <c r="K1247">
        <v>0</v>
      </c>
      <c r="L1247">
        <v>0</v>
      </c>
      <c r="M1247">
        <v>0</v>
      </c>
      <c r="N1247">
        <v>162642</v>
      </c>
      <c r="O1247">
        <v>0</v>
      </c>
      <c r="P1247">
        <v>0</v>
      </c>
      <c r="Q1247">
        <v>74</v>
      </c>
      <c r="R1247">
        <v>4</v>
      </c>
      <c r="S1247">
        <v>0</v>
      </c>
      <c r="T1247">
        <v>0</v>
      </c>
      <c r="U1247">
        <v>4</v>
      </c>
    </row>
    <row r="1248" spans="1:21" x14ac:dyDescent="0.35">
      <c r="A1248" t="s">
        <v>28</v>
      </c>
      <c r="B1248" s="1">
        <v>44933</v>
      </c>
      <c r="C1248" t="s">
        <v>32</v>
      </c>
      <c r="D1248">
        <v>8</v>
      </c>
      <c r="E1248">
        <v>1.2</v>
      </c>
      <c r="F1248">
        <v>0</v>
      </c>
      <c r="G1248">
        <v>6.7</v>
      </c>
      <c r="H1248">
        <v>0</v>
      </c>
      <c r="I1248">
        <v>0</v>
      </c>
      <c r="J1248">
        <v>0</v>
      </c>
      <c r="K1248">
        <v>0</v>
      </c>
      <c r="L1248">
        <v>0</v>
      </c>
      <c r="M1248">
        <v>0</v>
      </c>
      <c r="N1248">
        <v>162642</v>
      </c>
      <c r="O1248">
        <v>0</v>
      </c>
      <c r="P1248">
        <v>0</v>
      </c>
      <c r="Q1248">
        <v>13</v>
      </c>
      <c r="R1248">
        <v>2</v>
      </c>
      <c r="S1248">
        <v>0</v>
      </c>
      <c r="T1248">
        <v>0</v>
      </c>
      <c r="U1248">
        <v>4</v>
      </c>
    </row>
    <row r="1249" spans="1:21" x14ac:dyDescent="0.35">
      <c r="A1249" t="s">
        <v>21</v>
      </c>
      <c r="B1249" s="1">
        <v>44632</v>
      </c>
      <c r="C1249" t="s">
        <v>22</v>
      </c>
      <c r="D1249">
        <v>0.9</v>
      </c>
      <c r="E1249">
        <v>0.5</v>
      </c>
      <c r="F1249">
        <v>0.1</v>
      </c>
      <c r="G1249">
        <v>1.8</v>
      </c>
      <c r="H1249">
        <v>9</v>
      </c>
      <c r="I1249">
        <v>0.8</v>
      </c>
      <c r="J1249">
        <v>1</v>
      </c>
      <c r="K1249">
        <v>0.1</v>
      </c>
      <c r="L1249">
        <v>0.8</v>
      </c>
      <c r="M1249">
        <v>15.2</v>
      </c>
      <c r="N1249">
        <v>562883</v>
      </c>
      <c r="O1249">
        <v>851081</v>
      </c>
      <c r="P1249">
        <v>1039826</v>
      </c>
      <c r="Q1249">
        <v>5</v>
      </c>
      <c r="R1249">
        <v>4</v>
      </c>
      <c r="S1249">
        <v>1</v>
      </c>
      <c r="T1249">
        <v>999</v>
      </c>
      <c r="U1249">
        <v>999</v>
      </c>
    </row>
    <row r="1250" spans="1:21" x14ac:dyDescent="0.35">
      <c r="A1250" t="s">
        <v>28</v>
      </c>
      <c r="B1250" s="1">
        <v>44730</v>
      </c>
      <c r="C1250" t="s">
        <v>32</v>
      </c>
      <c r="D1250">
        <v>168.5</v>
      </c>
      <c r="E1250">
        <v>0</v>
      </c>
      <c r="F1250">
        <v>0</v>
      </c>
      <c r="G1250">
        <v>0</v>
      </c>
      <c r="H1250">
        <v>0</v>
      </c>
      <c r="I1250">
        <v>0</v>
      </c>
      <c r="J1250">
        <v>0</v>
      </c>
      <c r="K1250">
        <v>0</v>
      </c>
      <c r="L1250">
        <v>0</v>
      </c>
      <c r="M1250">
        <v>0</v>
      </c>
      <c r="N1250">
        <v>162642</v>
      </c>
      <c r="O1250">
        <v>0</v>
      </c>
      <c r="P1250">
        <v>0</v>
      </c>
      <c r="Q1250">
        <v>274</v>
      </c>
      <c r="R1250">
        <v>0</v>
      </c>
      <c r="S1250">
        <v>0</v>
      </c>
      <c r="T1250">
        <v>0</v>
      </c>
      <c r="U1250">
        <v>4</v>
      </c>
    </row>
    <row r="1251" spans="1:21" x14ac:dyDescent="0.35">
      <c r="A1251" t="s">
        <v>26</v>
      </c>
      <c r="B1251" s="1">
        <v>44345</v>
      </c>
      <c r="C1251" t="s">
        <v>30</v>
      </c>
      <c r="D1251">
        <v>48.9</v>
      </c>
      <c r="E1251">
        <v>4.0999999999999996</v>
      </c>
      <c r="F1251">
        <v>0</v>
      </c>
      <c r="G1251">
        <v>11.9</v>
      </c>
      <c r="H1251">
        <v>0</v>
      </c>
      <c r="I1251">
        <v>0</v>
      </c>
      <c r="J1251">
        <v>0</v>
      </c>
      <c r="K1251">
        <v>0</v>
      </c>
      <c r="L1251">
        <v>0</v>
      </c>
      <c r="M1251">
        <v>0</v>
      </c>
      <c r="N1251">
        <v>34769</v>
      </c>
      <c r="O1251">
        <v>48292</v>
      </c>
      <c r="P1251">
        <v>0</v>
      </c>
      <c r="Q1251">
        <v>17</v>
      </c>
      <c r="R1251">
        <v>2</v>
      </c>
      <c r="S1251">
        <v>0</v>
      </c>
      <c r="T1251">
        <v>80</v>
      </c>
      <c r="U1251">
        <v>200</v>
      </c>
    </row>
    <row r="1252" spans="1:21" x14ac:dyDescent="0.35">
      <c r="A1252" t="s">
        <v>26</v>
      </c>
      <c r="B1252" s="1">
        <v>45199</v>
      </c>
      <c r="C1252" t="s">
        <v>32</v>
      </c>
      <c r="D1252">
        <v>1.8</v>
      </c>
      <c r="E1252">
        <v>0.6</v>
      </c>
      <c r="F1252">
        <v>0</v>
      </c>
      <c r="G1252">
        <v>3</v>
      </c>
      <c r="H1252">
        <v>0</v>
      </c>
      <c r="I1252">
        <v>0</v>
      </c>
      <c r="J1252">
        <v>0</v>
      </c>
      <c r="K1252">
        <v>0</v>
      </c>
      <c r="L1252">
        <v>0</v>
      </c>
      <c r="M1252">
        <v>0</v>
      </c>
      <c r="N1252">
        <v>162642</v>
      </c>
      <c r="O1252">
        <v>0</v>
      </c>
      <c r="P1252">
        <v>0</v>
      </c>
      <c r="Q1252">
        <v>3</v>
      </c>
      <c r="R1252">
        <v>1</v>
      </c>
      <c r="S1252">
        <v>0</v>
      </c>
      <c r="T1252">
        <v>0</v>
      </c>
      <c r="U1252">
        <v>4</v>
      </c>
    </row>
    <row r="1253" spans="1:21" x14ac:dyDescent="0.35">
      <c r="A1253" t="s">
        <v>21</v>
      </c>
      <c r="B1253" s="1">
        <v>44695</v>
      </c>
      <c r="C1253" t="s">
        <v>25</v>
      </c>
      <c r="D1253">
        <v>0</v>
      </c>
      <c r="E1253">
        <v>0</v>
      </c>
      <c r="F1253">
        <v>0.7</v>
      </c>
      <c r="G1253">
        <v>0</v>
      </c>
      <c r="H1253">
        <v>0</v>
      </c>
      <c r="I1253">
        <v>0</v>
      </c>
      <c r="J1253">
        <v>0</v>
      </c>
      <c r="K1253">
        <v>0</v>
      </c>
      <c r="L1253">
        <v>0</v>
      </c>
      <c r="M1253">
        <v>0</v>
      </c>
      <c r="N1253">
        <v>96186</v>
      </c>
      <c r="O1253">
        <v>217174</v>
      </c>
      <c r="P1253">
        <v>151504</v>
      </c>
      <c r="Q1253">
        <v>0</v>
      </c>
      <c r="R1253">
        <v>0</v>
      </c>
      <c r="S1253">
        <v>1</v>
      </c>
      <c r="T1253">
        <v>18</v>
      </c>
      <c r="U1253">
        <v>29</v>
      </c>
    </row>
    <row r="1254" spans="1:21" x14ac:dyDescent="0.35">
      <c r="A1254" t="s">
        <v>21</v>
      </c>
      <c r="B1254" s="1">
        <v>45101</v>
      </c>
      <c r="C1254" t="s">
        <v>32</v>
      </c>
      <c r="D1254">
        <v>0</v>
      </c>
      <c r="E1254">
        <v>0</v>
      </c>
      <c r="F1254">
        <v>0</v>
      </c>
      <c r="G1254">
        <v>0</v>
      </c>
      <c r="H1254">
        <v>0</v>
      </c>
      <c r="I1254">
        <v>0</v>
      </c>
      <c r="J1254">
        <v>0</v>
      </c>
      <c r="K1254">
        <v>0</v>
      </c>
      <c r="L1254">
        <v>0</v>
      </c>
      <c r="M1254">
        <v>0</v>
      </c>
      <c r="N1254">
        <v>162642</v>
      </c>
      <c r="O1254">
        <v>0</v>
      </c>
      <c r="P1254">
        <v>0</v>
      </c>
      <c r="Q1254">
        <v>0</v>
      </c>
      <c r="R1254">
        <v>0</v>
      </c>
      <c r="S1254">
        <v>0</v>
      </c>
      <c r="T1254">
        <v>0</v>
      </c>
      <c r="U1254">
        <v>4</v>
      </c>
    </row>
    <row r="1255" spans="1:21" x14ac:dyDescent="0.35">
      <c r="A1255" t="s">
        <v>28</v>
      </c>
      <c r="B1255" s="1">
        <v>44429</v>
      </c>
      <c r="C1255" t="s">
        <v>24</v>
      </c>
      <c r="D1255">
        <v>101.7</v>
      </c>
      <c r="E1255">
        <v>0</v>
      </c>
      <c r="F1255">
        <v>0</v>
      </c>
      <c r="G1255">
        <v>0</v>
      </c>
      <c r="H1255">
        <v>0</v>
      </c>
      <c r="I1255">
        <v>0</v>
      </c>
      <c r="J1255">
        <v>0</v>
      </c>
      <c r="K1255">
        <v>0</v>
      </c>
      <c r="L1255">
        <v>0</v>
      </c>
      <c r="M1255">
        <v>0</v>
      </c>
      <c r="N1255">
        <v>210448</v>
      </c>
      <c r="O1255">
        <v>0</v>
      </c>
      <c r="P1255">
        <v>0</v>
      </c>
      <c r="Q1255">
        <v>214</v>
      </c>
      <c r="R1255">
        <v>0</v>
      </c>
      <c r="S1255">
        <v>0</v>
      </c>
      <c r="T1255">
        <v>5</v>
      </c>
      <c r="U1255">
        <v>11</v>
      </c>
    </row>
    <row r="1256" spans="1:21" x14ac:dyDescent="0.35">
      <c r="A1256" t="s">
        <v>28</v>
      </c>
      <c r="B1256" s="1">
        <v>44709</v>
      </c>
      <c r="C1256" t="s">
        <v>32</v>
      </c>
      <c r="D1256">
        <v>200.4</v>
      </c>
      <c r="E1256">
        <v>0</v>
      </c>
      <c r="F1256">
        <v>0</v>
      </c>
      <c r="G1256">
        <v>0</v>
      </c>
      <c r="H1256">
        <v>0</v>
      </c>
      <c r="I1256">
        <v>0</v>
      </c>
      <c r="J1256">
        <v>0</v>
      </c>
      <c r="K1256">
        <v>0</v>
      </c>
      <c r="L1256">
        <v>0</v>
      </c>
      <c r="M1256">
        <v>0</v>
      </c>
      <c r="N1256">
        <v>162642</v>
      </c>
      <c r="O1256">
        <v>0</v>
      </c>
      <c r="P1256">
        <v>0</v>
      </c>
      <c r="Q1256">
        <v>326</v>
      </c>
      <c r="R1256">
        <v>0</v>
      </c>
      <c r="S1256">
        <v>0</v>
      </c>
      <c r="T1256">
        <v>0</v>
      </c>
      <c r="U1256">
        <v>4</v>
      </c>
    </row>
    <row r="1257" spans="1:21" x14ac:dyDescent="0.35">
      <c r="A1257" t="s">
        <v>21</v>
      </c>
      <c r="B1257" s="1">
        <v>45027</v>
      </c>
      <c r="C1257" t="s">
        <v>32</v>
      </c>
      <c r="D1257">
        <v>0</v>
      </c>
      <c r="E1257">
        <v>0</v>
      </c>
      <c r="F1257">
        <v>0</v>
      </c>
      <c r="G1257">
        <v>0</v>
      </c>
      <c r="H1257">
        <v>0</v>
      </c>
      <c r="I1257">
        <v>0</v>
      </c>
      <c r="J1257">
        <v>0</v>
      </c>
      <c r="K1257">
        <v>0</v>
      </c>
      <c r="L1257">
        <v>0</v>
      </c>
      <c r="M1257">
        <v>0</v>
      </c>
      <c r="N1257">
        <v>162642</v>
      </c>
      <c r="O1257">
        <v>0</v>
      </c>
      <c r="P1257">
        <v>0</v>
      </c>
      <c r="Q1257">
        <v>0</v>
      </c>
      <c r="R1257">
        <v>0</v>
      </c>
      <c r="S1257">
        <v>0</v>
      </c>
      <c r="T1257">
        <v>0</v>
      </c>
      <c r="U1257">
        <v>4</v>
      </c>
    </row>
    <row r="1258" spans="1:21" x14ac:dyDescent="0.35">
      <c r="A1258" t="s">
        <v>26</v>
      </c>
      <c r="B1258" s="1">
        <v>45073</v>
      </c>
      <c r="C1258" t="s">
        <v>32</v>
      </c>
      <c r="D1258">
        <v>1.8</v>
      </c>
      <c r="E1258">
        <v>0</v>
      </c>
      <c r="F1258">
        <v>0</v>
      </c>
      <c r="G1258">
        <v>0</v>
      </c>
      <c r="H1258">
        <v>0</v>
      </c>
      <c r="I1258">
        <v>0</v>
      </c>
      <c r="J1258">
        <v>0</v>
      </c>
      <c r="K1258">
        <v>0</v>
      </c>
      <c r="L1258">
        <v>0</v>
      </c>
      <c r="M1258">
        <v>0</v>
      </c>
      <c r="N1258">
        <v>162642</v>
      </c>
      <c r="O1258">
        <v>0</v>
      </c>
      <c r="P1258">
        <v>0</v>
      </c>
      <c r="Q1258">
        <v>3</v>
      </c>
      <c r="R1258">
        <v>0</v>
      </c>
      <c r="S1258">
        <v>0</v>
      </c>
      <c r="T1258">
        <v>0</v>
      </c>
      <c r="U1258">
        <v>4</v>
      </c>
    </row>
    <row r="1259" spans="1:21" x14ac:dyDescent="0.35">
      <c r="A1259" t="s">
        <v>26</v>
      </c>
      <c r="B1259" s="1">
        <v>45108</v>
      </c>
      <c r="C1259" t="s">
        <v>32</v>
      </c>
      <c r="D1259">
        <v>5.5</v>
      </c>
      <c r="E1259">
        <v>0</v>
      </c>
      <c r="F1259">
        <v>0</v>
      </c>
      <c r="G1259">
        <v>0</v>
      </c>
      <c r="H1259">
        <v>0</v>
      </c>
      <c r="I1259">
        <v>0</v>
      </c>
      <c r="J1259">
        <v>0</v>
      </c>
      <c r="K1259">
        <v>0</v>
      </c>
      <c r="L1259">
        <v>0</v>
      </c>
      <c r="M1259">
        <v>0</v>
      </c>
      <c r="N1259">
        <v>162642</v>
      </c>
      <c r="O1259">
        <v>0</v>
      </c>
      <c r="P1259">
        <v>0</v>
      </c>
      <c r="Q1259">
        <v>9</v>
      </c>
      <c r="R1259">
        <v>0</v>
      </c>
      <c r="S1259">
        <v>0</v>
      </c>
      <c r="T1259">
        <v>0</v>
      </c>
      <c r="U1259">
        <v>4</v>
      </c>
    </row>
    <row r="1260" spans="1:21" x14ac:dyDescent="0.35">
      <c r="A1260" t="s">
        <v>21</v>
      </c>
      <c r="B1260" s="1">
        <v>45045</v>
      </c>
      <c r="C1260" t="s">
        <v>32</v>
      </c>
      <c r="D1260">
        <v>0</v>
      </c>
      <c r="E1260">
        <v>0</v>
      </c>
      <c r="F1260">
        <v>0</v>
      </c>
      <c r="G1260">
        <v>0</v>
      </c>
      <c r="H1260">
        <v>0</v>
      </c>
      <c r="I1260">
        <v>0</v>
      </c>
      <c r="J1260">
        <v>0</v>
      </c>
      <c r="K1260">
        <v>0</v>
      </c>
      <c r="L1260">
        <v>0</v>
      </c>
      <c r="M1260">
        <v>0</v>
      </c>
      <c r="N1260">
        <v>162642</v>
      </c>
      <c r="O1260">
        <v>0</v>
      </c>
      <c r="P1260">
        <v>0</v>
      </c>
      <c r="Q1260">
        <v>0</v>
      </c>
      <c r="R1260">
        <v>0</v>
      </c>
      <c r="S1260">
        <v>0</v>
      </c>
      <c r="T1260">
        <v>0</v>
      </c>
      <c r="U1260">
        <v>4</v>
      </c>
    </row>
    <row r="1261" spans="1:21" x14ac:dyDescent="0.35">
      <c r="A1261" t="s">
        <v>26</v>
      </c>
      <c r="B1261" s="1">
        <v>44408</v>
      </c>
      <c r="C1261" t="s">
        <v>30</v>
      </c>
      <c r="D1261">
        <v>21.5</v>
      </c>
      <c r="E1261">
        <v>11.5</v>
      </c>
      <c r="F1261">
        <v>0</v>
      </c>
      <c r="G1261">
        <v>1.9</v>
      </c>
      <c r="H1261">
        <v>0</v>
      </c>
      <c r="I1261">
        <v>0</v>
      </c>
      <c r="J1261">
        <v>0</v>
      </c>
      <c r="K1261">
        <v>0</v>
      </c>
      <c r="L1261">
        <v>0</v>
      </c>
      <c r="M1261">
        <v>0</v>
      </c>
      <c r="N1261">
        <v>32548</v>
      </c>
      <c r="O1261">
        <v>52348</v>
      </c>
      <c r="P1261">
        <v>0</v>
      </c>
      <c r="Q1261">
        <v>7</v>
      </c>
      <c r="R1261">
        <v>6</v>
      </c>
      <c r="S1261">
        <v>0</v>
      </c>
      <c r="T1261">
        <v>80</v>
      </c>
      <c r="U1261">
        <v>200</v>
      </c>
    </row>
    <row r="1262" spans="1:21" x14ac:dyDescent="0.35">
      <c r="A1262" t="s">
        <v>28</v>
      </c>
      <c r="B1262" s="1">
        <v>44237</v>
      </c>
      <c r="C1262" t="s">
        <v>30</v>
      </c>
      <c r="D1262">
        <v>68.5</v>
      </c>
      <c r="E1262">
        <v>41.7</v>
      </c>
      <c r="F1262">
        <v>0</v>
      </c>
      <c r="G1262">
        <v>1.6</v>
      </c>
      <c r="H1262">
        <v>0</v>
      </c>
      <c r="I1262">
        <v>0</v>
      </c>
      <c r="J1262">
        <v>0</v>
      </c>
      <c r="K1262">
        <v>0</v>
      </c>
      <c r="L1262">
        <v>0</v>
      </c>
      <c r="M1262">
        <v>0</v>
      </c>
      <c r="N1262">
        <v>30671</v>
      </c>
      <c r="O1262">
        <v>52751</v>
      </c>
      <c r="P1262">
        <v>0</v>
      </c>
      <c r="Q1262">
        <v>21</v>
      </c>
      <c r="R1262">
        <v>22</v>
      </c>
      <c r="S1262">
        <v>0</v>
      </c>
      <c r="T1262">
        <v>80</v>
      </c>
      <c r="U1262">
        <v>200</v>
      </c>
    </row>
    <row r="1263" spans="1:21" x14ac:dyDescent="0.35">
      <c r="A1263" t="s">
        <v>28</v>
      </c>
      <c r="B1263" s="1">
        <v>44499</v>
      </c>
      <c r="C1263" t="s">
        <v>27</v>
      </c>
      <c r="D1263">
        <v>211.9</v>
      </c>
      <c r="E1263">
        <v>25.9</v>
      </c>
      <c r="F1263">
        <v>0</v>
      </c>
      <c r="G1263">
        <v>8.1999999999999993</v>
      </c>
      <c r="H1263">
        <v>0</v>
      </c>
      <c r="I1263">
        <v>0</v>
      </c>
      <c r="J1263">
        <v>0</v>
      </c>
      <c r="K1263">
        <v>0</v>
      </c>
      <c r="L1263">
        <v>0</v>
      </c>
      <c r="M1263">
        <v>0</v>
      </c>
      <c r="N1263">
        <v>64181</v>
      </c>
      <c r="O1263">
        <v>100542</v>
      </c>
      <c r="P1263">
        <v>0</v>
      </c>
      <c r="Q1263">
        <v>136</v>
      </c>
      <c r="R1263">
        <v>26</v>
      </c>
      <c r="S1263">
        <v>0</v>
      </c>
      <c r="T1263">
        <v>12</v>
      </c>
      <c r="U1263">
        <v>17</v>
      </c>
    </row>
    <row r="1264" spans="1:21" x14ac:dyDescent="0.35">
      <c r="A1264" t="s">
        <v>26</v>
      </c>
      <c r="B1264" s="1">
        <v>44793</v>
      </c>
      <c r="C1264" t="s">
        <v>32</v>
      </c>
      <c r="D1264">
        <v>8.6</v>
      </c>
      <c r="E1264">
        <v>0</v>
      </c>
      <c r="F1264">
        <v>0</v>
      </c>
      <c r="G1264">
        <v>0</v>
      </c>
      <c r="H1264">
        <v>0</v>
      </c>
      <c r="I1264">
        <v>0</v>
      </c>
      <c r="J1264">
        <v>0</v>
      </c>
      <c r="K1264">
        <v>0</v>
      </c>
      <c r="L1264">
        <v>0</v>
      </c>
      <c r="M1264">
        <v>0</v>
      </c>
      <c r="N1264">
        <v>162642</v>
      </c>
      <c r="O1264">
        <v>0</v>
      </c>
      <c r="P1264">
        <v>0</v>
      </c>
      <c r="Q1264">
        <v>14</v>
      </c>
      <c r="R1264">
        <v>0</v>
      </c>
      <c r="S1264">
        <v>0</v>
      </c>
      <c r="T1264">
        <v>0</v>
      </c>
      <c r="U1264">
        <v>4</v>
      </c>
    </row>
    <row r="1265" spans="1:21" x14ac:dyDescent="0.35">
      <c r="A1265" t="s">
        <v>26</v>
      </c>
      <c r="B1265" s="1">
        <v>44303</v>
      </c>
      <c r="C1265" t="s">
        <v>29</v>
      </c>
      <c r="D1265">
        <v>19.600000000000001</v>
      </c>
      <c r="E1265">
        <v>0.7</v>
      </c>
      <c r="F1265">
        <v>0</v>
      </c>
      <c r="G1265">
        <v>28</v>
      </c>
      <c r="H1265">
        <v>0</v>
      </c>
      <c r="I1265">
        <v>0</v>
      </c>
      <c r="J1265">
        <v>0</v>
      </c>
      <c r="K1265">
        <v>0</v>
      </c>
      <c r="L1265">
        <v>0</v>
      </c>
      <c r="M1265">
        <v>0</v>
      </c>
      <c r="N1265">
        <v>419282</v>
      </c>
      <c r="O1265">
        <v>148748</v>
      </c>
      <c r="P1265">
        <v>0</v>
      </c>
      <c r="Q1265">
        <v>82</v>
      </c>
      <c r="R1265">
        <v>1</v>
      </c>
      <c r="S1265">
        <v>0</v>
      </c>
      <c r="T1265">
        <v>30</v>
      </c>
      <c r="U1265">
        <v>49</v>
      </c>
    </row>
    <row r="1266" spans="1:21" x14ac:dyDescent="0.35">
      <c r="A1266" t="s">
        <v>28</v>
      </c>
      <c r="B1266" s="1">
        <v>44262</v>
      </c>
      <c r="C1266" t="s">
        <v>31</v>
      </c>
      <c r="D1266">
        <v>20.7</v>
      </c>
      <c r="E1266">
        <v>5.3</v>
      </c>
      <c r="F1266">
        <v>0</v>
      </c>
      <c r="G1266">
        <v>3.9</v>
      </c>
      <c r="H1266">
        <v>0</v>
      </c>
      <c r="I1266">
        <v>0</v>
      </c>
      <c r="J1266">
        <v>0</v>
      </c>
      <c r="K1266">
        <v>0</v>
      </c>
      <c r="L1266">
        <v>0</v>
      </c>
      <c r="M1266">
        <v>0</v>
      </c>
      <c r="N1266">
        <v>72516</v>
      </c>
      <c r="O1266">
        <v>187809</v>
      </c>
      <c r="P1266">
        <v>0</v>
      </c>
      <c r="Q1266">
        <v>15</v>
      </c>
      <c r="R1266">
        <v>10</v>
      </c>
      <c r="S1266">
        <v>0</v>
      </c>
      <c r="T1266">
        <v>65</v>
      </c>
      <c r="U1266">
        <v>79</v>
      </c>
    </row>
    <row r="1267" spans="1:21" x14ac:dyDescent="0.35">
      <c r="A1267" t="s">
        <v>26</v>
      </c>
      <c r="B1267" s="1">
        <v>44499</v>
      </c>
      <c r="C1267" t="s">
        <v>30</v>
      </c>
      <c r="D1267">
        <v>33.5</v>
      </c>
      <c r="E1267">
        <v>17.399999999999999</v>
      </c>
      <c r="F1267">
        <v>0</v>
      </c>
      <c r="G1267">
        <v>1.9</v>
      </c>
      <c r="H1267">
        <v>0</v>
      </c>
      <c r="I1267">
        <v>0</v>
      </c>
      <c r="J1267">
        <v>0</v>
      </c>
      <c r="K1267">
        <v>0</v>
      </c>
      <c r="L1267">
        <v>0</v>
      </c>
      <c r="M1267">
        <v>0</v>
      </c>
      <c r="N1267">
        <v>29835</v>
      </c>
      <c r="O1267">
        <v>46071</v>
      </c>
      <c r="P1267">
        <v>8679</v>
      </c>
      <c r="Q1267">
        <v>10</v>
      </c>
      <c r="R1267">
        <v>8</v>
      </c>
      <c r="S1267">
        <v>0</v>
      </c>
      <c r="T1267">
        <v>80</v>
      </c>
      <c r="U1267">
        <v>200</v>
      </c>
    </row>
    <row r="1268" spans="1:21" x14ac:dyDescent="0.35">
      <c r="A1268" t="s">
        <v>28</v>
      </c>
      <c r="B1268" s="1">
        <v>44366</v>
      </c>
      <c r="C1268" t="s">
        <v>30</v>
      </c>
      <c r="D1268">
        <v>5.9</v>
      </c>
      <c r="E1268">
        <v>0</v>
      </c>
      <c r="F1268">
        <v>0</v>
      </c>
      <c r="G1268">
        <v>0</v>
      </c>
      <c r="H1268">
        <v>0</v>
      </c>
      <c r="I1268">
        <v>0</v>
      </c>
      <c r="J1268">
        <v>0</v>
      </c>
      <c r="K1268">
        <v>0</v>
      </c>
      <c r="L1268">
        <v>0</v>
      </c>
      <c r="M1268">
        <v>0</v>
      </c>
      <c r="N1268">
        <v>33852</v>
      </c>
      <c r="O1268">
        <v>50423</v>
      </c>
      <c r="P1268">
        <v>0</v>
      </c>
      <c r="Q1268">
        <v>2</v>
      </c>
      <c r="R1268">
        <v>0</v>
      </c>
      <c r="S1268">
        <v>0</v>
      </c>
      <c r="T1268">
        <v>80</v>
      </c>
      <c r="U1268">
        <v>200</v>
      </c>
    </row>
    <row r="1269" spans="1:21" x14ac:dyDescent="0.35">
      <c r="A1269" t="s">
        <v>26</v>
      </c>
      <c r="B1269" s="1">
        <v>44884</v>
      </c>
      <c r="C1269" t="s">
        <v>32</v>
      </c>
      <c r="D1269">
        <v>5.5</v>
      </c>
      <c r="E1269">
        <v>0</v>
      </c>
      <c r="F1269">
        <v>0</v>
      </c>
      <c r="G1269">
        <v>0</v>
      </c>
      <c r="H1269">
        <v>0</v>
      </c>
      <c r="I1269">
        <v>0</v>
      </c>
      <c r="J1269">
        <v>0</v>
      </c>
      <c r="K1269">
        <v>0</v>
      </c>
      <c r="L1269">
        <v>0</v>
      </c>
      <c r="M1269">
        <v>0</v>
      </c>
      <c r="N1269">
        <v>162642</v>
      </c>
      <c r="O1269">
        <v>0</v>
      </c>
      <c r="P1269">
        <v>0</v>
      </c>
      <c r="Q1269">
        <v>9</v>
      </c>
      <c r="R1269">
        <v>0</v>
      </c>
      <c r="S1269">
        <v>0</v>
      </c>
      <c r="T1269">
        <v>0</v>
      </c>
      <c r="U1269">
        <v>4</v>
      </c>
    </row>
    <row r="1270" spans="1:21" x14ac:dyDescent="0.35">
      <c r="A1270" t="s">
        <v>28</v>
      </c>
      <c r="B1270" s="1">
        <v>44811</v>
      </c>
      <c r="C1270" t="s">
        <v>32</v>
      </c>
      <c r="D1270">
        <v>170.9</v>
      </c>
      <c r="E1270">
        <v>0</v>
      </c>
      <c r="F1270">
        <v>0</v>
      </c>
      <c r="G1270">
        <v>0</v>
      </c>
      <c r="H1270">
        <v>0</v>
      </c>
      <c r="I1270">
        <v>0</v>
      </c>
      <c r="J1270">
        <v>0</v>
      </c>
      <c r="K1270">
        <v>0</v>
      </c>
      <c r="L1270">
        <v>0</v>
      </c>
      <c r="M1270">
        <v>0</v>
      </c>
      <c r="N1270">
        <v>162642</v>
      </c>
      <c r="O1270">
        <v>0</v>
      </c>
      <c r="P1270">
        <v>0</v>
      </c>
      <c r="Q1270">
        <v>278</v>
      </c>
      <c r="R1270">
        <v>0</v>
      </c>
      <c r="S1270">
        <v>0</v>
      </c>
      <c r="T1270">
        <v>0</v>
      </c>
      <c r="U1270">
        <v>4</v>
      </c>
    </row>
    <row r="1271" spans="1:21" x14ac:dyDescent="0.35">
      <c r="A1271" t="s">
        <v>28</v>
      </c>
      <c r="B1271" s="1">
        <v>44436</v>
      </c>
      <c r="C1271" t="s">
        <v>24</v>
      </c>
      <c r="D1271">
        <v>135</v>
      </c>
      <c r="E1271">
        <v>0</v>
      </c>
      <c r="F1271">
        <v>0</v>
      </c>
      <c r="G1271">
        <v>0</v>
      </c>
      <c r="H1271">
        <v>0</v>
      </c>
      <c r="I1271">
        <v>0</v>
      </c>
      <c r="J1271">
        <v>0</v>
      </c>
      <c r="K1271">
        <v>0</v>
      </c>
      <c r="L1271">
        <v>0</v>
      </c>
      <c r="M1271">
        <v>0</v>
      </c>
      <c r="N1271">
        <v>210448</v>
      </c>
      <c r="O1271">
        <v>0</v>
      </c>
      <c r="P1271">
        <v>0</v>
      </c>
      <c r="Q1271">
        <v>284</v>
      </c>
      <c r="R1271">
        <v>0</v>
      </c>
      <c r="S1271">
        <v>0</v>
      </c>
      <c r="T1271">
        <v>5</v>
      </c>
      <c r="U1271">
        <v>11</v>
      </c>
    </row>
    <row r="1272" spans="1:21" x14ac:dyDescent="0.35">
      <c r="A1272" t="s">
        <v>26</v>
      </c>
      <c r="B1272" s="1">
        <v>44295</v>
      </c>
      <c r="C1272" t="s">
        <v>29</v>
      </c>
      <c r="D1272">
        <v>28.6</v>
      </c>
      <c r="E1272">
        <v>1.4</v>
      </c>
      <c r="F1272">
        <v>0</v>
      </c>
      <c r="G1272">
        <v>20.399999999999999</v>
      </c>
      <c r="H1272">
        <v>0</v>
      </c>
      <c r="I1272">
        <v>0</v>
      </c>
      <c r="J1272">
        <v>0</v>
      </c>
      <c r="K1272">
        <v>0</v>
      </c>
      <c r="L1272">
        <v>0</v>
      </c>
      <c r="M1272">
        <v>0</v>
      </c>
      <c r="N1272">
        <v>237570</v>
      </c>
      <c r="O1272">
        <v>516114</v>
      </c>
      <c r="P1272">
        <v>0</v>
      </c>
      <c r="Q1272">
        <v>68</v>
      </c>
      <c r="R1272">
        <v>7</v>
      </c>
      <c r="S1272">
        <v>0</v>
      </c>
      <c r="T1272">
        <v>30</v>
      </c>
      <c r="U1272">
        <v>49</v>
      </c>
    </row>
    <row r="1273" spans="1:21" x14ac:dyDescent="0.35">
      <c r="A1273" t="s">
        <v>28</v>
      </c>
      <c r="B1273" s="1">
        <v>44695</v>
      </c>
      <c r="C1273" t="s">
        <v>32</v>
      </c>
      <c r="D1273">
        <v>276.7</v>
      </c>
      <c r="E1273">
        <v>0</v>
      </c>
      <c r="F1273">
        <v>0</v>
      </c>
      <c r="G1273">
        <v>0</v>
      </c>
      <c r="H1273">
        <v>0</v>
      </c>
      <c r="I1273">
        <v>0</v>
      </c>
      <c r="J1273">
        <v>0</v>
      </c>
      <c r="K1273">
        <v>0</v>
      </c>
      <c r="L1273">
        <v>0</v>
      </c>
      <c r="M1273">
        <v>0</v>
      </c>
      <c r="N1273">
        <v>162642</v>
      </c>
      <c r="O1273">
        <v>0</v>
      </c>
      <c r="P1273">
        <v>0</v>
      </c>
      <c r="Q1273">
        <v>450</v>
      </c>
      <c r="R1273">
        <v>0</v>
      </c>
      <c r="S1273">
        <v>0</v>
      </c>
      <c r="T1273">
        <v>0</v>
      </c>
      <c r="U1273">
        <v>4</v>
      </c>
    </row>
    <row r="1274" spans="1:21" x14ac:dyDescent="0.35">
      <c r="A1274" t="s">
        <v>26</v>
      </c>
      <c r="B1274" s="1">
        <v>45101</v>
      </c>
      <c r="C1274" t="s">
        <v>29</v>
      </c>
      <c r="D1274">
        <v>0.9</v>
      </c>
      <c r="E1274">
        <v>0.4</v>
      </c>
      <c r="F1274">
        <v>0</v>
      </c>
      <c r="G1274">
        <v>2.2000000000000002</v>
      </c>
      <c r="H1274">
        <v>0</v>
      </c>
      <c r="I1274">
        <v>0</v>
      </c>
      <c r="J1274">
        <v>0</v>
      </c>
      <c r="K1274">
        <v>0</v>
      </c>
      <c r="L1274">
        <v>0</v>
      </c>
      <c r="M1274">
        <v>0</v>
      </c>
      <c r="N1274">
        <v>108055</v>
      </c>
      <c r="O1274">
        <v>278401</v>
      </c>
      <c r="P1274">
        <v>347307</v>
      </c>
      <c r="Q1274">
        <v>1</v>
      </c>
      <c r="R1274">
        <v>1</v>
      </c>
      <c r="S1274">
        <v>0</v>
      </c>
      <c r="T1274">
        <v>30</v>
      </c>
      <c r="U1274">
        <v>49</v>
      </c>
    </row>
    <row r="1275" spans="1:21" x14ac:dyDescent="0.35">
      <c r="A1275" t="s">
        <v>28</v>
      </c>
      <c r="B1275" s="1">
        <v>44331</v>
      </c>
      <c r="C1275" t="s">
        <v>25</v>
      </c>
      <c r="D1275">
        <v>136.19999999999999</v>
      </c>
      <c r="E1275">
        <v>10.7</v>
      </c>
      <c r="F1275">
        <v>0</v>
      </c>
      <c r="G1275">
        <v>12.7</v>
      </c>
      <c r="H1275">
        <v>0</v>
      </c>
      <c r="I1275">
        <v>0</v>
      </c>
      <c r="J1275">
        <v>0</v>
      </c>
      <c r="K1275">
        <v>0</v>
      </c>
      <c r="L1275">
        <v>0</v>
      </c>
      <c r="M1275">
        <v>0</v>
      </c>
      <c r="N1275">
        <v>265014</v>
      </c>
      <c r="O1275">
        <v>159262</v>
      </c>
      <c r="P1275">
        <v>0</v>
      </c>
      <c r="Q1275">
        <v>361</v>
      </c>
      <c r="R1275">
        <v>17</v>
      </c>
      <c r="S1275">
        <v>0</v>
      </c>
      <c r="T1275">
        <v>18</v>
      </c>
      <c r="U1275">
        <v>29</v>
      </c>
    </row>
    <row r="1276" spans="1:21" x14ac:dyDescent="0.35">
      <c r="A1276" t="s">
        <v>28</v>
      </c>
      <c r="B1276" s="1">
        <v>44401</v>
      </c>
      <c r="C1276" t="s">
        <v>27</v>
      </c>
      <c r="D1276">
        <v>70</v>
      </c>
      <c r="E1276">
        <v>16.399999999999999</v>
      </c>
      <c r="F1276">
        <v>0</v>
      </c>
      <c r="G1276">
        <v>4.3</v>
      </c>
      <c r="H1276">
        <v>0</v>
      </c>
      <c r="I1276">
        <v>0</v>
      </c>
      <c r="J1276">
        <v>0</v>
      </c>
      <c r="K1276">
        <v>0</v>
      </c>
      <c r="L1276">
        <v>0</v>
      </c>
      <c r="M1276">
        <v>0</v>
      </c>
      <c r="N1276">
        <v>98632</v>
      </c>
      <c r="O1276">
        <v>61084</v>
      </c>
      <c r="P1276">
        <v>0</v>
      </c>
      <c r="Q1276">
        <v>69</v>
      </c>
      <c r="R1276">
        <v>10</v>
      </c>
      <c r="S1276">
        <v>0</v>
      </c>
      <c r="T1276">
        <v>12</v>
      </c>
      <c r="U1276">
        <v>17</v>
      </c>
    </row>
    <row r="1277" spans="1:21" x14ac:dyDescent="0.35">
      <c r="A1277" t="s">
        <v>28</v>
      </c>
      <c r="B1277" s="1">
        <v>44871</v>
      </c>
      <c r="C1277" t="s">
        <v>27</v>
      </c>
      <c r="D1277">
        <v>304.10000000000002</v>
      </c>
      <c r="E1277">
        <v>169.3</v>
      </c>
      <c r="F1277">
        <v>220.1</v>
      </c>
      <c r="G1277">
        <v>1.8</v>
      </c>
      <c r="H1277">
        <v>1.4</v>
      </c>
      <c r="I1277">
        <v>0</v>
      </c>
      <c r="J1277">
        <v>0</v>
      </c>
      <c r="K1277">
        <v>0</v>
      </c>
      <c r="L1277">
        <v>0</v>
      </c>
      <c r="M1277">
        <v>0</v>
      </c>
      <c r="N1277">
        <v>36826</v>
      </c>
      <c r="O1277">
        <v>92726</v>
      </c>
      <c r="P1277">
        <v>35890</v>
      </c>
      <c r="Q1277">
        <v>112</v>
      </c>
      <c r="R1277">
        <v>157</v>
      </c>
      <c r="S1277">
        <v>79</v>
      </c>
      <c r="T1277">
        <v>12</v>
      </c>
      <c r="U1277">
        <v>17</v>
      </c>
    </row>
    <row r="1278" spans="1:21" x14ac:dyDescent="0.35">
      <c r="A1278" t="s">
        <v>21</v>
      </c>
      <c r="B1278" s="1">
        <v>44436</v>
      </c>
      <c r="C1278" t="s">
        <v>29</v>
      </c>
      <c r="D1278">
        <v>0.8</v>
      </c>
      <c r="E1278">
        <v>0.2</v>
      </c>
      <c r="F1278">
        <v>0</v>
      </c>
      <c r="G1278">
        <v>4</v>
      </c>
      <c r="H1278">
        <v>0</v>
      </c>
      <c r="I1278">
        <v>0</v>
      </c>
      <c r="J1278">
        <v>0</v>
      </c>
      <c r="K1278">
        <v>0</v>
      </c>
      <c r="L1278">
        <v>0</v>
      </c>
      <c r="M1278">
        <v>0</v>
      </c>
      <c r="N1278">
        <v>243499</v>
      </c>
      <c r="O1278">
        <v>512355</v>
      </c>
      <c r="P1278">
        <v>0</v>
      </c>
      <c r="Q1278">
        <v>2</v>
      </c>
      <c r="R1278">
        <v>1</v>
      </c>
      <c r="S1278">
        <v>0</v>
      </c>
      <c r="T1278">
        <v>30</v>
      </c>
      <c r="U1278">
        <v>49</v>
      </c>
    </row>
    <row r="1279" spans="1:21" x14ac:dyDescent="0.35">
      <c r="A1279" t="s">
        <v>26</v>
      </c>
      <c r="B1279" s="1">
        <v>45003</v>
      </c>
      <c r="C1279" t="s">
        <v>30</v>
      </c>
      <c r="D1279">
        <v>8.1</v>
      </c>
      <c r="E1279">
        <v>26.4</v>
      </c>
      <c r="F1279">
        <v>34</v>
      </c>
      <c r="G1279">
        <v>0.3</v>
      </c>
      <c r="H1279">
        <v>0.2</v>
      </c>
      <c r="I1279">
        <v>0</v>
      </c>
      <c r="J1279">
        <v>0</v>
      </c>
      <c r="K1279">
        <v>0</v>
      </c>
      <c r="L1279">
        <v>0</v>
      </c>
      <c r="M1279">
        <v>0</v>
      </c>
      <c r="N1279">
        <v>24655</v>
      </c>
      <c r="O1279">
        <v>11380</v>
      </c>
      <c r="P1279">
        <v>47126</v>
      </c>
      <c r="Q1279">
        <v>2</v>
      </c>
      <c r="R1279">
        <v>3</v>
      </c>
      <c r="S1279">
        <v>16</v>
      </c>
      <c r="T1279">
        <v>80</v>
      </c>
      <c r="U1279">
        <v>200</v>
      </c>
    </row>
    <row r="1280" spans="1:21" x14ac:dyDescent="0.35">
      <c r="A1280" t="s">
        <v>21</v>
      </c>
      <c r="B1280" s="1">
        <v>45213</v>
      </c>
      <c r="C1280" t="s">
        <v>27</v>
      </c>
      <c r="D1280">
        <v>0</v>
      </c>
      <c r="E1280">
        <v>0</v>
      </c>
      <c r="F1280">
        <v>0</v>
      </c>
      <c r="G1280">
        <v>0</v>
      </c>
      <c r="H1280">
        <v>0</v>
      </c>
      <c r="I1280">
        <v>0</v>
      </c>
      <c r="J1280">
        <v>0</v>
      </c>
      <c r="K1280">
        <v>0</v>
      </c>
      <c r="L1280">
        <v>0</v>
      </c>
      <c r="M1280">
        <v>0</v>
      </c>
      <c r="N1280">
        <v>31636</v>
      </c>
      <c r="O1280">
        <v>86569</v>
      </c>
      <c r="P1280">
        <v>44606</v>
      </c>
      <c r="Q1280">
        <v>0</v>
      </c>
      <c r="R1280">
        <v>0</v>
      </c>
      <c r="S1280">
        <v>0</v>
      </c>
      <c r="T1280">
        <v>12</v>
      </c>
      <c r="U1280">
        <v>17</v>
      </c>
    </row>
    <row r="1281" spans="1:21" x14ac:dyDescent="0.35">
      <c r="A1281" t="s">
        <v>28</v>
      </c>
      <c r="B1281" s="1">
        <v>44856</v>
      </c>
      <c r="C1281" t="s">
        <v>23</v>
      </c>
      <c r="D1281">
        <v>305.10000000000002</v>
      </c>
      <c r="E1281">
        <v>77.5</v>
      </c>
      <c r="F1281">
        <v>103.8</v>
      </c>
      <c r="G1281">
        <v>3.9</v>
      </c>
      <c r="H1281">
        <v>2.9</v>
      </c>
      <c r="I1281">
        <v>0</v>
      </c>
      <c r="J1281">
        <v>0</v>
      </c>
      <c r="K1281">
        <v>0</v>
      </c>
      <c r="L1281">
        <v>0</v>
      </c>
      <c r="M1281">
        <v>0</v>
      </c>
      <c r="N1281">
        <v>37697</v>
      </c>
      <c r="O1281">
        <v>125220</v>
      </c>
      <c r="P1281">
        <v>246635</v>
      </c>
      <c r="Q1281">
        <v>115</v>
      </c>
      <c r="R1281">
        <v>97</v>
      </c>
      <c r="S1281">
        <v>256</v>
      </c>
      <c r="T1281">
        <v>50</v>
      </c>
      <c r="U1281">
        <v>64</v>
      </c>
    </row>
    <row r="1282" spans="1:21" x14ac:dyDescent="0.35">
      <c r="A1282" t="s">
        <v>28</v>
      </c>
      <c r="B1282" s="1">
        <v>45054</v>
      </c>
      <c r="C1282" t="s">
        <v>31</v>
      </c>
      <c r="D1282">
        <v>20.399999999999999</v>
      </c>
      <c r="E1282">
        <v>36.9</v>
      </c>
      <c r="F1282">
        <v>32.6</v>
      </c>
      <c r="G1282">
        <v>0.6</v>
      </c>
      <c r="H1282">
        <v>0.6</v>
      </c>
      <c r="I1282">
        <v>0</v>
      </c>
      <c r="J1282">
        <v>0</v>
      </c>
      <c r="K1282">
        <v>0</v>
      </c>
      <c r="L1282">
        <v>0</v>
      </c>
      <c r="M1282">
        <v>0</v>
      </c>
      <c r="N1282">
        <v>39261</v>
      </c>
      <c r="O1282">
        <v>43418</v>
      </c>
      <c r="P1282">
        <v>171751</v>
      </c>
      <c r="Q1282">
        <v>8</v>
      </c>
      <c r="R1282">
        <v>16</v>
      </c>
      <c r="S1282">
        <v>56</v>
      </c>
      <c r="T1282">
        <v>65</v>
      </c>
      <c r="U1282">
        <v>79</v>
      </c>
    </row>
    <row r="1283" spans="1:21" x14ac:dyDescent="0.35">
      <c r="A1283" t="s">
        <v>21</v>
      </c>
      <c r="B1283" s="1">
        <v>44800</v>
      </c>
      <c r="C1283" t="s">
        <v>23</v>
      </c>
      <c r="D1283">
        <v>0</v>
      </c>
      <c r="E1283">
        <v>0.8</v>
      </c>
      <c r="F1283">
        <v>0</v>
      </c>
      <c r="G1283">
        <v>0</v>
      </c>
      <c r="H1283">
        <v>0</v>
      </c>
      <c r="I1283">
        <v>0</v>
      </c>
      <c r="J1283">
        <v>0</v>
      </c>
      <c r="K1283">
        <v>0</v>
      </c>
      <c r="L1283">
        <v>0</v>
      </c>
      <c r="M1283">
        <v>0</v>
      </c>
      <c r="N1283">
        <v>40343</v>
      </c>
      <c r="O1283">
        <v>125946</v>
      </c>
      <c r="P1283">
        <v>245378</v>
      </c>
      <c r="Q1283">
        <v>0</v>
      </c>
      <c r="R1283">
        <v>1</v>
      </c>
      <c r="S1283">
        <v>0</v>
      </c>
      <c r="T1283">
        <v>50</v>
      </c>
      <c r="U1283">
        <v>64</v>
      </c>
    </row>
    <row r="1284" spans="1:21" x14ac:dyDescent="0.35">
      <c r="A1284" t="s">
        <v>28</v>
      </c>
      <c r="B1284" s="1">
        <v>45122</v>
      </c>
      <c r="C1284" t="s">
        <v>30</v>
      </c>
      <c r="D1284">
        <v>4.0999999999999996</v>
      </c>
      <c r="E1284">
        <v>17.600000000000001</v>
      </c>
      <c r="F1284">
        <v>23.3</v>
      </c>
      <c r="G1284">
        <v>0.2</v>
      </c>
      <c r="H1284">
        <v>0.2</v>
      </c>
      <c r="I1284">
        <v>0</v>
      </c>
      <c r="J1284">
        <v>0</v>
      </c>
      <c r="K1284">
        <v>0</v>
      </c>
      <c r="L1284">
        <v>0</v>
      </c>
      <c r="M1284">
        <v>0</v>
      </c>
      <c r="N1284">
        <v>24489</v>
      </c>
      <c r="O1284">
        <v>11383</v>
      </c>
      <c r="P1284">
        <v>47130</v>
      </c>
      <c r="Q1284">
        <v>1</v>
      </c>
      <c r="R1284">
        <v>2</v>
      </c>
      <c r="S1284">
        <v>11</v>
      </c>
      <c r="T1284">
        <v>80</v>
      </c>
      <c r="U1284">
        <v>200</v>
      </c>
    </row>
    <row r="1285" spans="1:21" x14ac:dyDescent="0.35">
      <c r="A1285" t="s">
        <v>26</v>
      </c>
      <c r="B1285" s="1">
        <v>44422</v>
      </c>
      <c r="C1285" t="s">
        <v>29</v>
      </c>
      <c r="D1285">
        <v>22.4</v>
      </c>
      <c r="E1285">
        <v>1.2</v>
      </c>
      <c r="F1285">
        <v>0</v>
      </c>
      <c r="G1285">
        <v>18.7</v>
      </c>
      <c r="H1285">
        <v>0</v>
      </c>
      <c r="I1285">
        <v>0</v>
      </c>
      <c r="J1285">
        <v>0</v>
      </c>
      <c r="K1285">
        <v>0</v>
      </c>
      <c r="L1285">
        <v>0</v>
      </c>
      <c r="M1285">
        <v>0</v>
      </c>
      <c r="N1285">
        <v>254572</v>
      </c>
      <c r="O1285">
        <v>504735</v>
      </c>
      <c r="P1285">
        <v>0</v>
      </c>
      <c r="Q1285">
        <v>57</v>
      </c>
      <c r="R1285">
        <v>6</v>
      </c>
      <c r="S1285">
        <v>0</v>
      </c>
      <c r="T1285">
        <v>30</v>
      </c>
      <c r="U1285">
        <v>49</v>
      </c>
    </row>
    <row r="1286" spans="1:21" x14ac:dyDescent="0.35">
      <c r="A1286" t="s">
        <v>26</v>
      </c>
      <c r="B1286" s="1">
        <v>44527</v>
      </c>
      <c r="C1286" t="s">
        <v>27</v>
      </c>
      <c r="D1286">
        <v>1.7</v>
      </c>
      <c r="E1286">
        <v>0</v>
      </c>
      <c r="F1286">
        <v>0</v>
      </c>
      <c r="G1286">
        <v>0</v>
      </c>
      <c r="H1286">
        <v>0</v>
      </c>
      <c r="I1286">
        <v>0</v>
      </c>
      <c r="J1286">
        <v>0</v>
      </c>
      <c r="K1286">
        <v>0</v>
      </c>
      <c r="L1286">
        <v>0</v>
      </c>
      <c r="M1286">
        <v>0</v>
      </c>
      <c r="N1286">
        <v>59342</v>
      </c>
      <c r="O1286">
        <v>104798</v>
      </c>
      <c r="P1286">
        <v>0</v>
      </c>
      <c r="Q1286">
        <v>1</v>
      </c>
      <c r="R1286">
        <v>0</v>
      </c>
      <c r="S1286">
        <v>0</v>
      </c>
      <c r="T1286">
        <v>12</v>
      </c>
      <c r="U1286">
        <v>17</v>
      </c>
    </row>
    <row r="1287" spans="1:21" x14ac:dyDescent="0.35">
      <c r="A1287" t="s">
        <v>28</v>
      </c>
      <c r="B1287" s="1">
        <v>44800</v>
      </c>
      <c r="C1287" t="s">
        <v>32</v>
      </c>
      <c r="D1287">
        <v>123</v>
      </c>
      <c r="E1287">
        <v>2.5</v>
      </c>
      <c r="F1287">
        <v>0</v>
      </c>
      <c r="G1287">
        <v>49.2</v>
      </c>
      <c r="H1287">
        <v>0</v>
      </c>
      <c r="I1287">
        <v>0</v>
      </c>
      <c r="J1287">
        <v>0</v>
      </c>
      <c r="K1287">
        <v>0</v>
      </c>
      <c r="L1287">
        <v>0</v>
      </c>
      <c r="M1287">
        <v>0</v>
      </c>
      <c r="N1287">
        <v>162642</v>
      </c>
      <c r="O1287">
        <v>0</v>
      </c>
      <c r="P1287">
        <v>0</v>
      </c>
      <c r="Q1287">
        <v>200</v>
      </c>
      <c r="R1287">
        <v>4</v>
      </c>
      <c r="S1287">
        <v>0</v>
      </c>
      <c r="T1287">
        <v>0</v>
      </c>
      <c r="U1287">
        <v>4</v>
      </c>
    </row>
    <row r="1288" spans="1:21" x14ac:dyDescent="0.35">
      <c r="A1288" t="s">
        <v>28</v>
      </c>
      <c r="B1288" s="1">
        <v>44800</v>
      </c>
      <c r="C1288" t="s">
        <v>27</v>
      </c>
      <c r="D1288">
        <v>175.4</v>
      </c>
      <c r="E1288">
        <v>83.8</v>
      </c>
      <c r="F1288">
        <v>82</v>
      </c>
      <c r="G1288">
        <v>2.1</v>
      </c>
      <c r="H1288">
        <v>2.1</v>
      </c>
      <c r="I1288">
        <v>0</v>
      </c>
      <c r="J1288">
        <v>0</v>
      </c>
      <c r="K1288">
        <v>0</v>
      </c>
      <c r="L1288">
        <v>0</v>
      </c>
      <c r="M1288">
        <v>0</v>
      </c>
      <c r="N1288">
        <v>35352</v>
      </c>
      <c r="O1288">
        <v>87164</v>
      </c>
      <c r="P1288">
        <v>42657</v>
      </c>
      <c r="Q1288">
        <v>62</v>
      </c>
      <c r="R1288">
        <v>73</v>
      </c>
      <c r="S1288">
        <v>35</v>
      </c>
      <c r="T1288">
        <v>12</v>
      </c>
      <c r="U1288">
        <v>17</v>
      </c>
    </row>
    <row r="1289" spans="1:21" x14ac:dyDescent="0.35">
      <c r="A1289" t="s">
        <v>28</v>
      </c>
      <c r="B1289" s="1">
        <v>45031</v>
      </c>
      <c r="C1289" t="s">
        <v>24</v>
      </c>
      <c r="D1289">
        <v>51.6</v>
      </c>
      <c r="E1289">
        <v>41.2</v>
      </c>
      <c r="F1289">
        <v>80.099999999999994</v>
      </c>
      <c r="G1289">
        <v>1.3</v>
      </c>
      <c r="H1289">
        <v>0.6</v>
      </c>
      <c r="I1289">
        <v>0</v>
      </c>
      <c r="J1289">
        <v>0</v>
      </c>
      <c r="K1289">
        <v>0</v>
      </c>
      <c r="L1289">
        <v>0</v>
      </c>
      <c r="M1289">
        <v>0</v>
      </c>
      <c r="N1289">
        <v>91051</v>
      </c>
      <c r="O1289">
        <v>82568</v>
      </c>
      <c r="P1289">
        <v>21228</v>
      </c>
      <c r="Q1289">
        <v>47</v>
      </c>
      <c r="R1289">
        <v>34</v>
      </c>
      <c r="S1289">
        <v>17</v>
      </c>
      <c r="T1289">
        <v>5</v>
      </c>
      <c r="U1289">
        <v>11</v>
      </c>
    </row>
    <row r="1290" spans="1:21" x14ac:dyDescent="0.35">
      <c r="A1290" t="s">
        <v>26</v>
      </c>
      <c r="B1290" s="1">
        <v>45066</v>
      </c>
      <c r="C1290" t="s">
        <v>25</v>
      </c>
      <c r="D1290">
        <v>4</v>
      </c>
      <c r="E1290">
        <v>0.5</v>
      </c>
      <c r="F1290">
        <v>1.2</v>
      </c>
      <c r="G1290">
        <v>8</v>
      </c>
      <c r="H1290">
        <v>3.3</v>
      </c>
      <c r="I1290">
        <v>0</v>
      </c>
      <c r="J1290">
        <v>0</v>
      </c>
      <c r="K1290">
        <v>0</v>
      </c>
      <c r="L1290">
        <v>0</v>
      </c>
      <c r="M1290">
        <v>0</v>
      </c>
      <c r="N1290">
        <v>75004</v>
      </c>
      <c r="O1290">
        <v>214136</v>
      </c>
      <c r="P1290">
        <v>161691</v>
      </c>
      <c r="Q1290">
        <v>3</v>
      </c>
      <c r="R1290">
        <v>1</v>
      </c>
      <c r="S1290">
        <v>2</v>
      </c>
      <c r="T1290">
        <v>18</v>
      </c>
      <c r="U1290">
        <v>29</v>
      </c>
    </row>
    <row r="1291" spans="1:21" x14ac:dyDescent="0.35">
      <c r="A1291" t="s">
        <v>21</v>
      </c>
      <c r="B1291" s="1">
        <v>44457</v>
      </c>
      <c r="C1291" t="s">
        <v>29</v>
      </c>
      <c r="D1291">
        <v>4</v>
      </c>
      <c r="E1291">
        <v>0</v>
      </c>
      <c r="F1291">
        <v>0</v>
      </c>
      <c r="G1291">
        <v>0</v>
      </c>
      <c r="H1291">
        <v>0</v>
      </c>
      <c r="I1291">
        <v>0</v>
      </c>
      <c r="J1291">
        <v>0</v>
      </c>
      <c r="K1291">
        <v>0</v>
      </c>
      <c r="L1291">
        <v>0</v>
      </c>
      <c r="M1291">
        <v>0</v>
      </c>
      <c r="N1291">
        <v>227597</v>
      </c>
      <c r="O1291">
        <v>524734</v>
      </c>
      <c r="P1291">
        <v>0</v>
      </c>
      <c r="Q1291">
        <v>9</v>
      </c>
      <c r="R1291">
        <v>0</v>
      </c>
      <c r="S1291">
        <v>0</v>
      </c>
      <c r="T1291">
        <v>30</v>
      </c>
      <c r="U1291">
        <v>49</v>
      </c>
    </row>
    <row r="1292" spans="1:21" x14ac:dyDescent="0.35">
      <c r="A1292" t="s">
        <v>21</v>
      </c>
      <c r="B1292" s="1">
        <v>44891</v>
      </c>
      <c r="C1292" t="s">
        <v>25</v>
      </c>
      <c r="D1292">
        <v>0</v>
      </c>
      <c r="E1292">
        <v>0</v>
      </c>
      <c r="F1292">
        <v>0</v>
      </c>
      <c r="G1292">
        <v>0</v>
      </c>
      <c r="H1292">
        <v>0</v>
      </c>
      <c r="I1292">
        <v>0</v>
      </c>
      <c r="J1292">
        <v>0</v>
      </c>
      <c r="K1292">
        <v>0</v>
      </c>
      <c r="L1292">
        <v>0</v>
      </c>
      <c r="M1292">
        <v>0</v>
      </c>
      <c r="N1292">
        <v>81540</v>
      </c>
      <c r="O1292">
        <v>212520</v>
      </c>
      <c r="P1292">
        <v>161571</v>
      </c>
      <c r="Q1292">
        <v>0</v>
      </c>
      <c r="R1292">
        <v>0</v>
      </c>
      <c r="S1292">
        <v>0</v>
      </c>
      <c r="T1292">
        <v>18</v>
      </c>
      <c r="U1292">
        <v>29</v>
      </c>
    </row>
    <row r="1293" spans="1:21" x14ac:dyDescent="0.35">
      <c r="A1293" t="s">
        <v>26</v>
      </c>
      <c r="B1293" s="1">
        <v>45241</v>
      </c>
      <c r="C1293" t="s">
        <v>32</v>
      </c>
      <c r="D1293">
        <v>4.9000000000000004</v>
      </c>
      <c r="E1293">
        <v>0</v>
      </c>
      <c r="F1293">
        <v>0</v>
      </c>
      <c r="G1293">
        <v>0</v>
      </c>
      <c r="H1293">
        <v>0</v>
      </c>
      <c r="I1293">
        <v>0</v>
      </c>
      <c r="J1293">
        <v>0</v>
      </c>
      <c r="K1293">
        <v>0</v>
      </c>
      <c r="L1293">
        <v>0</v>
      </c>
      <c r="M1293">
        <v>0</v>
      </c>
      <c r="N1293">
        <v>162642</v>
      </c>
      <c r="O1293">
        <v>0</v>
      </c>
      <c r="P1293">
        <v>0</v>
      </c>
      <c r="Q1293">
        <v>8</v>
      </c>
      <c r="R1293">
        <v>0</v>
      </c>
      <c r="S1293">
        <v>0</v>
      </c>
      <c r="T1293">
        <v>0</v>
      </c>
      <c r="U1293">
        <v>4</v>
      </c>
    </row>
    <row r="1294" spans="1:21" x14ac:dyDescent="0.35">
      <c r="A1294" t="s">
        <v>21</v>
      </c>
      <c r="B1294" s="1">
        <v>44345</v>
      </c>
      <c r="C1294" t="s">
        <v>31</v>
      </c>
      <c r="D1294">
        <v>11.6</v>
      </c>
      <c r="E1294">
        <v>0</v>
      </c>
      <c r="F1294">
        <v>0</v>
      </c>
      <c r="G1294">
        <v>0</v>
      </c>
      <c r="H1294">
        <v>0</v>
      </c>
      <c r="I1294">
        <v>0</v>
      </c>
      <c r="J1294">
        <v>0</v>
      </c>
      <c r="K1294">
        <v>0</v>
      </c>
      <c r="L1294">
        <v>0</v>
      </c>
      <c r="M1294">
        <v>0</v>
      </c>
      <c r="N1294">
        <v>77839</v>
      </c>
      <c r="O1294">
        <v>175452</v>
      </c>
      <c r="P1294">
        <v>0</v>
      </c>
      <c r="Q1294">
        <v>9</v>
      </c>
      <c r="R1294">
        <v>0</v>
      </c>
      <c r="S1294">
        <v>0</v>
      </c>
      <c r="T1294">
        <v>65</v>
      </c>
      <c r="U1294">
        <v>79</v>
      </c>
    </row>
    <row r="1295" spans="1:21" x14ac:dyDescent="0.35">
      <c r="A1295" t="s">
        <v>28</v>
      </c>
      <c r="B1295" s="1">
        <v>44758</v>
      </c>
      <c r="C1295" t="s">
        <v>32</v>
      </c>
      <c r="D1295">
        <v>151.9</v>
      </c>
      <c r="E1295">
        <v>0</v>
      </c>
      <c r="F1295">
        <v>0</v>
      </c>
      <c r="G1295">
        <v>0</v>
      </c>
      <c r="H1295">
        <v>0</v>
      </c>
      <c r="I1295">
        <v>0</v>
      </c>
      <c r="J1295">
        <v>0</v>
      </c>
      <c r="K1295">
        <v>0</v>
      </c>
      <c r="L1295">
        <v>0</v>
      </c>
      <c r="M1295">
        <v>0</v>
      </c>
      <c r="N1295">
        <v>162642</v>
      </c>
      <c r="O1295">
        <v>0</v>
      </c>
      <c r="P1295">
        <v>0</v>
      </c>
      <c r="Q1295">
        <v>247</v>
      </c>
      <c r="R1295">
        <v>0</v>
      </c>
      <c r="S1295">
        <v>0</v>
      </c>
      <c r="T1295">
        <v>0</v>
      </c>
      <c r="U1295">
        <v>4</v>
      </c>
    </row>
    <row r="1296" spans="1:21" x14ac:dyDescent="0.35">
      <c r="A1296" t="s">
        <v>28</v>
      </c>
      <c r="B1296" s="1">
        <v>44774</v>
      </c>
      <c r="C1296" t="s">
        <v>27</v>
      </c>
      <c r="D1296">
        <v>2516.1</v>
      </c>
      <c r="E1296">
        <v>1531.7</v>
      </c>
      <c r="F1296">
        <v>1041.7</v>
      </c>
      <c r="G1296">
        <v>1.6</v>
      </c>
      <c r="H1296">
        <v>2.4</v>
      </c>
      <c r="I1296">
        <v>0</v>
      </c>
      <c r="J1296">
        <v>0</v>
      </c>
      <c r="K1296">
        <v>0</v>
      </c>
      <c r="L1296">
        <v>0</v>
      </c>
      <c r="M1296">
        <v>0</v>
      </c>
      <c r="N1296">
        <v>51071</v>
      </c>
      <c r="O1296">
        <v>107463</v>
      </c>
      <c r="P1296">
        <v>3456</v>
      </c>
      <c r="Q1296">
        <v>1285</v>
      </c>
      <c r="R1296">
        <v>1646</v>
      </c>
      <c r="S1296">
        <v>36</v>
      </c>
      <c r="T1296">
        <v>12</v>
      </c>
      <c r="U1296">
        <v>17</v>
      </c>
    </row>
    <row r="1297" spans="1:21" x14ac:dyDescent="0.35">
      <c r="A1297" t="s">
        <v>21</v>
      </c>
      <c r="B1297" s="1">
        <v>45045</v>
      </c>
      <c r="C1297" t="s">
        <v>22</v>
      </c>
      <c r="D1297">
        <v>0.4</v>
      </c>
      <c r="E1297">
        <v>0</v>
      </c>
      <c r="F1297">
        <v>0.1</v>
      </c>
      <c r="G1297">
        <v>0</v>
      </c>
      <c r="H1297">
        <v>4</v>
      </c>
      <c r="I1297">
        <v>0.7</v>
      </c>
      <c r="J1297">
        <v>0</v>
      </c>
      <c r="K1297">
        <v>0.1</v>
      </c>
      <c r="L1297">
        <v>0</v>
      </c>
      <c r="M1297">
        <v>10.4</v>
      </c>
      <c r="N1297">
        <v>538163</v>
      </c>
      <c r="O1297">
        <v>860165</v>
      </c>
      <c r="P1297">
        <v>1040623</v>
      </c>
      <c r="Q1297">
        <v>2</v>
      </c>
      <c r="R1297">
        <v>0</v>
      </c>
      <c r="S1297">
        <v>1</v>
      </c>
      <c r="T1297">
        <v>999</v>
      </c>
      <c r="U1297">
        <v>999</v>
      </c>
    </row>
    <row r="1298" spans="1:21" x14ac:dyDescent="0.35">
      <c r="A1298" t="s">
        <v>28</v>
      </c>
      <c r="B1298" s="1">
        <v>44536</v>
      </c>
      <c r="C1298" t="s">
        <v>23</v>
      </c>
      <c r="D1298">
        <v>36.5</v>
      </c>
      <c r="E1298">
        <v>5</v>
      </c>
      <c r="F1298">
        <v>0</v>
      </c>
      <c r="G1298">
        <v>7.3</v>
      </c>
      <c r="H1298">
        <v>0</v>
      </c>
      <c r="I1298">
        <v>0</v>
      </c>
      <c r="J1298">
        <v>0</v>
      </c>
      <c r="K1298">
        <v>0</v>
      </c>
      <c r="L1298">
        <v>0</v>
      </c>
      <c r="M1298">
        <v>0</v>
      </c>
      <c r="N1298">
        <v>117767</v>
      </c>
      <c r="O1298">
        <v>280325</v>
      </c>
      <c r="P1298">
        <v>0</v>
      </c>
      <c r="Q1298">
        <v>43</v>
      </c>
      <c r="R1298">
        <v>14</v>
      </c>
      <c r="S1298">
        <v>0</v>
      </c>
      <c r="T1298">
        <v>50</v>
      </c>
      <c r="U1298">
        <v>64</v>
      </c>
    </row>
    <row r="1299" spans="1:21" x14ac:dyDescent="0.35">
      <c r="A1299" t="s">
        <v>21</v>
      </c>
      <c r="B1299" s="1">
        <v>45199</v>
      </c>
      <c r="C1299" t="s">
        <v>29</v>
      </c>
      <c r="D1299">
        <v>0</v>
      </c>
      <c r="E1299">
        <v>0.4</v>
      </c>
      <c r="F1299">
        <v>0</v>
      </c>
      <c r="G1299">
        <v>0</v>
      </c>
      <c r="H1299">
        <v>0</v>
      </c>
      <c r="I1299">
        <v>0</v>
      </c>
      <c r="J1299">
        <v>0</v>
      </c>
      <c r="K1299">
        <v>0</v>
      </c>
      <c r="L1299">
        <v>0</v>
      </c>
      <c r="M1299">
        <v>0</v>
      </c>
      <c r="N1299">
        <v>105830</v>
      </c>
      <c r="O1299">
        <v>278394</v>
      </c>
      <c r="P1299">
        <v>347333</v>
      </c>
      <c r="Q1299">
        <v>0</v>
      </c>
      <c r="R1299">
        <v>1</v>
      </c>
      <c r="S1299">
        <v>0</v>
      </c>
      <c r="T1299">
        <v>30</v>
      </c>
      <c r="U1299">
        <v>49</v>
      </c>
    </row>
    <row r="1300" spans="1:21" x14ac:dyDescent="0.35">
      <c r="A1300" t="s">
        <v>26</v>
      </c>
      <c r="B1300" s="1">
        <v>44954</v>
      </c>
      <c r="C1300" t="s">
        <v>32</v>
      </c>
      <c r="D1300">
        <v>3.1</v>
      </c>
      <c r="E1300">
        <v>0</v>
      </c>
      <c r="F1300">
        <v>0</v>
      </c>
      <c r="G1300">
        <v>0</v>
      </c>
      <c r="H1300">
        <v>0</v>
      </c>
      <c r="I1300">
        <v>0</v>
      </c>
      <c r="J1300">
        <v>0</v>
      </c>
      <c r="K1300">
        <v>0</v>
      </c>
      <c r="L1300">
        <v>0</v>
      </c>
      <c r="M1300">
        <v>0</v>
      </c>
      <c r="N1300">
        <v>162642</v>
      </c>
      <c r="O1300">
        <v>0</v>
      </c>
      <c r="P1300">
        <v>0</v>
      </c>
      <c r="Q1300">
        <v>5</v>
      </c>
      <c r="R1300">
        <v>0</v>
      </c>
      <c r="S1300">
        <v>0</v>
      </c>
      <c r="T1300">
        <v>0</v>
      </c>
      <c r="U1300">
        <v>4</v>
      </c>
    </row>
    <row r="1301" spans="1:21" x14ac:dyDescent="0.35">
      <c r="A1301" t="s">
        <v>21</v>
      </c>
      <c r="B1301" s="1">
        <v>44298</v>
      </c>
      <c r="C1301" t="s">
        <v>24</v>
      </c>
      <c r="D1301">
        <v>0</v>
      </c>
      <c r="E1301">
        <v>0</v>
      </c>
      <c r="F1301">
        <v>0</v>
      </c>
      <c r="G1301">
        <v>0</v>
      </c>
      <c r="H1301">
        <v>0</v>
      </c>
      <c r="I1301">
        <v>0</v>
      </c>
      <c r="J1301">
        <v>0</v>
      </c>
      <c r="K1301">
        <v>0</v>
      </c>
      <c r="L1301">
        <v>0</v>
      </c>
      <c r="M1301">
        <v>0</v>
      </c>
      <c r="N1301">
        <v>156736</v>
      </c>
      <c r="O1301">
        <v>13</v>
      </c>
      <c r="P1301">
        <v>0</v>
      </c>
      <c r="Q1301">
        <v>0</v>
      </c>
      <c r="R1301">
        <v>0</v>
      </c>
      <c r="S1301">
        <v>0</v>
      </c>
      <c r="T1301">
        <v>5</v>
      </c>
      <c r="U1301">
        <v>11</v>
      </c>
    </row>
    <row r="1302" spans="1:21" x14ac:dyDescent="0.35">
      <c r="A1302" t="s">
        <v>26</v>
      </c>
      <c r="B1302" s="1">
        <v>44667</v>
      </c>
      <c r="C1302" t="s">
        <v>29</v>
      </c>
      <c r="D1302">
        <v>3</v>
      </c>
      <c r="E1302">
        <v>2.1</v>
      </c>
      <c r="F1302">
        <v>1.8</v>
      </c>
      <c r="G1302">
        <v>1.4</v>
      </c>
      <c r="H1302">
        <v>1.7</v>
      </c>
      <c r="I1302">
        <v>0</v>
      </c>
      <c r="J1302">
        <v>0</v>
      </c>
      <c r="K1302">
        <v>0</v>
      </c>
      <c r="L1302">
        <v>0</v>
      </c>
      <c r="M1302">
        <v>0</v>
      </c>
      <c r="N1302">
        <v>131729</v>
      </c>
      <c r="O1302">
        <v>288694</v>
      </c>
      <c r="P1302">
        <v>328103</v>
      </c>
      <c r="Q1302">
        <v>4</v>
      </c>
      <c r="R1302">
        <v>6</v>
      </c>
      <c r="S1302">
        <v>6</v>
      </c>
      <c r="T1302">
        <v>30</v>
      </c>
      <c r="U1302">
        <v>49</v>
      </c>
    </row>
    <row r="1303" spans="1:21" x14ac:dyDescent="0.35">
      <c r="A1303" t="s">
        <v>26</v>
      </c>
      <c r="B1303" s="1">
        <v>45233</v>
      </c>
      <c r="C1303" t="s">
        <v>30</v>
      </c>
      <c r="D1303">
        <v>36.5</v>
      </c>
      <c r="E1303">
        <v>52.7</v>
      </c>
      <c r="F1303">
        <v>42.4</v>
      </c>
      <c r="G1303">
        <v>0.7</v>
      </c>
      <c r="H1303">
        <v>0.9</v>
      </c>
      <c r="I1303">
        <v>0</v>
      </c>
      <c r="J1303">
        <v>0</v>
      </c>
      <c r="K1303">
        <v>0</v>
      </c>
      <c r="L1303">
        <v>0</v>
      </c>
      <c r="M1303">
        <v>0</v>
      </c>
      <c r="N1303">
        <v>24673</v>
      </c>
      <c r="O1303">
        <v>11378</v>
      </c>
      <c r="P1303">
        <v>47126</v>
      </c>
      <c r="Q1303">
        <v>9</v>
      </c>
      <c r="R1303">
        <v>6</v>
      </c>
      <c r="S1303">
        <v>20</v>
      </c>
      <c r="T1303">
        <v>80</v>
      </c>
      <c r="U1303">
        <v>200</v>
      </c>
    </row>
    <row r="1304" spans="1:21" x14ac:dyDescent="0.35">
      <c r="A1304" t="s">
        <v>26</v>
      </c>
      <c r="B1304" s="1">
        <v>44758</v>
      </c>
      <c r="C1304" t="s">
        <v>32</v>
      </c>
      <c r="D1304">
        <v>4.9000000000000004</v>
      </c>
      <c r="E1304">
        <v>0</v>
      </c>
      <c r="F1304">
        <v>0</v>
      </c>
      <c r="G1304">
        <v>0</v>
      </c>
      <c r="H1304">
        <v>0</v>
      </c>
      <c r="I1304">
        <v>0</v>
      </c>
      <c r="J1304">
        <v>0</v>
      </c>
      <c r="K1304">
        <v>0</v>
      </c>
      <c r="L1304">
        <v>0</v>
      </c>
      <c r="M1304">
        <v>0</v>
      </c>
      <c r="N1304">
        <v>162642</v>
      </c>
      <c r="O1304">
        <v>0</v>
      </c>
      <c r="P1304">
        <v>0</v>
      </c>
      <c r="Q1304">
        <v>8</v>
      </c>
      <c r="R1304">
        <v>0</v>
      </c>
      <c r="S1304">
        <v>0</v>
      </c>
      <c r="T1304">
        <v>0</v>
      </c>
      <c r="U1304">
        <v>4</v>
      </c>
    </row>
    <row r="1305" spans="1:21" x14ac:dyDescent="0.35">
      <c r="A1305" t="s">
        <v>28</v>
      </c>
      <c r="B1305" s="1">
        <v>44394</v>
      </c>
      <c r="C1305" t="s">
        <v>31</v>
      </c>
      <c r="D1305">
        <v>36.6</v>
      </c>
      <c r="E1305">
        <v>7.4</v>
      </c>
      <c r="F1305">
        <v>0</v>
      </c>
      <c r="G1305">
        <v>4.9000000000000004</v>
      </c>
      <c r="H1305">
        <v>0</v>
      </c>
      <c r="I1305">
        <v>0</v>
      </c>
      <c r="J1305">
        <v>0</v>
      </c>
      <c r="K1305">
        <v>0</v>
      </c>
      <c r="L1305">
        <v>0</v>
      </c>
      <c r="M1305">
        <v>0</v>
      </c>
      <c r="N1305">
        <v>71101</v>
      </c>
      <c r="O1305">
        <v>190176</v>
      </c>
      <c r="P1305">
        <v>0</v>
      </c>
      <c r="Q1305">
        <v>26</v>
      </c>
      <c r="R1305">
        <v>14</v>
      </c>
      <c r="S1305">
        <v>0</v>
      </c>
      <c r="T1305">
        <v>65</v>
      </c>
      <c r="U1305">
        <v>79</v>
      </c>
    </row>
    <row r="1306" spans="1:21" x14ac:dyDescent="0.35">
      <c r="A1306" t="s">
        <v>21</v>
      </c>
      <c r="B1306" s="1">
        <v>44783</v>
      </c>
      <c r="C1306" t="s">
        <v>32</v>
      </c>
      <c r="D1306">
        <v>0</v>
      </c>
      <c r="E1306">
        <v>0</v>
      </c>
      <c r="F1306">
        <v>0</v>
      </c>
      <c r="G1306">
        <v>0</v>
      </c>
      <c r="H1306">
        <v>0</v>
      </c>
      <c r="I1306">
        <v>0</v>
      </c>
      <c r="J1306">
        <v>0</v>
      </c>
      <c r="K1306">
        <v>0</v>
      </c>
      <c r="L1306">
        <v>0</v>
      </c>
      <c r="M1306">
        <v>0</v>
      </c>
      <c r="N1306">
        <v>162642</v>
      </c>
      <c r="O1306">
        <v>0</v>
      </c>
      <c r="P1306">
        <v>0</v>
      </c>
      <c r="Q1306">
        <v>0</v>
      </c>
      <c r="R1306">
        <v>0</v>
      </c>
      <c r="S1306">
        <v>0</v>
      </c>
      <c r="T1306">
        <v>0</v>
      </c>
      <c r="U1306">
        <v>4</v>
      </c>
    </row>
    <row r="1307" spans="1:21" x14ac:dyDescent="0.35">
      <c r="A1307" t="s">
        <v>26</v>
      </c>
      <c r="B1307" s="1">
        <v>45031</v>
      </c>
      <c r="C1307" t="s">
        <v>27</v>
      </c>
      <c r="D1307">
        <v>0</v>
      </c>
      <c r="E1307">
        <v>1.2</v>
      </c>
      <c r="F1307">
        <v>0</v>
      </c>
      <c r="G1307">
        <v>0</v>
      </c>
      <c r="H1307">
        <v>0</v>
      </c>
      <c r="I1307">
        <v>0</v>
      </c>
      <c r="J1307">
        <v>0</v>
      </c>
      <c r="K1307">
        <v>0</v>
      </c>
      <c r="L1307">
        <v>0</v>
      </c>
      <c r="M1307">
        <v>0</v>
      </c>
      <c r="N1307">
        <v>32822</v>
      </c>
      <c r="O1307">
        <v>86525</v>
      </c>
      <c r="P1307">
        <v>44572</v>
      </c>
      <c r="Q1307">
        <v>0</v>
      </c>
      <c r="R1307">
        <v>1</v>
      </c>
      <c r="S1307">
        <v>0</v>
      </c>
      <c r="T1307">
        <v>12</v>
      </c>
      <c r="U1307">
        <v>17</v>
      </c>
    </row>
    <row r="1308" spans="1:21" x14ac:dyDescent="0.35">
      <c r="A1308" t="s">
        <v>26</v>
      </c>
      <c r="B1308" s="1">
        <v>44310</v>
      </c>
      <c r="C1308" t="s">
        <v>23</v>
      </c>
      <c r="D1308">
        <v>57.6</v>
      </c>
      <c r="E1308">
        <v>0</v>
      </c>
      <c r="F1308">
        <v>0</v>
      </c>
      <c r="G1308">
        <v>0</v>
      </c>
      <c r="H1308">
        <v>0</v>
      </c>
      <c r="I1308">
        <v>0</v>
      </c>
      <c r="J1308">
        <v>0</v>
      </c>
      <c r="K1308">
        <v>0</v>
      </c>
      <c r="L1308">
        <v>0</v>
      </c>
      <c r="M1308">
        <v>0</v>
      </c>
      <c r="N1308">
        <v>168402</v>
      </c>
      <c r="O1308">
        <v>134446</v>
      </c>
      <c r="P1308">
        <v>0</v>
      </c>
      <c r="Q1308">
        <v>97</v>
      </c>
      <c r="R1308">
        <v>0</v>
      </c>
      <c r="S1308">
        <v>0</v>
      </c>
      <c r="T1308">
        <v>50</v>
      </c>
      <c r="U1308">
        <v>64</v>
      </c>
    </row>
    <row r="1309" spans="1:21" x14ac:dyDescent="0.35">
      <c r="A1309" t="s">
        <v>28</v>
      </c>
      <c r="B1309" s="1">
        <v>45164</v>
      </c>
      <c r="C1309" t="s">
        <v>29</v>
      </c>
      <c r="D1309">
        <v>68.2</v>
      </c>
      <c r="E1309">
        <v>26.2</v>
      </c>
      <c r="F1309">
        <v>39.700000000000003</v>
      </c>
      <c r="G1309">
        <v>2.6</v>
      </c>
      <c r="H1309">
        <v>1.7</v>
      </c>
      <c r="I1309">
        <v>0</v>
      </c>
      <c r="J1309">
        <v>0</v>
      </c>
      <c r="K1309">
        <v>0</v>
      </c>
      <c r="L1309">
        <v>0</v>
      </c>
      <c r="M1309">
        <v>0</v>
      </c>
      <c r="N1309">
        <v>107080</v>
      </c>
      <c r="O1309">
        <v>278396</v>
      </c>
      <c r="P1309">
        <v>347321</v>
      </c>
      <c r="Q1309">
        <v>73</v>
      </c>
      <c r="R1309">
        <v>73</v>
      </c>
      <c r="S1309">
        <v>138</v>
      </c>
      <c r="T1309">
        <v>30</v>
      </c>
      <c r="U1309">
        <v>49</v>
      </c>
    </row>
    <row r="1310" spans="1:21" x14ac:dyDescent="0.35">
      <c r="A1310" t="s">
        <v>26</v>
      </c>
      <c r="B1310" s="1">
        <v>44681</v>
      </c>
      <c r="C1310" t="s">
        <v>22</v>
      </c>
      <c r="D1310">
        <v>5.8</v>
      </c>
      <c r="E1310">
        <v>4</v>
      </c>
      <c r="F1310">
        <v>4.5</v>
      </c>
      <c r="G1310">
        <v>1.4</v>
      </c>
      <c r="H1310">
        <v>1.3</v>
      </c>
      <c r="I1310">
        <v>7.4</v>
      </c>
      <c r="J1310">
        <v>5.6</v>
      </c>
      <c r="K1310">
        <v>3.3</v>
      </c>
      <c r="L1310">
        <v>1.3</v>
      </c>
      <c r="M1310">
        <v>2.2999999999999998</v>
      </c>
      <c r="N1310">
        <v>650306</v>
      </c>
      <c r="O1310">
        <v>891088</v>
      </c>
      <c r="P1310">
        <v>952817</v>
      </c>
      <c r="Q1310">
        <v>38</v>
      </c>
      <c r="R1310">
        <v>36</v>
      </c>
      <c r="S1310">
        <v>43</v>
      </c>
      <c r="T1310">
        <v>999</v>
      </c>
      <c r="U1310">
        <v>999</v>
      </c>
    </row>
    <row r="1311" spans="1:21" x14ac:dyDescent="0.35">
      <c r="A1311" t="s">
        <v>28</v>
      </c>
      <c r="B1311" s="1">
        <v>44720</v>
      </c>
      <c r="C1311" t="s">
        <v>25</v>
      </c>
      <c r="D1311">
        <v>400.7</v>
      </c>
      <c r="E1311">
        <v>148.5</v>
      </c>
      <c r="F1311">
        <v>236.2</v>
      </c>
      <c r="G1311">
        <v>2.7</v>
      </c>
      <c r="H1311">
        <v>1.7</v>
      </c>
      <c r="I1311">
        <v>0</v>
      </c>
      <c r="J1311">
        <v>0</v>
      </c>
      <c r="K1311">
        <v>0</v>
      </c>
      <c r="L1311">
        <v>0</v>
      </c>
      <c r="M1311">
        <v>0</v>
      </c>
      <c r="N1311">
        <v>92082</v>
      </c>
      <c r="O1311">
        <v>212811</v>
      </c>
      <c r="P1311">
        <v>158786</v>
      </c>
      <c r="Q1311">
        <v>369</v>
      </c>
      <c r="R1311">
        <v>316</v>
      </c>
      <c r="S1311">
        <v>375</v>
      </c>
      <c r="T1311">
        <v>18</v>
      </c>
      <c r="U1311">
        <v>29</v>
      </c>
    </row>
    <row r="1312" spans="1:21" x14ac:dyDescent="0.35">
      <c r="A1312" t="s">
        <v>21</v>
      </c>
      <c r="B1312" s="1">
        <v>44583</v>
      </c>
      <c r="C1312" t="s">
        <v>22</v>
      </c>
      <c r="D1312">
        <v>16.600000000000001</v>
      </c>
      <c r="E1312">
        <v>5.6</v>
      </c>
      <c r="F1312">
        <v>1.2</v>
      </c>
      <c r="G1312">
        <v>3</v>
      </c>
      <c r="H1312">
        <v>13.8</v>
      </c>
      <c r="I1312">
        <v>21.5</v>
      </c>
      <c r="J1312">
        <v>8.1</v>
      </c>
      <c r="K1312">
        <v>0.7</v>
      </c>
      <c r="L1312">
        <v>2.7</v>
      </c>
      <c r="M1312">
        <v>30.4</v>
      </c>
      <c r="N1312">
        <v>724665</v>
      </c>
      <c r="O1312">
        <v>989128</v>
      </c>
      <c r="P1312">
        <v>733279</v>
      </c>
      <c r="Q1312">
        <v>120</v>
      </c>
      <c r="R1312">
        <v>55</v>
      </c>
      <c r="S1312">
        <v>9</v>
      </c>
      <c r="T1312">
        <v>999</v>
      </c>
      <c r="U1312">
        <v>999</v>
      </c>
    </row>
    <row r="1313" spans="1:21" x14ac:dyDescent="0.35">
      <c r="A1313" t="s">
        <v>28</v>
      </c>
      <c r="B1313" s="1">
        <v>44373</v>
      </c>
      <c r="C1313" t="s">
        <v>22</v>
      </c>
      <c r="D1313">
        <v>15.2</v>
      </c>
      <c r="E1313">
        <v>4.2</v>
      </c>
      <c r="F1313">
        <v>0</v>
      </c>
      <c r="G1313">
        <v>3.6</v>
      </c>
      <c r="H1313">
        <v>0</v>
      </c>
      <c r="I1313">
        <v>16.600000000000001</v>
      </c>
      <c r="J1313">
        <v>3.3</v>
      </c>
      <c r="K1313">
        <v>0</v>
      </c>
      <c r="L1313">
        <v>5.0999999999999996</v>
      </c>
      <c r="M1313">
        <v>0</v>
      </c>
      <c r="N1313">
        <v>1221600</v>
      </c>
      <c r="O1313">
        <v>1290050</v>
      </c>
      <c r="P1313">
        <v>0</v>
      </c>
      <c r="Q1313">
        <v>186</v>
      </c>
      <c r="R1313">
        <v>54</v>
      </c>
      <c r="S1313">
        <v>0</v>
      </c>
      <c r="T1313">
        <v>999</v>
      </c>
      <c r="U1313">
        <v>999</v>
      </c>
    </row>
    <row r="1314" spans="1:21" x14ac:dyDescent="0.35">
      <c r="A1314" t="s">
        <v>28</v>
      </c>
      <c r="B1314" s="1">
        <v>44808</v>
      </c>
      <c r="C1314" t="s">
        <v>23</v>
      </c>
      <c r="D1314">
        <v>106.9</v>
      </c>
      <c r="E1314">
        <v>42.8</v>
      </c>
      <c r="F1314">
        <v>95.4</v>
      </c>
      <c r="G1314">
        <v>2.5</v>
      </c>
      <c r="H1314">
        <v>1.1000000000000001</v>
      </c>
      <c r="I1314">
        <v>0</v>
      </c>
      <c r="J1314">
        <v>0</v>
      </c>
      <c r="K1314">
        <v>0</v>
      </c>
      <c r="L1314">
        <v>0</v>
      </c>
      <c r="M1314">
        <v>0</v>
      </c>
      <c r="N1314">
        <v>44900</v>
      </c>
      <c r="O1314">
        <v>137887</v>
      </c>
      <c r="P1314">
        <v>228401</v>
      </c>
      <c r="Q1314">
        <v>48</v>
      </c>
      <c r="R1314">
        <v>59</v>
      </c>
      <c r="S1314">
        <v>218</v>
      </c>
      <c r="T1314">
        <v>50</v>
      </c>
      <c r="U1314">
        <v>64</v>
      </c>
    </row>
    <row r="1315" spans="1:21" x14ac:dyDescent="0.35">
      <c r="A1315" t="s">
        <v>28</v>
      </c>
      <c r="B1315" s="1">
        <v>44730</v>
      </c>
      <c r="C1315" t="s">
        <v>27</v>
      </c>
      <c r="D1315">
        <v>119.9</v>
      </c>
      <c r="E1315">
        <v>76.8</v>
      </c>
      <c r="F1315">
        <v>121.1</v>
      </c>
      <c r="G1315">
        <v>1.6</v>
      </c>
      <c r="H1315">
        <v>1</v>
      </c>
      <c r="I1315">
        <v>0</v>
      </c>
      <c r="J1315">
        <v>0</v>
      </c>
      <c r="K1315">
        <v>0</v>
      </c>
      <c r="L1315">
        <v>0</v>
      </c>
      <c r="M1315">
        <v>0</v>
      </c>
      <c r="N1315">
        <v>36709</v>
      </c>
      <c r="O1315">
        <v>92398</v>
      </c>
      <c r="P1315">
        <v>36325</v>
      </c>
      <c r="Q1315">
        <v>44</v>
      </c>
      <c r="R1315">
        <v>71</v>
      </c>
      <c r="S1315">
        <v>44</v>
      </c>
      <c r="T1315">
        <v>12</v>
      </c>
      <c r="U1315">
        <v>17</v>
      </c>
    </row>
    <row r="1316" spans="1:21" x14ac:dyDescent="0.35">
      <c r="A1316" t="s">
        <v>26</v>
      </c>
      <c r="B1316" s="1">
        <v>44527</v>
      </c>
      <c r="C1316" t="s">
        <v>30</v>
      </c>
      <c r="D1316">
        <v>62.4</v>
      </c>
      <c r="E1316">
        <v>48</v>
      </c>
      <c r="F1316">
        <v>0</v>
      </c>
      <c r="G1316">
        <v>1.3</v>
      </c>
      <c r="H1316">
        <v>0</v>
      </c>
      <c r="I1316">
        <v>0</v>
      </c>
      <c r="J1316">
        <v>0</v>
      </c>
      <c r="K1316">
        <v>0</v>
      </c>
      <c r="L1316">
        <v>0</v>
      </c>
      <c r="M1316">
        <v>0</v>
      </c>
      <c r="N1316">
        <v>28858</v>
      </c>
      <c r="O1316">
        <v>33319</v>
      </c>
      <c r="P1316">
        <v>22158</v>
      </c>
      <c r="Q1316">
        <v>18</v>
      </c>
      <c r="R1316">
        <v>16</v>
      </c>
      <c r="S1316">
        <v>0</v>
      </c>
      <c r="T1316">
        <v>80</v>
      </c>
      <c r="U1316">
        <v>200</v>
      </c>
    </row>
    <row r="1317" spans="1:21" x14ac:dyDescent="0.35">
      <c r="A1317" t="s">
        <v>26</v>
      </c>
      <c r="B1317" s="1">
        <v>45145</v>
      </c>
      <c r="C1317" t="s">
        <v>25</v>
      </c>
      <c r="D1317">
        <v>2.7</v>
      </c>
      <c r="E1317">
        <v>0</v>
      </c>
      <c r="F1317">
        <v>0</v>
      </c>
      <c r="G1317">
        <v>0</v>
      </c>
      <c r="H1317">
        <v>0</v>
      </c>
      <c r="I1317">
        <v>0</v>
      </c>
      <c r="J1317">
        <v>0</v>
      </c>
      <c r="K1317">
        <v>0</v>
      </c>
      <c r="L1317">
        <v>0</v>
      </c>
      <c r="M1317">
        <v>0</v>
      </c>
      <c r="N1317">
        <v>74160</v>
      </c>
      <c r="O1317">
        <v>214139</v>
      </c>
      <c r="P1317">
        <v>161703</v>
      </c>
      <c r="Q1317">
        <v>2</v>
      </c>
      <c r="R1317">
        <v>0</v>
      </c>
      <c r="S1317">
        <v>0</v>
      </c>
      <c r="T1317">
        <v>18</v>
      </c>
      <c r="U1317">
        <v>29</v>
      </c>
    </row>
    <row r="1318" spans="1:21" x14ac:dyDescent="0.35">
      <c r="A1318" t="s">
        <v>28</v>
      </c>
      <c r="B1318" s="1">
        <v>44583</v>
      </c>
      <c r="C1318" t="s">
        <v>27</v>
      </c>
      <c r="D1318">
        <v>797.5</v>
      </c>
      <c r="E1318">
        <v>576.9</v>
      </c>
      <c r="F1318">
        <v>291.3</v>
      </c>
      <c r="G1318">
        <v>1.4</v>
      </c>
      <c r="H1318">
        <v>2.7</v>
      </c>
      <c r="I1318">
        <v>0</v>
      </c>
      <c r="J1318">
        <v>0</v>
      </c>
      <c r="K1318">
        <v>0</v>
      </c>
      <c r="L1318">
        <v>0</v>
      </c>
      <c r="M1318">
        <v>0</v>
      </c>
      <c r="N1318">
        <v>46018</v>
      </c>
      <c r="O1318">
        <v>104354</v>
      </c>
      <c r="P1318">
        <v>8581</v>
      </c>
      <c r="Q1318">
        <v>367</v>
      </c>
      <c r="R1318">
        <v>602</v>
      </c>
      <c r="S1318">
        <v>25</v>
      </c>
      <c r="T1318">
        <v>12</v>
      </c>
      <c r="U1318">
        <v>17</v>
      </c>
    </row>
    <row r="1319" spans="1:21" x14ac:dyDescent="0.35">
      <c r="A1319" t="s">
        <v>21</v>
      </c>
      <c r="B1319" s="1">
        <v>44611</v>
      </c>
      <c r="C1319" t="s">
        <v>31</v>
      </c>
      <c r="D1319">
        <v>16.2</v>
      </c>
      <c r="E1319">
        <v>8.9</v>
      </c>
      <c r="F1319">
        <v>2.6</v>
      </c>
      <c r="G1319">
        <v>1.8</v>
      </c>
      <c r="H1319">
        <v>6.2</v>
      </c>
      <c r="I1319">
        <v>0</v>
      </c>
      <c r="J1319">
        <v>0</v>
      </c>
      <c r="K1319">
        <v>0</v>
      </c>
      <c r="L1319">
        <v>0</v>
      </c>
      <c r="M1319">
        <v>0</v>
      </c>
      <c r="N1319">
        <v>49241</v>
      </c>
      <c r="O1319">
        <v>56313</v>
      </c>
      <c r="P1319">
        <v>153089</v>
      </c>
      <c r="Q1319">
        <v>8</v>
      </c>
      <c r="R1319">
        <v>5</v>
      </c>
      <c r="S1319">
        <v>4</v>
      </c>
      <c r="T1319">
        <v>65</v>
      </c>
      <c r="U1319">
        <v>79</v>
      </c>
    </row>
    <row r="1320" spans="1:21" x14ac:dyDescent="0.35">
      <c r="A1320" t="s">
        <v>21</v>
      </c>
      <c r="B1320" s="1">
        <v>45233</v>
      </c>
      <c r="C1320" t="s">
        <v>32</v>
      </c>
      <c r="D1320">
        <v>0</v>
      </c>
      <c r="E1320">
        <v>0</v>
      </c>
      <c r="F1320">
        <v>0</v>
      </c>
      <c r="G1320">
        <v>0</v>
      </c>
      <c r="H1320">
        <v>0</v>
      </c>
      <c r="I1320">
        <v>0</v>
      </c>
      <c r="J1320">
        <v>0</v>
      </c>
      <c r="K1320">
        <v>0</v>
      </c>
      <c r="L1320">
        <v>0</v>
      </c>
      <c r="M1320">
        <v>0</v>
      </c>
      <c r="N1320">
        <v>162642</v>
      </c>
      <c r="O1320">
        <v>0</v>
      </c>
      <c r="P1320">
        <v>0</v>
      </c>
      <c r="Q1320">
        <v>0</v>
      </c>
      <c r="R1320">
        <v>0</v>
      </c>
      <c r="S1320">
        <v>0</v>
      </c>
      <c r="T1320">
        <v>0</v>
      </c>
      <c r="U1320">
        <v>4</v>
      </c>
    </row>
    <row r="1321" spans="1:21" x14ac:dyDescent="0.35">
      <c r="A1321" t="s">
        <v>26</v>
      </c>
      <c r="B1321" s="1">
        <v>45045</v>
      </c>
      <c r="C1321" t="s">
        <v>32</v>
      </c>
      <c r="D1321">
        <v>0</v>
      </c>
      <c r="E1321">
        <v>0</v>
      </c>
      <c r="F1321">
        <v>0</v>
      </c>
      <c r="G1321">
        <v>0</v>
      </c>
      <c r="H1321">
        <v>0</v>
      </c>
      <c r="I1321">
        <v>0</v>
      </c>
      <c r="J1321">
        <v>0</v>
      </c>
      <c r="K1321">
        <v>0</v>
      </c>
      <c r="L1321">
        <v>0</v>
      </c>
      <c r="M1321">
        <v>0</v>
      </c>
      <c r="N1321">
        <v>162642</v>
      </c>
      <c r="O1321">
        <v>0</v>
      </c>
      <c r="P1321">
        <v>0</v>
      </c>
      <c r="Q1321">
        <v>0</v>
      </c>
      <c r="R1321">
        <v>0</v>
      </c>
      <c r="S1321">
        <v>0</v>
      </c>
      <c r="T1321">
        <v>0</v>
      </c>
      <c r="U1321">
        <v>4</v>
      </c>
    </row>
    <row r="1322" spans="1:21" x14ac:dyDescent="0.35">
      <c r="A1322" t="s">
        <v>21</v>
      </c>
      <c r="B1322" s="1">
        <v>44906</v>
      </c>
      <c r="C1322" t="s">
        <v>32</v>
      </c>
      <c r="D1322">
        <v>0</v>
      </c>
      <c r="E1322">
        <v>0</v>
      </c>
      <c r="F1322">
        <v>0</v>
      </c>
      <c r="G1322">
        <v>0</v>
      </c>
      <c r="H1322">
        <v>0</v>
      </c>
      <c r="I1322">
        <v>0</v>
      </c>
      <c r="J1322">
        <v>0</v>
      </c>
      <c r="K1322">
        <v>0</v>
      </c>
      <c r="L1322">
        <v>0</v>
      </c>
      <c r="M1322">
        <v>0</v>
      </c>
      <c r="N1322">
        <v>162642</v>
      </c>
      <c r="O1322">
        <v>0</v>
      </c>
      <c r="P1322">
        <v>0</v>
      </c>
      <c r="Q1322">
        <v>0</v>
      </c>
      <c r="R1322">
        <v>0</v>
      </c>
      <c r="S1322">
        <v>0</v>
      </c>
      <c r="T1322">
        <v>0</v>
      </c>
      <c r="U1322">
        <v>4</v>
      </c>
    </row>
    <row r="1323" spans="1:21" x14ac:dyDescent="0.35">
      <c r="A1323" t="s">
        <v>28</v>
      </c>
      <c r="B1323" s="1">
        <v>44449</v>
      </c>
      <c r="C1323" t="s">
        <v>30</v>
      </c>
      <c r="D1323">
        <v>39.4</v>
      </c>
      <c r="E1323">
        <v>36.4</v>
      </c>
      <c r="F1323">
        <v>0</v>
      </c>
      <c r="G1323">
        <v>1.1000000000000001</v>
      </c>
      <c r="H1323">
        <v>0</v>
      </c>
      <c r="I1323">
        <v>0</v>
      </c>
      <c r="J1323">
        <v>0</v>
      </c>
      <c r="K1323">
        <v>0</v>
      </c>
      <c r="L1323">
        <v>0</v>
      </c>
      <c r="M1323">
        <v>0</v>
      </c>
      <c r="N1323">
        <v>30481</v>
      </c>
      <c r="O1323">
        <v>52266</v>
      </c>
      <c r="P1323">
        <v>0</v>
      </c>
      <c r="Q1323">
        <v>12</v>
      </c>
      <c r="R1323">
        <v>19</v>
      </c>
      <c r="S1323">
        <v>0</v>
      </c>
      <c r="T1323">
        <v>80</v>
      </c>
      <c r="U1323">
        <v>200</v>
      </c>
    </row>
    <row r="1324" spans="1:21" x14ac:dyDescent="0.35">
      <c r="A1324" t="s">
        <v>21</v>
      </c>
      <c r="B1324" s="1">
        <v>44884</v>
      </c>
      <c r="C1324" t="s">
        <v>30</v>
      </c>
      <c r="D1324">
        <v>19.899999999999999</v>
      </c>
      <c r="E1324">
        <v>8.8000000000000007</v>
      </c>
      <c r="F1324">
        <v>4.2</v>
      </c>
      <c r="G1324">
        <v>2.2999999999999998</v>
      </c>
      <c r="H1324">
        <v>4.7</v>
      </c>
      <c r="I1324">
        <v>0</v>
      </c>
      <c r="J1324">
        <v>0</v>
      </c>
      <c r="K1324">
        <v>0</v>
      </c>
      <c r="L1324">
        <v>0</v>
      </c>
      <c r="M1324">
        <v>0</v>
      </c>
      <c r="N1324">
        <v>25083</v>
      </c>
      <c r="O1324">
        <v>11368</v>
      </c>
      <c r="P1324">
        <v>47093</v>
      </c>
      <c r="Q1324">
        <v>5</v>
      </c>
      <c r="R1324">
        <v>1</v>
      </c>
      <c r="S1324">
        <v>2</v>
      </c>
      <c r="T1324">
        <v>80</v>
      </c>
      <c r="U1324">
        <v>200</v>
      </c>
    </row>
    <row r="1325" spans="1:21" x14ac:dyDescent="0.35">
      <c r="A1325" t="s">
        <v>28</v>
      </c>
      <c r="B1325" s="1">
        <v>44871</v>
      </c>
      <c r="C1325" t="s">
        <v>31</v>
      </c>
      <c r="D1325">
        <v>170.8</v>
      </c>
      <c r="E1325">
        <v>144.6</v>
      </c>
      <c r="F1325">
        <v>176.4</v>
      </c>
      <c r="G1325">
        <v>1.2</v>
      </c>
      <c r="H1325">
        <v>1</v>
      </c>
      <c r="I1325">
        <v>0</v>
      </c>
      <c r="J1325">
        <v>0</v>
      </c>
      <c r="K1325">
        <v>0</v>
      </c>
      <c r="L1325">
        <v>0</v>
      </c>
      <c r="M1325">
        <v>0</v>
      </c>
      <c r="N1325">
        <v>46831</v>
      </c>
      <c r="O1325">
        <v>47037</v>
      </c>
      <c r="P1325">
        <v>166138</v>
      </c>
      <c r="Q1325">
        <v>80</v>
      </c>
      <c r="R1325">
        <v>68</v>
      </c>
      <c r="S1325">
        <v>293</v>
      </c>
      <c r="T1325">
        <v>65</v>
      </c>
      <c r="U1325">
        <v>79</v>
      </c>
    </row>
    <row r="1326" spans="1:21" x14ac:dyDescent="0.35">
      <c r="A1326" t="s">
        <v>26</v>
      </c>
      <c r="B1326" s="1">
        <v>44758</v>
      </c>
      <c r="C1326" t="s">
        <v>30</v>
      </c>
      <c r="D1326">
        <v>53.1</v>
      </c>
      <c r="E1326">
        <v>100</v>
      </c>
      <c r="F1326">
        <v>60.7</v>
      </c>
      <c r="G1326">
        <v>0.5</v>
      </c>
      <c r="H1326">
        <v>0.9</v>
      </c>
      <c r="I1326">
        <v>0</v>
      </c>
      <c r="J1326">
        <v>0</v>
      </c>
      <c r="K1326">
        <v>0</v>
      </c>
      <c r="L1326">
        <v>0</v>
      </c>
      <c r="M1326">
        <v>0</v>
      </c>
      <c r="N1326">
        <v>26383</v>
      </c>
      <c r="O1326">
        <v>12003</v>
      </c>
      <c r="P1326">
        <v>46163</v>
      </c>
      <c r="Q1326">
        <v>14</v>
      </c>
      <c r="R1326">
        <v>12</v>
      </c>
      <c r="S1326">
        <v>28</v>
      </c>
      <c r="T1326">
        <v>80</v>
      </c>
      <c r="U1326">
        <v>200</v>
      </c>
    </row>
    <row r="1327" spans="1:21" x14ac:dyDescent="0.35">
      <c r="A1327" t="s">
        <v>28</v>
      </c>
      <c r="B1327" s="1">
        <v>44298</v>
      </c>
      <c r="C1327" t="s">
        <v>22</v>
      </c>
      <c r="D1327">
        <v>448.6</v>
      </c>
      <c r="E1327">
        <v>198.1</v>
      </c>
      <c r="F1327">
        <v>47.4</v>
      </c>
      <c r="G1327">
        <v>2.2999999999999998</v>
      </c>
      <c r="H1327">
        <v>9.5</v>
      </c>
      <c r="I1327">
        <v>514</v>
      </c>
      <c r="J1327">
        <v>162</v>
      </c>
      <c r="K1327">
        <v>43.8</v>
      </c>
      <c r="L1327">
        <v>3.2</v>
      </c>
      <c r="M1327">
        <v>11.7</v>
      </c>
      <c r="N1327">
        <v>864337</v>
      </c>
      <c r="O1327">
        <v>1287028</v>
      </c>
      <c r="P1327">
        <v>333146</v>
      </c>
      <c r="Q1327">
        <v>3877</v>
      </c>
      <c r="R1327">
        <v>2550</v>
      </c>
      <c r="S1327">
        <v>158</v>
      </c>
      <c r="T1327">
        <v>999</v>
      </c>
      <c r="U1327">
        <v>999</v>
      </c>
    </row>
    <row r="1328" spans="1:21" x14ac:dyDescent="0.35">
      <c r="A1328" t="s">
        <v>21</v>
      </c>
      <c r="B1328" s="1">
        <v>44657</v>
      </c>
      <c r="C1328" t="s">
        <v>22</v>
      </c>
      <c r="D1328">
        <v>0.6</v>
      </c>
      <c r="E1328">
        <v>0.1</v>
      </c>
      <c r="F1328">
        <v>0.2</v>
      </c>
      <c r="G1328">
        <v>6</v>
      </c>
      <c r="H1328">
        <v>3</v>
      </c>
      <c r="I1328">
        <v>0.8</v>
      </c>
      <c r="J1328">
        <v>0.3</v>
      </c>
      <c r="K1328">
        <v>0.1</v>
      </c>
      <c r="L1328">
        <v>3</v>
      </c>
      <c r="M1328">
        <v>5.4</v>
      </c>
      <c r="N1328">
        <v>641809</v>
      </c>
      <c r="O1328">
        <v>878533</v>
      </c>
      <c r="P1328">
        <v>974045</v>
      </c>
      <c r="Q1328">
        <v>4</v>
      </c>
      <c r="R1328">
        <v>1</v>
      </c>
      <c r="S1328">
        <v>2</v>
      </c>
      <c r="T1328">
        <v>999</v>
      </c>
      <c r="U1328">
        <v>999</v>
      </c>
    </row>
    <row r="1329" spans="1:21" x14ac:dyDescent="0.35">
      <c r="A1329" t="s">
        <v>26</v>
      </c>
      <c r="B1329" s="1">
        <v>44385</v>
      </c>
      <c r="C1329" t="s">
        <v>27</v>
      </c>
      <c r="D1329">
        <v>2.2000000000000002</v>
      </c>
      <c r="E1329">
        <v>0</v>
      </c>
      <c r="F1329">
        <v>0</v>
      </c>
      <c r="G1329">
        <v>0</v>
      </c>
      <c r="H1329">
        <v>0</v>
      </c>
      <c r="I1329">
        <v>0</v>
      </c>
      <c r="J1329">
        <v>0</v>
      </c>
      <c r="K1329">
        <v>0</v>
      </c>
      <c r="L1329">
        <v>0</v>
      </c>
      <c r="M1329">
        <v>0</v>
      </c>
      <c r="N1329">
        <v>89733</v>
      </c>
      <c r="O1329">
        <v>67504</v>
      </c>
      <c r="P1329">
        <v>0</v>
      </c>
      <c r="Q1329">
        <v>2</v>
      </c>
      <c r="R1329">
        <v>0</v>
      </c>
      <c r="S1329">
        <v>0</v>
      </c>
      <c r="T1329">
        <v>12</v>
      </c>
      <c r="U1329">
        <v>17</v>
      </c>
    </row>
    <row r="1330" spans="1:21" x14ac:dyDescent="0.35">
      <c r="A1330" t="s">
        <v>21</v>
      </c>
      <c r="B1330" s="1">
        <v>44632</v>
      </c>
      <c r="C1330" t="s">
        <v>25</v>
      </c>
      <c r="D1330">
        <v>0</v>
      </c>
      <c r="E1330">
        <v>0</v>
      </c>
      <c r="F1330">
        <v>0</v>
      </c>
      <c r="G1330">
        <v>0</v>
      </c>
      <c r="H1330">
        <v>0</v>
      </c>
      <c r="I1330">
        <v>0</v>
      </c>
      <c r="J1330">
        <v>0</v>
      </c>
      <c r="K1330">
        <v>0</v>
      </c>
      <c r="L1330">
        <v>0</v>
      </c>
      <c r="M1330">
        <v>0</v>
      </c>
      <c r="N1330">
        <v>81009</v>
      </c>
      <c r="O1330">
        <v>212601</v>
      </c>
      <c r="P1330">
        <v>161582</v>
      </c>
      <c r="Q1330">
        <v>0</v>
      </c>
      <c r="R1330">
        <v>0</v>
      </c>
      <c r="S1330">
        <v>0</v>
      </c>
      <c r="T1330">
        <v>18</v>
      </c>
      <c r="U1330">
        <v>29</v>
      </c>
    </row>
    <row r="1331" spans="1:21" x14ac:dyDescent="0.35">
      <c r="A1331" t="s">
        <v>21</v>
      </c>
      <c r="B1331" s="1">
        <v>44912</v>
      </c>
      <c r="C1331" t="s">
        <v>25</v>
      </c>
      <c r="D1331">
        <v>0</v>
      </c>
      <c r="E1331">
        <v>0</v>
      </c>
      <c r="F1331">
        <v>0</v>
      </c>
      <c r="G1331">
        <v>0</v>
      </c>
      <c r="H1331">
        <v>0</v>
      </c>
      <c r="I1331">
        <v>0</v>
      </c>
      <c r="J1331">
        <v>0</v>
      </c>
      <c r="K1331">
        <v>0</v>
      </c>
      <c r="L1331">
        <v>0</v>
      </c>
      <c r="M1331">
        <v>0</v>
      </c>
      <c r="N1331">
        <v>79968</v>
      </c>
      <c r="O1331">
        <v>212771</v>
      </c>
      <c r="P1331">
        <v>161600</v>
      </c>
      <c r="Q1331">
        <v>0</v>
      </c>
      <c r="R1331">
        <v>0</v>
      </c>
      <c r="S1331">
        <v>0</v>
      </c>
      <c r="T1331">
        <v>18</v>
      </c>
      <c r="U1331">
        <v>29</v>
      </c>
    </row>
    <row r="1332" spans="1:21" x14ac:dyDescent="0.35">
      <c r="A1332" t="s">
        <v>26</v>
      </c>
      <c r="B1332" s="1">
        <v>44933</v>
      </c>
      <c r="C1332" t="s">
        <v>31</v>
      </c>
      <c r="D1332">
        <v>10.199999999999999</v>
      </c>
      <c r="E1332">
        <v>0</v>
      </c>
      <c r="F1332">
        <v>2.2999999999999998</v>
      </c>
      <c r="G1332">
        <v>0</v>
      </c>
      <c r="H1332">
        <v>4.4000000000000004</v>
      </c>
      <c r="I1332">
        <v>0</v>
      </c>
      <c r="J1332">
        <v>0</v>
      </c>
      <c r="K1332">
        <v>0</v>
      </c>
      <c r="L1332">
        <v>0</v>
      </c>
      <c r="M1332">
        <v>0</v>
      </c>
      <c r="N1332">
        <v>39376</v>
      </c>
      <c r="O1332">
        <v>43427</v>
      </c>
      <c r="P1332">
        <v>171741</v>
      </c>
      <c r="Q1332">
        <v>4</v>
      </c>
      <c r="R1332">
        <v>0</v>
      </c>
      <c r="S1332">
        <v>4</v>
      </c>
      <c r="T1332">
        <v>65</v>
      </c>
      <c r="U1332">
        <v>79</v>
      </c>
    </row>
    <row r="1333" spans="1:21" x14ac:dyDescent="0.35">
      <c r="A1333" t="s">
        <v>28</v>
      </c>
      <c r="B1333" s="1">
        <v>45227</v>
      </c>
      <c r="C1333" t="s">
        <v>27</v>
      </c>
      <c r="D1333">
        <v>28.5</v>
      </c>
      <c r="E1333">
        <v>17.3</v>
      </c>
      <c r="F1333">
        <v>26.9</v>
      </c>
      <c r="G1333">
        <v>1.6</v>
      </c>
      <c r="H1333">
        <v>1.1000000000000001</v>
      </c>
      <c r="I1333">
        <v>0</v>
      </c>
      <c r="J1333">
        <v>0</v>
      </c>
      <c r="K1333">
        <v>0</v>
      </c>
      <c r="L1333">
        <v>0</v>
      </c>
      <c r="M1333">
        <v>0</v>
      </c>
      <c r="N1333">
        <v>31598</v>
      </c>
      <c r="O1333">
        <v>86545</v>
      </c>
      <c r="P1333">
        <v>44641</v>
      </c>
      <c r="Q1333">
        <v>9</v>
      </c>
      <c r="R1333">
        <v>15</v>
      </c>
      <c r="S1333">
        <v>12</v>
      </c>
      <c r="T1333">
        <v>12</v>
      </c>
      <c r="U1333">
        <v>17</v>
      </c>
    </row>
    <row r="1334" spans="1:21" x14ac:dyDescent="0.35">
      <c r="A1334" t="s">
        <v>26</v>
      </c>
      <c r="B1334" s="1">
        <v>45019</v>
      </c>
      <c r="C1334" t="s">
        <v>23</v>
      </c>
      <c r="D1334">
        <v>17.8</v>
      </c>
      <c r="E1334">
        <v>6.4</v>
      </c>
      <c r="F1334">
        <v>7.3</v>
      </c>
      <c r="G1334">
        <v>2.8</v>
      </c>
      <c r="H1334">
        <v>2.4</v>
      </c>
      <c r="I1334">
        <v>0</v>
      </c>
      <c r="J1334">
        <v>0</v>
      </c>
      <c r="K1334">
        <v>0</v>
      </c>
      <c r="L1334">
        <v>0</v>
      </c>
      <c r="M1334">
        <v>0</v>
      </c>
      <c r="N1334">
        <v>33780</v>
      </c>
      <c r="O1334">
        <v>125603</v>
      </c>
      <c r="P1334">
        <v>246874</v>
      </c>
      <c r="Q1334">
        <v>6</v>
      </c>
      <c r="R1334">
        <v>8</v>
      </c>
      <c r="S1334">
        <v>18</v>
      </c>
      <c r="T1334">
        <v>50</v>
      </c>
      <c r="U1334">
        <v>64</v>
      </c>
    </row>
    <row r="1335" spans="1:21" x14ac:dyDescent="0.35">
      <c r="A1335" t="s">
        <v>26</v>
      </c>
      <c r="B1335" s="1">
        <v>45248</v>
      </c>
      <c r="C1335" t="s">
        <v>32</v>
      </c>
      <c r="D1335">
        <v>5.5</v>
      </c>
      <c r="E1335">
        <v>0</v>
      </c>
      <c r="F1335">
        <v>0</v>
      </c>
      <c r="G1335">
        <v>0</v>
      </c>
      <c r="H1335">
        <v>0</v>
      </c>
      <c r="I1335">
        <v>0</v>
      </c>
      <c r="J1335">
        <v>0</v>
      </c>
      <c r="K1335">
        <v>0</v>
      </c>
      <c r="L1335">
        <v>0</v>
      </c>
      <c r="M1335">
        <v>0</v>
      </c>
      <c r="N1335">
        <v>162642</v>
      </c>
      <c r="O1335">
        <v>0</v>
      </c>
      <c r="P1335">
        <v>0</v>
      </c>
      <c r="Q1335">
        <v>9</v>
      </c>
      <c r="R1335">
        <v>0</v>
      </c>
      <c r="S1335">
        <v>0</v>
      </c>
      <c r="T1335">
        <v>0</v>
      </c>
      <c r="U1335">
        <v>4</v>
      </c>
    </row>
    <row r="1336" spans="1:21" x14ac:dyDescent="0.35">
      <c r="A1336" t="s">
        <v>28</v>
      </c>
      <c r="B1336" s="1">
        <v>44322</v>
      </c>
      <c r="C1336" t="s">
        <v>27</v>
      </c>
      <c r="D1336">
        <v>23.6</v>
      </c>
      <c r="E1336">
        <v>0</v>
      </c>
      <c r="F1336">
        <v>0</v>
      </c>
      <c r="G1336">
        <v>0</v>
      </c>
      <c r="H1336">
        <v>0</v>
      </c>
      <c r="I1336">
        <v>0</v>
      </c>
      <c r="J1336">
        <v>0</v>
      </c>
      <c r="K1336">
        <v>0</v>
      </c>
      <c r="L1336">
        <v>0</v>
      </c>
      <c r="M1336">
        <v>0</v>
      </c>
      <c r="N1336">
        <v>122939</v>
      </c>
      <c r="O1336">
        <v>11914</v>
      </c>
      <c r="P1336">
        <v>0</v>
      </c>
      <c r="Q1336">
        <v>29</v>
      </c>
      <c r="R1336">
        <v>0</v>
      </c>
      <c r="S1336">
        <v>0</v>
      </c>
      <c r="T1336">
        <v>12</v>
      </c>
      <c r="U1336">
        <v>17</v>
      </c>
    </row>
    <row r="1337" spans="1:21" x14ac:dyDescent="0.35">
      <c r="A1337" t="s">
        <v>28</v>
      </c>
      <c r="B1337" s="1">
        <v>45010</v>
      </c>
      <c r="C1337" t="s">
        <v>22</v>
      </c>
      <c r="D1337">
        <v>78.2</v>
      </c>
      <c r="E1337">
        <v>49.3</v>
      </c>
      <c r="F1337">
        <v>63.5</v>
      </c>
      <c r="G1337">
        <v>1.6</v>
      </c>
      <c r="H1337">
        <v>1.2</v>
      </c>
      <c r="I1337">
        <v>86.9</v>
      </c>
      <c r="J1337">
        <v>50.3</v>
      </c>
      <c r="K1337">
        <v>59.8</v>
      </c>
      <c r="L1337">
        <v>1.7</v>
      </c>
      <c r="M1337">
        <v>1.5</v>
      </c>
      <c r="N1337">
        <v>541869</v>
      </c>
      <c r="O1337">
        <v>858761</v>
      </c>
      <c r="P1337">
        <v>1040518</v>
      </c>
      <c r="Q1337">
        <v>424</v>
      </c>
      <c r="R1337">
        <v>423</v>
      </c>
      <c r="S1337">
        <v>661</v>
      </c>
      <c r="T1337">
        <v>999</v>
      </c>
      <c r="U1337">
        <v>999</v>
      </c>
    </row>
    <row r="1338" spans="1:21" x14ac:dyDescent="0.35">
      <c r="A1338" t="s">
        <v>21</v>
      </c>
      <c r="B1338" s="1">
        <v>45178</v>
      </c>
      <c r="C1338" t="s">
        <v>23</v>
      </c>
      <c r="D1338">
        <v>0</v>
      </c>
      <c r="E1338">
        <v>0</v>
      </c>
      <c r="F1338">
        <v>0</v>
      </c>
      <c r="G1338">
        <v>0</v>
      </c>
      <c r="H1338">
        <v>0</v>
      </c>
      <c r="I1338">
        <v>0</v>
      </c>
      <c r="J1338">
        <v>0</v>
      </c>
      <c r="K1338">
        <v>0</v>
      </c>
      <c r="L1338">
        <v>0</v>
      </c>
      <c r="M1338">
        <v>0</v>
      </c>
      <c r="N1338">
        <v>32271</v>
      </c>
      <c r="O1338">
        <v>125723</v>
      </c>
      <c r="P1338">
        <v>246940</v>
      </c>
      <c r="Q1338">
        <v>0</v>
      </c>
      <c r="R1338">
        <v>0</v>
      </c>
      <c r="S1338">
        <v>0</v>
      </c>
      <c r="T1338">
        <v>50</v>
      </c>
      <c r="U1338">
        <v>64</v>
      </c>
    </row>
    <row r="1339" spans="1:21" x14ac:dyDescent="0.35">
      <c r="A1339" t="s">
        <v>26</v>
      </c>
      <c r="B1339" s="1">
        <v>44413</v>
      </c>
      <c r="C1339" t="s">
        <v>27</v>
      </c>
      <c r="D1339">
        <v>1.2</v>
      </c>
      <c r="E1339">
        <v>0</v>
      </c>
      <c r="F1339">
        <v>0</v>
      </c>
      <c r="G1339">
        <v>0</v>
      </c>
      <c r="H1339">
        <v>0</v>
      </c>
      <c r="I1339">
        <v>0</v>
      </c>
      <c r="J1339">
        <v>0</v>
      </c>
      <c r="K1339">
        <v>0</v>
      </c>
      <c r="L1339">
        <v>0</v>
      </c>
      <c r="M1339">
        <v>0</v>
      </c>
      <c r="N1339">
        <v>165568</v>
      </c>
      <c r="O1339">
        <v>0</v>
      </c>
      <c r="P1339">
        <v>0</v>
      </c>
      <c r="Q1339">
        <v>2</v>
      </c>
      <c r="R1339">
        <v>0</v>
      </c>
      <c r="S1339">
        <v>0</v>
      </c>
      <c r="T1339">
        <v>12</v>
      </c>
      <c r="U1339">
        <v>17</v>
      </c>
    </row>
    <row r="1340" spans="1:21" x14ac:dyDescent="0.35">
      <c r="A1340" t="s">
        <v>28</v>
      </c>
      <c r="B1340" s="1">
        <v>44906</v>
      </c>
      <c r="C1340" t="s">
        <v>24</v>
      </c>
      <c r="D1340">
        <v>131.6</v>
      </c>
      <c r="E1340">
        <v>142.4</v>
      </c>
      <c r="F1340">
        <v>128.30000000000001</v>
      </c>
      <c r="G1340">
        <v>0.9</v>
      </c>
      <c r="H1340">
        <v>1</v>
      </c>
      <c r="I1340">
        <v>0</v>
      </c>
      <c r="J1340">
        <v>0</v>
      </c>
      <c r="K1340">
        <v>0</v>
      </c>
      <c r="L1340">
        <v>0</v>
      </c>
      <c r="M1340">
        <v>0</v>
      </c>
      <c r="N1340">
        <v>93466</v>
      </c>
      <c r="O1340">
        <v>80777</v>
      </c>
      <c r="P1340">
        <v>21043</v>
      </c>
      <c r="Q1340">
        <v>123</v>
      </c>
      <c r="R1340">
        <v>115</v>
      </c>
      <c r="S1340">
        <v>27</v>
      </c>
      <c r="T1340">
        <v>5</v>
      </c>
      <c r="U1340">
        <v>11</v>
      </c>
    </row>
    <row r="1341" spans="1:21" x14ac:dyDescent="0.35">
      <c r="A1341" t="s">
        <v>21</v>
      </c>
      <c r="B1341" s="1">
        <v>45073</v>
      </c>
      <c r="C1341" t="s">
        <v>22</v>
      </c>
      <c r="D1341">
        <v>0</v>
      </c>
      <c r="E1341">
        <v>0</v>
      </c>
      <c r="F1341">
        <v>0</v>
      </c>
      <c r="G1341">
        <v>0</v>
      </c>
      <c r="H1341">
        <v>0</v>
      </c>
      <c r="I1341">
        <v>0</v>
      </c>
      <c r="J1341">
        <v>0</v>
      </c>
      <c r="K1341">
        <v>0</v>
      </c>
      <c r="L1341">
        <v>0</v>
      </c>
      <c r="M1341">
        <v>0</v>
      </c>
      <c r="N1341">
        <v>535220</v>
      </c>
      <c r="O1341">
        <v>860357</v>
      </c>
      <c r="P1341">
        <v>1040665</v>
      </c>
      <c r="Q1341">
        <v>0</v>
      </c>
      <c r="R1341">
        <v>0</v>
      </c>
      <c r="S1341">
        <v>0</v>
      </c>
      <c r="T1341">
        <v>999</v>
      </c>
      <c r="U1341">
        <v>999</v>
      </c>
    </row>
    <row r="1342" spans="1:21" x14ac:dyDescent="0.35">
      <c r="A1342" t="s">
        <v>21</v>
      </c>
      <c r="B1342" s="1">
        <v>44926</v>
      </c>
      <c r="C1342" t="s">
        <v>27</v>
      </c>
      <c r="D1342">
        <v>0</v>
      </c>
      <c r="E1342">
        <v>0</v>
      </c>
      <c r="F1342">
        <v>0</v>
      </c>
      <c r="G1342">
        <v>0</v>
      </c>
      <c r="H1342">
        <v>0</v>
      </c>
      <c r="I1342">
        <v>0</v>
      </c>
      <c r="J1342">
        <v>0</v>
      </c>
      <c r="K1342">
        <v>0</v>
      </c>
      <c r="L1342">
        <v>0</v>
      </c>
      <c r="M1342">
        <v>0</v>
      </c>
      <c r="N1342">
        <v>33668</v>
      </c>
      <c r="O1342">
        <v>86208</v>
      </c>
      <c r="P1342">
        <v>44537</v>
      </c>
      <c r="Q1342">
        <v>0</v>
      </c>
      <c r="R1342">
        <v>0</v>
      </c>
      <c r="S1342">
        <v>0</v>
      </c>
      <c r="T1342">
        <v>12</v>
      </c>
      <c r="U1342">
        <v>17</v>
      </c>
    </row>
    <row r="1343" spans="1:21" x14ac:dyDescent="0.35">
      <c r="A1343" t="s">
        <v>26</v>
      </c>
      <c r="B1343" s="1">
        <v>45268</v>
      </c>
      <c r="C1343" t="s">
        <v>22</v>
      </c>
      <c r="D1343">
        <v>3.8</v>
      </c>
      <c r="E1343">
        <v>2.2000000000000002</v>
      </c>
      <c r="F1343">
        <v>3.5</v>
      </c>
      <c r="G1343">
        <v>1.7</v>
      </c>
      <c r="H1343">
        <v>1.1000000000000001</v>
      </c>
      <c r="I1343">
        <v>4.4000000000000004</v>
      </c>
      <c r="J1343">
        <v>2.8</v>
      </c>
      <c r="K1343">
        <v>2.8</v>
      </c>
      <c r="L1343">
        <v>1.6</v>
      </c>
      <c r="M1343">
        <v>1.6</v>
      </c>
      <c r="N1343">
        <v>528906</v>
      </c>
      <c r="O1343">
        <v>860313</v>
      </c>
      <c r="P1343">
        <v>1040782</v>
      </c>
      <c r="Q1343">
        <v>20</v>
      </c>
      <c r="R1343">
        <v>19</v>
      </c>
      <c r="S1343">
        <v>36</v>
      </c>
      <c r="T1343">
        <v>999</v>
      </c>
      <c r="U1343">
        <v>999</v>
      </c>
    </row>
    <row r="1344" spans="1:21" x14ac:dyDescent="0.35">
      <c r="A1344" t="s">
        <v>26</v>
      </c>
      <c r="B1344" s="1">
        <v>45248</v>
      </c>
      <c r="C1344" t="s">
        <v>29</v>
      </c>
      <c r="D1344">
        <v>6</v>
      </c>
      <c r="E1344">
        <v>2.1</v>
      </c>
      <c r="F1344">
        <v>2.9</v>
      </c>
      <c r="G1344">
        <v>2.9</v>
      </c>
      <c r="H1344">
        <v>2.1</v>
      </c>
      <c r="I1344">
        <v>0</v>
      </c>
      <c r="J1344">
        <v>0</v>
      </c>
      <c r="K1344">
        <v>0</v>
      </c>
      <c r="L1344">
        <v>0</v>
      </c>
      <c r="M1344">
        <v>0</v>
      </c>
      <c r="N1344">
        <v>100114</v>
      </c>
      <c r="O1344">
        <v>279360</v>
      </c>
      <c r="P1344">
        <v>348926</v>
      </c>
      <c r="Q1344">
        <v>6</v>
      </c>
      <c r="R1344">
        <v>6</v>
      </c>
      <c r="S1344">
        <v>10</v>
      </c>
      <c r="T1344">
        <v>30</v>
      </c>
      <c r="U1344">
        <v>49</v>
      </c>
    </row>
    <row r="1345" spans="1:21" x14ac:dyDescent="0.35">
      <c r="A1345" t="s">
        <v>21</v>
      </c>
      <c r="B1345" s="1">
        <v>44991</v>
      </c>
      <c r="C1345" t="s">
        <v>22</v>
      </c>
      <c r="D1345">
        <v>0</v>
      </c>
      <c r="E1345">
        <v>0.1</v>
      </c>
      <c r="F1345">
        <v>0.1</v>
      </c>
      <c r="G1345">
        <v>0</v>
      </c>
      <c r="H1345">
        <v>0</v>
      </c>
      <c r="I1345">
        <v>0</v>
      </c>
      <c r="J1345">
        <v>0.1</v>
      </c>
      <c r="K1345">
        <v>0.1</v>
      </c>
      <c r="L1345">
        <v>0</v>
      </c>
      <c r="M1345">
        <v>0</v>
      </c>
      <c r="N1345">
        <v>534701</v>
      </c>
      <c r="O1345">
        <v>860357</v>
      </c>
      <c r="P1345">
        <v>1040674</v>
      </c>
      <c r="Q1345">
        <v>0</v>
      </c>
      <c r="R1345">
        <v>1</v>
      </c>
      <c r="S1345">
        <v>1</v>
      </c>
      <c r="T1345">
        <v>999</v>
      </c>
      <c r="U1345">
        <v>999</v>
      </c>
    </row>
    <row r="1346" spans="1:21" x14ac:dyDescent="0.35">
      <c r="A1346" t="s">
        <v>26</v>
      </c>
      <c r="B1346" s="1">
        <v>44611</v>
      </c>
      <c r="C1346" t="s">
        <v>23</v>
      </c>
      <c r="D1346">
        <v>21.2</v>
      </c>
      <c r="E1346">
        <v>7.4</v>
      </c>
      <c r="F1346">
        <v>1.4</v>
      </c>
      <c r="G1346">
        <v>2.9</v>
      </c>
      <c r="H1346">
        <v>15.1</v>
      </c>
      <c r="I1346">
        <v>0</v>
      </c>
      <c r="J1346">
        <v>0</v>
      </c>
      <c r="K1346">
        <v>0</v>
      </c>
      <c r="L1346">
        <v>0</v>
      </c>
      <c r="M1346">
        <v>0</v>
      </c>
      <c r="N1346">
        <v>47217</v>
      </c>
      <c r="O1346">
        <v>148975</v>
      </c>
      <c r="P1346">
        <v>212791</v>
      </c>
      <c r="Q1346">
        <v>10</v>
      </c>
      <c r="R1346">
        <v>11</v>
      </c>
      <c r="S1346">
        <v>3</v>
      </c>
      <c r="T1346">
        <v>50</v>
      </c>
      <c r="U1346">
        <v>64</v>
      </c>
    </row>
    <row r="1347" spans="1:21" x14ac:dyDescent="0.35">
      <c r="A1347" t="s">
        <v>21</v>
      </c>
      <c r="B1347" s="1">
        <v>45227</v>
      </c>
      <c r="C1347" t="s">
        <v>32</v>
      </c>
      <c r="D1347">
        <v>0</v>
      </c>
      <c r="E1347">
        <v>0</v>
      </c>
      <c r="F1347">
        <v>0</v>
      </c>
      <c r="G1347">
        <v>0</v>
      </c>
      <c r="H1347">
        <v>0</v>
      </c>
      <c r="I1347">
        <v>0</v>
      </c>
      <c r="J1347">
        <v>0</v>
      </c>
      <c r="K1347">
        <v>0</v>
      </c>
      <c r="L1347">
        <v>0</v>
      </c>
      <c r="M1347">
        <v>0</v>
      </c>
      <c r="N1347">
        <v>162642</v>
      </c>
      <c r="O1347">
        <v>0</v>
      </c>
      <c r="P1347">
        <v>0</v>
      </c>
      <c r="Q1347">
        <v>0</v>
      </c>
      <c r="R1347">
        <v>0</v>
      </c>
      <c r="S1347">
        <v>0</v>
      </c>
      <c r="T1347">
        <v>0</v>
      </c>
      <c r="U1347">
        <v>4</v>
      </c>
    </row>
    <row r="1348" spans="1:21" x14ac:dyDescent="0.35">
      <c r="A1348" t="s">
        <v>28</v>
      </c>
      <c r="B1348" s="1">
        <v>45248</v>
      </c>
      <c r="C1348" t="s">
        <v>30</v>
      </c>
      <c r="D1348">
        <v>100.2</v>
      </c>
      <c r="E1348">
        <v>128.9</v>
      </c>
      <c r="F1348">
        <v>141.6</v>
      </c>
      <c r="G1348">
        <v>0.8</v>
      </c>
      <c r="H1348">
        <v>0.7</v>
      </c>
      <c r="I1348">
        <v>0</v>
      </c>
      <c r="J1348">
        <v>0</v>
      </c>
      <c r="K1348">
        <v>0</v>
      </c>
      <c r="L1348">
        <v>0</v>
      </c>
      <c r="M1348">
        <v>0</v>
      </c>
      <c r="N1348">
        <v>23945</v>
      </c>
      <c r="O1348">
        <v>11637</v>
      </c>
      <c r="P1348">
        <v>47321</v>
      </c>
      <c r="Q1348">
        <v>24</v>
      </c>
      <c r="R1348">
        <v>15</v>
      </c>
      <c r="S1348">
        <v>67</v>
      </c>
      <c r="T1348">
        <v>80</v>
      </c>
      <c r="U1348">
        <v>200</v>
      </c>
    </row>
    <row r="1349" spans="1:21" x14ac:dyDescent="0.35">
      <c r="A1349" t="s">
        <v>28</v>
      </c>
      <c r="B1349" s="1">
        <v>44408</v>
      </c>
      <c r="C1349" t="s">
        <v>29</v>
      </c>
      <c r="D1349">
        <v>168</v>
      </c>
      <c r="E1349">
        <v>62.6</v>
      </c>
      <c r="F1349">
        <v>0</v>
      </c>
      <c r="G1349">
        <v>2.7</v>
      </c>
      <c r="H1349">
        <v>0</v>
      </c>
      <c r="I1349">
        <v>0</v>
      </c>
      <c r="J1349">
        <v>0</v>
      </c>
      <c r="K1349">
        <v>0</v>
      </c>
      <c r="L1349">
        <v>0</v>
      </c>
      <c r="M1349">
        <v>0</v>
      </c>
      <c r="N1349">
        <v>266646</v>
      </c>
      <c r="O1349">
        <v>496916</v>
      </c>
      <c r="P1349">
        <v>0</v>
      </c>
      <c r="Q1349">
        <v>448</v>
      </c>
      <c r="R1349">
        <v>311</v>
      </c>
      <c r="S1349">
        <v>0</v>
      </c>
      <c r="T1349">
        <v>30</v>
      </c>
      <c r="U1349">
        <v>49</v>
      </c>
    </row>
    <row r="1350" spans="1:21" x14ac:dyDescent="0.35">
      <c r="A1350" t="s">
        <v>28</v>
      </c>
      <c r="B1350" s="1">
        <v>44629</v>
      </c>
      <c r="C1350" t="s">
        <v>27</v>
      </c>
      <c r="D1350">
        <v>345.9</v>
      </c>
      <c r="E1350">
        <v>139</v>
      </c>
      <c r="F1350">
        <v>176.6</v>
      </c>
      <c r="G1350">
        <v>2.5</v>
      </c>
      <c r="H1350">
        <v>2</v>
      </c>
      <c r="I1350">
        <v>0</v>
      </c>
      <c r="J1350">
        <v>0</v>
      </c>
      <c r="K1350">
        <v>0</v>
      </c>
      <c r="L1350">
        <v>0</v>
      </c>
      <c r="M1350">
        <v>0</v>
      </c>
      <c r="N1350">
        <v>35274</v>
      </c>
      <c r="O1350">
        <v>86333</v>
      </c>
      <c r="P1350">
        <v>43599</v>
      </c>
      <c r="Q1350">
        <v>122</v>
      </c>
      <c r="R1350">
        <v>120</v>
      </c>
      <c r="S1350">
        <v>77</v>
      </c>
      <c r="T1350">
        <v>12</v>
      </c>
      <c r="U1350">
        <v>17</v>
      </c>
    </row>
    <row r="1351" spans="1:21" x14ac:dyDescent="0.35">
      <c r="A1351" t="s">
        <v>28</v>
      </c>
      <c r="B1351" s="1">
        <v>44366</v>
      </c>
      <c r="C1351" t="s">
        <v>31</v>
      </c>
      <c r="D1351">
        <v>14.8</v>
      </c>
      <c r="E1351">
        <v>2.7</v>
      </c>
      <c r="F1351">
        <v>0</v>
      </c>
      <c r="G1351">
        <v>5.5</v>
      </c>
      <c r="H1351">
        <v>0</v>
      </c>
      <c r="I1351">
        <v>0</v>
      </c>
      <c r="J1351">
        <v>0</v>
      </c>
      <c r="K1351">
        <v>0</v>
      </c>
      <c r="L1351">
        <v>0</v>
      </c>
      <c r="M1351">
        <v>0</v>
      </c>
      <c r="N1351">
        <v>74281</v>
      </c>
      <c r="O1351">
        <v>183897</v>
      </c>
      <c r="P1351">
        <v>0</v>
      </c>
      <c r="Q1351">
        <v>11</v>
      </c>
      <c r="R1351">
        <v>5</v>
      </c>
      <c r="S1351">
        <v>0</v>
      </c>
      <c r="T1351">
        <v>65</v>
      </c>
      <c r="U1351">
        <v>79</v>
      </c>
    </row>
    <row r="1352" spans="1:21" x14ac:dyDescent="0.35">
      <c r="A1352" t="s">
        <v>26</v>
      </c>
      <c r="B1352" s="1">
        <v>44811</v>
      </c>
      <c r="C1352" t="s">
        <v>24</v>
      </c>
      <c r="D1352">
        <v>0</v>
      </c>
      <c r="E1352">
        <v>0</v>
      </c>
      <c r="F1352">
        <v>12.8</v>
      </c>
      <c r="G1352">
        <v>0</v>
      </c>
      <c r="H1352">
        <v>0</v>
      </c>
      <c r="I1352">
        <v>0</v>
      </c>
      <c r="J1352">
        <v>0</v>
      </c>
      <c r="K1352">
        <v>0</v>
      </c>
      <c r="L1352">
        <v>0</v>
      </c>
      <c r="M1352">
        <v>0</v>
      </c>
      <c r="N1352">
        <v>98989</v>
      </c>
      <c r="O1352">
        <v>89156</v>
      </c>
      <c r="P1352">
        <v>7798</v>
      </c>
      <c r="Q1352">
        <v>0</v>
      </c>
      <c r="R1352">
        <v>0</v>
      </c>
      <c r="S1352">
        <v>1</v>
      </c>
      <c r="T1352">
        <v>5</v>
      </c>
      <c r="U1352">
        <v>11</v>
      </c>
    </row>
    <row r="1353" spans="1:21" x14ac:dyDescent="0.35">
      <c r="A1353" t="s">
        <v>28</v>
      </c>
      <c r="B1353" s="1">
        <v>44737</v>
      </c>
      <c r="C1353" t="s">
        <v>22</v>
      </c>
      <c r="D1353">
        <v>233</v>
      </c>
      <c r="E1353">
        <v>139</v>
      </c>
      <c r="F1353">
        <v>249</v>
      </c>
      <c r="G1353">
        <v>1.7</v>
      </c>
      <c r="H1353">
        <v>0.9</v>
      </c>
      <c r="I1353">
        <v>278.3</v>
      </c>
      <c r="J1353">
        <v>131.69999999999999</v>
      </c>
      <c r="K1353">
        <v>214.4</v>
      </c>
      <c r="L1353">
        <v>2.1</v>
      </c>
      <c r="M1353">
        <v>1.3</v>
      </c>
      <c r="N1353">
        <v>635698</v>
      </c>
      <c r="O1353">
        <v>868337</v>
      </c>
      <c r="P1353">
        <v>988583</v>
      </c>
      <c r="Q1353">
        <v>1481</v>
      </c>
      <c r="R1353">
        <v>1207</v>
      </c>
      <c r="S1353">
        <v>2462</v>
      </c>
      <c r="T1353">
        <v>999</v>
      </c>
      <c r="U1353">
        <v>999</v>
      </c>
    </row>
    <row r="1354" spans="1:21" x14ac:dyDescent="0.35">
      <c r="A1354" t="s">
        <v>28</v>
      </c>
      <c r="B1354" s="1">
        <v>44982</v>
      </c>
      <c r="C1354" t="s">
        <v>31</v>
      </c>
      <c r="D1354">
        <v>169.7</v>
      </c>
      <c r="E1354">
        <v>101.4</v>
      </c>
      <c r="F1354">
        <v>106.6</v>
      </c>
      <c r="G1354">
        <v>1.7</v>
      </c>
      <c r="H1354">
        <v>1.6</v>
      </c>
      <c r="I1354">
        <v>0</v>
      </c>
      <c r="J1354">
        <v>0</v>
      </c>
      <c r="K1354">
        <v>0</v>
      </c>
      <c r="L1354">
        <v>0</v>
      </c>
      <c r="M1354">
        <v>0</v>
      </c>
      <c r="N1354">
        <v>40075</v>
      </c>
      <c r="O1354">
        <v>43402</v>
      </c>
      <c r="P1354">
        <v>171700</v>
      </c>
      <c r="Q1354">
        <v>68</v>
      </c>
      <c r="R1354">
        <v>44</v>
      </c>
      <c r="S1354">
        <v>183</v>
      </c>
      <c r="T1354">
        <v>65</v>
      </c>
      <c r="U1354">
        <v>79</v>
      </c>
    </row>
    <row r="1355" spans="1:21" x14ac:dyDescent="0.35">
      <c r="A1355" t="s">
        <v>26</v>
      </c>
      <c r="B1355" s="1">
        <v>44657</v>
      </c>
      <c r="C1355" t="s">
        <v>27</v>
      </c>
      <c r="D1355">
        <v>2.7</v>
      </c>
      <c r="E1355">
        <v>1.1000000000000001</v>
      </c>
      <c r="F1355">
        <v>2.8</v>
      </c>
      <c r="G1355">
        <v>2.5</v>
      </c>
      <c r="H1355">
        <v>1</v>
      </c>
      <c r="I1355">
        <v>0</v>
      </c>
      <c r="J1355">
        <v>0</v>
      </c>
      <c r="K1355">
        <v>0</v>
      </c>
      <c r="L1355">
        <v>0</v>
      </c>
      <c r="M1355">
        <v>0</v>
      </c>
      <c r="N1355">
        <v>36941</v>
      </c>
      <c r="O1355">
        <v>93128</v>
      </c>
      <c r="P1355">
        <v>35358</v>
      </c>
      <c r="Q1355">
        <v>1</v>
      </c>
      <c r="R1355">
        <v>1</v>
      </c>
      <c r="S1355">
        <v>1</v>
      </c>
      <c r="T1355">
        <v>12</v>
      </c>
      <c r="U1355">
        <v>17</v>
      </c>
    </row>
    <row r="1356" spans="1:21" x14ac:dyDescent="0.35">
      <c r="A1356" t="s">
        <v>28</v>
      </c>
      <c r="B1356" s="1">
        <v>44720</v>
      </c>
      <c r="C1356" t="s">
        <v>23</v>
      </c>
      <c r="D1356">
        <v>450.2</v>
      </c>
      <c r="E1356">
        <v>173.8</v>
      </c>
      <c r="F1356">
        <v>243.7</v>
      </c>
      <c r="G1356">
        <v>2.6</v>
      </c>
      <c r="H1356">
        <v>1.8</v>
      </c>
      <c r="I1356">
        <v>0</v>
      </c>
      <c r="J1356">
        <v>0</v>
      </c>
      <c r="K1356">
        <v>0</v>
      </c>
      <c r="L1356">
        <v>0</v>
      </c>
      <c r="M1356">
        <v>0</v>
      </c>
      <c r="N1356">
        <v>40870</v>
      </c>
      <c r="O1356">
        <v>127180</v>
      </c>
      <c r="P1356">
        <v>243708</v>
      </c>
      <c r="Q1356">
        <v>184</v>
      </c>
      <c r="R1356">
        <v>221</v>
      </c>
      <c r="S1356">
        <v>594</v>
      </c>
      <c r="T1356">
        <v>50</v>
      </c>
      <c r="U1356">
        <v>64</v>
      </c>
    </row>
    <row r="1357" spans="1:21" x14ac:dyDescent="0.35">
      <c r="A1357" t="s">
        <v>28</v>
      </c>
      <c r="B1357" s="1">
        <v>44657</v>
      </c>
      <c r="C1357" t="s">
        <v>30</v>
      </c>
      <c r="D1357">
        <v>116.6</v>
      </c>
      <c r="E1357">
        <v>221.7</v>
      </c>
      <c r="F1357">
        <v>249.6</v>
      </c>
      <c r="G1357">
        <v>0.5</v>
      </c>
      <c r="H1357">
        <v>0.5</v>
      </c>
      <c r="I1357">
        <v>0</v>
      </c>
      <c r="J1357">
        <v>0</v>
      </c>
      <c r="K1357">
        <v>0</v>
      </c>
      <c r="L1357">
        <v>0</v>
      </c>
      <c r="M1357">
        <v>0</v>
      </c>
      <c r="N1357">
        <v>26586</v>
      </c>
      <c r="O1357">
        <v>12627</v>
      </c>
      <c r="P1357">
        <v>45272</v>
      </c>
      <c r="Q1357">
        <v>31</v>
      </c>
      <c r="R1357">
        <v>28</v>
      </c>
      <c r="S1357">
        <v>113</v>
      </c>
      <c r="T1357">
        <v>80</v>
      </c>
      <c r="U1357">
        <v>200</v>
      </c>
    </row>
    <row r="1358" spans="1:21" x14ac:dyDescent="0.35">
      <c r="A1358" t="s">
        <v>26</v>
      </c>
      <c r="B1358" s="1">
        <v>44331</v>
      </c>
      <c r="C1358" t="s">
        <v>25</v>
      </c>
      <c r="D1358">
        <v>9.8000000000000007</v>
      </c>
      <c r="E1358">
        <v>0.6</v>
      </c>
      <c r="F1358">
        <v>0</v>
      </c>
      <c r="G1358">
        <v>16.3</v>
      </c>
      <c r="H1358">
        <v>0</v>
      </c>
      <c r="I1358">
        <v>0</v>
      </c>
      <c r="J1358">
        <v>0</v>
      </c>
      <c r="K1358">
        <v>0</v>
      </c>
      <c r="L1358">
        <v>0</v>
      </c>
      <c r="M1358">
        <v>0</v>
      </c>
      <c r="N1358">
        <v>265014</v>
      </c>
      <c r="O1358">
        <v>159262</v>
      </c>
      <c r="P1358">
        <v>0</v>
      </c>
      <c r="Q1358">
        <v>26</v>
      </c>
      <c r="R1358">
        <v>1</v>
      </c>
      <c r="S1358">
        <v>0</v>
      </c>
      <c r="T1358">
        <v>18</v>
      </c>
      <c r="U1358">
        <v>29</v>
      </c>
    </row>
    <row r="1359" spans="1:21" x14ac:dyDescent="0.35">
      <c r="A1359" t="s">
        <v>21</v>
      </c>
      <c r="B1359" s="1">
        <v>44201</v>
      </c>
      <c r="C1359" t="s">
        <v>22</v>
      </c>
      <c r="D1359">
        <v>2.7</v>
      </c>
      <c r="E1359">
        <v>0.3</v>
      </c>
      <c r="F1359">
        <v>0</v>
      </c>
      <c r="G1359">
        <v>9</v>
      </c>
      <c r="H1359">
        <v>0</v>
      </c>
      <c r="I1359">
        <v>3.6</v>
      </c>
      <c r="J1359">
        <v>0.1</v>
      </c>
      <c r="K1359">
        <v>0</v>
      </c>
      <c r="L1359">
        <v>25</v>
      </c>
      <c r="M1359">
        <v>0</v>
      </c>
      <c r="N1359">
        <v>1471355</v>
      </c>
      <c r="O1359">
        <v>709078</v>
      </c>
      <c r="P1359">
        <v>0</v>
      </c>
      <c r="Q1359">
        <v>39</v>
      </c>
      <c r="R1359">
        <v>2</v>
      </c>
      <c r="S1359">
        <v>0</v>
      </c>
      <c r="T1359">
        <v>999</v>
      </c>
      <c r="U1359">
        <v>999</v>
      </c>
    </row>
    <row r="1360" spans="1:21" x14ac:dyDescent="0.35">
      <c r="A1360" t="s">
        <v>26</v>
      </c>
      <c r="B1360" s="1">
        <v>45232</v>
      </c>
      <c r="C1360" t="s">
        <v>29</v>
      </c>
      <c r="D1360">
        <v>7.2</v>
      </c>
      <c r="E1360">
        <v>1.4</v>
      </c>
      <c r="F1360">
        <v>1.2</v>
      </c>
      <c r="G1360">
        <v>5.0999999999999996</v>
      </c>
      <c r="H1360">
        <v>6</v>
      </c>
      <c r="I1360">
        <v>0</v>
      </c>
      <c r="J1360">
        <v>0</v>
      </c>
      <c r="K1360">
        <v>0</v>
      </c>
      <c r="L1360">
        <v>0</v>
      </c>
      <c r="M1360">
        <v>0</v>
      </c>
      <c r="N1360">
        <v>111258</v>
      </c>
      <c r="O1360">
        <v>277686</v>
      </c>
      <c r="P1360">
        <v>347246</v>
      </c>
      <c r="Q1360">
        <v>8</v>
      </c>
      <c r="R1360">
        <v>4</v>
      </c>
      <c r="S1360">
        <v>4</v>
      </c>
      <c r="T1360">
        <v>30</v>
      </c>
      <c r="U1360">
        <v>49</v>
      </c>
    </row>
    <row r="1361" spans="1:21" x14ac:dyDescent="0.35">
      <c r="A1361" t="s">
        <v>28</v>
      </c>
      <c r="B1361" s="1">
        <v>44358</v>
      </c>
      <c r="C1361" t="s">
        <v>27</v>
      </c>
      <c r="D1361">
        <v>325.5</v>
      </c>
      <c r="E1361">
        <v>52</v>
      </c>
      <c r="F1361">
        <v>0</v>
      </c>
      <c r="G1361">
        <v>6.3</v>
      </c>
      <c r="H1361">
        <v>0</v>
      </c>
      <c r="I1361">
        <v>0</v>
      </c>
      <c r="J1361">
        <v>0</v>
      </c>
      <c r="K1361">
        <v>0</v>
      </c>
      <c r="L1361">
        <v>0</v>
      </c>
      <c r="M1361">
        <v>0</v>
      </c>
      <c r="N1361">
        <v>63281</v>
      </c>
      <c r="O1361">
        <v>101846</v>
      </c>
      <c r="P1361">
        <v>0</v>
      </c>
      <c r="Q1361">
        <v>206</v>
      </c>
      <c r="R1361">
        <v>53</v>
      </c>
      <c r="S1361">
        <v>0</v>
      </c>
      <c r="T1361">
        <v>12</v>
      </c>
      <c r="U1361">
        <v>17</v>
      </c>
    </row>
    <row r="1362" spans="1:21" x14ac:dyDescent="0.35">
      <c r="A1362" t="s">
        <v>21</v>
      </c>
      <c r="B1362" s="1">
        <v>44464</v>
      </c>
      <c r="C1362" t="s">
        <v>31</v>
      </c>
      <c r="D1362">
        <v>7.9</v>
      </c>
      <c r="E1362">
        <v>1</v>
      </c>
      <c r="F1362">
        <v>0</v>
      </c>
      <c r="G1362">
        <v>7.9</v>
      </c>
      <c r="H1362">
        <v>0</v>
      </c>
      <c r="I1362">
        <v>0</v>
      </c>
      <c r="J1362">
        <v>0</v>
      </c>
      <c r="K1362">
        <v>0</v>
      </c>
      <c r="L1362">
        <v>0</v>
      </c>
      <c r="M1362">
        <v>0</v>
      </c>
      <c r="N1362">
        <v>63251</v>
      </c>
      <c r="O1362">
        <v>193577</v>
      </c>
      <c r="P1362">
        <v>0</v>
      </c>
      <c r="Q1362">
        <v>5</v>
      </c>
      <c r="R1362">
        <v>2</v>
      </c>
      <c r="S1362">
        <v>0</v>
      </c>
      <c r="T1362">
        <v>65</v>
      </c>
      <c r="U1362">
        <v>79</v>
      </c>
    </row>
    <row r="1363" spans="1:21" x14ac:dyDescent="0.35">
      <c r="A1363" t="s">
        <v>26</v>
      </c>
      <c r="B1363" s="1">
        <v>45255</v>
      </c>
      <c r="C1363" t="s">
        <v>31</v>
      </c>
      <c r="D1363">
        <v>10.7</v>
      </c>
      <c r="E1363">
        <v>20.3</v>
      </c>
      <c r="F1363">
        <v>18.5</v>
      </c>
      <c r="G1363">
        <v>0.5</v>
      </c>
      <c r="H1363">
        <v>0.6</v>
      </c>
      <c r="I1363">
        <v>0</v>
      </c>
      <c r="J1363">
        <v>0</v>
      </c>
      <c r="K1363">
        <v>0</v>
      </c>
      <c r="L1363">
        <v>0</v>
      </c>
      <c r="M1363">
        <v>0</v>
      </c>
      <c r="N1363">
        <v>37243</v>
      </c>
      <c r="O1363">
        <v>44248</v>
      </c>
      <c r="P1363">
        <v>172629</v>
      </c>
      <c r="Q1363">
        <v>4</v>
      </c>
      <c r="R1363">
        <v>9</v>
      </c>
      <c r="S1363">
        <v>32</v>
      </c>
      <c r="T1363">
        <v>65</v>
      </c>
      <c r="U1363">
        <v>79</v>
      </c>
    </row>
    <row r="1364" spans="1:21" x14ac:dyDescent="0.35">
      <c r="A1364" t="s">
        <v>28</v>
      </c>
      <c r="B1364" s="1">
        <v>45003</v>
      </c>
      <c r="C1364" t="s">
        <v>30</v>
      </c>
      <c r="D1364">
        <v>24.3</v>
      </c>
      <c r="E1364">
        <v>70.3</v>
      </c>
      <c r="F1364">
        <v>93.4</v>
      </c>
      <c r="G1364">
        <v>0.3</v>
      </c>
      <c r="H1364">
        <v>0.3</v>
      </c>
      <c r="I1364">
        <v>0</v>
      </c>
      <c r="J1364">
        <v>0</v>
      </c>
      <c r="K1364">
        <v>0</v>
      </c>
      <c r="L1364">
        <v>0</v>
      </c>
      <c r="M1364">
        <v>0</v>
      </c>
      <c r="N1364">
        <v>24655</v>
      </c>
      <c r="O1364">
        <v>11380</v>
      </c>
      <c r="P1364">
        <v>47126</v>
      </c>
      <c r="Q1364">
        <v>6</v>
      </c>
      <c r="R1364">
        <v>8</v>
      </c>
      <c r="S1364">
        <v>44</v>
      </c>
      <c r="T1364">
        <v>80</v>
      </c>
      <c r="U1364">
        <v>200</v>
      </c>
    </row>
    <row r="1365" spans="1:21" x14ac:dyDescent="0.35">
      <c r="A1365" t="s">
        <v>28</v>
      </c>
      <c r="B1365" s="1">
        <v>44527</v>
      </c>
      <c r="C1365" t="s">
        <v>24</v>
      </c>
      <c r="D1365">
        <v>190.5</v>
      </c>
      <c r="E1365">
        <v>0</v>
      </c>
      <c r="F1365">
        <v>0</v>
      </c>
      <c r="G1365">
        <v>0</v>
      </c>
      <c r="H1365">
        <v>0</v>
      </c>
      <c r="I1365">
        <v>0</v>
      </c>
      <c r="J1365">
        <v>0</v>
      </c>
      <c r="K1365">
        <v>0</v>
      </c>
      <c r="L1365">
        <v>0</v>
      </c>
      <c r="M1365">
        <v>0</v>
      </c>
      <c r="N1365">
        <v>161164</v>
      </c>
      <c r="O1365">
        <v>5</v>
      </c>
      <c r="P1365">
        <v>0</v>
      </c>
      <c r="Q1365">
        <v>307</v>
      </c>
      <c r="R1365">
        <v>0</v>
      </c>
      <c r="S1365">
        <v>0</v>
      </c>
      <c r="T1365">
        <v>5</v>
      </c>
      <c r="U1365">
        <v>11</v>
      </c>
    </row>
    <row r="1366" spans="1:21" x14ac:dyDescent="0.35">
      <c r="A1366" t="s">
        <v>28</v>
      </c>
      <c r="B1366" s="1">
        <v>45003</v>
      </c>
      <c r="C1366" t="s">
        <v>27</v>
      </c>
      <c r="D1366">
        <v>115.1</v>
      </c>
      <c r="E1366">
        <v>39.299999999999997</v>
      </c>
      <c r="F1366">
        <v>53.9</v>
      </c>
      <c r="G1366">
        <v>2.9</v>
      </c>
      <c r="H1366">
        <v>2.1</v>
      </c>
      <c r="I1366">
        <v>0</v>
      </c>
      <c r="J1366">
        <v>0</v>
      </c>
      <c r="K1366">
        <v>0</v>
      </c>
      <c r="L1366">
        <v>0</v>
      </c>
      <c r="M1366">
        <v>0</v>
      </c>
      <c r="N1366">
        <v>33016</v>
      </c>
      <c r="O1366">
        <v>86456</v>
      </c>
      <c r="P1366">
        <v>44563</v>
      </c>
      <c r="Q1366">
        <v>38</v>
      </c>
      <c r="R1366">
        <v>34</v>
      </c>
      <c r="S1366">
        <v>24</v>
      </c>
      <c r="T1366">
        <v>12</v>
      </c>
      <c r="U1366">
        <v>17</v>
      </c>
    </row>
    <row r="1367" spans="1:21" x14ac:dyDescent="0.35">
      <c r="A1367" t="s">
        <v>28</v>
      </c>
      <c r="B1367" s="1">
        <v>44747</v>
      </c>
      <c r="C1367" t="s">
        <v>27</v>
      </c>
      <c r="D1367">
        <v>421.6</v>
      </c>
      <c r="E1367">
        <v>214.3</v>
      </c>
      <c r="F1367">
        <v>382.8</v>
      </c>
      <c r="G1367">
        <v>2</v>
      </c>
      <c r="H1367">
        <v>1.1000000000000001</v>
      </c>
      <c r="I1367">
        <v>0</v>
      </c>
      <c r="J1367">
        <v>0</v>
      </c>
      <c r="K1367">
        <v>0</v>
      </c>
      <c r="L1367">
        <v>0</v>
      </c>
      <c r="M1367">
        <v>0</v>
      </c>
      <c r="N1367">
        <v>37479</v>
      </c>
      <c r="O1367">
        <v>94246</v>
      </c>
      <c r="P1367">
        <v>33698</v>
      </c>
      <c r="Q1367">
        <v>158</v>
      </c>
      <c r="R1367">
        <v>202</v>
      </c>
      <c r="S1367">
        <v>129</v>
      </c>
      <c r="T1367">
        <v>12</v>
      </c>
      <c r="U1367">
        <v>17</v>
      </c>
    </row>
    <row r="1368" spans="1:21" x14ac:dyDescent="0.35">
      <c r="A1368" t="s">
        <v>21</v>
      </c>
      <c r="B1368" s="1">
        <v>45129</v>
      </c>
      <c r="C1368" t="s">
        <v>22</v>
      </c>
      <c r="D1368">
        <v>0</v>
      </c>
      <c r="E1368">
        <v>0</v>
      </c>
      <c r="F1368">
        <v>0.1</v>
      </c>
      <c r="G1368">
        <v>0</v>
      </c>
      <c r="H1368">
        <v>0</v>
      </c>
      <c r="I1368">
        <v>0</v>
      </c>
      <c r="J1368">
        <v>0</v>
      </c>
      <c r="K1368">
        <v>0.1</v>
      </c>
      <c r="L1368">
        <v>0</v>
      </c>
      <c r="M1368">
        <v>0</v>
      </c>
      <c r="N1368">
        <v>530682</v>
      </c>
      <c r="O1368">
        <v>860314</v>
      </c>
      <c r="P1368">
        <v>1040764</v>
      </c>
      <c r="Q1368">
        <v>0</v>
      </c>
      <c r="R1368">
        <v>0</v>
      </c>
      <c r="S1368">
        <v>1</v>
      </c>
      <c r="T1368">
        <v>999</v>
      </c>
      <c r="U1368">
        <v>999</v>
      </c>
    </row>
    <row r="1369" spans="1:21" x14ac:dyDescent="0.35">
      <c r="A1369" t="s">
        <v>28</v>
      </c>
      <c r="B1369" s="1">
        <v>45185</v>
      </c>
      <c r="C1369" t="s">
        <v>25</v>
      </c>
      <c r="D1369">
        <v>80.599999999999994</v>
      </c>
      <c r="E1369">
        <v>15.9</v>
      </c>
      <c r="F1369">
        <v>31.5</v>
      </c>
      <c r="G1369">
        <v>5.0999999999999996</v>
      </c>
      <c r="H1369">
        <v>2.6</v>
      </c>
      <c r="I1369">
        <v>0</v>
      </c>
      <c r="J1369">
        <v>0</v>
      </c>
      <c r="K1369">
        <v>0</v>
      </c>
      <c r="L1369">
        <v>0</v>
      </c>
      <c r="M1369">
        <v>0</v>
      </c>
      <c r="N1369">
        <v>73185</v>
      </c>
      <c r="O1369">
        <v>214126</v>
      </c>
      <c r="P1369">
        <v>161725</v>
      </c>
      <c r="Q1369">
        <v>59</v>
      </c>
      <c r="R1369">
        <v>34</v>
      </c>
      <c r="S1369">
        <v>51</v>
      </c>
      <c r="T1369">
        <v>18</v>
      </c>
      <c r="U1369">
        <v>29</v>
      </c>
    </row>
    <row r="1370" spans="1:21" x14ac:dyDescent="0.35">
      <c r="A1370" t="s">
        <v>21</v>
      </c>
      <c r="B1370" s="1">
        <v>44982</v>
      </c>
      <c r="C1370" t="s">
        <v>22</v>
      </c>
      <c r="D1370">
        <v>0.6</v>
      </c>
      <c r="E1370">
        <v>0.3</v>
      </c>
      <c r="F1370">
        <v>0.1</v>
      </c>
      <c r="G1370">
        <v>2</v>
      </c>
      <c r="H1370">
        <v>6</v>
      </c>
      <c r="I1370">
        <v>0.8</v>
      </c>
      <c r="J1370">
        <v>0.7</v>
      </c>
      <c r="K1370">
        <v>0.1</v>
      </c>
      <c r="L1370">
        <v>1.1000000000000001</v>
      </c>
      <c r="M1370">
        <v>14.6</v>
      </c>
      <c r="N1370">
        <v>545222</v>
      </c>
      <c r="O1370">
        <v>857371</v>
      </c>
      <c r="P1370">
        <v>1040416</v>
      </c>
      <c r="Q1370">
        <v>3</v>
      </c>
      <c r="R1370">
        <v>3</v>
      </c>
      <c r="S1370">
        <v>1</v>
      </c>
      <c r="T1370">
        <v>999</v>
      </c>
      <c r="U1370">
        <v>999</v>
      </c>
    </row>
    <row r="1371" spans="1:21" x14ac:dyDescent="0.35">
      <c r="A1371" t="s">
        <v>26</v>
      </c>
      <c r="B1371" s="1">
        <v>44891</v>
      </c>
      <c r="C1371" t="s">
        <v>25</v>
      </c>
      <c r="D1371">
        <v>7.4</v>
      </c>
      <c r="E1371">
        <v>2.8</v>
      </c>
      <c r="F1371">
        <v>2.5</v>
      </c>
      <c r="G1371">
        <v>2.6</v>
      </c>
      <c r="H1371">
        <v>3</v>
      </c>
      <c r="I1371">
        <v>0</v>
      </c>
      <c r="J1371">
        <v>0</v>
      </c>
      <c r="K1371">
        <v>0</v>
      </c>
      <c r="L1371">
        <v>0</v>
      </c>
      <c r="M1371">
        <v>0</v>
      </c>
      <c r="N1371">
        <v>81540</v>
      </c>
      <c r="O1371">
        <v>212520</v>
      </c>
      <c r="P1371">
        <v>161571</v>
      </c>
      <c r="Q1371">
        <v>6</v>
      </c>
      <c r="R1371">
        <v>6</v>
      </c>
      <c r="S1371">
        <v>4</v>
      </c>
      <c r="T1371">
        <v>18</v>
      </c>
      <c r="U1371">
        <v>29</v>
      </c>
    </row>
    <row r="1372" spans="1:21" x14ac:dyDescent="0.35">
      <c r="A1372" t="s">
        <v>21</v>
      </c>
      <c r="B1372" s="1">
        <v>45019</v>
      </c>
      <c r="C1372" t="s">
        <v>25</v>
      </c>
      <c r="D1372">
        <v>0</v>
      </c>
      <c r="E1372">
        <v>0</v>
      </c>
      <c r="F1372">
        <v>0</v>
      </c>
      <c r="G1372">
        <v>0</v>
      </c>
      <c r="H1372">
        <v>0</v>
      </c>
      <c r="I1372">
        <v>0</v>
      </c>
      <c r="J1372">
        <v>0</v>
      </c>
      <c r="K1372">
        <v>0</v>
      </c>
      <c r="L1372">
        <v>0</v>
      </c>
      <c r="M1372">
        <v>0</v>
      </c>
      <c r="N1372">
        <v>76784</v>
      </c>
      <c r="O1372">
        <v>213571</v>
      </c>
      <c r="P1372">
        <v>161659</v>
      </c>
      <c r="Q1372">
        <v>0</v>
      </c>
      <c r="R1372">
        <v>0</v>
      </c>
      <c r="S1372">
        <v>0</v>
      </c>
      <c r="T1372">
        <v>18</v>
      </c>
      <c r="U1372">
        <v>29</v>
      </c>
    </row>
    <row r="1373" spans="1:21" x14ac:dyDescent="0.35">
      <c r="A1373" t="s">
        <v>26</v>
      </c>
      <c r="B1373" s="1">
        <v>44583</v>
      </c>
      <c r="C1373" t="s">
        <v>27</v>
      </c>
      <c r="D1373">
        <v>13</v>
      </c>
      <c r="E1373">
        <v>2.9</v>
      </c>
      <c r="F1373">
        <v>11.7</v>
      </c>
      <c r="G1373">
        <v>4.5</v>
      </c>
      <c r="H1373">
        <v>1.1000000000000001</v>
      </c>
      <c r="I1373">
        <v>0</v>
      </c>
      <c r="J1373">
        <v>0</v>
      </c>
      <c r="K1373">
        <v>0</v>
      </c>
      <c r="L1373">
        <v>0</v>
      </c>
      <c r="M1373">
        <v>0</v>
      </c>
      <c r="N1373">
        <v>46018</v>
      </c>
      <c r="O1373">
        <v>104354</v>
      </c>
      <c r="P1373">
        <v>8581</v>
      </c>
      <c r="Q1373">
        <v>6</v>
      </c>
      <c r="R1373">
        <v>3</v>
      </c>
      <c r="S1373">
        <v>1</v>
      </c>
      <c r="T1373">
        <v>12</v>
      </c>
      <c r="U1373">
        <v>17</v>
      </c>
    </row>
    <row r="1374" spans="1:21" x14ac:dyDescent="0.35">
      <c r="A1374" t="s">
        <v>21</v>
      </c>
      <c r="B1374" s="1">
        <v>44695</v>
      </c>
      <c r="C1374" t="s">
        <v>23</v>
      </c>
      <c r="D1374">
        <v>0</v>
      </c>
      <c r="E1374">
        <v>0.7</v>
      </c>
      <c r="F1374">
        <v>0</v>
      </c>
      <c r="G1374">
        <v>0</v>
      </c>
      <c r="H1374">
        <v>0</v>
      </c>
      <c r="I1374">
        <v>0</v>
      </c>
      <c r="J1374">
        <v>0</v>
      </c>
      <c r="K1374">
        <v>0</v>
      </c>
      <c r="L1374">
        <v>0</v>
      </c>
      <c r="M1374">
        <v>0</v>
      </c>
      <c r="N1374">
        <v>43533</v>
      </c>
      <c r="O1374">
        <v>133809</v>
      </c>
      <c r="P1374">
        <v>234246</v>
      </c>
      <c r="Q1374">
        <v>0</v>
      </c>
      <c r="R1374">
        <v>1</v>
      </c>
      <c r="S1374">
        <v>0</v>
      </c>
      <c r="T1374">
        <v>50</v>
      </c>
      <c r="U1374">
        <v>64</v>
      </c>
    </row>
    <row r="1375" spans="1:21" x14ac:dyDescent="0.35">
      <c r="A1375" t="s">
        <v>28</v>
      </c>
      <c r="B1375" s="1">
        <v>44969</v>
      </c>
      <c r="C1375" t="s">
        <v>31</v>
      </c>
      <c r="D1375">
        <v>131.6</v>
      </c>
      <c r="E1375">
        <v>99.3</v>
      </c>
      <c r="F1375">
        <v>98.4</v>
      </c>
      <c r="G1375">
        <v>1.3</v>
      </c>
      <c r="H1375">
        <v>1.3</v>
      </c>
      <c r="I1375">
        <v>0</v>
      </c>
      <c r="J1375">
        <v>0</v>
      </c>
      <c r="K1375">
        <v>0</v>
      </c>
      <c r="L1375">
        <v>0</v>
      </c>
      <c r="M1375">
        <v>0</v>
      </c>
      <c r="N1375">
        <v>37227</v>
      </c>
      <c r="O1375">
        <v>44309</v>
      </c>
      <c r="P1375">
        <v>172734</v>
      </c>
      <c r="Q1375">
        <v>49</v>
      </c>
      <c r="R1375">
        <v>44</v>
      </c>
      <c r="S1375">
        <v>170</v>
      </c>
      <c r="T1375">
        <v>65</v>
      </c>
      <c r="U1375">
        <v>79</v>
      </c>
    </row>
    <row r="1376" spans="1:21" x14ac:dyDescent="0.35">
      <c r="A1376" t="s">
        <v>28</v>
      </c>
      <c r="B1376" s="1">
        <v>45066</v>
      </c>
      <c r="C1376" t="s">
        <v>23</v>
      </c>
      <c r="D1376">
        <v>57.6</v>
      </c>
      <c r="E1376">
        <v>11.9</v>
      </c>
      <c r="F1376">
        <v>23.5</v>
      </c>
      <c r="G1376">
        <v>4.8</v>
      </c>
      <c r="H1376">
        <v>2.5</v>
      </c>
      <c r="I1376">
        <v>0</v>
      </c>
      <c r="J1376">
        <v>0</v>
      </c>
      <c r="K1376">
        <v>0</v>
      </c>
      <c r="L1376">
        <v>0</v>
      </c>
      <c r="M1376">
        <v>0</v>
      </c>
      <c r="N1376">
        <v>32964</v>
      </c>
      <c r="O1376">
        <v>125743</v>
      </c>
      <c r="P1376">
        <v>246910</v>
      </c>
      <c r="Q1376">
        <v>19</v>
      </c>
      <c r="R1376">
        <v>15</v>
      </c>
      <c r="S1376">
        <v>58</v>
      </c>
      <c r="T1376">
        <v>50</v>
      </c>
      <c r="U1376">
        <v>64</v>
      </c>
    </row>
    <row r="1377" spans="1:21" x14ac:dyDescent="0.35">
      <c r="A1377" t="s">
        <v>21</v>
      </c>
      <c r="B1377" s="1">
        <v>45213</v>
      </c>
      <c r="C1377" t="s">
        <v>23</v>
      </c>
      <c r="D1377">
        <v>0</v>
      </c>
      <c r="E1377">
        <v>0</v>
      </c>
      <c r="F1377">
        <v>0</v>
      </c>
      <c r="G1377">
        <v>0</v>
      </c>
      <c r="H1377">
        <v>0</v>
      </c>
      <c r="I1377">
        <v>0</v>
      </c>
      <c r="J1377">
        <v>0</v>
      </c>
      <c r="K1377">
        <v>0</v>
      </c>
      <c r="L1377">
        <v>0</v>
      </c>
      <c r="M1377">
        <v>0</v>
      </c>
      <c r="N1377">
        <v>31377</v>
      </c>
      <c r="O1377">
        <v>125742</v>
      </c>
      <c r="P1377">
        <v>247106</v>
      </c>
      <c r="Q1377">
        <v>0</v>
      </c>
      <c r="R1377">
        <v>0</v>
      </c>
      <c r="S1377">
        <v>0</v>
      </c>
      <c r="T1377">
        <v>50</v>
      </c>
      <c r="U1377">
        <v>64</v>
      </c>
    </row>
    <row r="1378" spans="1:21" x14ac:dyDescent="0.35">
      <c r="A1378" t="s">
        <v>21</v>
      </c>
      <c r="B1378" s="1">
        <v>45018</v>
      </c>
      <c r="C1378" t="s">
        <v>29</v>
      </c>
      <c r="D1378">
        <v>0</v>
      </c>
      <c r="E1378">
        <v>0</v>
      </c>
      <c r="F1378">
        <v>0</v>
      </c>
      <c r="G1378">
        <v>0</v>
      </c>
      <c r="H1378">
        <v>0</v>
      </c>
      <c r="I1378">
        <v>0</v>
      </c>
      <c r="J1378">
        <v>0</v>
      </c>
      <c r="K1378">
        <v>0</v>
      </c>
      <c r="L1378">
        <v>0</v>
      </c>
      <c r="M1378">
        <v>0</v>
      </c>
      <c r="N1378">
        <v>111518</v>
      </c>
      <c r="O1378">
        <v>277594</v>
      </c>
      <c r="P1378">
        <v>347241</v>
      </c>
      <c r="Q1378">
        <v>0</v>
      </c>
      <c r="R1378">
        <v>0</v>
      </c>
      <c r="S1378">
        <v>0</v>
      </c>
      <c r="T1378">
        <v>30</v>
      </c>
      <c r="U1378">
        <v>49</v>
      </c>
    </row>
    <row r="1379" spans="1:21" x14ac:dyDescent="0.35">
      <c r="A1379" t="s">
        <v>28</v>
      </c>
      <c r="B1379" s="1">
        <v>44863</v>
      </c>
      <c r="C1379" t="s">
        <v>25</v>
      </c>
      <c r="D1379">
        <v>176.4</v>
      </c>
      <c r="E1379">
        <v>49.5</v>
      </c>
      <c r="F1379">
        <v>73.7</v>
      </c>
      <c r="G1379">
        <v>3.6</v>
      </c>
      <c r="H1379">
        <v>2.4</v>
      </c>
      <c r="I1379">
        <v>0</v>
      </c>
      <c r="J1379">
        <v>0</v>
      </c>
      <c r="K1379">
        <v>0</v>
      </c>
      <c r="L1379">
        <v>0</v>
      </c>
      <c r="M1379">
        <v>0</v>
      </c>
      <c r="N1379">
        <v>84477</v>
      </c>
      <c r="O1379">
        <v>212127</v>
      </c>
      <c r="P1379">
        <v>161526</v>
      </c>
      <c r="Q1379">
        <v>149</v>
      </c>
      <c r="R1379">
        <v>105</v>
      </c>
      <c r="S1379">
        <v>119</v>
      </c>
      <c r="T1379">
        <v>18</v>
      </c>
      <c r="U1379">
        <v>29</v>
      </c>
    </row>
    <row r="1380" spans="1:21" x14ac:dyDescent="0.35">
      <c r="A1380" t="s">
        <v>28</v>
      </c>
      <c r="B1380" s="1">
        <v>45066</v>
      </c>
      <c r="C1380" t="s">
        <v>31</v>
      </c>
      <c r="D1380">
        <v>37.9</v>
      </c>
      <c r="E1380">
        <v>32.200000000000003</v>
      </c>
      <c r="F1380">
        <v>42.5</v>
      </c>
      <c r="G1380">
        <v>1.2</v>
      </c>
      <c r="H1380">
        <v>0.9</v>
      </c>
      <c r="I1380">
        <v>0</v>
      </c>
      <c r="J1380">
        <v>0</v>
      </c>
      <c r="K1380">
        <v>0</v>
      </c>
      <c r="L1380">
        <v>0</v>
      </c>
      <c r="M1380">
        <v>0</v>
      </c>
      <c r="N1380">
        <v>39539</v>
      </c>
      <c r="O1380">
        <v>43437</v>
      </c>
      <c r="P1380">
        <v>171728</v>
      </c>
      <c r="Q1380">
        <v>15</v>
      </c>
      <c r="R1380">
        <v>14</v>
      </c>
      <c r="S1380">
        <v>73</v>
      </c>
      <c r="T1380">
        <v>65</v>
      </c>
      <c r="U1380">
        <v>79</v>
      </c>
    </row>
    <row r="1381" spans="1:21" x14ac:dyDescent="0.35">
      <c r="A1381" t="s">
        <v>28</v>
      </c>
      <c r="B1381" s="1">
        <v>44966</v>
      </c>
      <c r="C1381" t="s">
        <v>24</v>
      </c>
      <c r="D1381">
        <v>35.799999999999997</v>
      </c>
      <c r="E1381">
        <v>24.2</v>
      </c>
      <c r="F1381">
        <v>28.2</v>
      </c>
      <c r="G1381">
        <v>1.5</v>
      </c>
      <c r="H1381">
        <v>1.3</v>
      </c>
      <c r="I1381">
        <v>0</v>
      </c>
      <c r="J1381">
        <v>0</v>
      </c>
      <c r="K1381">
        <v>0</v>
      </c>
      <c r="L1381">
        <v>0</v>
      </c>
      <c r="M1381">
        <v>0</v>
      </c>
      <c r="N1381">
        <v>89489</v>
      </c>
      <c r="O1381">
        <v>82669</v>
      </c>
      <c r="P1381">
        <v>21265</v>
      </c>
      <c r="Q1381">
        <v>32</v>
      </c>
      <c r="R1381">
        <v>20</v>
      </c>
      <c r="S1381">
        <v>6</v>
      </c>
      <c r="T1381">
        <v>5</v>
      </c>
      <c r="U1381">
        <v>11</v>
      </c>
    </row>
    <row r="1382" spans="1:21" x14ac:dyDescent="0.35">
      <c r="A1382" t="s">
        <v>28</v>
      </c>
      <c r="B1382" s="1">
        <v>45073</v>
      </c>
      <c r="C1382" t="s">
        <v>32</v>
      </c>
      <c r="D1382">
        <v>12.3</v>
      </c>
      <c r="E1382">
        <v>1.8</v>
      </c>
      <c r="F1382">
        <v>0</v>
      </c>
      <c r="G1382">
        <v>6.8</v>
      </c>
      <c r="H1382">
        <v>0</v>
      </c>
      <c r="I1382">
        <v>0</v>
      </c>
      <c r="J1382">
        <v>0</v>
      </c>
      <c r="K1382">
        <v>0</v>
      </c>
      <c r="L1382">
        <v>0</v>
      </c>
      <c r="M1382">
        <v>0</v>
      </c>
      <c r="N1382">
        <v>162642</v>
      </c>
      <c r="O1382">
        <v>0</v>
      </c>
      <c r="P1382">
        <v>0</v>
      </c>
      <c r="Q1382">
        <v>20</v>
      </c>
      <c r="R1382">
        <v>3</v>
      </c>
      <c r="S1382">
        <v>0</v>
      </c>
      <c r="T1382">
        <v>0</v>
      </c>
      <c r="U1382">
        <v>4</v>
      </c>
    </row>
    <row r="1383" spans="1:21" x14ac:dyDescent="0.35">
      <c r="A1383" t="s">
        <v>28</v>
      </c>
      <c r="B1383" s="1">
        <v>44303</v>
      </c>
      <c r="C1383" t="s">
        <v>23</v>
      </c>
      <c r="D1383">
        <v>251.2</v>
      </c>
      <c r="E1383">
        <v>20.7</v>
      </c>
      <c r="F1383">
        <v>0</v>
      </c>
      <c r="G1383">
        <v>12.1</v>
      </c>
      <c r="H1383">
        <v>0</v>
      </c>
      <c r="I1383">
        <v>0</v>
      </c>
      <c r="J1383">
        <v>0</v>
      </c>
      <c r="K1383">
        <v>0</v>
      </c>
      <c r="L1383">
        <v>0</v>
      </c>
      <c r="M1383">
        <v>0</v>
      </c>
      <c r="N1383">
        <v>186304</v>
      </c>
      <c r="O1383">
        <v>101585</v>
      </c>
      <c r="P1383">
        <v>0</v>
      </c>
      <c r="Q1383">
        <v>468</v>
      </c>
      <c r="R1383">
        <v>21</v>
      </c>
      <c r="S1383">
        <v>0</v>
      </c>
      <c r="T1383">
        <v>50</v>
      </c>
      <c r="U1383">
        <v>64</v>
      </c>
    </row>
    <row r="1384" spans="1:21" x14ac:dyDescent="0.35">
      <c r="A1384" t="s">
        <v>26</v>
      </c>
      <c r="B1384" s="1">
        <v>45142</v>
      </c>
      <c r="C1384" t="s">
        <v>29</v>
      </c>
      <c r="D1384">
        <v>5.5</v>
      </c>
      <c r="E1384">
        <v>2.2000000000000002</v>
      </c>
      <c r="F1384">
        <v>1.7</v>
      </c>
      <c r="G1384">
        <v>2.5</v>
      </c>
      <c r="H1384">
        <v>3.2</v>
      </c>
      <c r="I1384">
        <v>0</v>
      </c>
      <c r="J1384">
        <v>0</v>
      </c>
      <c r="K1384">
        <v>0</v>
      </c>
      <c r="L1384">
        <v>0</v>
      </c>
      <c r="M1384">
        <v>0</v>
      </c>
      <c r="N1384">
        <v>109729</v>
      </c>
      <c r="O1384">
        <v>278197</v>
      </c>
      <c r="P1384">
        <v>347283</v>
      </c>
      <c r="Q1384">
        <v>6</v>
      </c>
      <c r="R1384">
        <v>6</v>
      </c>
      <c r="S1384">
        <v>6</v>
      </c>
      <c r="T1384">
        <v>30</v>
      </c>
      <c r="U1384">
        <v>49</v>
      </c>
    </row>
    <row r="1385" spans="1:21" x14ac:dyDescent="0.35">
      <c r="A1385" t="s">
        <v>26</v>
      </c>
      <c r="B1385" s="1">
        <v>44555</v>
      </c>
      <c r="C1385" t="s">
        <v>29</v>
      </c>
      <c r="D1385">
        <v>82.7</v>
      </c>
      <c r="E1385">
        <v>12.6</v>
      </c>
      <c r="F1385">
        <v>4.5999999999999996</v>
      </c>
      <c r="G1385">
        <v>6.6</v>
      </c>
      <c r="H1385">
        <v>18</v>
      </c>
      <c r="I1385">
        <v>0</v>
      </c>
      <c r="J1385">
        <v>0</v>
      </c>
      <c r="K1385">
        <v>0</v>
      </c>
      <c r="L1385">
        <v>0</v>
      </c>
      <c r="M1385">
        <v>0</v>
      </c>
      <c r="N1385">
        <v>172845</v>
      </c>
      <c r="O1385">
        <v>404756</v>
      </c>
      <c r="P1385">
        <v>175179</v>
      </c>
      <c r="Q1385">
        <v>143</v>
      </c>
      <c r="R1385">
        <v>51</v>
      </c>
      <c r="S1385">
        <v>8</v>
      </c>
      <c r="T1385">
        <v>30</v>
      </c>
      <c r="U1385">
        <v>49</v>
      </c>
    </row>
    <row r="1386" spans="1:21" x14ac:dyDescent="0.35">
      <c r="A1386" t="s">
        <v>26</v>
      </c>
      <c r="B1386" s="1">
        <v>45205</v>
      </c>
      <c r="C1386" t="s">
        <v>27</v>
      </c>
      <c r="D1386">
        <v>0</v>
      </c>
      <c r="E1386">
        <v>0</v>
      </c>
      <c r="F1386">
        <v>4.5</v>
      </c>
      <c r="G1386">
        <v>0</v>
      </c>
      <c r="H1386">
        <v>0</v>
      </c>
      <c r="I1386">
        <v>0</v>
      </c>
      <c r="J1386">
        <v>0</v>
      </c>
      <c r="K1386">
        <v>0</v>
      </c>
      <c r="L1386">
        <v>0</v>
      </c>
      <c r="M1386">
        <v>0</v>
      </c>
      <c r="N1386">
        <v>32409</v>
      </c>
      <c r="O1386">
        <v>86579</v>
      </c>
      <c r="P1386">
        <v>44583</v>
      </c>
      <c r="Q1386">
        <v>0</v>
      </c>
      <c r="R1386">
        <v>0</v>
      </c>
      <c r="S1386">
        <v>2</v>
      </c>
      <c r="T1386">
        <v>12</v>
      </c>
      <c r="U1386">
        <v>17</v>
      </c>
    </row>
    <row r="1387" spans="1:21" x14ac:dyDescent="0.35">
      <c r="A1387" t="s">
        <v>21</v>
      </c>
      <c r="B1387" s="1">
        <v>44692</v>
      </c>
      <c r="C1387" t="s">
        <v>32</v>
      </c>
      <c r="D1387">
        <v>0</v>
      </c>
      <c r="E1387">
        <v>0</v>
      </c>
      <c r="F1387">
        <v>0</v>
      </c>
      <c r="G1387">
        <v>0</v>
      </c>
      <c r="H1387">
        <v>0</v>
      </c>
      <c r="I1387">
        <v>0</v>
      </c>
      <c r="J1387">
        <v>0</v>
      </c>
      <c r="K1387">
        <v>0</v>
      </c>
      <c r="L1387">
        <v>0</v>
      </c>
      <c r="M1387">
        <v>0</v>
      </c>
      <c r="N1387">
        <v>162642</v>
      </c>
      <c r="O1387">
        <v>0</v>
      </c>
      <c r="P1387">
        <v>0</v>
      </c>
      <c r="Q1387">
        <v>0</v>
      </c>
      <c r="R1387">
        <v>0</v>
      </c>
      <c r="S1387">
        <v>0</v>
      </c>
      <c r="T1387">
        <v>0</v>
      </c>
      <c r="U1387">
        <v>4</v>
      </c>
    </row>
    <row r="1388" spans="1:21" x14ac:dyDescent="0.35">
      <c r="A1388" t="s">
        <v>26</v>
      </c>
      <c r="B1388" s="1">
        <v>44464</v>
      </c>
      <c r="C1388" t="s">
        <v>25</v>
      </c>
      <c r="D1388">
        <v>11.8</v>
      </c>
      <c r="E1388">
        <v>0.3</v>
      </c>
      <c r="F1388">
        <v>0</v>
      </c>
      <c r="G1388">
        <v>39.299999999999997</v>
      </c>
      <c r="H1388">
        <v>0</v>
      </c>
      <c r="I1388">
        <v>0</v>
      </c>
      <c r="J1388">
        <v>0</v>
      </c>
      <c r="K1388">
        <v>0</v>
      </c>
      <c r="L1388">
        <v>0</v>
      </c>
      <c r="M1388">
        <v>0</v>
      </c>
      <c r="N1388">
        <v>178597</v>
      </c>
      <c r="O1388">
        <v>304724</v>
      </c>
      <c r="P1388">
        <v>0</v>
      </c>
      <c r="Q1388">
        <v>21</v>
      </c>
      <c r="R1388">
        <v>1</v>
      </c>
      <c r="S1388">
        <v>0</v>
      </c>
      <c r="T1388">
        <v>18</v>
      </c>
      <c r="U1388">
        <v>29</v>
      </c>
    </row>
    <row r="1389" spans="1:21" x14ac:dyDescent="0.35">
      <c r="A1389" t="s">
        <v>21</v>
      </c>
      <c r="B1389" s="1">
        <v>44695</v>
      </c>
      <c r="C1389" t="s">
        <v>30</v>
      </c>
      <c r="D1389">
        <v>3.7</v>
      </c>
      <c r="E1389">
        <v>7.7</v>
      </c>
      <c r="F1389">
        <v>0</v>
      </c>
      <c r="G1389">
        <v>0.5</v>
      </c>
      <c r="H1389">
        <v>0</v>
      </c>
      <c r="I1389">
        <v>0</v>
      </c>
      <c r="J1389">
        <v>0</v>
      </c>
      <c r="K1389">
        <v>0</v>
      </c>
      <c r="L1389">
        <v>0</v>
      </c>
      <c r="M1389">
        <v>0</v>
      </c>
      <c r="N1389">
        <v>26763</v>
      </c>
      <c r="O1389">
        <v>13025</v>
      </c>
      <c r="P1389">
        <v>44628</v>
      </c>
      <c r="Q1389">
        <v>1</v>
      </c>
      <c r="R1389">
        <v>1</v>
      </c>
      <c r="S1389">
        <v>0</v>
      </c>
      <c r="T1389">
        <v>80</v>
      </c>
      <c r="U1389">
        <v>200</v>
      </c>
    </row>
    <row r="1390" spans="1:21" x14ac:dyDescent="0.35">
      <c r="A1390" t="s">
        <v>26</v>
      </c>
      <c r="B1390" s="1">
        <v>44667</v>
      </c>
      <c r="C1390" t="s">
        <v>31</v>
      </c>
      <c r="D1390">
        <v>6.2</v>
      </c>
      <c r="E1390">
        <v>7.9</v>
      </c>
      <c r="F1390">
        <v>5</v>
      </c>
      <c r="G1390">
        <v>0.8</v>
      </c>
      <c r="H1390">
        <v>1.2</v>
      </c>
      <c r="I1390">
        <v>0</v>
      </c>
      <c r="J1390">
        <v>0</v>
      </c>
      <c r="K1390">
        <v>0</v>
      </c>
      <c r="L1390">
        <v>0</v>
      </c>
      <c r="M1390">
        <v>0</v>
      </c>
      <c r="N1390">
        <v>48067</v>
      </c>
      <c r="O1390">
        <v>50646</v>
      </c>
      <c r="P1390">
        <v>160443</v>
      </c>
      <c r="Q1390">
        <v>3</v>
      </c>
      <c r="R1390">
        <v>4</v>
      </c>
      <c r="S1390">
        <v>8</v>
      </c>
      <c r="T1390">
        <v>65</v>
      </c>
      <c r="U1390">
        <v>79</v>
      </c>
    </row>
    <row r="1391" spans="1:21" x14ac:dyDescent="0.35">
      <c r="A1391" t="s">
        <v>28</v>
      </c>
      <c r="B1391" s="1">
        <v>45027</v>
      </c>
      <c r="C1391" t="s">
        <v>23</v>
      </c>
      <c r="D1391">
        <v>117.6</v>
      </c>
      <c r="E1391">
        <v>25.4</v>
      </c>
      <c r="F1391">
        <v>38.4</v>
      </c>
      <c r="G1391">
        <v>4.5999999999999996</v>
      </c>
      <c r="H1391">
        <v>3.1</v>
      </c>
      <c r="I1391">
        <v>0</v>
      </c>
      <c r="J1391">
        <v>0</v>
      </c>
      <c r="K1391">
        <v>0</v>
      </c>
      <c r="L1391">
        <v>0</v>
      </c>
      <c r="M1391">
        <v>0</v>
      </c>
      <c r="N1391">
        <v>30620</v>
      </c>
      <c r="O1391">
        <v>125775</v>
      </c>
      <c r="P1391">
        <v>247617</v>
      </c>
      <c r="Q1391">
        <v>36</v>
      </c>
      <c r="R1391">
        <v>32</v>
      </c>
      <c r="S1391">
        <v>95</v>
      </c>
      <c r="T1391">
        <v>50</v>
      </c>
      <c r="U1391">
        <v>64</v>
      </c>
    </row>
    <row r="1392" spans="1:21" x14ac:dyDescent="0.35">
      <c r="A1392" t="s">
        <v>21</v>
      </c>
      <c r="B1392" s="1">
        <v>44513</v>
      </c>
      <c r="C1392" t="s">
        <v>29</v>
      </c>
      <c r="D1392">
        <v>0.5</v>
      </c>
      <c r="E1392">
        <v>0.2</v>
      </c>
      <c r="F1392">
        <v>0</v>
      </c>
      <c r="G1392">
        <v>2.5</v>
      </c>
      <c r="H1392">
        <v>0</v>
      </c>
      <c r="I1392">
        <v>0</v>
      </c>
      <c r="J1392">
        <v>0</v>
      </c>
      <c r="K1392">
        <v>0</v>
      </c>
      <c r="L1392">
        <v>0</v>
      </c>
      <c r="M1392">
        <v>0</v>
      </c>
      <c r="N1392">
        <v>196498</v>
      </c>
      <c r="O1392">
        <v>516743</v>
      </c>
      <c r="P1392">
        <v>46608</v>
      </c>
      <c r="Q1392">
        <v>1</v>
      </c>
      <c r="R1392">
        <v>1</v>
      </c>
      <c r="S1392">
        <v>0</v>
      </c>
      <c r="T1392">
        <v>30</v>
      </c>
      <c r="U1392">
        <v>49</v>
      </c>
    </row>
    <row r="1393" spans="1:21" x14ac:dyDescent="0.35">
      <c r="A1393" t="s">
        <v>26</v>
      </c>
      <c r="B1393" s="1">
        <v>45142</v>
      </c>
      <c r="C1393" t="s">
        <v>27</v>
      </c>
      <c r="D1393">
        <v>0</v>
      </c>
      <c r="E1393">
        <v>2.2999999999999998</v>
      </c>
      <c r="F1393">
        <v>0</v>
      </c>
      <c r="G1393">
        <v>0</v>
      </c>
      <c r="H1393">
        <v>0</v>
      </c>
      <c r="I1393">
        <v>0</v>
      </c>
      <c r="J1393">
        <v>0</v>
      </c>
      <c r="K1393">
        <v>0</v>
      </c>
      <c r="L1393">
        <v>0</v>
      </c>
      <c r="M1393">
        <v>0</v>
      </c>
      <c r="N1393">
        <v>32887</v>
      </c>
      <c r="O1393">
        <v>86505</v>
      </c>
      <c r="P1393">
        <v>44571</v>
      </c>
      <c r="Q1393">
        <v>0</v>
      </c>
      <c r="R1393">
        <v>2</v>
      </c>
      <c r="S1393">
        <v>0</v>
      </c>
      <c r="T1393">
        <v>12</v>
      </c>
      <c r="U1393">
        <v>17</v>
      </c>
    </row>
    <row r="1394" spans="1:21" x14ac:dyDescent="0.35">
      <c r="A1394" t="s">
        <v>26</v>
      </c>
      <c r="B1394" s="1">
        <v>45142</v>
      </c>
      <c r="C1394" t="s">
        <v>32</v>
      </c>
      <c r="D1394">
        <v>0</v>
      </c>
      <c r="E1394">
        <v>0</v>
      </c>
      <c r="F1394">
        <v>0</v>
      </c>
      <c r="G1394">
        <v>0</v>
      </c>
      <c r="H1394">
        <v>0</v>
      </c>
      <c r="I1394">
        <v>0</v>
      </c>
      <c r="J1394">
        <v>0</v>
      </c>
      <c r="K1394">
        <v>0</v>
      </c>
      <c r="L1394">
        <v>0</v>
      </c>
      <c r="M1394">
        <v>0</v>
      </c>
      <c r="N1394">
        <v>162642</v>
      </c>
      <c r="O1394">
        <v>0</v>
      </c>
      <c r="P1394">
        <v>0</v>
      </c>
      <c r="Q1394">
        <v>0</v>
      </c>
      <c r="R1394">
        <v>0</v>
      </c>
      <c r="S1394">
        <v>0</v>
      </c>
      <c r="T1394">
        <v>0</v>
      </c>
      <c r="U1394">
        <v>4</v>
      </c>
    </row>
    <row r="1395" spans="1:21" x14ac:dyDescent="0.35">
      <c r="A1395" t="s">
        <v>21</v>
      </c>
      <c r="B1395" s="1">
        <v>44966</v>
      </c>
      <c r="C1395" t="s">
        <v>32</v>
      </c>
      <c r="D1395">
        <v>0</v>
      </c>
      <c r="E1395">
        <v>0</v>
      </c>
      <c r="F1395">
        <v>0</v>
      </c>
      <c r="G1395">
        <v>0</v>
      </c>
      <c r="H1395">
        <v>0</v>
      </c>
      <c r="I1395">
        <v>0</v>
      </c>
      <c r="J1395">
        <v>0</v>
      </c>
      <c r="K1395">
        <v>0</v>
      </c>
      <c r="L1395">
        <v>0</v>
      </c>
      <c r="M1395">
        <v>0</v>
      </c>
      <c r="N1395">
        <v>162642</v>
      </c>
      <c r="O1395">
        <v>0</v>
      </c>
      <c r="P1395">
        <v>0</v>
      </c>
      <c r="Q1395">
        <v>0</v>
      </c>
      <c r="R1395">
        <v>0</v>
      </c>
      <c r="S1395">
        <v>0</v>
      </c>
      <c r="T1395">
        <v>0</v>
      </c>
      <c r="U1395">
        <v>4</v>
      </c>
    </row>
    <row r="1396" spans="1:21" x14ac:dyDescent="0.35">
      <c r="A1396" t="s">
        <v>28</v>
      </c>
      <c r="B1396" s="1">
        <v>44259</v>
      </c>
      <c r="C1396" t="s">
        <v>24</v>
      </c>
      <c r="D1396">
        <v>79.400000000000006</v>
      </c>
      <c r="E1396">
        <v>0</v>
      </c>
      <c r="F1396">
        <v>0</v>
      </c>
      <c r="G1396">
        <v>0</v>
      </c>
      <c r="H1396">
        <v>0</v>
      </c>
      <c r="I1396">
        <v>0</v>
      </c>
      <c r="J1396">
        <v>0</v>
      </c>
      <c r="K1396">
        <v>0</v>
      </c>
      <c r="L1396">
        <v>0</v>
      </c>
      <c r="M1396">
        <v>0</v>
      </c>
      <c r="N1396">
        <v>210448</v>
      </c>
      <c r="O1396">
        <v>0</v>
      </c>
      <c r="P1396">
        <v>0</v>
      </c>
      <c r="Q1396">
        <v>167</v>
      </c>
      <c r="R1396">
        <v>0</v>
      </c>
      <c r="S1396">
        <v>0</v>
      </c>
      <c r="T1396">
        <v>5</v>
      </c>
      <c r="U1396">
        <v>11</v>
      </c>
    </row>
    <row r="1397" spans="1:21" x14ac:dyDescent="0.35">
      <c r="A1397" t="s">
        <v>28</v>
      </c>
      <c r="B1397" s="1">
        <v>44473</v>
      </c>
      <c r="C1397" t="s">
        <v>32</v>
      </c>
      <c r="D1397">
        <v>117.4</v>
      </c>
      <c r="E1397">
        <v>0</v>
      </c>
      <c r="F1397">
        <v>0</v>
      </c>
      <c r="G1397">
        <v>0</v>
      </c>
      <c r="H1397">
        <v>0</v>
      </c>
      <c r="I1397">
        <v>0</v>
      </c>
      <c r="J1397">
        <v>0</v>
      </c>
      <c r="K1397">
        <v>0</v>
      </c>
      <c r="L1397">
        <v>0</v>
      </c>
      <c r="M1397">
        <v>0</v>
      </c>
      <c r="N1397">
        <v>162642</v>
      </c>
      <c r="O1397">
        <v>0</v>
      </c>
      <c r="P1397">
        <v>0</v>
      </c>
      <c r="Q1397">
        <v>191</v>
      </c>
      <c r="R1397">
        <v>0</v>
      </c>
      <c r="S1397">
        <v>0</v>
      </c>
      <c r="T1397">
        <v>0</v>
      </c>
      <c r="U1397">
        <v>4</v>
      </c>
    </row>
    <row r="1398" spans="1:21" x14ac:dyDescent="0.35">
      <c r="A1398" t="s">
        <v>28</v>
      </c>
      <c r="B1398" s="1">
        <v>44303</v>
      </c>
      <c r="C1398" t="s">
        <v>32</v>
      </c>
      <c r="D1398">
        <v>103.3</v>
      </c>
      <c r="E1398">
        <v>0</v>
      </c>
      <c r="F1398">
        <v>0</v>
      </c>
      <c r="G1398">
        <v>0</v>
      </c>
      <c r="H1398">
        <v>0</v>
      </c>
      <c r="I1398">
        <v>0</v>
      </c>
      <c r="J1398">
        <v>0</v>
      </c>
      <c r="K1398">
        <v>0</v>
      </c>
      <c r="L1398">
        <v>0</v>
      </c>
      <c r="M1398">
        <v>0</v>
      </c>
      <c r="N1398">
        <v>162642</v>
      </c>
      <c r="O1398">
        <v>0</v>
      </c>
      <c r="P1398">
        <v>0</v>
      </c>
      <c r="Q1398">
        <v>168</v>
      </c>
      <c r="R1398">
        <v>0</v>
      </c>
      <c r="S1398">
        <v>0</v>
      </c>
      <c r="T1398">
        <v>0</v>
      </c>
      <c r="U1398">
        <v>4</v>
      </c>
    </row>
    <row r="1399" spans="1:21" x14ac:dyDescent="0.35">
      <c r="A1399" t="s">
        <v>28</v>
      </c>
      <c r="B1399" s="1">
        <v>44657</v>
      </c>
      <c r="C1399" t="s">
        <v>29</v>
      </c>
      <c r="D1399">
        <v>331.7</v>
      </c>
      <c r="E1399">
        <v>168.9</v>
      </c>
      <c r="F1399">
        <v>359.9</v>
      </c>
      <c r="G1399">
        <v>2</v>
      </c>
      <c r="H1399">
        <v>0.9</v>
      </c>
      <c r="I1399">
        <v>0</v>
      </c>
      <c r="J1399">
        <v>0</v>
      </c>
      <c r="K1399">
        <v>0</v>
      </c>
      <c r="L1399">
        <v>0</v>
      </c>
      <c r="M1399">
        <v>0</v>
      </c>
      <c r="N1399">
        <v>129048</v>
      </c>
      <c r="O1399">
        <v>283039</v>
      </c>
      <c r="P1399">
        <v>336241</v>
      </c>
      <c r="Q1399">
        <v>428</v>
      </c>
      <c r="R1399">
        <v>478</v>
      </c>
      <c r="S1399">
        <v>1210</v>
      </c>
      <c r="T1399">
        <v>30</v>
      </c>
      <c r="U1399">
        <v>49</v>
      </c>
    </row>
    <row r="1400" spans="1:21" x14ac:dyDescent="0.35">
      <c r="A1400" t="s">
        <v>21</v>
      </c>
      <c r="B1400" s="1">
        <v>45117</v>
      </c>
      <c r="C1400" t="s">
        <v>29</v>
      </c>
      <c r="D1400">
        <v>0</v>
      </c>
      <c r="E1400">
        <v>0</v>
      </c>
      <c r="F1400">
        <v>0</v>
      </c>
      <c r="G1400">
        <v>0</v>
      </c>
      <c r="H1400">
        <v>0</v>
      </c>
      <c r="I1400">
        <v>0</v>
      </c>
      <c r="J1400">
        <v>0</v>
      </c>
      <c r="K1400">
        <v>0</v>
      </c>
      <c r="L1400">
        <v>0</v>
      </c>
      <c r="M1400">
        <v>0</v>
      </c>
      <c r="N1400">
        <v>104936</v>
      </c>
      <c r="O1400">
        <v>278564</v>
      </c>
      <c r="P1400">
        <v>347458</v>
      </c>
      <c r="Q1400">
        <v>0</v>
      </c>
      <c r="R1400">
        <v>0</v>
      </c>
      <c r="S1400">
        <v>0</v>
      </c>
      <c r="T1400">
        <v>30</v>
      </c>
      <c r="U1400">
        <v>49</v>
      </c>
    </row>
    <row r="1401" spans="1:21" x14ac:dyDescent="0.35">
      <c r="A1401" t="s">
        <v>28</v>
      </c>
      <c r="B1401" s="1">
        <v>44303</v>
      </c>
      <c r="C1401" t="s">
        <v>24</v>
      </c>
      <c r="D1401">
        <v>141.1</v>
      </c>
      <c r="E1401">
        <v>0</v>
      </c>
      <c r="F1401">
        <v>0</v>
      </c>
      <c r="G1401">
        <v>0</v>
      </c>
      <c r="H1401">
        <v>0</v>
      </c>
      <c r="I1401">
        <v>0</v>
      </c>
      <c r="J1401">
        <v>0</v>
      </c>
      <c r="K1401">
        <v>0</v>
      </c>
      <c r="L1401">
        <v>0</v>
      </c>
      <c r="M1401">
        <v>0</v>
      </c>
      <c r="N1401">
        <v>210448</v>
      </c>
      <c r="O1401">
        <v>0</v>
      </c>
      <c r="P1401">
        <v>0</v>
      </c>
      <c r="Q1401">
        <v>297</v>
      </c>
      <c r="R1401">
        <v>0</v>
      </c>
      <c r="S1401">
        <v>0</v>
      </c>
      <c r="T1401">
        <v>5</v>
      </c>
      <c r="U1401">
        <v>11</v>
      </c>
    </row>
    <row r="1402" spans="1:21" x14ac:dyDescent="0.35">
      <c r="A1402" t="s">
        <v>28</v>
      </c>
      <c r="B1402" s="1">
        <v>44310</v>
      </c>
      <c r="C1402" t="s">
        <v>32</v>
      </c>
      <c r="D1402">
        <v>80.5</v>
      </c>
      <c r="E1402">
        <v>0</v>
      </c>
      <c r="F1402">
        <v>0</v>
      </c>
      <c r="G1402">
        <v>0</v>
      </c>
      <c r="H1402">
        <v>0</v>
      </c>
      <c r="I1402">
        <v>0</v>
      </c>
      <c r="J1402">
        <v>0</v>
      </c>
      <c r="K1402">
        <v>0</v>
      </c>
      <c r="L1402">
        <v>0</v>
      </c>
      <c r="M1402">
        <v>0</v>
      </c>
      <c r="N1402">
        <v>162642</v>
      </c>
      <c r="O1402">
        <v>0</v>
      </c>
      <c r="P1402">
        <v>0</v>
      </c>
      <c r="Q1402">
        <v>131</v>
      </c>
      <c r="R1402">
        <v>0</v>
      </c>
      <c r="S1402">
        <v>0</v>
      </c>
      <c r="T1402">
        <v>0</v>
      </c>
      <c r="U1402">
        <v>4</v>
      </c>
    </row>
    <row r="1403" spans="1:21" x14ac:dyDescent="0.35">
      <c r="A1403" t="s">
        <v>28</v>
      </c>
      <c r="B1403" s="1">
        <v>44310</v>
      </c>
      <c r="C1403" t="s">
        <v>24</v>
      </c>
      <c r="D1403">
        <v>110.7</v>
      </c>
      <c r="E1403">
        <v>0</v>
      </c>
      <c r="F1403">
        <v>0</v>
      </c>
      <c r="G1403">
        <v>0</v>
      </c>
      <c r="H1403">
        <v>0</v>
      </c>
      <c r="I1403">
        <v>0</v>
      </c>
      <c r="J1403">
        <v>0</v>
      </c>
      <c r="K1403">
        <v>0</v>
      </c>
      <c r="L1403">
        <v>0</v>
      </c>
      <c r="M1403">
        <v>0</v>
      </c>
      <c r="N1403">
        <v>210448</v>
      </c>
      <c r="O1403">
        <v>0</v>
      </c>
      <c r="P1403">
        <v>0</v>
      </c>
      <c r="Q1403">
        <v>233</v>
      </c>
      <c r="R1403">
        <v>0</v>
      </c>
      <c r="S1403">
        <v>0</v>
      </c>
      <c r="T1403">
        <v>5</v>
      </c>
      <c r="U1403">
        <v>11</v>
      </c>
    </row>
    <row r="1404" spans="1:21" x14ac:dyDescent="0.35">
      <c r="A1404" t="s">
        <v>28</v>
      </c>
      <c r="B1404" s="1">
        <v>44765</v>
      </c>
      <c r="C1404" t="s">
        <v>29</v>
      </c>
      <c r="D1404">
        <v>381.5</v>
      </c>
      <c r="E1404">
        <v>188.3</v>
      </c>
      <c r="F1404">
        <v>285.60000000000002</v>
      </c>
      <c r="G1404">
        <v>2</v>
      </c>
      <c r="H1404">
        <v>1.3</v>
      </c>
      <c r="I1404">
        <v>0</v>
      </c>
      <c r="J1404">
        <v>0</v>
      </c>
      <c r="K1404">
        <v>0</v>
      </c>
      <c r="L1404">
        <v>0</v>
      </c>
      <c r="M1404">
        <v>0</v>
      </c>
      <c r="N1404">
        <v>126870</v>
      </c>
      <c r="O1404">
        <v>279406</v>
      </c>
      <c r="P1404">
        <v>341686</v>
      </c>
      <c r="Q1404">
        <v>484</v>
      </c>
      <c r="R1404">
        <v>526</v>
      </c>
      <c r="S1404">
        <v>976</v>
      </c>
      <c r="T1404">
        <v>30</v>
      </c>
      <c r="U1404">
        <v>49</v>
      </c>
    </row>
    <row r="1405" spans="1:21" x14ac:dyDescent="0.35">
      <c r="A1405" t="s">
        <v>28</v>
      </c>
      <c r="B1405" s="1">
        <v>44413</v>
      </c>
      <c r="C1405" t="s">
        <v>32</v>
      </c>
      <c r="D1405">
        <v>56.6</v>
      </c>
      <c r="E1405">
        <v>0</v>
      </c>
      <c r="F1405">
        <v>0</v>
      </c>
      <c r="G1405">
        <v>0</v>
      </c>
      <c r="H1405">
        <v>0</v>
      </c>
      <c r="I1405">
        <v>0</v>
      </c>
      <c r="J1405">
        <v>0</v>
      </c>
      <c r="K1405">
        <v>0</v>
      </c>
      <c r="L1405">
        <v>0</v>
      </c>
      <c r="M1405">
        <v>0</v>
      </c>
      <c r="N1405">
        <v>162642</v>
      </c>
      <c r="O1405">
        <v>0</v>
      </c>
      <c r="P1405">
        <v>0</v>
      </c>
      <c r="Q1405">
        <v>92</v>
      </c>
      <c r="R1405">
        <v>0</v>
      </c>
      <c r="S1405">
        <v>0</v>
      </c>
      <c r="T1405">
        <v>0</v>
      </c>
      <c r="U1405">
        <v>4</v>
      </c>
    </row>
    <row r="1406" spans="1:21" x14ac:dyDescent="0.35">
      <c r="A1406" t="s">
        <v>26</v>
      </c>
      <c r="B1406" s="1">
        <v>44632</v>
      </c>
      <c r="C1406" t="s">
        <v>32</v>
      </c>
      <c r="D1406">
        <v>6.1</v>
      </c>
      <c r="E1406">
        <v>0</v>
      </c>
      <c r="F1406">
        <v>0</v>
      </c>
      <c r="G1406">
        <v>0</v>
      </c>
      <c r="H1406">
        <v>0</v>
      </c>
      <c r="I1406">
        <v>0</v>
      </c>
      <c r="J1406">
        <v>0</v>
      </c>
      <c r="K1406">
        <v>0</v>
      </c>
      <c r="L1406">
        <v>0</v>
      </c>
      <c r="M1406">
        <v>0</v>
      </c>
      <c r="N1406">
        <v>162642</v>
      </c>
      <c r="O1406">
        <v>0</v>
      </c>
      <c r="P1406">
        <v>0</v>
      </c>
      <c r="Q1406">
        <v>10</v>
      </c>
      <c r="R1406">
        <v>0</v>
      </c>
      <c r="S1406">
        <v>0</v>
      </c>
      <c r="T1406">
        <v>0</v>
      </c>
      <c r="U1406">
        <v>4</v>
      </c>
    </row>
    <row r="1407" spans="1:21" x14ac:dyDescent="0.35">
      <c r="A1407" t="s">
        <v>28</v>
      </c>
      <c r="B1407" s="1">
        <v>44674</v>
      </c>
      <c r="C1407" t="s">
        <v>22</v>
      </c>
      <c r="D1407">
        <v>154.69999999999999</v>
      </c>
      <c r="E1407">
        <v>115.9</v>
      </c>
      <c r="F1407">
        <v>221.5</v>
      </c>
      <c r="G1407">
        <v>1.3</v>
      </c>
      <c r="H1407">
        <v>0.7</v>
      </c>
      <c r="I1407">
        <v>168.7</v>
      </c>
      <c r="J1407">
        <v>107.4</v>
      </c>
      <c r="K1407">
        <v>191.8</v>
      </c>
      <c r="L1407">
        <v>1.6</v>
      </c>
      <c r="M1407">
        <v>0.9</v>
      </c>
      <c r="N1407">
        <v>652046</v>
      </c>
      <c r="O1407">
        <v>893938</v>
      </c>
      <c r="P1407">
        <v>947960</v>
      </c>
      <c r="Q1407">
        <v>1009</v>
      </c>
      <c r="R1407">
        <v>1036</v>
      </c>
      <c r="S1407">
        <v>2100</v>
      </c>
      <c r="T1407">
        <v>999</v>
      </c>
      <c r="U1407">
        <v>999</v>
      </c>
    </row>
    <row r="1408" spans="1:21" x14ac:dyDescent="0.35">
      <c r="A1408" t="s">
        <v>28</v>
      </c>
      <c r="B1408" s="1">
        <v>44331</v>
      </c>
      <c r="C1408" t="s">
        <v>32</v>
      </c>
      <c r="D1408">
        <v>46.7</v>
      </c>
      <c r="E1408">
        <v>0</v>
      </c>
      <c r="F1408">
        <v>0</v>
      </c>
      <c r="G1408">
        <v>0</v>
      </c>
      <c r="H1408">
        <v>0</v>
      </c>
      <c r="I1408">
        <v>0</v>
      </c>
      <c r="J1408">
        <v>0</v>
      </c>
      <c r="K1408">
        <v>0</v>
      </c>
      <c r="L1408">
        <v>0</v>
      </c>
      <c r="M1408">
        <v>0</v>
      </c>
      <c r="N1408">
        <v>162642</v>
      </c>
      <c r="O1408">
        <v>0</v>
      </c>
      <c r="P1408">
        <v>0</v>
      </c>
      <c r="Q1408">
        <v>76</v>
      </c>
      <c r="R1408">
        <v>0</v>
      </c>
      <c r="S1408">
        <v>0</v>
      </c>
      <c r="T1408">
        <v>0</v>
      </c>
      <c r="U1408">
        <v>4</v>
      </c>
    </row>
    <row r="1409" spans="1:21" x14ac:dyDescent="0.35">
      <c r="A1409" t="s">
        <v>28</v>
      </c>
      <c r="B1409" s="1">
        <v>44331</v>
      </c>
      <c r="C1409" t="s">
        <v>24</v>
      </c>
      <c r="D1409">
        <v>77</v>
      </c>
      <c r="E1409">
        <v>0</v>
      </c>
      <c r="F1409">
        <v>0</v>
      </c>
      <c r="G1409">
        <v>0</v>
      </c>
      <c r="H1409">
        <v>0</v>
      </c>
      <c r="I1409">
        <v>0</v>
      </c>
      <c r="J1409">
        <v>0</v>
      </c>
      <c r="K1409">
        <v>0</v>
      </c>
      <c r="L1409">
        <v>0</v>
      </c>
      <c r="M1409">
        <v>0</v>
      </c>
      <c r="N1409">
        <v>210448</v>
      </c>
      <c r="O1409">
        <v>0</v>
      </c>
      <c r="P1409">
        <v>0</v>
      </c>
      <c r="Q1409">
        <v>162</v>
      </c>
      <c r="R1409">
        <v>0</v>
      </c>
      <c r="S1409">
        <v>0</v>
      </c>
      <c r="T1409">
        <v>5</v>
      </c>
      <c r="U1409">
        <v>11</v>
      </c>
    </row>
    <row r="1410" spans="1:21" x14ac:dyDescent="0.35">
      <c r="A1410" t="s">
        <v>28</v>
      </c>
      <c r="B1410" s="1">
        <v>44338</v>
      </c>
      <c r="C1410" t="s">
        <v>32</v>
      </c>
      <c r="D1410">
        <v>44.3</v>
      </c>
      <c r="E1410">
        <v>0</v>
      </c>
      <c r="F1410">
        <v>0</v>
      </c>
      <c r="G1410">
        <v>0</v>
      </c>
      <c r="H1410">
        <v>0</v>
      </c>
      <c r="I1410">
        <v>0</v>
      </c>
      <c r="J1410">
        <v>0</v>
      </c>
      <c r="K1410">
        <v>0</v>
      </c>
      <c r="L1410">
        <v>0</v>
      </c>
      <c r="M1410">
        <v>0</v>
      </c>
      <c r="N1410">
        <v>162642</v>
      </c>
      <c r="O1410">
        <v>0</v>
      </c>
      <c r="P1410">
        <v>0</v>
      </c>
      <c r="Q1410">
        <v>72</v>
      </c>
      <c r="R1410">
        <v>0</v>
      </c>
      <c r="S1410">
        <v>0</v>
      </c>
      <c r="T1410">
        <v>0</v>
      </c>
      <c r="U1410">
        <v>4</v>
      </c>
    </row>
    <row r="1411" spans="1:21" x14ac:dyDescent="0.35">
      <c r="A1411" t="s">
        <v>26</v>
      </c>
      <c r="B1411" s="1">
        <v>45117</v>
      </c>
      <c r="C1411" t="s">
        <v>32</v>
      </c>
      <c r="D1411">
        <v>2.5</v>
      </c>
      <c r="E1411">
        <v>0</v>
      </c>
      <c r="F1411">
        <v>0</v>
      </c>
      <c r="G1411">
        <v>0</v>
      </c>
      <c r="H1411">
        <v>0</v>
      </c>
      <c r="I1411">
        <v>0</v>
      </c>
      <c r="J1411">
        <v>0</v>
      </c>
      <c r="K1411">
        <v>0</v>
      </c>
      <c r="L1411">
        <v>0</v>
      </c>
      <c r="M1411">
        <v>0</v>
      </c>
      <c r="N1411">
        <v>162642</v>
      </c>
      <c r="O1411">
        <v>0</v>
      </c>
      <c r="P1411">
        <v>0</v>
      </c>
      <c r="Q1411">
        <v>4</v>
      </c>
      <c r="R1411">
        <v>0</v>
      </c>
      <c r="S1411">
        <v>0</v>
      </c>
      <c r="T1411">
        <v>0</v>
      </c>
      <c r="U1411">
        <v>4</v>
      </c>
    </row>
    <row r="1412" spans="1:21" x14ac:dyDescent="0.35">
      <c r="A1412" t="s">
        <v>28</v>
      </c>
      <c r="B1412" s="1">
        <v>44338</v>
      </c>
      <c r="C1412" t="s">
        <v>24</v>
      </c>
      <c r="D1412">
        <v>50.8</v>
      </c>
      <c r="E1412">
        <v>0</v>
      </c>
      <c r="F1412">
        <v>0</v>
      </c>
      <c r="G1412">
        <v>0</v>
      </c>
      <c r="H1412">
        <v>0</v>
      </c>
      <c r="I1412">
        <v>0</v>
      </c>
      <c r="J1412">
        <v>0</v>
      </c>
      <c r="K1412">
        <v>0</v>
      </c>
      <c r="L1412">
        <v>0</v>
      </c>
      <c r="M1412">
        <v>0</v>
      </c>
      <c r="N1412">
        <v>210448</v>
      </c>
      <c r="O1412">
        <v>0</v>
      </c>
      <c r="P1412">
        <v>0</v>
      </c>
      <c r="Q1412">
        <v>107</v>
      </c>
      <c r="R1412">
        <v>0</v>
      </c>
      <c r="S1412">
        <v>0</v>
      </c>
      <c r="T1412">
        <v>5</v>
      </c>
      <c r="U1412">
        <v>11</v>
      </c>
    </row>
    <row r="1413" spans="1:21" x14ac:dyDescent="0.35">
      <c r="A1413" t="s">
        <v>21</v>
      </c>
      <c r="B1413" s="1">
        <v>44338</v>
      </c>
      <c r="C1413" t="s">
        <v>30</v>
      </c>
      <c r="D1413">
        <v>28.4</v>
      </c>
      <c r="E1413">
        <v>2.1</v>
      </c>
      <c r="F1413">
        <v>0</v>
      </c>
      <c r="G1413">
        <v>13.5</v>
      </c>
      <c r="H1413">
        <v>0</v>
      </c>
      <c r="I1413">
        <v>0</v>
      </c>
      <c r="J1413">
        <v>0</v>
      </c>
      <c r="K1413">
        <v>0</v>
      </c>
      <c r="L1413">
        <v>0</v>
      </c>
      <c r="M1413">
        <v>0</v>
      </c>
      <c r="N1413">
        <v>35155</v>
      </c>
      <c r="O1413">
        <v>47103</v>
      </c>
      <c r="P1413">
        <v>0</v>
      </c>
      <c r="Q1413">
        <v>10</v>
      </c>
      <c r="R1413">
        <v>1</v>
      </c>
      <c r="S1413">
        <v>0</v>
      </c>
      <c r="T1413">
        <v>80</v>
      </c>
      <c r="U1413">
        <v>200</v>
      </c>
    </row>
    <row r="1414" spans="1:21" x14ac:dyDescent="0.35">
      <c r="A1414" t="s">
        <v>26</v>
      </c>
      <c r="B1414" s="1">
        <v>44262</v>
      </c>
      <c r="C1414" t="s">
        <v>30</v>
      </c>
      <c r="D1414">
        <v>6</v>
      </c>
      <c r="E1414">
        <v>0</v>
      </c>
      <c r="F1414">
        <v>0</v>
      </c>
      <c r="G1414">
        <v>0</v>
      </c>
      <c r="H1414">
        <v>0</v>
      </c>
      <c r="I1414">
        <v>0</v>
      </c>
      <c r="J1414">
        <v>0</v>
      </c>
      <c r="K1414">
        <v>0</v>
      </c>
      <c r="L1414">
        <v>0</v>
      </c>
      <c r="M1414">
        <v>0</v>
      </c>
      <c r="N1414">
        <v>33360</v>
      </c>
      <c r="O1414">
        <v>51317</v>
      </c>
      <c r="P1414">
        <v>0</v>
      </c>
      <c r="Q1414">
        <v>2</v>
      </c>
      <c r="R1414">
        <v>0</v>
      </c>
      <c r="S1414">
        <v>0</v>
      </c>
      <c r="T1414">
        <v>80</v>
      </c>
      <c r="U1414">
        <v>200</v>
      </c>
    </row>
    <row r="1415" spans="1:21" x14ac:dyDescent="0.35">
      <c r="A1415" t="s">
        <v>28</v>
      </c>
      <c r="B1415" s="1">
        <v>44345</v>
      </c>
      <c r="C1415" t="s">
        <v>24</v>
      </c>
      <c r="D1415">
        <v>29.9</v>
      </c>
      <c r="E1415">
        <v>0</v>
      </c>
      <c r="F1415">
        <v>0</v>
      </c>
      <c r="G1415">
        <v>0</v>
      </c>
      <c r="H1415">
        <v>0</v>
      </c>
      <c r="I1415">
        <v>0</v>
      </c>
      <c r="J1415">
        <v>0</v>
      </c>
      <c r="K1415">
        <v>0</v>
      </c>
      <c r="L1415">
        <v>0</v>
      </c>
      <c r="M1415">
        <v>0</v>
      </c>
      <c r="N1415">
        <v>210448</v>
      </c>
      <c r="O1415">
        <v>0</v>
      </c>
      <c r="P1415">
        <v>0</v>
      </c>
      <c r="Q1415">
        <v>63</v>
      </c>
      <c r="R1415">
        <v>0</v>
      </c>
      <c r="S1415">
        <v>0</v>
      </c>
      <c r="T1415">
        <v>5</v>
      </c>
      <c r="U1415">
        <v>11</v>
      </c>
    </row>
    <row r="1416" spans="1:21" x14ac:dyDescent="0.35">
      <c r="A1416" t="s">
        <v>21</v>
      </c>
      <c r="B1416" s="1">
        <v>45232</v>
      </c>
      <c r="C1416" t="s">
        <v>32</v>
      </c>
      <c r="D1416">
        <v>0</v>
      </c>
      <c r="E1416">
        <v>0</v>
      </c>
      <c r="F1416">
        <v>0</v>
      </c>
      <c r="G1416">
        <v>0</v>
      </c>
      <c r="H1416">
        <v>0</v>
      </c>
      <c r="I1416">
        <v>0</v>
      </c>
      <c r="J1416">
        <v>0</v>
      </c>
      <c r="K1416">
        <v>0</v>
      </c>
      <c r="L1416">
        <v>0</v>
      </c>
      <c r="M1416">
        <v>0</v>
      </c>
      <c r="N1416">
        <v>162642</v>
      </c>
      <c r="O1416">
        <v>0</v>
      </c>
      <c r="P1416">
        <v>0</v>
      </c>
      <c r="Q1416">
        <v>0</v>
      </c>
      <c r="R1416">
        <v>0</v>
      </c>
      <c r="S1416">
        <v>0</v>
      </c>
      <c r="T1416">
        <v>0</v>
      </c>
      <c r="U1416">
        <v>4</v>
      </c>
    </row>
    <row r="1417" spans="1:21" x14ac:dyDescent="0.35">
      <c r="A1417" t="s">
        <v>28</v>
      </c>
      <c r="B1417" s="1">
        <v>44322</v>
      </c>
      <c r="C1417" t="s">
        <v>32</v>
      </c>
      <c r="D1417">
        <v>17.2</v>
      </c>
      <c r="E1417">
        <v>0</v>
      </c>
      <c r="F1417">
        <v>0</v>
      </c>
      <c r="G1417">
        <v>0</v>
      </c>
      <c r="H1417">
        <v>0</v>
      </c>
      <c r="I1417">
        <v>0</v>
      </c>
      <c r="J1417">
        <v>0</v>
      </c>
      <c r="K1417">
        <v>0</v>
      </c>
      <c r="L1417">
        <v>0</v>
      </c>
      <c r="M1417">
        <v>0</v>
      </c>
      <c r="N1417">
        <v>162642</v>
      </c>
      <c r="O1417">
        <v>0</v>
      </c>
      <c r="P1417">
        <v>0</v>
      </c>
      <c r="Q1417">
        <v>28</v>
      </c>
      <c r="R1417">
        <v>0</v>
      </c>
      <c r="S1417">
        <v>0</v>
      </c>
      <c r="T1417">
        <v>0</v>
      </c>
      <c r="U1417">
        <v>4</v>
      </c>
    </row>
    <row r="1418" spans="1:21" x14ac:dyDescent="0.35">
      <c r="A1418" t="s">
        <v>28</v>
      </c>
      <c r="B1418" s="1">
        <v>44322</v>
      </c>
      <c r="C1418" t="s">
        <v>24</v>
      </c>
      <c r="D1418">
        <v>21.4</v>
      </c>
      <c r="E1418">
        <v>0</v>
      </c>
      <c r="F1418">
        <v>0</v>
      </c>
      <c r="G1418">
        <v>0</v>
      </c>
      <c r="H1418">
        <v>0</v>
      </c>
      <c r="I1418">
        <v>0</v>
      </c>
      <c r="J1418">
        <v>0</v>
      </c>
      <c r="K1418">
        <v>0</v>
      </c>
      <c r="L1418">
        <v>0</v>
      </c>
      <c r="M1418">
        <v>0</v>
      </c>
      <c r="N1418">
        <v>210448</v>
      </c>
      <c r="O1418">
        <v>0</v>
      </c>
      <c r="P1418">
        <v>0</v>
      </c>
      <c r="Q1418">
        <v>45</v>
      </c>
      <c r="R1418">
        <v>0</v>
      </c>
      <c r="S1418">
        <v>0</v>
      </c>
      <c r="T1418">
        <v>5</v>
      </c>
      <c r="U1418">
        <v>11</v>
      </c>
    </row>
    <row r="1419" spans="1:21" x14ac:dyDescent="0.35">
      <c r="A1419" t="s">
        <v>28</v>
      </c>
      <c r="B1419" s="1">
        <v>44536</v>
      </c>
      <c r="C1419" t="s">
        <v>32</v>
      </c>
      <c r="D1419">
        <v>13.5</v>
      </c>
      <c r="E1419">
        <v>0</v>
      </c>
      <c r="F1419">
        <v>0</v>
      </c>
      <c r="G1419">
        <v>0</v>
      </c>
      <c r="H1419">
        <v>0</v>
      </c>
      <c r="I1419">
        <v>0</v>
      </c>
      <c r="J1419">
        <v>0</v>
      </c>
      <c r="K1419">
        <v>0</v>
      </c>
      <c r="L1419">
        <v>0</v>
      </c>
      <c r="M1419">
        <v>0</v>
      </c>
      <c r="N1419">
        <v>162642</v>
      </c>
      <c r="O1419">
        <v>0</v>
      </c>
      <c r="P1419">
        <v>0</v>
      </c>
      <c r="Q1419">
        <v>22</v>
      </c>
      <c r="R1419">
        <v>0</v>
      </c>
      <c r="S1419">
        <v>0</v>
      </c>
      <c r="T1419">
        <v>0</v>
      </c>
      <c r="U1419">
        <v>4</v>
      </c>
    </row>
    <row r="1420" spans="1:21" x14ac:dyDescent="0.35">
      <c r="A1420" t="s">
        <v>28</v>
      </c>
      <c r="B1420" s="1">
        <v>44667</v>
      </c>
      <c r="C1420" t="s">
        <v>31</v>
      </c>
      <c r="D1420">
        <v>39.5</v>
      </c>
      <c r="E1420">
        <v>61.2</v>
      </c>
      <c r="F1420">
        <v>97.2</v>
      </c>
      <c r="G1420">
        <v>0.6</v>
      </c>
      <c r="H1420">
        <v>0.4</v>
      </c>
      <c r="I1420">
        <v>0</v>
      </c>
      <c r="J1420">
        <v>0</v>
      </c>
      <c r="K1420">
        <v>0</v>
      </c>
      <c r="L1420">
        <v>0</v>
      </c>
      <c r="M1420">
        <v>0</v>
      </c>
      <c r="N1420">
        <v>48067</v>
      </c>
      <c r="O1420">
        <v>50646</v>
      </c>
      <c r="P1420">
        <v>160443</v>
      </c>
      <c r="Q1420">
        <v>19</v>
      </c>
      <c r="R1420">
        <v>31</v>
      </c>
      <c r="S1420">
        <v>156</v>
      </c>
      <c r="T1420">
        <v>65</v>
      </c>
      <c r="U1420">
        <v>79</v>
      </c>
    </row>
    <row r="1421" spans="1:21" x14ac:dyDescent="0.35">
      <c r="A1421" t="s">
        <v>28</v>
      </c>
      <c r="B1421" s="1">
        <v>44366</v>
      </c>
      <c r="C1421" t="s">
        <v>32</v>
      </c>
      <c r="D1421">
        <v>6.1</v>
      </c>
      <c r="E1421">
        <v>0</v>
      </c>
      <c r="F1421">
        <v>0</v>
      </c>
      <c r="G1421">
        <v>0</v>
      </c>
      <c r="H1421">
        <v>0</v>
      </c>
      <c r="I1421">
        <v>0</v>
      </c>
      <c r="J1421">
        <v>0</v>
      </c>
      <c r="K1421">
        <v>0</v>
      </c>
      <c r="L1421">
        <v>0</v>
      </c>
      <c r="M1421">
        <v>0</v>
      </c>
      <c r="N1421">
        <v>162642</v>
      </c>
      <c r="O1421">
        <v>0</v>
      </c>
      <c r="P1421">
        <v>0</v>
      </c>
      <c r="Q1421">
        <v>10</v>
      </c>
      <c r="R1421">
        <v>0</v>
      </c>
      <c r="S1421">
        <v>0</v>
      </c>
      <c r="T1421">
        <v>0</v>
      </c>
      <c r="U1421">
        <v>4</v>
      </c>
    </row>
    <row r="1422" spans="1:21" x14ac:dyDescent="0.35">
      <c r="A1422" t="s">
        <v>28</v>
      </c>
      <c r="B1422" s="1">
        <v>44366</v>
      </c>
      <c r="C1422" t="s">
        <v>24</v>
      </c>
      <c r="D1422">
        <v>7.6</v>
      </c>
      <c r="E1422">
        <v>0</v>
      </c>
      <c r="F1422">
        <v>0</v>
      </c>
      <c r="G1422">
        <v>0</v>
      </c>
      <c r="H1422">
        <v>0</v>
      </c>
      <c r="I1422">
        <v>0</v>
      </c>
      <c r="J1422">
        <v>0</v>
      </c>
      <c r="K1422">
        <v>0</v>
      </c>
      <c r="L1422">
        <v>0</v>
      </c>
      <c r="M1422">
        <v>0</v>
      </c>
      <c r="N1422">
        <v>210448</v>
      </c>
      <c r="O1422">
        <v>0</v>
      </c>
      <c r="P1422">
        <v>0</v>
      </c>
      <c r="Q1422">
        <v>16</v>
      </c>
      <c r="R1422">
        <v>0</v>
      </c>
      <c r="S1422">
        <v>0</v>
      </c>
      <c r="T1422">
        <v>5</v>
      </c>
      <c r="U1422">
        <v>11</v>
      </c>
    </row>
    <row r="1423" spans="1:21" x14ac:dyDescent="0.35">
      <c r="A1423" t="s">
        <v>26</v>
      </c>
      <c r="B1423" s="1">
        <v>44871</v>
      </c>
      <c r="C1423" t="s">
        <v>29</v>
      </c>
      <c r="D1423">
        <v>4.7</v>
      </c>
      <c r="E1423">
        <v>5.7</v>
      </c>
      <c r="F1423">
        <v>4.2</v>
      </c>
      <c r="G1423">
        <v>0.8</v>
      </c>
      <c r="H1423">
        <v>1.1000000000000001</v>
      </c>
      <c r="I1423">
        <v>0</v>
      </c>
      <c r="J1423">
        <v>0</v>
      </c>
      <c r="K1423">
        <v>0</v>
      </c>
      <c r="L1423">
        <v>0</v>
      </c>
      <c r="M1423">
        <v>0</v>
      </c>
      <c r="N1423">
        <v>128697</v>
      </c>
      <c r="O1423">
        <v>282377</v>
      </c>
      <c r="P1423">
        <v>337248</v>
      </c>
      <c r="Q1423">
        <v>6</v>
      </c>
      <c r="R1423">
        <v>16</v>
      </c>
      <c r="S1423">
        <v>14</v>
      </c>
      <c r="T1423">
        <v>30</v>
      </c>
      <c r="U1423">
        <v>49</v>
      </c>
    </row>
    <row r="1424" spans="1:21" x14ac:dyDescent="0.35">
      <c r="A1424" t="s">
        <v>26</v>
      </c>
      <c r="B1424" s="1">
        <v>44811</v>
      </c>
      <c r="C1424" t="s">
        <v>23</v>
      </c>
      <c r="D1424">
        <v>38.299999999999997</v>
      </c>
      <c r="E1424">
        <v>7.7</v>
      </c>
      <c r="F1424">
        <v>9.5</v>
      </c>
      <c r="G1424">
        <v>5</v>
      </c>
      <c r="H1424">
        <v>4</v>
      </c>
      <c r="I1424">
        <v>0</v>
      </c>
      <c r="J1424">
        <v>0</v>
      </c>
      <c r="K1424">
        <v>0</v>
      </c>
      <c r="L1424">
        <v>0</v>
      </c>
      <c r="M1424">
        <v>0</v>
      </c>
      <c r="N1424">
        <v>41738</v>
      </c>
      <c r="O1424">
        <v>129197</v>
      </c>
      <c r="P1424">
        <v>240866</v>
      </c>
      <c r="Q1424">
        <v>16</v>
      </c>
      <c r="R1424">
        <v>10</v>
      </c>
      <c r="S1424">
        <v>23</v>
      </c>
      <c r="T1424">
        <v>50</v>
      </c>
      <c r="U1424">
        <v>64</v>
      </c>
    </row>
    <row r="1425" spans="1:21" x14ac:dyDescent="0.35">
      <c r="A1425" t="s">
        <v>21</v>
      </c>
      <c r="B1425" s="1">
        <v>45066</v>
      </c>
      <c r="C1425" t="s">
        <v>24</v>
      </c>
      <c r="D1425">
        <v>0</v>
      </c>
      <c r="E1425">
        <v>0</v>
      </c>
      <c r="F1425">
        <v>0</v>
      </c>
      <c r="G1425">
        <v>0</v>
      </c>
      <c r="H1425">
        <v>0</v>
      </c>
      <c r="I1425">
        <v>0</v>
      </c>
      <c r="J1425">
        <v>0</v>
      </c>
      <c r="K1425">
        <v>0</v>
      </c>
      <c r="L1425">
        <v>0</v>
      </c>
      <c r="M1425">
        <v>0</v>
      </c>
      <c r="N1425">
        <v>90666</v>
      </c>
      <c r="O1425">
        <v>82678</v>
      </c>
      <c r="P1425">
        <v>21243</v>
      </c>
      <c r="Q1425">
        <v>0</v>
      </c>
      <c r="R1425">
        <v>0</v>
      </c>
      <c r="S1425">
        <v>0</v>
      </c>
      <c r="T1425">
        <v>5</v>
      </c>
      <c r="U1425">
        <v>11</v>
      </c>
    </row>
    <row r="1426" spans="1:21" x14ac:dyDescent="0.35">
      <c r="A1426" t="s">
        <v>28</v>
      </c>
      <c r="B1426" s="1">
        <v>44373</v>
      </c>
      <c r="C1426" t="s">
        <v>32</v>
      </c>
      <c r="D1426">
        <v>10.5</v>
      </c>
      <c r="E1426">
        <v>0</v>
      </c>
      <c r="F1426">
        <v>0</v>
      </c>
      <c r="G1426">
        <v>0</v>
      </c>
      <c r="H1426">
        <v>0</v>
      </c>
      <c r="I1426">
        <v>0</v>
      </c>
      <c r="J1426">
        <v>0</v>
      </c>
      <c r="K1426">
        <v>0</v>
      </c>
      <c r="L1426">
        <v>0</v>
      </c>
      <c r="M1426">
        <v>0</v>
      </c>
      <c r="N1426">
        <v>162642</v>
      </c>
      <c r="O1426">
        <v>0</v>
      </c>
      <c r="P1426">
        <v>0</v>
      </c>
      <c r="Q1426">
        <v>17</v>
      </c>
      <c r="R1426">
        <v>0</v>
      </c>
      <c r="S1426">
        <v>0</v>
      </c>
      <c r="T1426">
        <v>0</v>
      </c>
      <c r="U1426">
        <v>4</v>
      </c>
    </row>
    <row r="1427" spans="1:21" x14ac:dyDescent="0.35">
      <c r="A1427" t="s">
        <v>28</v>
      </c>
      <c r="B1427" s="1">
        <v>44373</v>
      </c>
      <c r="C1427" t="s">
        <v>24</v>
      </c>
      <c r="D1427">
        <v>6.2</v>
      </c>
      <c r="E1427">
        <v>0</v>
      </c>
      <c r="F1427">
        <v>0</v>
      </c>
      <c r="G1427">
        <v>0</v>
      </c>
      <c r="H1427">
        <v>0</v>
      </c>
      <c r="I1427">
        <v>0</v>
      </c>
      <c r="J1427">
        <v>0</v>
      </c>
      <c r="K1427">
        <v>0</v>
      </c>
      <c r="L1427">
        <v>0</v>
      </c>
      <c r="M1427">
        <v>0</v>
      </c>
      <c r="N1427">
        <v>210448</v>
      </c>
      <c r="O1427">
        <v>0</v>
      </c>
      <c r="P1427">
        <v>0</v>
      </c>
      <c r="Q1427">
        <v>13</v>
      </c>
      <c r="R1427">
        <v>0</v>
      </c>
      <c r="S1427">
        <v>0</v>
      </c>
      <c r="T1427">
        <v>5</v>
      </c>
      <c r="U1427">
        <v>11</v>
      </c>
    </row>
    <row r="1428" spans="1:21" x14ac:dyDescent="0.35">
      <c r="A1428" t="s">
        <v>26</v>
      </c>
      <c r="B1428" s="1">
        <v>44520</v>
      </c>
      <c r="C1428" t="s">
        <v>25</v>
      </c>
      <c r="D1428">
        <v>10.199999999999999</v>
      </c>
      <c r="E1428">
        <v>0.3</v>
      </c>
      <c r="F1428">
        <v>0</v>
      </c>
      <c r="G1428">
        <v>34</v>
      </c>
      <c r="H1428">
        <v>0</v>
      </c>
      <c r="I1428">
        <v>0</v>
      </c>
      <c r="J1428">
        <v>0</v>
      </c>
      <c r="K1428">
        <v>0</v>
      </c>
      <c r="L1428">
        <v>0</v>
      </c>
      <c r="M1428">
        <v>0</v>
      </c>
      <c r="N1428">
        <v>157265</v>
      </c>
      <c r="O1428">
        <v>308782</v>
      </c>
      <c r="P1428">
        <v>19377</v>
      </c>
      <c r="Q1428">
        <v>16</v>
      </c>
      <c r="R1428">
        <v>1</v>
      </c>
      <c r="S1428">
        <v>0</v>
      </c>
      <c r="T1428">
        <v>18</v>
      </c>
      <c r="U1428">
        <v>29</v>
      </c>
    </row>
    <row r="1429" spans="1:21" x14ac:dyDescent="0.35">
      <c r="A1429" t="s">
        <v>26</v>
      </c>
      <c r="B1429" s="1">
        <v>44930</v>
      </c>
      <c r="C1429" t="s">
        <v>24</v>
      </c>
      <c r="D1429">
        <v>0</v>
      </c>
      <c r="E1429">
        <v>1.2</v>
      </c>
      <c r="F1429">
        <v>0</v>
      </c>
      <c r="G1429">
        <v>0</v>
      </c>
      <c r="H1429">
        <v>0</v>
      </c>
      <c r="I1429">
        <v>0</v>
      </c>
      <c r="J1429">
        <v>0</v>
      </c>
      <c r="K1429">
        <v>0</v>
      </c>
      <c r="L1429">
        <v>0</v>
      </c>
      <c r="M1429">
        <v>0</v>
      </c>
      <c r="N1429">
        <v>91185</v>
      </c>
      <c r="O1429">
        <v>82489</v>
      </c>
      <c r="P1429">
        <v>21218</v>
      </c>
      <c r="Q1429">
        <v>0</v>
      </c>
      <c r="R1429">
        <v>1</v>
      </c>
      <c r="S1429">
        <v>0</v>
      </c>
      <c r="T1429">
        <v>5</v>
      </c>
      <c r="U1429">
        <v>11</v>
      </c>
    </row>
    <row r="1430" spans="1:21" x14ac:dyDescent="0.35">
      <c r="A1430" t="s">
        <v>21</v>
      </c>
      <c r="B1430" s="1">
        <v>44808</v>
      </c>
      <c r="C1430" t="s">
        <v>24</v>
      </c>
      <c r="D1430">
        <v>0</v>
      </c>
      <c r="E1430">
        <v>0</v>
      </c>
      <c r="F1430">
        <v>0</v>
      </c>
      <c r="G1430">
        <v>0</v>
      </c>
      <c r="H1430">
        <v>0</v>
      </c>
      <c r="I1430">
        <v>0</v>
      </c>
      <c r="J1430">
        <v>0</v>
      </c>
      <c r="K1430">
        <v>0</v>
      </c>
      <c r="L1430">
        <v>0</v>
      </c>
      <c r="M1430">
        <v>0</v>
      </c>
      <c r="N1430">
        <v>103071</v>
      </c>
      <c r="O1430">
        <v>91818</v>
      </c>
      <c r="P1430">
        <v>0</v>
      </c>
      <c r="Q1430">
        <v>0</v>
      </c>
      <c r="R1430">
        <v>0</v>
      </c>
      <c r="S1430">
        <v>0</v>
      </c>
      <c r="T1430">
        <v>5</v>
      </c>
      <c r="U1430">
        <v>11</v>
      </c>
    </row>
    <row r="1431" spans="1:21" x14ac:dyDescent="0.35">
      <c r="A1431" t="s">
        <v>21</v>
      </c>
      <c r="B1431" s="1">
        <v>45192</v>
      </c>
      <c r="C1431" t="s">
        <v>31</v>
      </c>
      <c r="D1431">
        <v>0</v>
      </c>
      <c r="E1431">
        <v>0</v>
      </c>
      <c r="F1431">
        <v>0</v>
      </c>
      <c r="G1431">
        <v>0</v>
      </c>
      <c r="H1431">
        <v>0</v>
      </c>
      <c r="I1431">
        <v>0</v>
      </c>
      <c r="J1431">
        <v>0</v>
      </c>
      <c r="K1431">
        <v>0</v>
      </c>
      <c r="L1431">
        <v>0</v>
      </c>
      <c r="M1431">
        <v>0</v>
      </c>
      <c r="N1431">
        <v>39028</v>
      </c>
      <c r="O1431">
        <v>43414</v>
      </c>
      <c r="P1431">
        <v>171758</v>
      </c>
      <c r="Q1431">
        <v>0</v>
      </c>
      <c r="R1431">
        <v>0</v>
      </c>
      <c r="S1431">
        <v>0</v>
      </c>
      <c r="T1431">
        <v>65</v>
      </c>
      <c r="U1431">
        <v>79</v>
      </c>
    </row>
    <row r="1432" spans="1:21" x14ac:dyDescent="0.35">
      <c r="A1432" t="s">
        <v>28</v>
      </c>
      <c r="B1432" s="1">
        <v>44262</v>
      </c>
      <c r="C1432" t="s">
        <v>32</v>
      </c>
      <c r="D1432">
        <v>12.9</v>
      </c>
      <c r="E1432">
        <v>0</v>
      </c>
      <c r="F1432">
        <v>0</v>
      </c>
      <c r="G1432">
        <v>0</v>
      </c>
      <c r="H1432">
        <v>0</v>
      </c>
      <c r="I1432">
        <v>0</v>
      </c>
      <c r="J1432">
        <v>0</v>
      </c>
      <c r="K1432">
        <v>0</v>
      </c>
      <c r="L1432">
        <v>0</v>
      </c>
      <c r="M1432">
        <v>0</v>
      </c>
      <c r="N1432">
        <v>162642</v>
      </c>
      <c r="O1432">
        <v>0</v>
      </c>
      <c r="P1432">
        <v>0</v>
      </c>
      <c r="Q1432">
        <v>21</v>
      </c>
      <c r="R1432">
        <v>0</v>
      </c>
      <c r="S1432">
        <v>0</v>
      </c>
      <c r="T1432">
        <v>0</v>
      </c>
      <c r="U1432">
        <v>4</v>
      </c>
    </row>
    <row r="1433" spans="1:21" x14ac:dyDescent="0.35">
      <c r="A1433" t="s">
        <v>26</v>
      </c>
      <c r="B1433" s="1">
        <v>44509</v>
      </c>
      <c r="C1433" t="s">
        <v>29</v>
      </c>
      <c r="D1433">
        <v>21.9</v>
      </c>
      <c r="E1433">
        <v>2.2999999999999998</v>
      </c>
      <c r="F1433">
        <v>0</v>
      </c>
      <c r="G1433">
        <v>9.5</v>
      </c>
      <c r="H1433">
        <v>0</v>
      </c>
      <c r="I1433">
        <v>0</v>
      </c>
      <c r="J1433">
        <v>0</v>
      </c>
      <c r="K1433">
        <v>0</v>
      </c>
      <c r="L1433">
        <v>0</v>
      </c>
      <c r="M1433">
        <v>0</v>
      </c>
      <c r="N1433">
        <v>232678</v>
      </c>
      <c r="O1433">
        <v>520775</v>
      </c>
      <c r="P1433">
        <v>0</v>
      </c>
      <c r="Q1433">
        <v>51</v>
      </c>
      <c r="R1433">
        <v>12</v>
      </c>
      <c r="S1433">
        <v>0</v>
      </c>
      <c r="T1433">
        <v>30</v>
      </c>
      <c r="U1433">
        <v>49</v>
      </c>
    </row>
    <row r="1434" spans="1:21" x14ac:dyDescent="0.35">
      <c r="A1434" t="s">
        <v>28</v>
      </c>
      <c r="B1434" s="1">
        <v>44413</v>
      </c>
      <c r="C1434" t="s">
        <v>23</v>
      </c>
      <c r="D1434">
        <v>243.6</v>
      </c>
      <c r="E1434">
        <v>17.899999999999999</v>
      </c>
      <c r="F1434">
        <v>0</v>
      </c>
      <c r="G1434">
        <v>13.6</v>
      </c>
      <c r="H1434">
        <v>0</v>
      </c>
      <c r="I1434">
        <v>0</v>
      </c>
      <c r="J1434">
        <v>0</v>
      </c>
      <c r="K1434">
        <v>0</v>
      </c>
      <c r="L1434">
        <v>0</v>
      </c>
      <c r="M1434">
        <v>0</v>
      </c>
      <c r="N1434">
        <v>146538</v>
      </c>
      <c r="O1434">
        <v>195911</v>
      </c>
      <c r="P1434">
        <v>0</v>
      </c>
      <c r="Q1434">
        <v>357</v>
      </c>
      <c r="R1434">
        <v>35</v>
      </c>
      <c r="S1434">
        <v>0</v>
      </c>
      <c r="T1434">
        <v>50</v>
      </c>
      <c r="U1434">
        <v>64</v>
      </c>
    </row>
    <row r="1435" spans="1:21" x14ac:dyDescent="0.35">
      <c r="A1435" t="s">
        <v>21</v>
      </c>
      <c r="B1435" s="1">
        <v>44408</v>
      </c>
      <c r="C1435" t="s">
        <v>29</v>
      </c>
      <c r="D1435">
        <v>1.5</v>
      </c>
      <c r="E1435">
        <v>0</v>
      </c>
      <c r="F1435">
        <v>0</v>
      </c>
      <c r="G1435">
        <v>0</v>
      </c>
      <c r="H1435">
        <v>0</v>
      </c>
      <c r="I1435">
        <v>0</v>
      </c>
      <c r="J1435">
        <v>0</v>
      </c>
      <c r="K1435">
        <v>0</v>
      </c>
      <c r="L1435">
        <v>0</v>
      </c>
      <c r="M1435">
        <v>0</v>
      </c>
      <c r="N1435">
        <v>266646</v>
      </c>
      <c r="O1435">
        <v>496916</v>
      </c>
      <c r="P1435">
        <v>0</v>
      </c>
      <c r="Q1435">
        <v>4</v>
      </c>
      <c r="R1435">
        <v>0</v>
      </c>
      <c r="S1435">
        <v>0</v>
      </c>
      <c r="T1435">
        <v>30</v>
      </c>
      <c r="U1435">
        <v>49</v>
      </c>
    </row>
    <row r="1436" spans="1:21" x14ac:dyDescent="0.35">
      <c r="A1436" t="s">
        <v>28</v>
      </c>
      <c r="B1436" s="1">
        <v>44262</v>
      </c>
      <c r="C1436" t="s">
        <v>24</v>
      </c>
      <c r="D1436">
        <v>8.6</v>
      </c>
      <c r="E1436">
        <v>0</v>
      </c>
      <c r="F1436">
        <v>0</v>
      </c>
      <c r="G1436">
        <v>0</v>
      </c>
      <c r="H1436">
        <v>0</v>
      </c>
      <c r="I1436">
        <v>0</v>
      </c>
      <c r="J1436">
        <v>0</v>
      </c>
      <c r="K1436">
        <v>0</v>
      </c>
      <c r="L1436">
        <v>0</v>
      </c>
      <c r="M1436">
        <v>0</v>
      </c>
      <c r="N1436">
        <v>210448</v>
      </c>
      <c r="O1436">
        <v>0</v>
      </c>
      <c r="P1436">
        <v>0</v>
      </c>
      <c r="Q1436">
        <v>18</v>
      </c>
      <c r="R1436">
        <v>0</v>
      </c>
      <c r="S1436">
        <v>0</v>
      </c>
      <c r="T1436">
        <v>5</v>
      </c>
      <c r="U1436">
        <v>11</v>
      </c>
    </row>
    <row r="1437" spans="1:21" x14ac:dyDescent="0.35">
      <c r="A1437" t="s">
        <v>28</v>
      </c>
      <c r="B1437" s="1">
        <v>45145</v>
      </c>
      <c r="C1437" t="s">
        <v>24</v>
      </c>
      <c r="D1437">
        <v>1.1000000000000001</v>
      </c>
      <c r="E1437">
        <v>1.2</v>
      </c>
      <c r="F1437">
        <v>0</v>
      </c>
      <c r="G1437">
        <v>0.9</v>
      </c>
      <c r="H1437">
        <v>0</v>
      </c>
      <c r="I1437">
        <v>0</v>
      </c>
      <c r="J1437">
        <v>0</v>
      </c>
      <c r="K1437">
        <v>0</v>
      </c>
      <c r="L1437">
        <v>0</v>
      </c>
      <c r="M1437">
        <v>0</v>
      </c>
      <c r="N1437">
        <v>90204</v>
      </c>
      <c r="O1437">
        <v>82670</v>
      </c>
      <c r="P1437">
        <v>21257</v>
      </c>
      <c r="Q1437">
        <v>1</v>
      </c>
      <c r="R1437">
        <v>1</v>
      </c>
      <c r="S1437">
        <v>0</v>
      </c>
      <c r="T1437">
        <v>5</v>
      </c>
      <c r="U1437">
        <v>11</v>
      </c>
    </row>
    <row r="1438" spans="1:21" x14ac:dyDescent="0.35">
      <c r="A1438" t="s">
        <v>21</v>
      </c>
      <c r="B1438" s="1">
        <v>44982</v>
      </c>
      <c r="C1438" t="s">
        <v>29</v>
      </c>
      <c r="D1438">
        <v>0</v>
      </c>
      <c r="E1438">
        <v>0</v>
      </c>
      <c r="F1438">
        <v>0</v>
      </c>
      <c r="G1438">
        <v>0</v>
      </c>
      <c r="H1438">
        <v>0</v>
      </c>
      <c r="I1438">
        <v>0</v>
      </c>
      <c r="J1438">
        <v>0</v>
      </c>
      <c r="K1438">
        <v>0</v>
      </c>
      <c r="L1438">
        <v>0</v>
      </c>
      <c r="M1438">
        <v>0</v>
      </c>
      <c r="N1438">
        <v>110797</v>
      </c>
      <c r="O1438">
        <v>277836</v>
      </c>
      <c r="P1438">
        <v>347256</v>
      </c>
      <c r="Q1438">
        <v>0</v>
      </c>
      <c r="R1438">
        <v>0</v>
      </c>
      <c r="S1438">
        <v>0</v>
      </c>
      <c r="T1438">
        <v>30</v>
      </c>
      <c r="U1438">
        <v>49</v>
      </c>
    </row>
    <row r="1439" spans="1:21" x14ac:dyDescent="0.35">
      <c r="A1439" t="s">
        <v>28</v>
      </c>
      <c r="B1439" s="1">
        <v>44476</v>
      </c>
      <c r="C1439" t="s">
        <v>32</v>
      </c>
      <c r="D1439">
        <v>16</v>
      </c>
      <c r="E1439">
        <v>0</v>
      </c>
      <c r="F1439">
        <v>0</v>
      </c>
      <c r="G1439">
        <v>0</v>
      </c>
      <c r="H1439">
        <v>0</v>
      </c>
      <c r="I1439">
        <v>0</v>
      </c>
      <c r="J1439">
        <v>0</v>
      </c>
      <c r="K1439">
        <v>0</v>
      </c>
      <c r="L1439">
        <v>0</v>
      </c>
      <c r="M1439">
        <v>0</v>
      </c>
      <c r="N1439">
        <v>162642</v>
      </c>
      <c r="O1439">
        <v>0</v>
      </c>
      <c r="P1439">
        <v>0</v>
      </c>
      <c r="Q1439">
        <v>26</v>
      </c>
      <c r="R1439">
        <v>0</v>
      </c>
      <c r="S1439">
        <v>0</v>
      </c>
      <c r="T1439">
        <v>0</v>
      </c>
      <c r="U1439">
        <v>4</v>
      </c>
    </row>
    <row r="1440" spans="1:21" x14ac:dyDescent="0.35">
      <c r="A1440" t="s">
        <v>28</v>
      </c>
      <c r="B1440" s="1">
        <v>45192</v>
      </c>
      <c r="C1440" t="s">
        <v>23</v>
      </c>
      <c r="D1440">
        <v>133.9</v>
      </c>
      <c r="E1440">
        <v>30.2</v>
      </c>
      <c r="F1440">
        <v>53.9</v>
      </c>
      <c r="G1440">
        <v>4.4000000000000004</v>
      </c>
      <c r="H1440">
        <v>2.5</v>
      </c>
      <c r="I1440">
        <v>0</v>
      </c>
      <c r="J1440">
        <v>0</v>
      </c>
      <c r="K1440">
        <v>0</v>
      </c>
      <c r="L1440">
        <v>0</v>
      </c>
      <c r="M1440">
        <v>0</v>
      </c>
      <c r="N1440">
        <v>32105</v>
      </c>
      <c r="O1440">
        <v>125718</v>
      </c>
      <c r="P1440">
        <v>246945</v>
      </c>
      <c r="Q1440">
        <v>43</v>
      </c>
      <c r="R1440">
        <v>38</v>
      </c>
      <c r="S1440">
        <v>133</v>
      </c>
      <c r="T1440">
        <v>50</v>
      </c>
      <c r="U1440">
        <v>64</v>
      </c>
    </row>
    <row r="1441" spans="1:21" x14ac:dyDescent="0.35">
      <c r="A1441" t="s">
        <v>28</v>
      </c>
      <c r="B1441" s="1">
        <v>44476</v>
      </c>
      <c r="C1441" t="s">
        <v>24</v>
      </c>
      <c r="D1441">
        <v>15.2</v>
      </c>
      <c r="E1441">
        <v>0</v>
      </c>
      <c r="F1441">
        <v>0</v>
      </c>
      <c r="G1441">
        <v>0</v>
      </c>
      <c r="H1441">
        <v>0</v>
      </c>
      <c r="I1441">
        <v>0</v>
      </c>
      <c r="J1441">
        <v>0</v>
      </c>
      <c r="K1441">
        <v>0</v>
      </c>
      <c r="L1441">
        <v>0</v>
      </c>
      <c r="M1441">
        <v>0</v>
      </c>
      <c r="N1441">
        <v>210448</v>
      </c>
      <c r="O1441">
        <v>0</v>
      </c>
      <c r="P1441">
        <v>0</v>
      </c>
      <c r="Q1441">
        <v>32</v>
      </c>
      <c r="R1441">
        <v>0</v>
      </c>
      <c r="S1441">
        <v>0</v>
      </c>
      <c r="T1441">
        <v>5</v>
      </c>
      <c r="U1441">
        <v>11</v>
      </c>
    </row>
    <row r="1442" spans="1:21" x14ac:dyDescent="0.35">
      <c r="A1442" t="s">
        <v>28</v>
      </c>
      <c r="B1442" s="1">
        <v>45227</v>
      </c>
      <c r="C1442" t="s">
        <v>23</v>
      </c>
      <c r="D1442">
        <v>100.5</v>
      </c>
      <c r="E1442">
        <v>23.8</v>
      </c>
      <c r="F1442">
        <v>38.799999999999997</v>
      </c>
      <c r="G1442">
        <v>4.2</v>
      </c>
      <c r="H1442">
        <v>2.6</v>
      </c>
      <c r="I1442">
        <v>0</v>
      </c>
      <c r="J1442">
        <v>0</v>
      </c>
      <c r="K1442">
        <v>0</v>
      </c>
      <c r="L1442">
        <v>0</v>
      </c>
      <c r="M1442">
        <v>0</v>
      </c>
      <c r="N1442">
        <v>30857</v>
      </c>
      <c r="O1442">
        <v>125795</v>
      </c>
      <c r="P1442">
        <v>247425</v>
      </c>
      <c r="Q1442">
        <v>31</v>
      </c>
      <c r="R1442">
        <v>30</v>
      </c>
      <c r="S1442">
        <v>96</v>
      </c>
      <c r="T1442">
        <v>50</v>
      </c>
      <c r="U1442">
        <v>64</v>
      </c>
    </row>
    <row r="1443" spans="1:21" x14ac:dyDescent="0.35">
      <c r="A1443" t="s">
        <v>28</v>
      </c>
      <c r="B1443" s="1">
        <v>44413</v>
      </c>
      <c r="C1443" t="s">
        <v>25</v>
      </c>
      <c r="D1443">
        <v>220</v>
      </c>
      <c r="E1443">
        <v>15.8</v>
      </c>
      <c r="F1443">
        <v>0</v>
      </c>
      <c r="G1443">
        <v>13.9</v>
      </c>
      <c r="H1443">
        <v>0</v>
      </c>
      <c r="I1443">
        <v>0</v>
      </c>
      <c r="J1443">
        <v>0</v>
      </c>
      <c r="K1443">
        <v>0</v>
      </c>
      <c r="L1443">
        <v>0</v>
      </c>
      <c r="M1443">
        <v>0</v>
      </c>
      <c r="N1443">
        <v>274095</v>
      </c>
      <c r="O1443">
        <v>132496</v>
      </c>
      <c r="P1443">
        <v>0</v>
      </c>
      <c r="Q1443">
        <v>603</v>
      </c>
      <c r="R1443">
        <v>21</v>
      </c>
      <c r="S1443">
        <v>0</v>
      </c>
      <c r="T1443">
        <v>18</v>
      </c>
      <c r="U1443">
        <v>29</v>
      </c>
    </row>
    <row r="1444" spans="1:21" x14ac:dyDescent="0.35">
      <c r="A1444" t="s">
        <v>26</v>
      </c>
      <c r="B1444" s="1">
        <v>44884</v>
      </c>
      <c r="C1444" t="s">
        <v>24</v>
      </c>
      <c r="D1444">
        <v>1.1000000000000001</v>
      </c>
      <c r="E1444">
        <v>1.2</v>
      </c>
      <c r="F1444">
        <v>0</v>
      </c>
      <c r="G1444">
        <v>0.9</v>
      </c>
      <c r="H1444">
        <v>0</v>
      </c>
      <c r="I1444">
        <v>0</v>
      </c>
      <c r="J1444">
        <v>0</v>
      </c>
      <c r="K1444">
        <v>0</v>
      </c>
      <c r="L1444">
        <v>0</v>
      </c>
      <c r="M1444">
        <v>0</v>
      </c>
      <c r="N1444">
        <v>93236</v>
      </c>
      <c r="O1444">
        <v>80867</v>
      </c>
      <c r="P1444">
        <v>21068</v>
      </c>
      <c r="Q1444">
        <v>1</v>
      </c>
      <c r="R1444">
        <v>1</v>
      </c>
      <c r="S1444">
        <v>0</v>
      </c>
      <c r="T1444">
        <v>5</v>
      </c>
      <c r="U1444">
        <v>11</v>
      </c>
    </row>
    <row r="1445" spans="1:21" x14ac:dyDescent="0.35">
      <c r="A1445" t="s">
        <v>28</v>
      </c>
      <c r="B1445" s="1">
        <v>44394</v>
      </c>
      <c r="C1445" t="s">
        <v>32</v>
      </c>
      <c r="D1445">
        <v>17.8</v>
      </c>
      <c r="E1445">
        <v>0</v>
      </c>
      <c r="F1445">
        <v>0</v>
      </c>
      <c r="G1445">
        <v>0</v>
      </c>
      <c r="H1445">
        <v>0</v>
      </c>
      <c r="I1445">
        <v>0</v>
      </c>
      <c r="J1445">
        <v>0</v>
      </c>
      <c r="K1445">
        <v>0</v>
      </c>
      <c r="L1445">
        <v>0</v>
      </c>
      <c r="M1445">
        <v>0</v>
      </c>
      <c r="N1445">
        <v>162642</v>
      </c>
      <c r="O1445">
        <v>0</v>
      </c>
      <c r="P1445">
        <v>0</v>
      </c>
      <c r="Q1445">
        <v>29</v>
      </c>
      <c r="R1445">
        <v>0</v>
      </c>
      <c r="S1445">
        <v>0</v>
      </c>
      <c r="T1445">
        <v>0</v>
      </c>
      <c r="U1445">
        <v>4</v>
      </c>
    </row>
    <row r="1446" spans="1:21" x14ac:dyDescent="0.35">
      <c r="A1446" t="s">
        <v>21</v>
      </c>
      <c r="B1446" s="1">
        <v>45054</v>
      </c>
      <c r="C1446" t="s">
        <v>25</v>
      </c>
      <c r="D1446">
        <v>0</v>
      </c>
      <c r="E1446">
        <v>0</v>
      </c>
      <c r="F1446">
        <v>0</v>
      </c>
      <c r="G1446">
        <v>0</v>
      </c>
      <c r="H1446">
        <v>0</v>
      </c>
      <c r="I1446">
        <v>0</v>
      </c>
      <c r="J1446">
        <v>0</v>
      </c>
      <c r="K1446">
        <v>0</v>
      </c>
      <c r="L1446">
        <v>0</v>
      </c>
      <c r="M1446">
        <v>0</v>
      </c>
      <c r="N1446">
        <v>73686</v>
      </c>
      <c r="O1446">
        <v>214134</v>
      </c>
      <c r="P1446">
        <v>161713</v>
      </c>
      <c r="Q1446">
        <v>0</v>
      </c>
      <c r="R1446">
        <v>0</v>
      </c>
      <c r="S1446">
        <v>0</v>
      </c>
      <c r="T1446">
        <v>18</v>
      </c>
      <c r="U1446">
        <v>29</v>
      </c>
    </row>
    <row r="1447" spans="1:21" x14ac:dyDescent="0.35">
      <c r="A1447" t="s">
        <v>28</v>
      </c>
      <c r="B1447" s="1">
        <v>44394</v>
      </c>
      <c r="C1447" t="s">
        <v>24</v>
      </c>
      <c r="D1447">
        <v>25.2</v>
      </c>
      <c r="E1447">
        <v>0</v>
      </c>
      <c r="F1447">
        <v>0</v>
      </c>
      <c r="G1447">
        <v>0</v>
      </c>
      <c r="H1447">
        <v>0</v>
      </c>
      <c r="I1447">
        <v>0</v>
      </c>
      <c r="J1447">
        <v>0</v>
      </c>
      <c r="K1447">
        <v>0</v>
      </c>
      <c r="L1447">
        <v>0</v>
      </c>
      <c r="M1447">
        <v>0</v>
      </c>
      <c r="N1447">
        <v>210448</v>
      </c>
      <c r="O1447">
        <v>0</v>
      </c>
      <c r="P1447">
        <v>0</v>
      </c>
      <c r="Q1447">
        <v>53</v>
      </c>
      <c r="R1447">
        <v>0</v>
      </c>
      <c r="S1447">
        <v>0</v>
      </c>
      <c r="T1447">
        <v>5</v>
      </c>
      <c r="U1447">
        <v>11</v>
      </c>
    </row>
    <row r="1448" spans="1:21" x14ac:dyDescent="0.35">
      <c r="A1448" t="s">
        <v>26</v>
      </c>
      <c r="B1448" s="1">
        <v>44322</v>
      </c>
      <c r="C1448" t="s">
        <v>29</v>
      </c>
      <c r="D1448">
        <v>8.1</v>
      </c>
      <c r="E1448">
        <v>0.2</v>
      </c>
      <c r="F1448">
        <v>0</v>
      </c>
      <c r="G1448">
        <v>40.5</v>
      </c>
      <c r="H1448">
        <v>0</v>
      </c>
      <c r="I1448">
        <v>0</v>
      </c>
      <c r="J1448">
        <v>0</v>
      </c>
      <c r="K1448">
        <v>0</v>
      </c>
      <c r="L1448">
        <v>0</v>
      </c>
      <c r="M1448">
        <v>0</v>
      </c>
      <c r="N1448">
        <v>307403</v>
      </c>
      <c r="O1448">
        <v>422678</v>
      </c>
      <c r="P1448">
        <v>0</v>
      </c>
      <c r="Q1448">
        <v>25</v>
      </c>
      <c r="R1448">
        <v>1</v>
      </c>
      <c r="S1448">
        <v>0</v>
      </c>
      <c r="T1448">
        <v>30</v>
      </c>
      <c r="U1448">
        <v>49</v>
      </c>
    </row>
    <row r="1449" spans="1:21" x14ac:dyDescent="0.35">
      <c r="A1449" t="s">
        <v>28</v>
      </c>
      <c r="B1449" s="1">
        <v>44401</v>
      </c>
      <c r="C1449" t="s">
        <v>32</v>
      </c>
      <c r="D1449">
        <v>36.9</v>
      </c>
      <c r="E1449">
        <v>0</v>
      </c>
      <c r="F1449">
        <v>0</v>
      </c>
      <c r="G1449">
        <v>0</v>
      </c>
      <c r="H1449">
        <v>0</v>
      </c>
      <c r="I1449">
        <v>0</v>
      </c>
      <c r="J1449">
        <v>0</v>
      </c>
      <c r="K1449">
        <v>0</v>
      </c>
      <c r="L1449">
        <v>0</v>
      </c>
      <c r="M1449">
        <v>0</v>
      </c>
      <c r="N1449">
        <v>162642</v>
      </c>
      <c r="O1449">
        <v>0</v>
      </c>
      <c r="P1449">
        <v>0</v>
      </c>
      <c r="Q1449">
        <v>60</v>
      </c>
      <c r="R1449">
        <v>0</v>
      </c>
      <c r="S1449">
        <v>0</v>
      </c>
      <c r="T1449">
        <v>0</v>
      </c>
      <c r="U1449">
        <v>4</v>
      </c>
    </row>
    <row r="1450" spans="1:21" x14ac:dyDescent="0.35">
      <c r="A1450" t="s">
        <v>28</v>
      </c>
      <c r="B1450" s="1">
        <v>44401</v>
      </c>
      <c r="C1450" t="s">
        <v>24</v>
      </c>
      <c r="D1450">
        <v>45.6</v>
      </c>
      <c r="E1450">
        <v>0</v>
      </c>
      <c r="F1450">
        <v>0</v>
      </c>
      <c r="G1450">
        <v>0</v>
      </c>
      <c r="H1450">
        <v>0</v>
      </c>
      <c r="I1450">
        <v>0</v>
      </c>
      <c r="J1450">
        <v>0</v>
      </c>
      <c r="K1450">
        <v>0</v>
      </c>
      <c r="L1450">
        <v>0</v>
      </c>
      <c r="M1450">
        <v>0</v>
      </c>
      <c r="N1450">
        <v>210448</v>
      </c>
      <c r="O1450">
        <v>0</v>
      </c>
      <c r="P1450">
        <v>0</v>
      </c>
      <c r="Q1450">
        <v>96</v>
      </c>
      <c r="R1450">
        <v>0</v>
      </c>
      <c r="S1450">
        <v>0</v>
      </c>
      <c r="T1450">
        <v>5</v>
      </c>
      <c r="U1450">
        <v>11</v>
      </c>
    </row>
    <row r="1451" spans="1:21" x14ac:dyDescent="0.35">
      <c r="A1451" t="s">
        <v>26</v>
      </c>
      <c r="B1451" s="1">
        <v>45241</v>
      </c>
      <c r="C1451" t="s">
        <v>30</v>
      </c>
      <c r="D1451">
        <v>20.8</v>
      </c>
      <c r="E1451">
        <v>60.3</v>
      </c>
      <c r="F1451">
        <v>61.3</v>
      </c>
      <c r="G1451">
        <v>0.3</v>
      </c>
      <c r="H1451">
        <v>0.3</v>
      </c>
      <c r="I1451">
        <v>0</v>
      </c>
      <c r="J1451">
        <v>0</v>
      </c>
      <c r="K1451">
        <v>0</v>
      </c>
      <c r="L1451">
        <v>0</v>
      </c>
      <c r="M1451">
        <v>0</v>
      </c>
      <c r="N1451">
        <v>24027</v>
      </c>
      <c r="O1451">
        <v>11603</v>
      </c>
      <c r="P1451">
        <v>47294</v>
      </c>
      <c r="Q1451">
        <v>5</v>
      </c>
      <c r="R1451">
        <v>7</v>
      </c>
      <c r="S1451">
        <v>29</v>
      </c>
      <c r="T1451">
        <v>80</v>
      </c>
      <c r="U1451">
        <v>200</v>
      </c>
    </row>
    <row r="1452" spans="1:21" x14ac:dyDescent="0.35">
      <c r="A1452" t="s">
        <v>28</v>
      </c>
      <c r="B1452" s="1">
        <v>45213</v>
      </c>
      <c r="C1452" t="s">
        <v>32</v>
      </c>
      <c r="D1452">
        <v>27.1</v>
      </c>
      <c r="E1452">
        <v>1.8</v>
      </c>
      <c r="F1452">
        <v>0</v>
      </c>
      <c r="G1452">
        <v>15.1</v>
      </c>
      <c r="H1452">
        <v>0</v>
      </c>
      <c r="I1452">
        <v>0</v>
      </c>
      <c r="J1452">
        <v>0</v>
      </c>
      <c r="K1452">
        <v>0</v>
      </c>
      <c r="L1452">
        <v>0</v>
      </c>
      <c r="M1452">
        <v>0</v>
      </c>
      <c r="N1452">
        <v>162642</v>
      </c>
      <c r="O1452">
        <v>0</v>
      </c>
      <c r="P1452">
        <v>0</v>
      </c>
      <c r="Q1452">
        <v>44</v>
      </c>
      <c r="R1452">
        <v>3</v>
      </c>
      <c r="S1452">
        <v>0</v>
      </c>
      <c r="T1452">
        <v>0</v>
      </c>
      <c r="U1452">
        <v>4</v>
      </c>
    </row>
    <row r="1453" spans="1:21" x14ac:dyDescent="0.35">
      <c r="A1453" t="s">
        <v>26</v>
      </c>
      <c r="B1453" s="1">
        <v>44303</v>
      </c>
      <c r="C1453" t="s">
        <v>23</v>
      </c>
      <c r="D1453">
        <v>55.3</v>
      </c>
      <c r="E1453">
        <v>3</v>
      </c>
      <c r="F1453">
        <v>0</v>
      </c>
      <c r="G1453">
        <v>18.399999999999999</v>
      </c>
      <c r="H1453">
        <v>0</v>
      </c>
      <c r="I1453">
        <v>0</v>
      </c>
      <c r="J1453">
        <v>0</v>
      </c>
      <c r="K1453">
        <v>0</v>
      </c>
      <c r="L1453">
        <v>0</v>
      </c>
      <c r="M1453">
        <v>0</v>
      </c>
      <c r="N1453">
        <v>186304</v>
      </c>
      <c r="O1453">
        <v>101585</v>
      </c>
      <c r="P1453">
        <v>0</v>
      </c>
      <c r="Q1453">
        <v>103</v>
      </c>
      <c r="R1453">
        <v>3</v>
      </c>
      <c r="S1453">
        <v>0</v>
      </c>
      <c r="T1453">
        <v>50</v>
      </c>
      <c r="U1453">
        <v>64</v>
      </c>
    </row>
    <row r="1454" spans="1:21" x14ac:dyDescent="0.35">
      <c r="A1454" t="s">
        <v>28</v>
      </c>
      <c r="B1454" s="1">
        <v>44408</v>
      </c>
      <c r="C1454" t="s">
        <v>32</v>
      </c>
      <c r="D1454">
        <v>40.6</v>
      </c>
      <c r="E1454">
        <v>0</v>
      </c>
      <c r="F1454">
        <v>0</v>
      </c>
      <c r="G1454">
        <v>0</v>
      </c>
      <c r="H1454">
        <v>0</v>
      </c>
      <c r="I1454">
        <v>0</v>
      </c>
      <c r="J1454">
        <v>0</v>
      </c>
      <c r="K1454">
        <v>0</v>
      </c>
      <c r="L1454">
        <v>0</v>
      </c>
      <c r="M1454">
        <v>0</v>
      </c>
      <c r="N1454">
        <v>162642</v>
      </c>
      <c r="O1454">
        <v>0</v>
      </c>
      <c r="P1454">
        <v>0</v>
      </c>
      <c r="Q1454">
        <v>66</v>
      </c>
      <c r="R1454">
        <v>0</v>
      </c>
      <c r="S1454">
        <v>0</v>
      </c>
      <c r="T1454">
        <v>0</v>
      </c>
      <c r="U1454">
        <v>4</v>
      </c>
    </row>
    <row r="1455" spans="1:21" x14ac:dyDescent="0.35">
      <c r="A1455" t="s">
        <v>21</v>
      </c>
      <c r="B1455" s="1">
        <v>44408</v>
      </c>
      <c r="C1455" t="s">
        <v>22</v>
      </c>
      <c r="D1455">
        <v>1.3</v>
      </c>
      <c r="E1455">
        <v>0.1</v>
      </c>
      <c r="F1455">
        <v>0</v>
      </c>
      <c r="G1455">
        <v>13</v>
      </c>
      <c r="H1455">
        <v>0</v>
      </c>
      <c r="I1455">
        <v>1.9</v>
      </c>
      <c r="J1455">
        <v>0.1</v>
      </c>
      <c r="K1455">
        <v>0</v>
      </c>
      <c r="L1455">
        <v>17.5</v>
      </c>
      <c r="M1455">
        <v>0</v>
      </c>
      <c r="N1455">
        <v>1148000</v>
      </c>
      <c r="O1455">
        <v>1398829</v>
      </c>
      <c r="P1455">
        <v>0</v>
      </c>
      <c r="Q1455">
        <v>15</v>
      </c>
      <c r="R1455">
        <v>2</v>
      </c>
      <c r="S1455">
        <v>0</v>
      </c>
      <c r="T1455">
        <v>999</v>
      </c>
      <c r="U1455">
        <v>999</v>
      </c>
    </row>
    <row r="1456" spans="1:21" x14ac:dyDescent="0.35">
      <c r="A1456" t="s">
        <v>28</v>
      </c>
      <c r="B1456" s="1">
        <v>44408</v>
      </c>
      <c r="C1456" t="s">
        <v>24</v>
      </c>
      <c r="D1456">
        <v>50.8</v>
      </c>
      <c r="E1456">
        <v>0</v>
      </c>
      <c r="F1456">
        <v>0</v>
      </c>
      <c r="G1456">
        <v>0</v>
      </c>
      <c r="H1456">
        <v>0</v>
      </c>
      <c r="I1456">
        <v>0</v>
      </c>
      <c r="J1456">
        <v>0</v>
      </c>
      <c r="K1456">
        <v>0</v>
      </c>
      <c r="L1456">
        <v>0</v>
      </c>
      <c r="M1456">
        <v>0</v>
      </c>
      <c r="N1456">
        <v>210448</v>
      </c>
      <c r="O1456">
        <v>0</v>
      </c>
      <c r="P1456">
        <v>0</v>
      </c>
      <c r="Q1456">
        <v>107</v>
      </c>
      <c r="R1456">
        <v>0</v>
      </c>
      <c r="S1456">
        <v>0</v>
      </c>
      <c r="T1456">
        <v>5</v>
      </c>
      <c r="U1456">
        <v>11</v>
      </c>
    </row>
    <row r="1457" spans="1:21" x14ac:dyDescent="0.35">
      <c r="A1457" t="s">
        <v>26</v>
      </c>
      <c r="B1457" s="1">
        <v>44808</v>
      </c>
      <c r="C1457" t="s">
        <v>22</v>
      </c>
      <c r="D1457">
        <v>3.5</v>
      </c>
      <c r="E1457">
        <v>2.1</v>
      </c>
      <c r="F1457">
        <v>2.9</v>
      </c>
      <c r="G1457">
        <v>1.7</v>
      </c>
      <c r="H1457">
        <v>1.2</v>
      </c>
      <c r="I1457">
        <v>4.7</v>
      </c>
      <c r="J1457">
        <v>2.8</v>
      </c>
      <c r="K1457">
        <v>2.1</v>
      </c>
      <c r="L1457">
        <v>1.7</v>
      </c>
      <c r="M1457">
        <v>2.2000000000000002</v>
      </c>
      <c r="N1457">
        <v>655822</v>
      </c>
      <c r="O1457">
        <v>898944</v>
      </c>
      <c r="P1457">
        <v>937807</v>
      </c>
      <c r="Q1457">
        <v>23</v>
      </c>
      <c r="R1457">
        <v>19</v>
      </c>
      <c r="S1457">
        <v>27</v>
      </c>
      <c r="T1457">
        <v>999</v>
      </c>
      <c r="U1457">
        <v>999</v>
      </c>
    </row>
    <row r="1458" spans="1:21" x14ac:dyDescent="0.35">
      <c r="A1458" t="s">
        <v>28</v>
      </c>
      <c r="B1458" s="1">
        <v>44843</v>
      </c>
      <c r="C1458" t="s">
        <v>31</v>
      </c>
      <c r="D1458">
        <v>129.80000000000001</v>
      </c>
      <c r="E1458">
        <v>117.1</v>
      </c>
      <c r="F1458">
        <v>124.5</v>
      </c>
      <c r="G1458">
        <v>1.1000000000000001</v>
      </c>
      <c r="H1458">
        <v>1</v>
      </c>
      <c r="I1458">
        <v>0</v>
      </c>
      <c r="J1458">
        <v>0</v>
      </c>
      <c r="K1458">
        <v>0</v>
      </c>
      <c r="L1458">
        <v>0</v>
      </c>
      <c r="M1458">
        <v>0</v>
      </c>
      <c r="N1458">
        <v>45457</v>
      </c>
      <c r="O1458">
        <v>43539</v>
      </c>
      <c r="P1458">
        <v>171141</v>
      </c>
      <c r="Q1458">
        <v>59</v>
      </c>
      <c r="R1458">
        <v>51</v>
      </c>
      <c r="S1458">
        <v>213</v>
      </c>
      <c r="T1458">
        <v>65</v>
      </c>
      <c r="U1458">
        <v>79</v>
      </c>
    </row>
    <row r="1459" spans="1:21" x14ac:dyDescent="0.35">
      <c r="A1459" t="s">
        <v>21</v>
      </c>
      <c r="B1459" s="1">
        <v>44737</v>
      </c>
      <c r="C1459" t="s">
        <v>30</v>
      </c>
      <c r="D1459">
        <v>3.8</v>
      </c>
      <c r="E1459">
        <v>8.1</v>
      </c>
      <c r="F1459">
        <v>2.2000000000000002</v>
      </c>
      <c r="G1459">
        <v>0.5</v>
      </c>
      <c r="H1459">
        <v>1.7</v>
      </c>
      <c r="I1459">
        <v>0</v>
      </c>
      <c r="J1459">
        <v>0</v>
      </c>
      <c r="K1459">
        <v>0</v>
      </c>
      <c r="L1459">
        <v>0</v>
      </c>
      <c r="M1459">
        <v>0</v>
      </c>
      <c r="N1459">
        <v>26485</v>
      </c>
      <c r="O1459">
        <v>12274</v>
      </c>
      <c r="P1459">
        <v>45782</v>
      </c>
      <c r="Q1459">
        <v>1</v>
      </c>
      <c r="R1459">
        <v>1</v>
      </c>
      <c r="S1459">
        <v>1</v>
      </c>
      <c r="T1459">
        <v>80</v>
      </c>
      <c r="U1459">
        <v>200</v>
      </c>
    </row>
    <row r="1460" spans="1:21" x14ac:dyDescent="0.35">
      <c r="A1460" t="s">
        <v>26</v>
      </c>
      <c r="B1460" s="1">
        <v>45045</v>
      </c>
      <c r="C1460" t="s">
        <v>29</v>
      </c>
      <c r="D1460">
        <v>5.5</v>
      </c>
      <c r="E1460">
        <v>1.4</v>
      </c>
      <c r="F1460">
        <v>0.9</v>
      </c>
      <c r="G1460">
        <v>3.9</v>
      </c>
      <c r="H1460">
        <v>6.1</v>
      </c>
      <c r="I1460">
        <v>0</v>
      </c>
      <c r="J1460">
        <v>0</v>
      </c>
      <c r="K1460">
        <v>0</v>
      </c>
      <c r="L1460">
        <v>0</v>
      </c>
      <c r="M1460">
        <v>0</v>
      </c>
      <c r="N1460">
        <v>109218</v>
      </c>
      <c r="O1460">
        <v>278370</v>
      </c>
      <c r="P1460">
        <v>347292</v>
      </c>
      <c r="Q1460">
        <v>6</v>
      </c>
      <c r="R1460">
        <v>4</v>
      </c>
      <c r="S1460">
        <v>3</v>
      </c>
      <c r="T1460">
        <v>30</v>
      </c>
      <c r="U1460">
        <v>49</v>
      </c>
    </row>
    <row r="1461" spans="1:21" x14ac:dyDescent="0.35">
      <c r="A1461" t="s">
        <v>28</v>
      </c>
      <c r="B1461" s="1">
        <v>44385</v>
      </c>
      <c r="C1461" t="s">
        <v>32</v>
      </c>
      <c r="D1461">
        <v>55.3</v>
      </c>
      <c r="E1461">
        <v>0</v>
      </c>
      <c r="F1461">
        <v>0</v>
      </c>
      <c r="G1461">
        <v>0</v>
      </c>
      <c r="H1461">
        <v>0</v>
      </c>
      <c r="I1461">
        <v>0</v>
      </c>
      <c r="J1461">
        <v>0</v>
      </c>
      <c r="K1461">
        <v>0</v>
      </c>
      <c r="L1461">
        <v>0</v>
      </c>
      <c r="M1461">
        <v>0</v>
      </c>
      <c r="N1461">
        <v>162642</v>
      </c>
      <c r="O1461">
        <v>0</v>
      </c>
      <c r="P1461">
        <v>0</v>
      </c>
      <c r="Q1461">
        <v>90</v>
      </c>
      <c r="R1461">
        <v>0</v>
      </c>
      <c r="S1461">
        <v>0</v>
      </c>
      <c r="T1461">
        <v>0</v>
      </c>
      <c r="U1461">
        <v>4</v>
      </c>
    </row>
    <row r="1462" spans="1:21" x14ac:dyDescent="0.35">
      <c r="A1462" t="s">
        <v>26</v>
      </c>
      <c r="B1462" s="1">
        <v>44919</v>
      </c>
      <c r="C1462" t="s">
        <v>30</v>
      </c>
      <c r="D1462">
        <v>48.3</v>
      </c>
      <c r="E1462">
        <v>149.5</v>
      </c>
      <c r="F1462">
        <v>106.1</v>
      </c>
      <c r="G1462">
        <v>0.3</v>
      </c>
      <c r="H1462">
        <v>0.5</v>
      </c>
      <c r="I1462">
        <v>0</v>
      </c>
      <c r="J1462">
        <v>0</v>
      </c>
      <c r="K1462">
        <v>0</v>
      </c>
      <c r="L1462">
        <v>0</v>
      </c>
      <c r="M1462">
        <v>0</v>
      </c>
      <c r="N1462">
        <v>24842</v>
      </c>
      <c r="O1462">
        <v>11369</v>
      </c>
      <c r="P1462">
        <v>47114</v>
      </c>
      <c r="Q1462">
        <v>12</v>
      </c>
      <c r="R1462">
        <v>17</v>
      </c>
      <c r="S1462">
        <v>50</v>
      </c>
      <c r="T1462">
        <v>80</v>
      </c>
      <c r="U1462">
        <v>200</v>
      </c>
    </row>
    <row r="1463" spans="1:21" x14ac:dyDescent="0.35">
      <c r="A1463" t="s">
        <v>28</v>
      </c>
      <c r="B1463" s="1">
        <v>44464</v>
      </c>
      <c r="C1463" t="s">
        <v>29</v>
      </c>
      <c r="D1463">
        <v>197.1</v>
      </c>
      <c r="E1463">
        <v>70.599999999999994</v>
      </c>
      <c r="F1463">
        <v>0</v>
      </c>
      <c r="G1463">
        <v>2.8</v>
      </c>
      <c r="H1463">
        <v>0</v>
      </c>
      <c r="I1463">
        <v>0</v>
      </c>
      <c r="J1463">
        <v>0</v>
      </c>
      <c r="K1463">
        <v>0</v>
      </c>
      <c r="L1463">
        <v>0</v>
      </c>
      <c r="M1463">
        <v>0</v>
      </c>
      <c r="N1463">
        <v>223214</v>
      </c>
      <c r="O1463">
        <v>528608</v>
      </c>
      <c r="P1463">
        <v>0</v>
      </c>
      <c r="Q1463">
        <v>440</v>
      </c>
      <c r="R1463">
        <v>373</v>
      </c>
      <c r="S1463">
        <v>0</v>
      </c>
      <c r="T1463">
        <v>30</v>
      </c>
      <c r="U1463">
        <v>49</v>
      </c>
    </row>
    <row r="1464" spans="1:21" x14ac:dyDescent="0.35">
      <c r="A1464" t="s">
        <v>28</v>
      </c>
      <c r="B1464" s="1">
        <v>45101</v>
      </c>
      <c r="C1464" t="s">
        <v>29</v>
      </c>
      <c r="D1464">
        <v>15.7</v>
      </c>
      <c r="E1464">
        <v>4.3</v>
      </c>
      <c r="F1464">
        <v>10.1</v>
      </c>
      <c r="G1464">
        <v>3.7</v>
      </c>
      <c r="H1464">
        <v>1.6</v>
      </c>
      <c r="I1464">
        <v>0</v>
      </c>
      <c r="J1464">
        <v>0</v>
      </c>
      <c r="K1464">
        <v>0</v>
      </c>
      <c r="L1464">
        <v>0</v>
      </c>
      <c r="M1464">
        <v>0</v>
      </c>
      <c r="N1464">
        <v>108055</v>
      </c>
      <c r="O1464">
        <v>278401</v>
      </c>
      <c r="P1464">
        <v>347307</v>
      </c>
      <c r="Q1464">
        <v>17</v>
      </c>
      <c r="R1464">
        <v>12</v>
      </c>
      <c r="S1464">
        <v>35</v>
      </c>
      <c r="T1464">
        <v>30</v>
      </c>
      <c r="U1464">
        <v>49</v>
      </c>
    </row>
    <row r="1465" spans="1:21" x14ac:dyDescent="0.35">
      <c r="A1465" t="s">
        <v>28</v>
      </c>
      <c r="B1465" s="1">
        <v>44385</v>
      </c>
      <c r="C1465" t="s">
        <v>24</v>
      </c>
      <c r="D1465">
        <v>80.3</v>
      </c>
      <c r="E1465">
        <v>0</v>
      </c>
      <c r="F1465">
        <v>0</v>
      </c>
      <c r="G1465">
        <v>0</v>
      </c>
      <c r="H1465">
        <v>0</v>
      </c>
      <c r="I1465">
        <v>0</v>
      </c>
      <c r="J1465">
        <v>0</v>
      </c>
      <c r="K1465">
        <v>0</v>
      </c>
      <c r="L1465">
        <v>0</v>
      </c>
      <c r="M1465">
        <v>0</v>
      </c>
      <c r="N1465">
        <v>210448</v>
      </c>
      <c r="O1465">
        <v>0</v>
      </c>
      <c r="P1465">
        <v>0</v>
      </c>
      <c r="Q1465">
        <v>169</v>
      </c>
      <c r="R1465">
        <v>0</v>
      </c>
      <c r="S1465">
        <v>0</v>
      </c>
      <c r="T1465">
        <v>5</v>
      </c>
      <c r="U1465">
        <v>11</v>
      </c>
    </row>
    <row r="1466" spans="1:21" x14ac:dyDescent="0.35">
      <c r="A1466" t="s">
        <v>28</v>
      </c>
      <c r="B1466" s="1">
        <v>44871</v>
      </c>
      <c r="C1466" t="s">
        <v>30</v>
      </c>
      <c r="D1466">
        <v>105.5</v>
      </c>
      <c r="E1466">
        <v>248.7</v>
      </c>
      <c r="F1466">
        <v>189</v>
      </c>
      <c r="G1466">
        <v>0.4</v>
      </c>
      <c r="H1466">
        <v>0.6</v>
      </c>
      <c r="I1466">
        <v>0</v>
      </c>
      <c r="J1466">
        <v>0</v>
      </c>
      <c r="K1466">
        <v>0</v>
      </c>
      <c r="L1466">
        <v>0</v>
      </c>
      <c r="M1466">
        <v>0</v>
      </c>
      <c r="N1466">
        <v>26548</v>
      </c>
      <c r="O1466">
        <v>12467</v>
      </c>
      <c r="P1466">
        <v>45506</v>
      </c>
      <c r="Q1466">
        <v>28</v>
      </c>
      <c r="R1466">
        <v>31</v>
      </c>
      <c r="S1466">
        <v>86</v>
      </c>
      <c r="T1466">
        <v>80</v>
      </c>
      <c r="U1466">
        <v>200</v>
      </c>
    </row>
    <row r="1467" spans="1:21" x14ac:dyDescent="0.35">
      <c r="A1467" t="s">
        <v>21</v>
      </c>
      <c r="B1467" s="1">
        <v>45199</v>
      </c>
      <c r="C1467" t="s">
        <v>30</v>
      </c>
      <c r="D1467">
        <v>4.0999999999999996</v>
      </c>
      <c r="E1467">
        <v>8.8000000000000007</v>
      </c>
      <c r="F1467">
        <v>0</v>
      </c>
      <c r="G1467">
        <v>0.5</v>
      </c>
      <c r="H1467">
        <v>0</v>
      </c>
      <c r="I1467">
        <v>0</v>
      </c>
      <c r="J1467">
        <v>0</v>
      </c>
      <c r="K1467">
        <v>0</v>
      </c>
      <c r="L1467">
        <v>0</v>
      </c>
      <c r="M1467">
        <v>0</v>
      </c>
      <c r="N1467">
        <v>24398</v>
      </c>
      <c r="O1467">
        <v>11382</v>
      </c>
      <c r="P1467">
        <v>47134</v>
      </c>
      <c r="Q1467">
        <v>1</v>
      </c>
      <c r="R1467">
        <v>1</v>
      </c>
      <c r="S1467">
        <v>0</v>
      </c>
      <c r="T1467">
        <v>80</v>
      </c>
      <c r="U1467">
        <v>200</v>
      </c>
    </row>
    <row r="1468" spans="1:21" x14ac:dyDescent="0.35">
      <c r="A1468" t="s">
        <v>21</v>
      </c>
      <c r="B1468" s="1">
        <v>44646</v>
      </c>
      <c r="C1468" t="s">
        <v>25</v>
      </c>
      <c r="D1468">
        <v>0</v>
      </c>
      <c r="E1468">
        <v>0</v>
      </c>
      <c r="F1468">
        <v>0</v>
      </c>
      <c r="G1468">
        <v>0</v>
      </c>
      <c r="H1468">
        <v>0</v>
      </c>
      <c r="I1468">
        <v>0</v>
      </c>
      <c r="J1468">
        <v>0</v>
      </c>
      <c r="K1468">
        <v>0</v>
      </c>
      <c r="L1468">
        <v>0</v>
      </c>
      <c r="M1468">
        <v>0</v>
      </c>
      <c r="N1468">
        <v>99220</v>
      </c>
      <c r="O1468">
        <v>220462</v>
      </c>
      <c r="P1468">
        <v>145029</v>
      </c>
      <c r="Q1468">
        <v>0</v>
      </c>
      <c r="R1468">
        <v>0</v>
      </c>
      <c r="S1468">
        <v>0</v>
      </c>
      <c r="T1468">
        <v>18</v>
      </c>
      <c r="U1468">
        <v>29</v>
      </c>
    </row>
    <row r="1469" spans="1:21" x14ac:dyDescent="0.35">
      <c r="A1469" t="s">
        <v>28</v>
      </c>
      <c r="B1469" s="1">
        <v>44422</v>
      </c>
      <c r="C1469" t="s">
        <v>32</v>
      </c>
      <c r="D1469">
        <v>63.9</v>
      </c>
      <c r="E1469">
        <v>0</v>
      </c>
      <c r="F1469">
        <v>0</v>
      </c>
      <c r="G1469">
        <v>0</v>
      </c>
      <c r="H1469">
        <v>0</v>
      </c>
      <c r="I1469">
        <v>0</v>
      </c>
      <c r="J1469">
        <v>0</v>
      </c>
      <c r="K1469">
        <v>0</v>
      </c>
      <c r="L1469">
        <v>0</v>
      </c>
      <c r="M1469">
        <v>0</v>
      </c>
      <c r="N1469">
        <v>162642</v>
      </c>
      <c r="O1469">
        <v>0</v>
      </c>
      <c r="P1469">
        <v>0</v>
      </c>
      <c r="Q1469">
        <v>104</v>
      </c>
      <c r="R1469">
        <v>0</v>
      </c>
      <c r="S1469">
        <v>0</v>
      </c>
      <c r="T1469">
        <v>0</v>
      </c>
      <c r="U1469">
        <v>4</v>
      </c>
    </row>
    <row r="1470" spans="1:21" x14ac:dyDescent="0.35">
      <c r="A1470" t="s">
        <v>26</v>
      </c>
      <c r="B1470" s="1">
        <v>44295</v>
      </c>
      <c r="C1470" t="s">
        <v>23</v>
      </c>
      <c r="D1470">
        <v>57.6</v>
      </c>
      <c r="E1470">
        <v>4.9000000000000004</v>
      </c>
      <c r="F1470">
        <v>0</v>
      </c>
      <c r="G1470">
        <v>11.8</v>
      </c>
      <c r="H1470">
        <v>0</v>
      </c>
      <c r="I1470">
        <v>0</v>
      </c>
      <c r="J1470">
        <v>0</v>
      </c>
      <c r="K1470">
        <v>0</v>
      </c>
      <c r="L1470">
        <v>0</v>
      </c>
      <c r="M1470">
        <v>0</v>
      </c>
      <c r="N1470">
        <v>86807</v>
      </c>
      <c r="O1470">
        <v>323733</v>
      </c>
      <c r="P1470">
        <v>0</v>
      </c>
      <c r="Q1470">
        <v>50</v>
      </c>
      <c r="R1470">
        <v>16</v>
      </c>
      <c r="S1470">
        <v>0</v>
      </c>
      <c r="T1470">
        <v>50</v>
      </c>
      <c r="U1470">
        <v>64</v>
      </c>
    </row>
    <row r="1471" spans="1:21" x14ac:dyDescent="0.35">
      <c r="A1471" t="s">
        <v>21</v>
      </c>
      <c r="B1471" s="1">
        <v>44897</v>
      </c>
      <c r="C1471" t="s">
        <v>30</v>
      </c>
      <c r="D1471">
        <v>44</v>
      </c>
      <c r="E1471">
        <v>25.8</v>
      </c>
      <c r="F1471">
        <v>9.6999999999999993</v>
      </c>
      <c r="G1471">
        <v>1.7</v>
      </c>
      <c r="H1471">
        <v>4.5</v>
      </c>
      <c r="I1471">
        <v>0</v>
      </c>
      <c r="J1471">
        <v>0</v>
      </c>
      <c r="K1471">
        <v>0</v>
      </c>
      <c r="L1471">
        <v>0</v>
      </c>
      <c r="M1471">
        <v>0</v>
      </c>
      <c r="N1471">
        <v>27303</v>
      </c>
      <c r="O1471">
        <v>15497</v>
      </c>
      <c r="P1471">
        <v>41310</v>
      </c>
      <c r="Q1471">
        <v>12</v>
      </c>
      <c r="R1471">
        <v>4</v>
      </c>
      <c r="S1471">
        <v>4</v>
      </c>
      <c r="T1471">
        <v>80</v>
      </c>
      <c r="U1471">
        <v>200</v>
      </c>
    </row>
    <row r="1472" spans="1:21" x14ac:dyDescent="0.35">
      <c r="A1472" t="s">
        <v>21</v>
      </c>
      <c r="B1472" s="1">
        <v>44394</v>
      </c>
      <c r="C1472" t="s">
        <v>29</v>
      </c>
      <c r="D1472">
        <v>0</v>
      </c>
      <c r="E1472">
        <v>0</v>
      </c>
      <c r="F1472">
        <v>0</v>
      </c>
      <c r="G1472">
        <v>0</v>
      </c>
      <c r="H1472">
        <v>0</v>
      </c>
      <c r="I1472">
        <v>0</v>
      </c>
      <c r="J1472">
        <v>0</v>
      </c>
      <c r="K1472">
        <v>0</v>
      </c>
      <c r="L1472">
        <v>0</v>
      </c>
      <c r="M1472">
        <v>0</v>
      </c>
      <c r="N1472">
        <v>277043</v>
      </c>
      <c r="O1472">
        <v>487172</v>
      </c>
      <c r="P1472">
        <v>0</v>
      </c>
      <c r="Q1472">
        <v>0</v>
      </c>
      <c r="R1472">
        <v>0</v>
      </c>
      <c r="S1472">
        <v>0</v>
      </c>
      <c r="T1472">
        <v>30</v>
      </c>
      <c r="U1472">
        <v>49</v>
      </c>
    </row>
    <row r="1473" spans="1:21" x14ac:dyDescent="0.35">
      <c r="A1473" t="s">
        <v>28</v>
      </c>
      <c r="B1473" s="1">
        <v>44599</v>
      </c>
      <c r="C1473" t="s">
        <v>27</v>
      </c>
      <c r="D1473">
        <v>158.9</v>
      </c>
      <c r="E1473">
        <v>69.8</v>
      </c>
      <c r="F1473">
        <v>171.5</v>
      </c>
      <c r="G1473">
        <v>2.2999999999999998</v>
      </c>
      <c r="H1473">
        <v>0.9</v>
      </c>
      <c r="I1473">
        <v>0</v>
      </c>
      <c r="J1473">
        <v>0</v>
      </c>
      <c r="K1473">
        <v>0</v>
      </c>
      <c r="L1473">
        <v>0</v>
      </c>
      <c r="M1473">
        <v>0</v>
      </c>
      <c r="N1473">
        <v>36490</v>
      </c>
      <c r="O1473">
        <v>91639</v>
      </c>
      <c r="P1473">
        <v>37326</v>
      </c>
      <c r="Q1473">
        <v>58</v>
      </c>
      <c r="R1473">
        <v>64</v>
      </c>
      <c r="S1473">
        <v>64</v>
      </c>
      <c r="T1473">
        <v>12</v>
      </c>
      <c r="U1473">
        <v>17</v>
      </c>
    </row>
    <row r="1474" spans="1:21" x14ac:dyDescent="0.35">
      <c r="A1474" t="s">
        <v>21</v>
      </c>
      <c r="B1474" s="1">
        <v>44772</v>
      </c>
      <c r="C1474" t="s">
        <v>22</v>
      </c>
      <c r="D1474">
        <v>0.8</v>
      </c>
      <c r="E1474">
        <v>0.1</v>
      </c>
      <c r="F1474">
        <v>0.6</v>
      </c>
      <c r="G1474">
        <v>8</v>
      </c>
      <c r="H1474">
        <v>1.3</v>
      </c>
      <c r="I1474">
        <v>1.4</v>
      </c>
      <c r="J1474">
        <v>0.3</v>
      </c>
      <c r="K1474">
        <v>0.4</v>
      </c>
      <c r="L1474">
        <v>4.8</v>
      </c>
      <c r="M1474">
        <v>3.5</v>
      </c>
      <c r="N1474">
        <v>617241</v>
      </c>
      <c r="O1474">
        <v>853308</v>
      </c>
      <c r="P1474">
        <v>1009629</v>
      </c>
      <c r="Q1474">
        <v>5</v>
      </c>
      <c r="R1474">
        <v>1</v>
      </c>
      <c r="S1474">
        <v>6</v>
      </c>
      <c r="T1474">
        <v>999</v>
      </c>
      <c r="U1474">
        <v>999</v>
      </c>
    </row>
    <row r="1475" spans="1:21" x14ac:dyDescent="0.35">
      <c r="A1475" t="s">
        <v>21</v>
      </c>
      <c r="B1475" s="1">
        <v>44476</v>
      </c>
      <c r="C1475" t="s">
        <v>30</v>
      </c>
      <c r="D1475">
        <v>9</v>
      </c>
      <c r="E1475">
        <v>0</v>
      </c>
      <c r="F1475">
        <v>0</v>
      </c>
      <c r="G1475">
        <v>0</v>
      </c>
      <c r="H1475">
        <v>0</v>
      </c>
      <c r="I1475">
        <v>0</v>
      </c>
      <c r="J1475">
        <v>0</v>
      </c>
      <c r="K1475">
        <v>0</v>
      </c>
      <c r="L1475">
        <v>0</v>
      </c>
      <c r="M1475">
        <v>0</v>
      </c>
      <c r="N1475">
        <v>33207</v>
      </c>
      <c r="O1475">
        <v>51643</v>
      </c>
      <c r="P1475">
        <v>0</v>
      </c>
      <c r="Q1475">
        <v>3</v>
      </c>
      <c r="R1475">
        <v>0</v>
      </c>
      <c r="S1475">
        <v>0</v>
      </c>
      <c r="T1475">
        <v>80</v>
      </c>
      <c r="U1475">
        <v>200</v>
      </c>
    </row>
    <row r="1476" spans="1:21" x14ac:dyDescent="0.35">
      <c r="A1476" t="s">
        <v>28</v>
      </c>
      <c r="B1476" s="1">
        <v>44429</v>
      </c>
      <c r="C1476" t="s">
        <v>32</v>
      </c>
      <c r="D1476">
        <v>58.4</v>
      </c>
      <c r="E1476">
        <v>0</v>
      </c>
      <c r="F1476">
        <v>0</v>
      </c>
      <c r="G1476">
        <v>0</v>
      </c>
      <c r="H1476">
        <v>0</v>
      </c>
      <c r="I1476">
        <v>0</v>
      </c>
      <c r="J1476">
        <v>0</v>
      </c>
      <c r="K1476">
        <v>0</v>
      </c>
      <c r="L1476">
        <v>0</v>
      </c>
      <c r="M1476">
        <v>0</v>
      </c>
      <c r="N1476">
        <v>162642</v>
      </c>
      <c r="O1476">
        <v>0</v>
      </c>
      <c r="P1476">
        <v>0</v>
      </c>
      <c r="Q1476">
        <v>95</v>
      </c>
      <c r="R1476">
        <v>0</v>
      </c>
      <c r="S1476">
        <v>0</v>
      </c>
      <c r="T1476">
        <v>0</v>
      </c>
      <c r="U1476">
        <v>4</v>
      </c>
    </row>
    <row r="1477" spans="1:21" x14ac:dyDescent="0.35">
      <c r="A1477" t="s">
        <v>21</v>
      </c>
      <c r="B1477" s="1">
        <v>44303</v>
      </c>
      <c r="C1477" t="s">
        <v>25</v>
      </c>
      <c r="D1477">
        <v>0.6</v>
      </c>
      <c r="E1477">
        <v>0</v>
      </c>
      <c r="F1477">
        <v>0</v>
      </c>
      <c r="G1477">
        <v>0</v>
      </c>
      <c r="H1477">
        <v>0</v>
      </c>
      <c r="I1477">
        <v>0</v>
      </c>
      <c r="J1477">
        <v>0</v>
      </c>
      <c r="K1477">
        <v>0</v>
      </c>
      <c r="L1477">
        <v>0</v>
      </c>
      <c r="M1477">
        <v>0</v>
      </c>
      <c r="N1477">
        <v>327658</v>
      </c>
      <c r="O1477">
        <v>65029</v>
      </c>
      <c r="P1477">
        <v>0</v>
      </c>
      <c r="Q1477">
        <v>2</v>
      </c>
      <c r="R1477">
        <v>0</v>
      </c>
      <c r="S1477">
        <v>0</v>
      </c>
      <c r="T1477">
        <v>18</v>
      </c>
      <c r="U1477">
        <v>29</v>
      </c>
    </row>
    <row r="1478" spans="1:21" x14ac:dyDescent="0.35">
      <c r="A1478" t="s">
        <v>26</v>
      </c>
      <c r="B1478" s="1">
        <v>44611</v>
      </c>
      <c r="C1478" t="s">
        <v>31</v>
      </c>
      <c r="D1478">
        <v>24.4</v>
      </c>
      <c r="E1478">
        <v>26.6</v>
      </c>
      <c r="F1478">
        <v>7.8</v>
      </c>
      <c r="G1478">
        <v>0.9</v>
      </c>
      <c r="H1478">
        <v>3.1</v>
      </c>
      <c r="I1478">
        <v>0</v>
      </c>
      <c r="J1478">
        <v>0</v>
      </c>
      <c r="K1478">
        <v>0</v>
      </c>
      <c r="L1478">
        <v>0</v>
      </c>
      <c r="M1478">
        <v>0</v>
      </c>
      <c r="N1478">
        <v>49241</v>
      </c>
      <c r="O1478">
        <v>56313</v>
      </c>
      <c r="P1478">
        <v>153089</v>
      </c>
      <c r="Q1478">
        <v>12</v>
      </c>
      <c r="R1478">
        <v>15</v>
      </c>
      <c r="S1478">
        <v>12</v>
      </c>
      <c r="T1478">
        <v>65</v>
      </c>
      <c r="U1478">
        <v>79</v>
      </c>
    </row>
    <row r="1479" spans="1:21" x14ac:dyDescent="0.35">
      <c r="A1479" t="s">
        <v>21</v>
      </c>
      <c r="B1479" s="1">
        <v>44576</v>
      </c>
      <c r="C1479" t="s">
        <v>23</v>
      </c>
      <c r="D1479">
        <v>41.7</v>
      </c>
      <c r="E1479">
        <v>3.8</v>
      </c>
      <c r="F1479">
        <v>1.2</v>
      </c>
      <c r="G1479">
        <v>11</v>
      </c>
      <c r="H1479">
        <v>34.799999999999997</v>
      </c>
      <c r="I1479">
        <v>0</v>
      </c>
      <c r="J1479">
        <v>0</v>
      </c>
      <c r="K1479">
        <v>0</v>
      </c>
      <c r="L1479">
        <v>0</v>
      </c>
      <c r="M1479">
        <v>0</v>
      </c>
      <c r="N1479">
        <v>52767</v>
      </c>
      <c r="O1479">
        <v>184203</v>
      </c>
      <c r="P1479">
        <v>171854</v>
      </c>
      <c r="Q1479">
        <v>22</v>
      </c>
      <c r="R1479">
        <v>7</v>
      </c>
      <c r="S1479">
        <v>2</v>
      </c>
      <c r="T1479">
        <v>50</v>
      </c>
      <c r="U1479">
        <v>64</v>
      </c>
    </row>
    <row r="1480" spans="1:21" x14ac:dyDescent="0.35">
      <c r="A1480" t="s">
        <v>26</v>
      </c>
      <c r="B1480" s="1">
        <v>45073</v>
      </c>
      <c r="C1480" t="s">
        <v>22</v>
      </c>
      <c r="D1480">
        <v>1.7</v>
      </c>
      <c r="E1480">
        <v>0.9</v>
      </c>
      <c r="F1480">
        <v>2.6</v>
      </c>
      <c r="G1480">
        <v>1.9</v>
      </c>
      <c r="H1480">
        <v>0.7</v>
      </c>
      <c r="I1480">
        <v>1.9</v>
      </c>
      <c r="J1480">
        <v>1.4</v>
      </c>
      <c r="K1480">
        <v>1.7</v>
      </c>
      <c r="L1480">
        <v>1.4</v>
      </c>
      <c r="M1480">
        <v>1.1000000000000001</v>
      </c>
      <c r="N1480">
        <v>535220</v>
      </c>
      <c r="O1480">
        <v>860357</v>
      </c>
      <c r="P1480">
        <v>1040665</v>
      </c>
      <c r="Q1480">
        <v>9</v>
      </c>
      <c r="R1480">
        <v>8</v>
      </c>
      <c r="S1480">
        <v>27</v>
      </c>
      <c r="T1480">
        <v>999</v>
      </c>
      <c r="U1480">
        <v>999</v>
      </c>
    </row>
    <row r="1481" spans="1:21" x14ac:dyDescent="0.35">
      <c r="A1481" t="s">
        <v>28</v>
      </c>
      <c r="B1481" s="1">
        <v>44590</v>
      </c>
      <c r="C1481" t="s">
        <v>25</v>
      </c>
      <c r="D1481">
        <v>430.2</v>
      </c>
      <c r="E1481">
        <v>189.9</v>
      </c>
      <c r="F1481">
        <v>273.39999999999998</v>
      </c>
      <c r="G1481">
        <v>2.2999999999999998</v>
      </c>
      <c r="H1481">
        <v>1.6</v>
      </c>
      <c r="I1481">
        <v>0</v>
      </c>
      <c r="J1481">
        <v>0</v>
      </c>
      <c r="K1481">
        <v>0</v>
      </c>
      <c r="L1481">
        <v>0</v>
      </c>
      <c r="M1481">
        <v>0</v>
      </c>
      <c r="N1481">
        <v>111576</v>
      </c>
      <c r="O1481">
        <v>231646</v>
      </c>
      <c r="P1481">
        <v>114102</v>
      </c>
      <c r="Q1481">
        <v>480</v>
      </c>
      <c r="R1481">
        <v>440</v>
      </c>
      <c r="S1481">
        <v>312</v>
      </c>
      <c r="T1481">
        <v>18</v>
      </c>
      <c r="U1481">
        <v>29</v>
      </c>
    </row>
    <row r="1482" spans="1:21" x14ac:dyDescent="0.35">
      <c r="A1482" t="s">
        <v>28</v>
      </c>
      <c r="B1482" s="1">
        <v>44576</v>
      </c>
      <c r="C1482" t="s">
        <v>29</v>
      </c>
      <c r="D1482">
        <v>1314.3</v>
      </c>
      <c r="E1482">
        <v>808.7</v>
      </c>
      <c r="F1482">
        <v>751.4</v>
      </c>
      <c r="G1482">
        <v>1.6</v>
      </c>
      <c r="H1482">
        <v>1.7</v>
      </c>
      <c r="I1482">
        <v>0</v>
      </c>
      <c r="J1482">
        <v>0</v>
      </c>
      <c r="K1482">
        <v>0</v>
      </c>
      <c r="L1482">
        <v>0</v>
      </c>
      <c r="M1482">
        <v>0</v>
      </c>
      <c r="N1482">
        <v>154759</v>
      </c>
      <c r="O1482">
        <v>346990</v>
      </c>
      <c r="P1482">
        <v>239415</v>
      </c>
      <c r="Q1482">
        <v>2034</v>
      </c>
      <c r="R1482">
        <v>2806</v>
      </c>
      <c r="S1482">
        <v>1799</v>
      </c>
      <c r="T1482">
        <v>30</v>
      </c>
      <c r="U1482">
        <v>49</v>
      </c>
    </row>
    <row r="1483" spans="1:21" x14ac:dyDescent="0.35">
      <c r="A1483" t="s">
        <v>28</v>
      </c>
      <c r="B1483" s="1">
        <v>44322</v>
      </c>
      <c r="C1483" t="s">
        <v>23</v>
      </c>
      <c r="D1483">
        <v>63.3</v>
      </c>
      <c r="E1483">
        <v>2.2000000000000002</v>
      </c>
      <c r="F1483">
        <v>0</v>
      </c>
      <c r="G1483">
        <v>28.8</v>
      </c>
      <c r="H1483">
        <v>0</v>
      </c>
      <c r="I1483">
        <v>0</v>
      </c>
      <c r="J1483">
        <v>0</v>
      </c>
      <c r="K1483">
        <v>0</v>
      </c>
      <c r="L1483">
        <v>0</v>
      </c>
      <c r="M1483">
        <v>0</v>
      </c>
      <c r="N1483">
        <v>121592</v>
      </c>
      <c r="O1483">
        <v>270415</v>
      </c>
      <c r="P1483">
        <v>0</v>
      </c>
      <c r="Q1483">
        <v>77</v>
      </c>
      <c r="R1483">
        <v>6</v>
      </c>
      <c r="S1483">
        <v>0</v>
      </c>
      <c r="T1483">
        <v>50</v>
      </c>
      <c r="U1483">
        <v>64</v>
      </c>
    </row>
    <row r="1484" spans="1:21" x14ac:dyDescent="0.35">
      <c r="A1484" t="s">
        <v>28</v>
      </c>
      <c r="B1484" s="1">
        <v>44436</v>
      </c>
      <c r="C1484" t="s">
        <v>32</v>
      </c>
      <c r="D1484">
        <v>87.9</v>
      </c>
      <c r="E1484">
        <v>0</v>
      </c>
      <c r="F1484">
        <v>0</v>
      </c>
      <c r="G1484">
        <v>0</v>
      </c>
      <c r="H1484">
        <v>0</v>
      </c>
      <c r="I1484">
        <v>0</v>
      </c>
      <c r="J1484">
        <v>0</v>
      </c>
      <c r="K1484">
        <v>0</v>
      </c>
      <c r="L1484">
        <v>0</v>
      </c>
      <c r="M1484">
        <v>0</v>
      </c>
      <c r="N1484">
        <v>162642</v>
      </c>
      <c r="O1484">
        <v>0</v>
      </c>
      <c r="P1484">
        <v>0</v>
      </c>
      <c r="Q1484">
        <v>143</v>
      </c>
      <c r="R1484">
        <v>0</v>
      </c>
      <c r="S1484">
        <v>0</v>
      </c>
      <c r="T1484">
        <v>0</v>
      </c>
      <c r="U1484">
        <v>4</v>
      </c>
    </row>
    <row r="1485" spans="1:21" x14ac:dyDescent="0.35">
      <c r="A1485" t="s">
        <v>21</v>
      </c>
      <c r="B1485" s="1">
        <v>44730</v>
      </c>
      <c r="C1485" t="s">
        <v>31</v>
      </c>
      <c r="D1485">
        <v>0</v>
      </c>
      <c r="E1485">
        <v>0</v>
      </c>
      <c r="F1485">
        <v>0</v>
      </c>
      <c r="G1485">
        <v>0</v>
      </c>
      <c r="H1485">
        <v>0</v>
      </c>
      <c r="I1485">
        <v>0</v>
      </c>
      <c r="J1485">
        <v>0</v>
      </c>
      <c r="K1485">
        <v>0</v>
      </c>
      <c r="L1485">
        <v>0</v>
      </c>
      <c r="M1485">
        <v>0</v>
      </c>
      <c r="N1485">
        <v>46695</v>
      </c>
      <c r="O1485">
        <v>46794</v>
      </c>
      <c r="P1485">
        <v>166552</v>
      </c>
      <c r="Q1485">
        <v>0</v>
      </c>
      <c r="R1485">
        <v>0</v>
      </c>
      <c r="S1485">
        <v>0</v>
      </c>
      <c r="T1485">
        <v>65</v>
      </c>
      <c r="U1485">
        <v>79</v>
      </c>
    </row>
    <row r="1486" spans="1:21" x14ac:dyDescent="0.35">
      <c r="A1486" t="s">
        <v>26</v>
      </c>
      <c r="B1486" s="1">
        <v>44863</v>
      </c>
      <c r="C1486" t="s">
        <v>23</v>
      </c>
      <c r="D1486">
        <v>21.5</v>
      </c>
      <c r="E1486">
        <v>15.2</v>
      </c>
      <c r="F1486">
        <v>4.9000000000000004</v>
      </c>
      <c r="G1486">
        <v>1.4</v>
      </c>
      <c r="H1486">
        <v>4.4000000000000004</v>
      </c>
      <c r="I1486">
        <v>0</v>
      </c>
      <c r="J1486">
        <v>0</v>
      </c>
      <c r="K1486">
        <v>0</v>
      </c>
      <c r="L1486">
        <v>0</v>
      </c>
      <c r="M1486">
        <v>0</v>
      </c>
      <c r="N1486">
        <v>37238</v>
      </c>
      <c r="O1486">
        <v>125235</v>
      </c>
      <c r="P1486">
        <v>246658</v>
      </c>
      <c r="Q1486">
        <v>8</v>
      </c>
      <c r="R1486">
        <v>19</v>
      </c>
      <c r="S1486">
        <v>12</v>
      </c>
      <c r="T1486">
        <v>50</v>
      </c>
      <c r="U1486">
        <v>64</v>
      </c>
    </row>
    <row r="1487" spans="1:21" x14ac:dyDescent="0.35">
      <c r="A1487" t="s">
        <v>26</v>
      </c>
      <c r="B1487" s="1">
        <v>44808</v>
      </c>
      <c r="C1487" t="s">
        <v>25</v>
      </c>
      <c r="D1487">
        <v>4.0999999999999996</v>
      </c>
      <c r="E1487">
        <v>0</v>
      </c>
      <c r="F1487">
        <v>2</v>
      </c>
      <c r="G1487">
        <v>0</v>
      </c>
      <c r="H1487">
        <v>2</v>
      </c>
      <c r="I1487">
        <v>0</v>
      </c>
      <c r="J1487">
        <v>0</v>
      </c>
      <c r="K1487">
        <v>0</v>
      </c>
      <c r="L1487">
        <v>0</v>
      </c>
      <c r="M1487">
        <v>0</v>
      </c>
      <c r="N1487">
        <v>98229</v>
      </c>
      <c r="O1487">
        <v>219416</v>
      </c>
      <c r="P1487">
        <v>147442</v>
      </c>
      <c r="Q1487">
        <v>4</v>
      </c>
      <c r="R1487">
        <v>0</v>
      </c>
      <c r="S1487">
        <v>3</v>
      </c>
      <c r="T1487">
        <v>18</v>
      </c>
      <c r="U1487">
        <v>29</v>
      </c>
    </row>
    <row r="1488" spans="1:21" x14ac:dyDescent="0.35">
      <c r="A1488" t="s">
        <v>21</v>
      </c>
      <c r="B1488" s="1">
        <v>44345</v>
      </c>
      <c r="C1488" t="s">
        <v>23</v>
      </c>
      <c r="D1488">
        <v>8</v>
      </c>
      <c r="E1488">
        <v>0</v>
      </c>
      <c r="F1488">
        <v>0</v>
      </c>
      <c r="G1488">
        <v>0</v>
      </c>
      <c r="H1488">
        <v>0</v>
      </c>
      <c r="I1488">
        <v>0</v>
      </c>
      <c r="J1488">
        <v>0</v>
      </c>
      <c r="K1488">
        <v>0</v>
      </c>
      <c r="L1488">
        <v>0</v>
      </c>
      <c r="M1488">
        <v>0</v>
      </c>
      <c r="N1488">
        <v>125545</v>
      </c>
      <c r="O1488">
        <v>255939</v>
      </c>
      <c r="P1488">
        <v>0</v>
      </c>
      <c r="Q1488">
        <v>10</v>
      </c>
      <c r="R1488">
        <v>0</v>
      </c>
      <c r="S1488">
        <v>0</v>
      </c>
      <c r="T1488">
        <v>50</v>
      </c>
      <c r="U1488">
        <v>64</v>
      </c>
    </row>
    <row r="1489" spans="1:21" x14ac:dyDescent="0.35">
      <c r="A1489" t="s">
        <v>28</v>
      </c>
      <c r="B1489" s="1">
        <v>44295</v>
      </c>
      <c r="C1489" t="s">
        <v>32</v>
      </c>
      <c r="D1489">
        <v>89.2</v>
      </c>
      <c r="E1489">
        <v>0</v>
      </c>
      <c r="F1489">
        <v>0</v>
      </c>
      <c r="G1489">
        <v>0</v>
      </c>
      <c r="H1489">
        <v>0</v>
      </c>
      <c r="I1489">
        <v>0</v>
      </c>
      <c r="J1489">
        <v>0</v>
      </c>
      <c r="K1489">
        <v>0</v>
      </c>
      <c r="L1489">
        <v>0</v>
      </c>
      <c r="M1489">
        <v>0</v>
      </c>
      <c r="N1489">
        <v>162642</v>
      </c>
      <c r="O1489">
        <v>0</v>
      </c>
      <c r="P1489">
        <v>0</v>
      </c>
      <c r="Q1489">
        <v>145</v>
      </c>
      <c r="R1489">
        <v>0</v>
      </c>
      <c r="S1489">
        <v>0</v>
      </c>
      <c r="T1489">
        <v>0</v>
      </c>
      <c r="U1489">
        <v>4</v>
      </c>
    </row>
    <row r="1490" spans="1:21" x14ac:dyDescent="0.35">
      <c r="A1490" t="s">
        <v>21</v>
      </c>
      <c r="B1490" s="1">
        <v>44499</v>
      </c>
      <c r="C1490" t="s">
        <v>23</v>
      </c>
      <c r="D1490">
        <v>6.9</v>
      </c>
      <c r="E1490">
        <v>1.5</v>
      </c>
      <c r="F1490">
        <v>0</v>
      </c>
      <c r="G1490">
        <v>4.5999999999999996</v>
      </c>
      <c r="H1490">
        <v>0</v>
      </c>
      <c r="I1490">
        <v>0</v>
      </c>
      <c r="J1490">
        <v>0</v>
      </c>
      <c r="K1490">
        <v>0</v>
      </c>
      <c r="L1490">
        <v>0</v>
      </c>
      <c r="M1490">
        <v>0</v>
      </c>
      <c r="N1490">
        <v>72470</v>
      </c>
      <c r="O1490">
        <v>323521</v>
      </c>
      <c r="P1490">
        <v>18445</v>
      </c>
      <c r="Q1490">
        <v>5</v>
      </c>
      <c r="R1490">
        <v>5</v>
      </c>
      <c r="S1490">
        <v>0</v>
      </c>
      <c r="T1490">
        <v>50</v>
      </c>
      <c r="U1490">
        <v>64</v>
      </c>
    </row>
    <row r="1491" spans="1:21" x14ac:dyDescent="0.35">
      <c r="A1491" t="s">
        <v>28</v>
      </c>
      <c r="B1491" s="1">
        <v>44695</v>
      </c>
      <c r="C1491" t="s">
        <v>24</v>
      </c>
      <c r="D1491">
        <v>396.3</v>
      </c>
      <c r="E1491">
        <v>658</v>
      </c>
      <c r="F1491">
        <v>0</v>
      </c>
      <c r="G1491">
        <v>0.6</v>
      </c>
      <c r="H1491">
        <v>0</v>
      </c>
      <c r="I1491">
        <v>0</v>
      </c>
      <c r="J1491">
        <v>0</v>
      </c>
      <c r="K1491">
        <v>0</v>
      </c>
      <c r="L1491">
        <v>0</v>
      </c>
      <c r="M1491">
        <v>0</v>
      </c>
      <c r="N1491">
        <v>101446</v>
      </c>
      <c r="O1491">
        <v>94072</v>
      </c>
      <c r="P1491">
        <v>0</v>
      </c>
      <c r="Q1491">
        <v>402</v>
      </c>
      <c r="R1491">
        <v>619</v>
      </c>
      <c r="S1491">
        <v>0</v>
      </c>
      <c r="T1491">
        <v>5</v>
      </c>
      <c r="U1491">
        <v>11</v>
      </c>
    </row>
    <row r="1492" spans="1:21" x14ac:dyDescent="0.35">
      <c r="A1492" t="s">
        <v>28</v>
      </c>
      <c r="B1492" s="1">
        <v>44509</v>
      </c>
      <c r="C1492" t="s">
        <v>32</v>
      </c>
      <c r="D1492">
        <v>80.5</v>
      </c>
      <c r="E1492">
        <v>0</v>
      </c>
      <c r="F1492">
        <v>0</v>
      </c>
      <c r="G1492">
        <v>0</v>
      </c>
      <c r="H1492">
        <v>0</v>
      </c>
      <c r="I1492">
        <v>0</v>
      </c>
      <c r="J1492">
        <v>0</v>
      </c>
      <c r="K1492">
        <v>0</v>
      </c>
      <c r="L1492">
        <v>0</v>
      </c>
      <c r="M1492">
        <v>0</v>
      </c>
      <c r="N1492">
        <v>162642</v>
      </c>
      <c r="O1492">
        <v>0</v>
      </c>
      <c r="P1492">
        <v>0</v>
      </c>
      <c r="Q1492">
        <v>131</v>
      </c>
      <c r="R1492">
        <v>0</v>
      </c>
      <c r="S1492">
        <v>0</v>
      </c>
      <c r="T1492">
        <v>0</v>
      </c>
      <c r="U1492">
        <v>4</v>
      </c>
    </row>
    <row r="1493" spans="1:21" x14ac:dyDescent="0.35">
      <c r="A1493" t="s">
        <v>26</v>
      </c>
      <c r="B1493" s="1">
        <v>45145</v>
      </c>
      <c r="C1493" t="s">
        <v>31</v>
      </c>
      <c r="D1493">
        <v>2.5</v>
      </c>
      <c r="E1493">
        <v>2.2999999999999998</v>
      </c>
      <c r="F1493">
        <v>2.2999999999999998</v>
      </c>
      <c r="G1493">
        <v>1.1000000000000001</v>
      </c>
      <c r="H1493">
        <v>1.1000000000000001</v>
      </c>
      <c r="I1493">
        <v>0</v>
      </c>
      <c r="J1493">
        <v>0</v>
      </c>
      <c r="K1493">
        <v>0</v>
      </c>
      <c r="L1493">
        <v>0</v>
      </c>
      <c r="M1493">
        <v>0</v>
      </c>
      <c r="N1493">
        <v>39363</v>
      </c>
      <c r="O1493">
        <v>43427</v>
      </c>
      <c r="P1493">
        <v>171742</v>
      </c>
      <c r="Q1493">
        <v>1</v>
      </c>
      <c r="R1493">
        <v>1</v>
      </c>
      <c r="S1493">
        <v>4</v>
      </c>
      <c r="T1493">
        <v>65</v>
      </c>
      <c r="U1493">
        <v>79</v>
      </c>
    </row>
    <row r="1494" spans="1:21" x14ac:dyDescent="0.35">
      <c r="A1494" t="s">
        <v>28</v>
      </c>
      <c r="B1494" s="1">
        <v>44982</v>
      </c>
      <c r="C1494" t="s">
        <v>32</v>
      </c>
      <c r="D1494">
        <v>56</v>
      </c>
      <c r="E1494">
        <v>1.8</v>
      </c>
      <c r="F1494">
        <v>0</v>
      </c>
      <c r="G1494">
        <v>31.1</v>
      </c>
      <c r="H1494">
        <v>0</v>
      </c>
      <c r="I1494">
        <v>0</v>
      </c>
      <c r="J1494">
        <v>0</v>
      </c>
      <c r="K1494">
        <v>0</v>
      </c>
      <c r="L1494">
        <v>0</v>
      </c>
      <c r="M1494">
        <v>0</v>
      </c>
      <c r="N1494">
        <v>162642</v>
      </c>
      <c r="O1494">
        <v>0</v>
      </c>
      <c r="P1494">
        <v>0</v>
      </c>
      <c r="Q1494">
        <v>91</v>
      </c>
      <c r="R1494">
        <v>3</v>
      </c>
      <c r="S1494">
        <v>0</v>
      </c>
      <c r="T1494">
        <v>0</v>
      </c>
      <c r="U1494">
        <v>4</v>
      </c>
    </row>
    <row r="1495" spans="1:21" x14ac:dyDescent="0.35">
      <c r="A1495" t="s">
        <v>28</v>
      </c>
      <c r="B1495" s="1">
        <v>44509</v>
      </c>
      <c r="C1495" t="s">
        <v>24</v>
      </c>
      <c r="D1495">
        <v>164.4</v>
      </c>
      <c r="E1495">
        <v>0</v>
      </c>
      <c r="F1495">
        <v>0</v>
      </c>
      <c r="G1495">
        <v>0</v>
      </c>
      <c r="H1495">
        <v>0</v>
      </c>
      <c r="I1495">
        <v>0</v>
      </c>
      <c r="J1495">
        <v>0</v>
      </c>
      <c r="K1495">
        <v>0</v>
      </c>
      <c r="L1495">
        <v>0</v>
      </c>
      <c r="M1495">
        <v>0</v>
      </c>
      <c r="N1495">
        <v>210448</v>
      </c>
      <c r="O1495">
        <v>0</v>
      </c>
      <c r="P1495">
        <v>0</v>
      </c>
      <c r="Q1495">
        <v>346</v>
      </c>
      <c r="R1495">
        <v>0</v>
      </c>
      <c r="S1495">
        <v>0</v>
      </c>
      <c r="T1495">
        <v>5</v>
      </c>
      <c r="U1495">
        <v>11</v>
      </c>
    </row>
    <row r="1496" spans="1:21" x14ac:dyDescent="0.35">
      <c r="A1496" t="s">
        <v>26</v>
      </c>
      <c r="B1496" s="1">
        <v>45185</v>
      </c>
      <c r="C1496" t="s">
        <v>22</v>
      </c>
      <c r="D1496">
        <v>4.7</v>
      </c>
      <c r="E1496">
        <v>3.1</v>
      </c>
      <c r="F1496">
        <v>6.2</v>
      </c>
      <c r="G1496">
        <v>1.5</v>
      </c>
      <c r="H1496">
        <v>0.8</v>
      </c>
      <c r="I1496">
        <v>5.7</v>
      </c>
      <c r="J1496">
        <v>5.2</v>
      </c>
      <c r="K1496">
        <v>4.5999999999999996</v>
      </c>
      <c r="L1496">
        <v>1.1000000000000001</v>
      </c>
      <c r="M1496">
        <v>1.2</v>
      </c>
      <c r="N1496">
        <v>526492</v>
      </c>
      <c r="O1496">
        <v>860284</v>
      </c>
      <c r="P1496">
        <v>1040830</v>
      </c>
      <c r="Q1496">
        <v>25</v>
      </c>
      <c r="R1496">
        <v>27</v>
      </c>
      <c r="S1496">
        <v>65</v>
      </c>
      <c r="T1496">
        <v>999</v>
      </c>
      <c r="U1496">
        <v>999</v>
      </c>
    </row>
    <row r="1497" spans="1:21" x14ac:dyDescent="0.35">
      <c r="A1497" t="s">
        <v>21</v>
      </c>
      <c r="B1497" s="1">
        <v>44485</v>
      </c>
      <c r="C1497" t="s">
        <v>25</v>
      </c>
      <c r="D1497">
        <v>0.6</v>
      </c>
      <c r="E1497">
        <v>0</v>
      </c>
      <c r="F1497">
        <v>0</v>
      </c>
      <c r="G1497">
        <v>0</v>
      </c>
      <c r="H1497">
        <v>0</v>
      </c>
      <c r="I1497">
        <v>0</v>
      </c>
      <c r="J1497">
        <v>0</v>
      </c>
      <c r="K1497">
        <v>0</v>
      </c>
      <c r="L1497">
        <v>0</v>
      </c>
      <c r="M1497">
        <v>0</v>
      </c>
      <c r="N1497">
        <v>170186</v>
      </c>
      <c r="O1497">
        <v>312457</v>
      </c>
      <c r="P1497">
        <v>0</v>
      </c>
      <c r="Q1497">
        <v>1</v>
      </c>
      <c r="R1497">
        <v>0</v>
      </c>
      <c r="S1497">
        <v>0</v>
      </c>
      <c r="T1497">
        <v>18</v>
      </c>
      <c r="U1497">
        <v>29</v>
      </c>
    </row>
    <row r="1498" spans="1:21" x14ac:dyDescent="0.35">
      <c r="A1498" t="s">
        <v>21</v>
      </c>
      <c r="B1498" s="1">
        <v>45178</v>
      </c>
      <c r="C1498" t="s">
        <v>27</v>
      </c>
      <c r="D1498">
        <v>0</v>
      </c>
      <c r="E1498">
        <v>0</v>
      </c>
      <c r="F1498">
        <v>0</v>
      </c>
      <c r="G1498">
        <v>0</v>
      </c>
      <c r="H1498">
        <v>0</v>
      </c>
      <c r="I1498">
        <v>0</v>
      </c>
      <c r="J1498">
        <v>0</v>
      </c>
      <c r="K1498">
        <v>0</v>
      </c>
      <c r="L1498">
        <v>0</v>
      </c>
      <c r="M1498">
        <v>0</v>
      </c>
      <c r="N1498">
        <v>31714</v>
      </c>
      <c r="O1498">
        <v>86574</v>
      </c>
      <c r="P1498">
        <v>44596</v>
      </c>
      <c r="Q1498">
        <v>0</v>
      </c>
      <c r="R1498">
        <v>0</v>
      </c>
      <c r="S1498">
        <v>0</v>
      </c>
      <c r="T1498">
        <v>12</v>
      </c>
      <c r="U1498">
        <v>17</v>
      </c>
    </row>
    <row r="1499" spans="1:21" x14ac:dyDescent="0.35">
      <c r="A1499" t="s">
        <v>26</v>
      </c>
      <c r="B1499" s="1">
        <v>45136</v>
      </c>
      <c r="C1499" t="s">
        <v>25</v>
      </c>
      <c r="D1499">
        <v>1.4</v>
      </c>
      <c r="E1499">
        <v>0</v>
      </c>
      <c r="F1499">
        <v>0</v>
      </c>
      <c r="G1499">
        <v>0</v>
      </c>
      <c r="H1499">
        <v>0</v>
      </c>
      <c r="I1499">
        <v>0</v>
      </c>
      <c r="J1499">
        <v>0</v>
      </c>
      <c r="K1499">
        <v>0</v>
      </c>
      <c r="L1499">
        <v>0</v>
      </c>
      <c r="M1499">
        <v>0</v>
      </c>
      <c r="N1499">
        <v>73789</v>
      </c>
      <c r="O1499">
        <v>214134</v>
      </c>
      <c r="P1499">
        <v>161712</v>
      </c>
      <c r="Q1499">
        <v>1</v>
      </c>
      <c r="R1499">
        <v>0</v>
      </c>
      <c r="S1499">
        <v>0</v>
      </c>
      <c r="T1499">
        <v>18</v>
      </c>
      <c r="U1499">
        <v>29</v>
      </c>
    </row>
    <row r="1500" spans="1:21" x14ac:dyDescent="0.35">
      <c r="A1500" t="s">
        <v>28</v>
      </c>
      <c r="B1500" s="1">
        <v>44571</v>
      </c>
      <c r="C1500" t="s">
        <v>27</v>
      </c>
      <c r="D1500">
        <v>131.9</v>
      </c>
      <c r="E1500">
        <v>59.4</v>
      </c>
      <c r="F1500">
        <v>63</v>
      </c>
      <c r="G1500">
        <v>2.2000000000000002</v>
      </c>
      <c r="H1500">
        <v>2.1</v>
      </c>
      <c r="I1500">
        <v>0</v>
      </c>
      <c r="J1500">
        <v>0</v>
      </c>
      <c r="K1500">
        <v>0</v>
      </c>
      <c r="L1500">
        <v>0</v>
      </c>
      <c r="M1500">
        <v>0</v>
      </c>
      <c r="N1500">
        <v>34876</v>
      </c>
      <c r="O1500">
        <v>85807</v>
      </c>
      <c r="P1500">
        <v>44418</v>
      </c>
      <c r="Q1500">
        <v>46</v>
      </c>
      <c r="R1500">
        <v>51</v>
      </c>
      <c r="S1500">
        <v>28</v>
      </c>
      <c r="T1500">
        <v>12</v>
      </c>
      <c r="U1500">
        <v>17</v>
      </c>
    </row>
    <row r="1501" spans="1:21" x14ac:dyDescent="0.35">
      <c r="A1501" t="s">
        <v>26</v>
      </c>
      <c r="B1501" s="1">
        <v>44793</v>
      </c>
      <c r="C1501" t="s">
        <v>23</v>
      </c>
      <c r="D1501">
        <v>32.1</v>
      </c>
      <c r="E1501">
        <v>11.9</v>
      </c>
      <c r="F1501">
        <v>4.9000000000000004</v>
      </c>
      <c r="G1501">
        <v>2.7</v>
      </c>
      <c r="H1501">
        <v>6.6</v>
      </c>
      <c r="I1501">
        <v>0</v>
      </c>
      <c r="J1501">
        <v>0</v>
      </c>
      <c r="K1501">
        <v>0</v>
      </c>
      <c r="L1501">
        <v>0</v>
      </c>
      <c r="M1501">
        <v>0</v>
      </c>
      <c r="N1501">
        <v>40519</v>
      </c>
      <c r="O1501">
        <v>126270</v>
      </c>
      <c r="P1501">
        <v>244938</v>
      </c>
      <c r="Q1501">
        <v>13</v>
      </c>
      <c r="R1501">
        <v>15</v>
      </c>
      <c r="S1501">
        <v>12</v>
      </c>
      <c r="T1501">
        <v>50</v>
      </c>
      <c r="U1501">
        <v>64</v>
      </c>
    </row>
    <row r="1502" spans="1:21" x14ac:dyDescent="0.35">
      <c r="A1502" t="s">
        <v>21</v>
      </c>
      <c r="B1502" s="1">
        <v>44345</v>
      </c>
      <c r="C1502" t="s">
        <v>25</v>
      </c>
      <c r="D1502">
        <v>0</v>
      </c>
      <c r="E1502">
        <v>0</v>
      </c>
      <c r="F1502">
        <v>0</v>
      </c>
      <c r="G1502">
        <v>0</v>
      </c>
      <c r="H1502">
        <v>0</v>
      </c>
      <c r="I1502">
        <v>0</v>
      </c>
      <c r="J1502">
        <v>0</v>
      </c>
      <c r="K1502">
        <v>0</v>
      </c>
      <c r="L1502">
        <v>0</v>
      </c>
      <c r="M1502">
        <v>0</v>
      </c>
      <c r="N1502">
        <v>246752</v>
      </c>
      <c r="O1502">
        <v>207387</v>
      </c>
      <c r="P1502">
        <v>0</v>
      </c>
      <c r="Q1502">
        <v>0</v>
      </c>
      <c r="R1502">
        <v>0</v>
      </c>
      <c r="S1502">
        <v>0</v>
      </c>
      <c r="T1502">
        <v>18</v>
      </c>
      <c r="U1502">
        <v>29</v>
      </c>
    </row>
    <row r="1503" spans="1:21" x14ac:dyDescent="0.35">
      <c r="A1503" t="s">
        <v>26</v>
      </c>
      <c r="B1503" s="1">
        <v>45122</v>
      </c>
      <c r="C1503" t="s">
        <v>23</v>
      </c>
      <c r="D1503">
        <v>3.1</v>
      </c>
      <c r="E1503">
        <v>0</v>
      </c>
      <c r="F1503">
        <v>0.8</v>
      </c>
      <c r="G1503">
        <v>0</v>
      </c>
      <c r="H1503">
        <v>3.9</v>
      </c>
      <c r="I1503">
        <v>0</v>
      </c>
      <c r="J1503">
        <v>0</v>
      </c>
      <c r="K1503">
        <v>0</v>
      </c>
      <c r="L1503">
        <v>0</v>
      </c>
      <c r="M1503">
        <v>0</v>
      </c>
      <c r="N1503">
        <v>32602</v>
      </c>
      <c r="O1503">
        <v>125728</v>
      </c>
      <c r="P1503">
        <v>246933</v>
      </c>
      <c r="Q1503">
        <v>1</v>
      </c>
      <c r="R1503">
        <v>0</v>
      </c>
      <c r="S1503">
        <v>2</v>
      </c>
      <c r="T1503">
        <v>50</v>
      </c>
      <c r="U1503">
        <v>64</v>
      </c>
    </row>
    <row r="1504" spans="1:21" x14ac:dyDescent="0.35">
      <c r="A1504" t="s">
        <v>26</v>
      </c>
      <c r="B1504" s="1">
        <v>44492</v>
      </c>
      <c r="C1504" t="s">
        <v>25</v>
      </c>
      <c r="D1504">
        <v>6.6</v>
      </c>
      <c r="E1504">
        <v>0.3</v>
      </c>
      <c r="F1504">
        <v>0</v>
      </c>
      <c r="G1504">
        <v>22</v>
      </c>
      <c r="H1504">
        <v>0</v>
      </c>
      <c r="I1504">
        <v>0</v>
      </c>
      <c r="J1504">
        <v>0</v>
      </c>
      <c r="K1504">
        <v>0</v>
      </c>
      <c r="L1504">
        <v>0</v>
      </c>
      <c r="M1504">
        <v>0</v>
      </c>
      <c r="N1504">
        <v>167788</v>
      </c>
      <c r="O1504">
        <v>313263</v>
      </c>
      <c r="P1504">
        <v>5594</v>
      </c>
      <c r="Q1504">
        <v>11</v>
      </c>
      <c r="R1504">
        <v>1</v>
      </c>
      <c r="S1504">
        <v>0</v>
      </c>
      <c r="T1504">
        <v>18</v>
      </c>
      <c r="U1504">
        <v>29</v>
      </c>
    </row>
    <row r="1505" spans="1:21" x14ac:dyDescent="0.35">
      <c r="A1505" t="s">
        <v>28</v>
      </c>
      <c r="B1505" s="1">
        <v>44464</v>
      </c>
      <c r="C1505" t="s">
        <v>32</v>
      </c>
      <c r="D1505">
        <v>57.2</v>
      </c>
      <c r="E1505">
        <v>0</v>
      </c>
      <c r="F1505">
        <v>0</v>
      </c>
      <c r="G1505">
        <v>0</v>
      </c>
      <c r="H1505">
        <v>0</v>
      </c>
      <c r="I1505">
        <v>0</v>
      </c>
      <c r="J1505">
        <v>0</v>
      </c>
      <c r="K1505">
        <v>0</v>
      </c>
      <c r="L1505">
        <v>0</v>
      </c>
      <c r="M1505">
        <v>0</v>
      </c>
      <c r="N1505">
        <v>162642</v>
      </c>
      <c r="O1505">
        <v>0</v>
      </c>
      <c r="P1505">
        <v>0</v>
      </c>
      <c r="Q1505">
        <v>93</v>
      </c>
      <c r="R1505">
        <v>0</v>
      </c>
      <c r="S1505">
        <v>0</v>
      </c>
      <c r="T1505">
        <v>0</v>
      </c>
      <c r="U1505">
        <v>4</v>
      </c>
    </row>
    <row r="1506" spans="1:21" x14ac:dyDescent="0.35">
      <c r="A1506" t="s">
        <v>28</v>
      </c>
      <c r="B1506" s="1">
        <v>44843</v>
      </c>
      <c r="C1506" t="s">
        <v>25</v>
      </c>
      <c r="D1506">
        <v>181.2</v>
      </c>
      <c r="E1506">
        <v>65.7</v>
      </c>
      <c r="F1506">
        <v>110.4</v>
      </c>
      <c r="G1506">
        <v>2.8</v>
      </c>
      <c r="H1506">
        <v>1.6</v>
      </c>
      <c r="I1506">
        <v>0</v>
      </c>
      <c r="J1506">
        <v>0</v>
      </c>
      <c r="K1506">
        <v>0</v>
      </c>
      <c r="L1506">
        <v>0</v>
      </c>
      <c r="M1506">
        <v>0</v>
      </c>
      <c r="N1506">
        <v>90487</v>
      </c>
      <c r="O1506">
        <v>211509</v>
      </c>
      <c r="P1506">
        <v>161187</v>
      </c>
      <c r="Q1506">
        <v>164</v>
      </c>
      <c r="R1506">
        <v>139</v>
      </c>
      <c r="S1506">
        <v>178</v>
      </c>
      <c r="T1506">
        <v>18</v>
      </c>
      <c r="U1506">
        <v>29</v>
      </c>
    </row>
    <row r="1507" spans="1:21" x14ac:dyDescent="0.35">
      <c r="A1507" t="s">
        <v>28</v>
      </c>
      <c r="B1507" s="1">
        <v>44476</v>
      </c>
      <c r="C1507" t="s">
        <v>25</v>
      </c>
      <c r="D1507">
        <v>35.6</v>
      </c>
      <c r="E1507">
        <v>11.2</v>
      </c>
      <c r="F1507">
        <v>0</v>
      </c>
      <c r="G1507">
        <v>3.2</v>
      </c>
      <c r="H1507">
        <v>0</v>
      </c>
      <c r="I1507">
        <v>0</v>
      </c>
      <c r="J1507">
        <v>0</v>
      </c>
      <c r="K1507">
        <v>0</v>
      </c>
      <c r="L1507">
        <v>0</v>
      </c>
      <c r="M1507">
        <v>0</v>
      </c>
      <c r="N1507">
        <v>221917</v>
      </c>
      <c r="O1507">
        <v>267760</v>
      </c>
      <c r="P1507">
        <v>0</v>
      </c>
      <c r="Q1507">
        <v>79</v>
      </c>
      <c r="R1507">
        <v>30</v>
      </c>
      <c r="S1507">
        <v>0</v>
      </c>
      <c r="T1507">
        <v>18</v>
      </c>
      <c r="U1507">
        <v>29</v>
      </c>
    </row>
    <row r="1508" spans="1:21" x14ac:dyDescent="0.35">
      <c r="A1508" t="s">
        <v>28</v>
      </c>
      <c r="B1508" s="1">
        <v>44464</v>
      </c>
      <c r="C1508" t="s">
        <v>24</v>
      </c>
      <c r="D1508">
        <v>121.2</v>
      </c>
      <c r="E1508">
        <v>0</v>
      </c>
      <c r="F1508">
        <v>0</v>
      </c>
      <c r="G1508">
        <v>0</v>
      </c>
      <c r="H1508">
        <v>0</v>
      </c>
      <c r="I1508">
        <v>0</v>
      </c>
      <c r="J1508">
        <v>0</v>
      </c>
      <c r="K1508">
        <v>0</v>
      </c>
      <c r="L1508">
        <v>0</v>
      </c>
      <c r="M1508">
        <v>0</v>
      </c>
      <c r="N1508">
        <v>210448</v>
      </c>
      <c r="O1508">
        <v>0</v>
      </c>
      <c r="P1508">
        <v>0</v>
      </c>
      <c r="Q1508">
        <v>255</v>
      </c>
      <c r="R1508">
        <v>0</v>
      </c>
      <c r="S1508">
        <v>0</v>
      </c>
      <c r="T1508">
        <v>5</v>
      </c>
      <c r="U1508">
        <v>11</v>
      </c>
    </row>
    <row r="1509" spans="1:21" x14ac:dyDescent="0.35">
      <c r="A1509" t="s">
        <v>28</v>
      </c>
      <c r="B1509" s="1">
        <v>45129</v>
      </c>
      <c r="C1509" t="s">
        <v>30</v>
      </c>
      <c r="D1509">
        <v>8.1999999999999993</v>
      </c>
      <c r="E1509">
        <v>17.600000000000001</v>
      </c>
      <c r="F1509">
        <v>23.3</v>
      </c>
      <c r="G1509">
        <v>0.5</v>
      </c>
      <c r="H1509">
        <v>0.4</v>
      </c>
      <c r="I1509">
        <v>0</v>
      </c>
      <c r="J1509">
        <v>0</v>
      </c>
      <c r="K1509">
        <v>0</v>
      </c>
      <c r="L1509">
        <v>0</v>
      </c>
      <c r="M1509">
        <v>0</v>
      </c>
      <c r="N1509">
        <v>24486</v>
      </c>
      <c r="O1509">
        <v>11383</v>
      </c>
      <c r="P1509">
        <v>47130</v>
      </c>
      <c r="Q1509">
        <v>2</v>
      </c>
      <c r="R1509">
        <v>2</v>
      </c>
      <c r="S1509">
        <v>11</v>
      </c>
      <c r="T1509">
        <v>80</v>
      </c>
      <c r="U1509">
        <v>200</v>
      </c>
    </row>
    <row r="1510" spans="1:21" x14ac:dyDescent="0.35">
      <c r="A1510" t="s">
        <v>21</v>
      </c>
      <c r="B1510" s="1">
        <v>44912</v>
      </c>
      <c r="C1510" t="s">
        <v>27</v>
      </c>
      <c r="D1510">
        <v>0</v>
      </c>
      <c r="E1510">
        <v>0</v>
      </c>
      <c r="F1510">
        <v>0</v>
      </c>
      <c r="G1510">
        <v>0</v>
      </c>
      <c r="H1510">
        <v>0</v>
      </c>
      <c r="I1510">
        <v>0</v>
      </c>
      <c r="J1510">
        <v>0</v>
      </c>
      <c r="K1510">
        <v>0</v>
      </c>
      <c r="L1510">
        <v>0</v>
      </c>
      <c r="M1510">
        <v>0</v>
      </c>
      <c r="N1510">
        <v>33793</v>
      </c>
      <c r="O1510">
        <v>86155</v>
      </c>
      <c r="P1510">
        <v>44526</v>
      </c>
      <c r="Q1510">
        <v>0</v>
      </c>
      <c r="R1510">
        <v>0</v>
      </c>
      <c r="S1510">
        <v>0</v>
      </c>
      <c r="T1510">
        <v>12</v>
      </c>
      <c r="U1510">
        <v>17</v>
      </c>
    </row>
    <row r="1511" spans="1:21" x14ac:dyDescent="0.35">
      <c r="A1511" t="s">
        <v>28</v>
      </c>
      <c r="B1511" s="1">
        <v>44366</v>
      </c>
      <c r="C1511" t="s">
        <v>23</v>
      </c>
      <c r="D1511">
        <v>27.1</v>
      </c>
      <c r="E1511">
        <v>3.1</v>
      </c>
      <c r="F1511">
        <v>0</v>
      </c>
      <c r="G1511">
        <v>8.6999999999999993</v>
      </c>
      <c r="H1511">
        <v>0</v>
      </c>
      <c r="I1511">
        <v>0</v>
      </c>
      <c r="J1511">
        <v>0</v>
      </c>
      <c r="K1511">
        <v>0</v>
      </c>
      <c r="L1511">
        <v>0</v>
      </c>
      <c r="M1511">
        <v>0</v>
      </c>
      <c r="N1511">
        <v>114456</v>
      </c>
      <c r="O1511">
        <v>287354</v>
      </c>
      <c r="P1511">
        <v>0</v>
      </c>
      <c r="Q1511">
        <v>31</v>
      </c>
      <c r="R1511">
        <v>9</v>
      </c>
      <c r="S1511">
        <v>0</v>
      </c>
      <c r="T1511">
        <v>50</v>
      </c>
      <c r="U1511">
        <v>64</v>
      </c>
    </row>
    <row r="1512" spans="1:21" x14ac:dyDescent="0.35">
      <c r="A1512" t="s">
        <v>28</v>
      </c>
      <c r="B1512" s="1">
        <v>44322</v>
      </c>
      <c r="C1512" t="s">
        <v>29</v>
      </c>
      <c r="D1512">
        <v>44.6</v>
      </c>
      <c r="E1512">
        <v>6.4</v>
      </c>
      <c r="F1512">
        <v>0</v>
      </c>
      <c r="G1512">
        <v>7</v>
      </c>
      <c r="H1512">
        <v>0</v>
      </c>
      <c r="I1512">
        <v>0</v>
      </c>
      <c r="J1512">
        <v>0</v>
      </c>
      <c r="K1512">
        <v>0</v>
      </c>
      <c r="L1512">
        <v>0</v>
      </c>
      <c r="M1512">
        <v>0</v>
      </c>
      <c r="N1512">
        <v>307403</v>
      </c>
      <c r="O1512">
        <v>422678</v>
      </c>
      <c r="P1512">
        <v>0</v>
      </c>
      <c r="Q1512">
        <v>137</v>
      </c>
      <c r="R1512">
        <v>27</v>
      </c>
      <c r="S1512">
        <v>0</v>
      </c>
      <c r="T1512">
        <v>30</v>
      </c>
      <c r="U1512">
        <v>49</v>
      </c>
    </row>
    <row r="1513" spans="1:21" x14ac:dyDescent="0.35">
      <c r="A1513" t="s">
        <v>21</v>
      </c>
      <c r="B1513" s="1">
        <v>45164</v>
      </c>
      <c r="C1513" t="s">
        <v>32</v>
      </c>
      <c r="D1513">
        <v>0</v>
      </c>
      <c r="E1513">
        <v>0</v>
      </c>
      <c r="F1513">
        <v>0</v>
      </c>
      <c r="G1513">
        <v>0</v>
      </c>
      <c r="H1513">
        <v>0</v>
      </c>
      <c r="I1513">
        <v>0</v>
      </c>
      <c r="J1513">
        <v>0</v>
      </c>
      <c r="K1513">
        <v>0</v>
      </c>
      <c r="L1513">
        <v>0</v>
      </c>
      <c r="M1513">
        <v>0</v>
      </c>
      <c r="N1513">
        <v>162642</v>
      </c>
      <c r="O1513">
        <v>0</v>
      </c>
      <c r="P1513">
        <v>0</v>
      </c>
      <c r="Q1513">
        <v>0</v>
      </c>
      <c r="R1513">
        <v>0</v>
      </c>
      <c r="S1513">
        <v>0</v>
      </c>
      <c r="T1513">
        <v>0</v>
      </c>
      <c r="U1513">
        <v>4</v>
      </c>
    </row>
    <row r="1514" spans="1:21" x14ac:dyDescent="0.35">
      <c r="A1514" t="s">
        <v>26</v>
      </c>
      <c r="B1514" s="1">
        <v>44871</v>
      </c>
      <c r="C1514" t="s">
        <v>23</v>
      </c>
      <c r="D1514">
        <v>23.5</v>
      </c>
      <c r="E1514">
        <v>10.7</v>
      </c>
      <c r="F1514">
        <v>6.3</v>
      </c>
      <c r="G1514">
        <v>2.2000000000000002</v>
      </c>
      <c r="H1514">
        <v>3.7</v>
      </c>
      <c r="I1514">
        <v>0</v>
      </c>
      <c r="J1514">
        <v>0</v>
      </c>
      <c r="K1514">
        <v>0</v>
      </c>
      <c r="L1514">
        <v>0</v>
      </c>
      <c r="M1514">
        <v>0</v>
      </c>
      <c r="N1514">
        <v>42493</v>
      </c>
      <c r="O1514">
        <v>131079</v>
      </c>
      <c r="P1514">
        <v>238179</v>
      </c>
      <c r="Q1514">
        <v>10</v>
      </c>
      <c r="R1514">
        <v>14</v>
      </c>
      <c r="S1514">
        <v>15</v>
      </c>
      <c r="T1514">
        <v>50</v>
      </c>
      <c r="U1514">
        <v>64</v>
      </c>
    </row>
    <row r="1515" spans="1:21" x14ac:dyDescent="0.35">
      <c r="A1515" t="s">
        <v>21</v>
      </c>
      <c r="B1515" s="1">
        <v>45018</v>
      </c>
      <c r="C1515" t="s">
        <v>24</v>
      </c>
      <c r="D1515">
        <v>0</v>
      </c>
      <c r="E1515">
        <v>0</v>
      </c>
      <c r="F1515">
        <v>0</v>
      </c>
      <c r="G1515">
        <v>0</v>
      </c>
      <c r="H1515">
        <v>0</v>
      </c>
      <c r="I1515">
        <v>0</v>
      </c>
      <c r="J1515">
        <v>0</v>
      </c>
      <c r="K1515">
        <v>0</v>
      </c>
      <c r="L1515">
        <v>0</v>
      </c>
      <c r="M1515">
        <v>0</v>
      </c>
      <c r="N1515">
        <v>91824</v>
      </c>
      <c r="O1515">
        <v>81940</v>
      </c>
      <c r="P1515">
        <v>21192</v>
      </c>
      <c r="Q1515">
        <v>0</v>
      </c>
      <c r="R1515">
        <v>0</v>
      </c>
      <c r="S1515">
        <v>0</v>
      </c>
      <c r="T1515">
        <v>5</v>
      </c>
      <c r="U1515">
        <v>11</v>
      </c>
    </row>
    <row r="1516" spans="1:21" x14ac:dyDescent="0.35">
      <c r="A1516" t="s">
        <v>28</v>
      </c>
      <c r="B1516" s="1">
        <v>44966</v>
      </c>
      <c r="C1516" t="s">
        <v>25</v>
      </c>
      <c r="D1516">
        <v>88.7</v>
      </c>
      <c r="E1516">
        <v>23.8</v>
      </c>
      <c r="F1516">
        <v>27.8</v>
      </c>
      <c r="G1516">
        <v>3.7</v>
      </c>
      <c r="H1516">
        <v>3.2</v>
      </c>
      <c r="I1516">
        <v>0</v>
      </c>
      <c r="J1516">
        <v>0</v>
      </c>
      <c r="K1516">
        <v>0</v>
      </c>
      <c r="L1516">
        <v>0</v>
      </c>
      <c r="M1516">
        <v>0</v>
      </c>
      <c r="N1516">
        <v>73298</v>
      </c>
      <c r="O1516">
        <v>214129</v>
      </c>
      <c r="P1516">
        <v>161722</v>
      </c>
      <c r="Q1516">
        <v>65</v>
      </c>
      <c r="R1516">
        <v>51</v>
      </c>
      <c r="S1516">
        <v>45</v>
      </c>
      <c r="T1516">
        <v>18</v>
      </c>
      <c r="U1516">
        <v>29</v>
      </c>
    </row>
    <row r="1517" spans="1:21" x14ac:dyDescent="0.35">
      <c r="A1517" t="s">
        <v>26</v>
      </c>
      <c r="B1517" s="1">
        <v>45157</v>
      </c>
      <c r="C1517" t="s">
        <v>23</v>
      </c>
      <c r="D1517">
        <v>9.3000000000000007</v>
      </c>
      <c r="E1517">
        <v>1.6</v>
      </c>
      <c r="F1517">
        <v>2.8</v>
      </c>
      <c r="G1517">
        <v>5.8</v>
      </c>
      <c r="H1517">
        <v>3.3</v>
      </c>
      <c r="I1517">
        <v>0</v>
      </c>
      <c r="J1517">
        <v>0</v>
      </c>
      <c r="K1517">
        <v>0</v>
      </c>
      <c r="L1517">
        <v>0</v>
      </c>
      <c r="M1517">
        <v>0</v>
      </c>
      <c r="N1517">
        <v>32398</v>
      </c>
      <c r="O1517">
        <v>125726</v>
      </c>
      <c r="P1517">
        <v>246936</v>
      </c>
      <c r="Q1517">
        <v>3</v>
      </c>
      <c r="R1517">
        <v>2</v>
      </c>
      <c r="S1517">
        <v>7</v>
      </c>
      <c r="T1517">
        <v>50</v>
      </c>
      <c r="U1517">
        <v>64</v>
      </c>
    </row>
    <row r="1518" spans="1:21" x14ac:dyDescent="0.35">
      <c r="A1518" t="s">
        <v>21</v>
      </c>
      <c r="B1518" s="1">
        <v>44933</v>
      </c>
      <c r="C1518" t="s">
        <v>31</v>
      </c>
      <c r="D1518">
        <v>0</v>
      </c>
      <c r="E1518">
        <v>0</v>
      </c>
      <c r="F1518">
        <v>0</v>
      </c>
      <c r="G1518">
        <v>0</v>
      </c>
      <c r="H1518">
        <v>0</v>
      </c>
      <c r="I1518">
        <v>0</v>
      </c>
      <c r="J1518">
        <v>0</v>
      </c>
      <c r="K1518">
        <v>0</v>
      </c>
      <c r="L1518">
        <v>0</v>
      </c>
      <c r="M1518">
        <v>0</v>
      </c>
      <c r="N1518">
        <v>39376</v>
      </c>
      <c r="O1518">
        <v>43427</v>
      </c>
      <c r="P1518">
        <v>171741</v>
      </c>
      <c r="Q1518">
        <v>0</v>
      </c>
      <c r="R1518">
        <v>0</v>
      </c>
      <c r="S1518">
        <v>0</v>
      </c>
      <c r="T1518">
        <v>65</v>
      </c>
      <c r="U1518">
        <v>79</v>
      </c>
    </row>
    <row r="1519" spans="1:21" x14ac:dyDescent="0.35">
      <c r="A1519" t="s">
        <v>28</v>
      </c>
      <c r="B1519" s="1">
        <v>44449</v>
      </c>
      <c r="C1519" t="s">
        <v>32</v>
      </c>
      <c r="D1519">
        <v>59</v>
      </c>
      <c r="E1519">
        <v>0</v>
      </c>
      <c r="F1519">
        <v>0</v>
      </c>
      <c r="G1519">
        <v>0</v>
      </c>
      <c r="H1519">
        <v>0</v>
      </c>
      <c r="I1519">
        <v>0</v>
      </c>
      <c r="J1519">
        <v>0</v>
      </c>
      <c r="K1519">
        <v>0</v>
      </c>
      <c r="L1519">
        <v>0</v>
      </c>
      <c r="M1519">
        <v>0</v>
      </c>
      <c r="N1519">
        <v>162642</v>
      </c>
      <c r="O1519">
        <v>0</v>
      </c>
      <c r="P1519">
        <v>0</v>
      </c>
      <c r="Q1519">
        <v>96</v>
      </c>
      <c r="R1519">
        <v>0</v>
      </c>
      <c r="S1519">
        <v>0</v>
      </c>
      <c r="T1519">
        <v>0</v>
      </c>
      <c r="U1519">
        <v>4</v>
      </c>
    </row>
    <row r="1520" spans="1:21" x14ac:dyDescent="0.35">
      <c r="A1520" t="s">
        <v>26</v>
      </c>
      <c r="B1520" s="1">
        <v>44476</v>
      </c>
      <c r="C1520" t="s">
        <v>22</v>
      </c>
      <c r="D1520">
        <v>2.8</v>
      </c>
      <c r="E1520">
        <v>0.7</v>
      </c>
      <c r="F1520">
        <v>0</v>
      </c>
      <c r="G1520">
        <v>4</v>
      </c>
      <c r="H1520">
        <v>0</v>
      </c>
      <c r="I1520">
        <v>3.5</v>
      </c>
      <c r="J1520">
        <v>0.5</v>
      </c>
      <c r="K1520">
        <v>0</v>
      </c>
      <c r="L1520">
        <v>6.8</v>
      </c>
      <c r="M1520">
        <v>0</v>
      </c>
      <c r="N1520">
        <v>1194853</v>
      </c>
      <c r="O1520">
        <v>1348222</v>
      </c>
      <c r="P1520">
        <v>0</v>
      </c>
      <c r="Q1520">
        <v>34</v>
      </c>
      <c r="R1520">
        <v>9</v>
      </c>
      <c r="S1520">
        <v>0</v>
      </c>
      <c r="T1520">
        <v>999</v>
      </c>
      <c r="U1520">
        <v>999</v>
      </c>
    </row>
    <row r="1521" spans="1:21" x14ac:dyDescent="0.35">
      <c r="A1521" t="s">
        <v>26</v>
      </c>
      <c r="B1521" s="1">
        <v>44849</v>
      </c>
      <c r="C1521" t="s">
        <v>24</v>
      </c>
      <c r="D1521">
        <v>2.1</v>
      </c>
      <c r="E1521">
        <v>0</v>
      </c>
      <c r="F1521">
        <v>4.9000000000000004</v>
      </c>
      <c r="G1521">
        <v>0</v>
      </c>
      <c r="H1521">
        <v>0.4</v>
      </c>
      <c r="I1521">
        <v>0</v>
      </c>
      <c r="J1521">
        <v>0</v>
      </c>
      <c r="K1521">
        <v>0</v>
      </c>
      <c r="L1521">
        <v>0</v>
      </c>
      <c r="M1521">
        <v>0</v>
      </c>
      <c r="N1521">
        <v>94329</v>
      </c>
      <c r="O1521">
        <v>80849</v>
      </c>
      <c r="P1521">
        <v>20269</v>
      </c>
      <c r="Q1521">
        <v>2</v>
      </c>
      <c r="R1521">
        <v>0</v>
      </c>
      <c r="S1521">
        <v>1</v>
      </c>
      <c r="T1521">
        <v>5</v>
      </c>
      <c r="U1521">
        <v>11</v>
      </c>
    </row>
    <row r="1522" spans="1:21" x14ac:dyDescent="0.35">
      <c r="A1522" t="s">
        <v>28</v>
      </c>
      <c r="B1522" s="1">
        <v>44611</v>
      </c>
      <c r="C1522" t="s">
        <v>30</v>
      </c>
      <c r="D1522">
        <v>55</v>
      </c>
      <c r="E1522">
        <v>85.7</v>
      </c>
      <c r="F1522">
        <v>62.4</v>
      </c>
      <c r="G1522">
        <v>0.6</v>
      </c>
      <c r="H1522">
        <v>0.9</v>
      </c>
      <c r="I1522">
        <v>0</v>
      </c>
      <c r="J1522">
        <v>0</v>
      </c>
      <c r="K1522">
        <v>0</v>
      </c>
      <c r="L1522">
        <v>0</v>
      </c>
      <c r="M1522">
        <v>0</v>
      </c>
      <c r="N1522">
        <v>27250</v>
      </c>
      <c r="O1522">
        <v>15168</v>
      </c>
      <c r="P1522">
        <v>41699</v>
      </c>
      <c r="Q1522">
        <v>15</v>
      </c>
      <c r="R1522">
        <v>13</v>
      </c>
      <c r="S1522">
        <v>26</v>
      </c>
      <c r="T1522">
        <v>80</v>
      </c>
      <c r="U1522">
        <v>200</v>
      </c>
    </row>
    <row r="1523" spans="1:21" x14ac:dyDescent="0.35">
      <c r="A1523" t="s">
        <v>21</v>
      </c>
      <c r="B1523" s="1">
        <v>45094</v>
      </c>
      <c r="C1523" t="s">
        <v>31</v>
      </c>
      <c r="D1523">
        <v>0</v>
      </c>
      <c r="E1523">
        <v>0</v>
      </c>
      <c r="F1523">
        <v>0</v>
      </c>
      <c r="G1523">
        <v>0</v>
      </c>
      <c r="H1523">
        <v>0</v>
      </c>
      <c r="I1523">
        <v>0</v>
      </c>
      <c r="J1523">
        <v>0</v>
      </c>
      <c r="K1523">
        <v>0</v>
      </c>
      <c r="L1523">
        <v>0</v>
      </c>
      <c r="M1523">
        <v>0</v>
      </c>
      <c r="N1523">
        <v>39420</v>
      </c>
      <c r="O1523">
        <v>43432</v>
      </c>
      <c r="P1523">
        <v>171735</v>
      </c>
      <c r="Q1523">
        <v>0</v>
      </c>
      <c r="R1523">
        <v>0</v>
      </c>
      <c r="S1523">
        <v>0</v>
      </c>
      <c r="T1523">
        <v>65</v>
      </c>
      <c r="U1523">
        <v>79</v>
      </c>
    </row>
    <row r="1524" spans="1:21" x14ac:dyDescent="0.35">
      <c r="A1524" t="s">
        <v>26</v>
      </c>
      <c r="B1524" s="1">
        <v>45122</v>
      </c>
      <c r="C1524" t="s">
        <v>24</v>
      </c>
      <c r="D1524">
        <v>0</v>
      </c>
      <c r="E1524">
        <v>1.2</v>
      </c>
      <c r="F1524">
        <v>0</v>
      </c>
      <c r="G1524">
        <v>0</v>
      </c>
      <c r="H1524">
        <v>0</v>
      </c>
      <c r="I1524">
        <v>0</v>
      </c>
      <c r="J1524">
        <v>0</v>
      </c>
      <c r="K1524">
        <v>0</v>
      </c>
      <c r="L1524">
        <v>0</v>
      </c>
      <c r="M1524">
        <v>0</v>
      </c>
      <c r="N1524">
        <v>90116</v>
      </c>
      <c r="O1524">
        <v>82668</v>
      </c>
      <c r="P1524">
        <v>21259</v>
      </c>
      <c r="Q1524">
        <v>0</v>
      </c>
      <c r="R1524">
        <v>1</v>
      </c>
      <c r="S1524">
        <v>0</v>
      </c>
      <c r="T1524">
        <v>5</v>
      </c>
      <c r="U1524">
        <v>11</v>
      </c>
    </row>
    <row r="1525" spans="1:21" x14ac:dyDescent="0.35">
      <c r="A1525" t="s">
        <v>28</v>
      </c>
      <c r="B1525" s="1">
        <v>44485</v>
      </c>
      <c r="C1525" t="s">
        <v>32</v>
      </c>
      <c r="D1525">
        <v>48.6</v>
      </c>
      <c r="E1525">
        <v>0</v>
      </c>
      <c r="F1525">
        <v>0</v>
      </c>
      <c r="G1525">
        <v>0</v>
      </c>
      <c r="H1525">
        <v>0</v>
      </c>
      <c r="I1525">
        <v>0</v>
      </c>
      <c r="J1525">
        <v>0</v>
      </c>
      <c r="K1525">
        <v>0</v>
      </c>
      <c r="L1525">
        <v>0</v>
      </c>
      <c r="M1525">
        <v>0</v>
      </c>
      <c r="N1525">
        <v>162642</v>
      </c>
      <c r="O1525">
        <v>0</v>
      </c>
      <c r="P1525">
        <v>0</v>
      </c>
      <c r="Q1525">
        <v>79</v>
      </c>
      <c r="R1525">
        <v>0</v>
      </c>
      <c r="S1525">
        <v>0</v>
      </c>
      <c r="T1525">
        <v>0</v>
      </c>
      <c r="U1525">
        <v>4</v>
      </c>
    </row>
    <row r="1526" spans="1:21" x14ac:dyDescent="0.35">
      <c r="A1526" t="s">
        <v>28</v>
      </c>
      <c r="B1526" s="1">
        <v>44492</v>
      </c>
      <c r="C1526" t="s">
        <v>32</v>
      </c>
      <c r="D1526">
        <v>54.7</v>
      </c>
      <c r="E1526">
        <v>0</v>
      </c>
      <c r="F1526">
        <v>0</v>
      </c>
      <c r="G1526">
        <v>0</v>
      </c>
      <c r="H1526">
        <v>0</v>
      </c>
      <c r="I1526">
        <v>0</v>
      </c>
      <c r="J1526">
        <v>0</v>
      </c>
      <c r="K1526">
        <v>0</v>
      </c>
      <c r="L1526">
        <v>0</v>
      </c>
      <c r="M1526">
        <v>0</v>
      </c>
      <c r="N1526">
        <v>162642</v>
      </c>
      <c r="O1526">
        <v>0</v>
      </c>
      <c r="P1526">
        <v>0</v>
      </c>
      <c r="Q1526">
        <v>89</v>
      </c>
      <c r="R1526">
        <v>0</v>
      </c>
      <c r="S1526">
        <v>0</v>
      </c>
      <c r="T1526">
        <v>0</v>
      </c>
      <c r="U1526">
        <v>4</v>
      </c>
    </row>
    <row r="1527" spans="1:21" x14ac:dyDescent="0.35">
      <c r="A1527" t="s">
        <v>28</v>
      </c>
      <c r="B1527" s="1">
        <v>44499</v>
      </c>
      <c r="C1527" t="s">
        <v>32</v>
      </c>
      <c r="D1527">
        <v>62.7</v>
      </c>
      <c r="E1527">
        <v>0</v>
      </c>
      <c r="F1527">
        <v>0</v>
      </c>
      <c r="G1527">
        <v>0</v>
      </c>
      <c r="H1527">
        <v>0</v>
      </c>
      <c r="I1527">
        <v>0</v>
      </c>
      <c r="J1527">
        <v>0</v>
      </c>
      <c r="K1527">
        <v>0</v>
      </c>
      <c r="L1527">
        <v>0</v>
      </c>
      <c r="M1527">
        <v>0</v>
      </c>
      <c r="N1527">
        <v>162642</v>
      </c>
      <c r="O1527">
        <v>0</v>
      </c>
      <c r="P1527">
        <v>0</v>
      </c>
      <c r="Q1527">
        <v>102</v>
      </c>
      <c r="R1527">
        <v>0</v>
      </c>
      <c r="S1527">
        <v>0</v>
      </c>
      <c r="T1527">
        <v>0</v>
      </c>
      <c r="U1527">
        <v>4</v>
      </c>
    </row>
    <row r="1528" spans="1:21" x14ac:dyDescent="0.35">
      <c r="A1528" t="s">
        <v>26</v>
      </c>
      <c r="B1528" s="1">
        <v>45199</v>
      </c>
      <c r="C1528" t="s">
        <v>25</v>
      </c>
      <c r="D1528">
        <v>2.8</v>
      </c>
      <c r="E1528">
        <v>0.5</v>
      </c>
      <c r="F1528">
        <v>0.6</v>
      </c>
      <c r="G1528">
        <v>5.6</v>
      </c>
      <c r="H1528">
        <v>4.7</v>
      </c>
      <c r="I1528">
        <v>0</v>
      </c>
      <c r="J1528">
        <v>0</v>
      </c>
      <c r="K1528">
        <v>0</v>
      </c>
      <c r="L1528">
        <v>0</v>
      </c>
      <c r="M1528">
        <v>0</v>
      </c>
      <c r="N1528">
        <v>72503</v>
      </c>
      <c r="O1528">
        <v>214130</v>
      </c>
      <c r="P1528">
        <v>161728</v>
      </c>
      <c r="Q1528">
        <v>2</v>
      </c>
      <c r="R1528">
        <v>1</v>
      </c>
      <c r="S1528">
        <v>1</v>
      </c>
      <c r="T1528">
        <v>18</v>
      </c>
      <c r="U1528">
        <v>29</v>
      </c>
    </row>
    <row r="1529" spans="1:21" x14ac:dyDescent="0.35">
      <c r="A1529" t="s">
        <v>28</v>
      </c>
      <c r="B1529" s="1">
        <v>44499</v>
      </c>
      <c r="C1529" t="s">
        <v>24</v>
      </c>
      <c r="D1529">
        <v>133</v>
      </c>
      <c r="E1529">
        <v>0</v>
      </c>
      <c r="F1529">
        <v>0</v>
      </c>
      <c r="G1529">
        <v>0</v>
      </c>
      <c r="H1529">
        <v>0</v>
      </c>
      <c r="I1529">
        <v>0</v>
      </c>
      <c r="J1529">
        <v>0</v>
      </c>
      <c r="K1529">
        <v>0</v>
      </c>
      <c r="L1529">
        <v>0</v>
      </c>
      <c r="M1529">
        <v>0</v>
      </c>
      <c r="N1529">
        <v>210448</v>
      </c>
      <c r="O1529">
        <v>0</v>
      </c>
      <c r="P1529">
        <v>0</v>
      </c>
      <c r="Q1529">
        <v>280</v>
      </c>
      <c r="R1529">
        <v>0</v>
      </c>
      <c r="S1529">
        <v>0</v>
      </c>
      <c r="T1529">
        <v>5</v>
      </c>
      <c r="U1529">
        <v>11</v>
      </c>
    </row>
    <row r="1530" spans="1:21" x14ac:dyDescent="0.35">
      <c r="A1530" t="s">
        <v>26</v>
      </c>
      <c r="B1530" s="1">
        <v>44906</v>
      </c>
      <c r="C1530" t="s">
        <v>32</v>
      </c>
      <c r="D1530">
        <v>4.9000000000000004</v>
      </c>
      <c r="E1530">
        <v>0</v>
      </c>
      <c r="F1530">
        <v>0</v>
      </c>
      <c r="G1530">
        <v>0</v>
      </c>
      <c r="H1530">
        <v>0</v>
      </c>
      <c r="I1530">
        <v>0</v>
      </c>
      <c r="J1530">
        <v>0</v>
      </c>
      <c r="K1530">
        <v>0</v>
      </c>
      <c r="L1530">
        <v>0</v>
      </c>
      <c r="M1530">
        <v>0</v>
      </c>
      <c r="N1530">
        <v>162642</v>
      </c>
      <c r="O1530">
        <v>0</v>
      </c>
      <c r="P1530">
        <v>0</v>
      </c>
      <c r="Q1530">
        <v>8</v>
      </c>
      <c r="R1530">
        <v>0</v>
      </c>
      <c r="S1530">
        <v>0</v>
      </c>
      <c r="T1530">
        <v>0</v>
      </c>
      <c r="U1530">
        <v>4</v>
      </c>
    </row>
    <row r="1531" spans="1:21" x14ac:dyDescent="0.35">
      <c r="A1531" t="s">
        <v>28</v>
      </c>
      <c r="B1531" s="1">
        <v>44358</v>
      </c>
      <c r="C1531" t="s">
        <v>32</v>
      </c>
      <c r="D1531">
        <v>74.400000000000006</v>
      </c>
      <c r="E1531">
        <v>0</v>
      </c>
      <c r="F1531">
        <v>0</v>
      </c>
      <c r="G1531">
        <v>0</v>
      </c>
      <c r="H1531">
        <v>0</v>
      </c>
      <c r="I1531">
        <v>0</v>
      </c>
      <c r="J1531">
        <v>0</v>
      </c>
      <c r="K1531">
        <v>0</v>
      </c>
      <c r="L1531">
        <v>0</v>
      </c>
      <c r="M1531">
        <v>0</v>
      </c>
      <c r="N1531">
        <v>162642</v>
      </c>
      <c r="O1531">
        <v>0</v>
      </c>
      <c r="P1531">
        <v>0</v>
      </c>
      <c r="Q1531">
        <v>121</v>
      </c>
      <c r="R1531">
        <v>0</v>
      </c>
      <c r="S1531">
        <v>0</v>
      </c>
      <c r="T1531">
        <v>0</v>
      </c>
      <c r="U1531">
        <v>4</v>
      </c>
    </row>
    <row r="1532" spans="1:21" x14ac:dyDescent="0.35">
      <c r="A1532" t="s">
        <v>28</v>
      </c>
      <c r="B1532" s="1">
        <v>44457</v>
      </c>
      <c r="C1532" t="s">
        <v>31</v>
      </c>
      <c r="D1532">
        <v>122.1</v>
      </c>
      <c r="E1532">
        <v>39.700000000000003</v>
      </c>
      <c r="F1532">
        <v>0</v>
      </c>
      <c r="G1532">
        <v>3.1</v>
      </c>
      <c r="H1532">
        <v>0</v>
      </c>
      <c r="I1532">
        <v>0</v>
      </c>
      <c r="J1532">
        <v>0</v>
      </c>
      <c r="K1532">
        <v>0</v>
      </c>
      <c r="L1532">
        <v>0</v>
      </c>
      <c r="M1532">
        <v>0</v>
      </c>
      <c r="N1532">
        <v>63900</v>
      </c>
      <c r="O1532">
        <v>193739</v>
      </c>
      <c r="P1532">
        <v>0</v>
      </c>
      <c r="Q1532">
        <v>78</v>
      </c>
      <c r="R1532">
        <v>77</v>
      </c>
      <c r="S1532">
        <v>0</v>
      </c>
      <c r="T1532">
        <v>65</v>
      </c>
      <c r="U1532">
        <v>79</v>
      </c>
    </row>
    <row r="1533" spans="1:21" x14ac:dyDescent="0.35">
      <c r="A1533" t="s">
        <v>28</v>
      </c>
      <c r="B1533" s="1">
        <v>44513</v>
      </c>
      <c r="C1533" t="s">
        <v>32</v>
      </c>
      <c r="D1533">
        <v>97.1</v>
      </c>
      <c r="E1533">
        <v>0</v>
      </c>
      <c r="F1533">
        <v>0</v>
      </c>
      <c r="G1533">
        <v>0</v>
      </c>
      <c r="H1533">
        <v>0</v>
      </c>
      <c r="I1533">
        <v>0</v>
      </c>
      <c r="J1533">
        <v>0</v>
      </c>
      <c r="K1533">
        <v>0</v>
      </c>
      <c r="L1533">
        <v>0</v>
      </c>
      <c r="M1533">
        <v>0</v>
      </c>
      <c r="N1533">
        <v>162642</v>
      </c>
      <c r="O1533">
        <v>0</v>
      </c>
      <c r="P1533">
        <v>0</v>
      </c>
      <c r="Q1533">
        <v>158</v>
      </c>
      <c r="R1533">
        <v>0</v>
      </c>
      <c r="S1533">
        <v>0</v>
      </c>
      <c r="T1533">
        <v>0</v>
      </c>
      <c r="U1533">
        <v>4</v>
      </c>
    </row>
    <row r="1534" spans="1:21" x14ac:dyDescent="0.35">
      <c r="A1534" t="s">
        <v>26</v>
      </c>
      <c r="B1534" s="1">
        <v>44926</v>
      </c>
      <c r="C1534" t="s">
        <v>32</v>
      </c>
      <c r="D1534">
        <v>8</v>
      </c>
      <c r="E1534">
        <v>0</v>
      </c>
      <c r="F1534">
        <v>0</v>
      </c>
      <c r="G1534">
        <v>0</v>
      </c>
      <c r="H1534">
        <v>0</v>
      </c>
      <c r="I1534">
        <v>0</v>
      </c>
      <c r="J1534">
        <v>0</v>
      </c>
      <c r="K1534">
        <v>0</v>
      </c>
      <c r="L1534">
        <v>0</v>
      </c>
      <c r="M1534">
        <v>0</v>
      </c>
      <c r="N1534">
        <v>162642</v>
      </c>
      <c r="O1534">
        <v>0</v>
      </c>
      <c r="P1534">
        <v>0</v>
      </c>
      <c r="Q1534">
        <v>13</v>
      </c>
      <c r="R1534">
        <v>0</v>
      </c>
      <c r="S1534">
        <v>0</v>
      </c>
      <c r="T1534">
        <v>0</v>
      </c>
      <c r="U1534">
        <v>4</v>
      </c>
    </row>
    <row r="1535" spans="1:21" x14ac:dyDescent="0.35">
      <c r="A1535" t="s">
        <v>28</v>
      </c>
      <c r="B1535" s="1">
        <v>44536</v>
      </c>
      <c r="C1535" t="s">
        <v>30</v>
      </c>
      <c r="D1535">
        <v>20.5</v>
      </c>
      <c r="E1535">
        <v>8</v>
      </c>
      <c r="F1535">
        <v>0</v>
      </c>
      <c r="G1535">
        <v>2.6</v>
      </c>
      <c r="H1535">
        <v>0</v>
      </c>
      <c r="I1535">
        <v>0</v>
      </c>
      <c r="J1535">
        <v>0</v>
      </c>
      <c r="K1535">
        <v>0</v>
      </c>
      <c r="L1535">
        <v>0</v>
      </c>
      <c r="M1535">
        <v>0</v>
      </c>
      <c r="N1535">
        <v>34140</v>
      </c>
      <c r="O1535">
        <v>49948</v>
      </c>
      <c r="P1535">
        <v>0</v>
      </c>
      <c r="Q1535">
        <v>7</v>
      </c>
      <c r="R1535">
        <v>4</v>
      </c>
      <c r="S1535">
        <v>0</v>
      </c>
      <c r="T1535">
        <v>80</v>
      </c>
      <c r="U1535">
        <v>200</v>
      </c>
    </row>
    <row r="1536" spans="1:21" x14ac:dyDescent="0.35">
      <c r="A1536" t="s">
        <v>28</v>
      </c>
      <c r="B1536" s="1">
        <v>44527</v>
      </c>
      <c r="C1536" t="s">
        <v>32</v>
      </c>
      <c r="D1536">
        <v>100.2</v>
      </c>
      <c r="E1536">
        <v>0</v>
      </c>
      <c r="F1536">
        <v>0</v>
      </c>
      <c r="G1536">
        <v>0</v>
      </c>
      <c r="H1536">
        <v>0</v>
      </c>
      <c r="I1536">
        <v>0</v>
      </c>
      <c r="J1536">
        <v>0</v>
      </c>
      <c r="K1536">
        <v>0</v>
      </c>
      <c r="L1536">
        <v>0</v>
      </c>
      <c r="M1536">
        <v>0</v>
      </c>
      <c r="N1536">
        <v>162642</v>
      </c>
      <c r="O1536">
        <v>0</v>
      </c>
      <c r="P1536">
        <v>0</v>
      </c>
      <c r="Q1536">
        <v>163</v>
      </c>
      <c r="R1536">
        <v>0</v>
      </c>
      <c r="S1536">
        <v>0</v>
      </c>
      <c r="T1536">
        <v>0</v>
      </c>
      <c r="U1536">
        <v>4</v>
      </c>
    </row>
    <row r="1537" spans="1:21" x14ac:dyDescent="0.35">
      <c r="A1537" t="s">
        <v>26</v>
      </c>
      <c r="B1537" s="1">
        <v>44912</v>
      </c>
      <c r="C1537" t="s">
        <v>30</v>
      </c>
      <c r="D1537">
        <v>76.400000000000006</v>
      </c>
      <c r="E1537">
        <v>149.5</v>
      </c>
      <c r="F1537">
        <v>89.2</v>
      </c>
      <c r="G1537">
        <v>0.5</v>
      </c>
      <c r="H1537">
        <v>0.9</v>
      </c>
      <c r="I1537">
        <v>0</v>
      </c>
      <c r="J1537">
        <v>0</v>
      </c>
      <c r="K1537">
        <v>0</v>
      </c>
      <c r="L1537">
        <v>0</v>
      </c>
      <c r="M1537">
        <v>0</v>
      </c>
      <c r="N1537">
        <v>24877</v>
      </c>
      <c r="O1537">
        <v>11373</v>
      </c>
      <c r="P1537">
        <v>47108</v>
      </c>
      <c r="Q1537">
        <v>19</v>
      </c>
      <c r="R1537">
        <v>17</v>
      </c>
      <c r="S1537">
        <v>42</v>
      </c>
      <c r="T1537">
        <v>80</v>
      </c>
      <c r="U1537">
        <v>200</v>
      </c>
    </row>
    <row r="1538" spans="1:21" x14ac:dyDescent="0.35">
      <c r="A1538" t="s">
        <v>28</v>
      </c>
      <c r="B1538" s="1">
        <v>44849</v>
      </c>
      <c r="C1538" t="s">
        <v>22</v>
      </c>
      <c r="D1538">
        <v>107.7</v>
      </c>
      <c r="E1538">
        <v>57.8</v>
      </c>
      <c r="F1538">
        <v>94.6</v>
      </c>
      <c r="G1538">
        <v>1.9</v>
      </c>
      <c r="H1538">
        <v>1.1000000000000001</v>
      </c>
      <c r="I1538">
        <v>134.30000000000001</v>
      </c>
      <c r="J1538">
        <v>63.3</v>
      </c>
      <c r="K1538">
        <v>81.5</v>
      </c>
      <c r="L1538">
        <v>2.1</v>
      </c>
      <c r="M1538">
        <v>1.6</v>
      </c>
      <c r="N1538">
        <v>584290</v>
      </c>
      <c r="O1538">
        <v>844343</v>
      </c>
      <c r="P1538">
        <v>1038311</v>
      </c>
      <c r="Q1538">
        <v>629</v>
      </c>
      <c r="R1538">
        <v>488</v>
      </c>
      <c r="S1538">
        <v>982</v>
      </c>
      <c r="T1538">
        <v>999</v>
      </c>
      <c r="U1538">
        <v>999</v>
      </c>
    </row>
    <row r="1539" spans="1:21" x14ac:dyDescent="0.35">
      <c r="A1539" t="s">
        <v>28</v>
      </c>
      <c r="B1539" s="1">
        <v>44599</v>
      </c>
      <c r="C1539" t="s">
        <v>22</v>
      </c>
      <c r="D1539">
        <v>242.7</v>
      </c>
      <c r="E1539">
        <v>137.80000000000001</v>
      </c>
      <c r="F1539">
        <v>256.2</v>
      </c>
      <c r="G1539">
        <v>1.8</v>
      </c>
      <c r="H1539">
        <v>0.9</v>
      </c>
      <c r="I1539">
        <v>291.39999999999998</v>
      </c>
      <c r="J1539">
        <v>133</v>
      </c>
      <c r="K1539">
        <v>229.9</v>
      </c>
      <c r="L1539">
        <v>2.2000000000000002</v>
      </c>
      <c r="M1539">
        <v>1.3</v>
      </c>
      <c r="N1539">
        <v>631303</v>
      </c>
      <c r="O1539">
        <v>865202</v>
      </c>
      <c r="P1539">
        <v>992967</v>
      </c>
      <c r="Q1539">
        <v>1532</v>
      </c>
      <c r="R1539">
        <v>1192</v>
      </c>
      <c r="S1539">
        <v>2544</v>
      </c>
      <c r="T1539">
        <v>999</v>
      </c>
      <c r="U1539">
        <v>999</v>
      </c>
    </row>
    <row r="1540" spans="1:21" x14ac:dyDescent="0.35">
      <c r="A1540" t="s">
        <v>28</v>
      </c>
      <c r="B1540" s="1">
        <v>44512</v>
      </c>
      <c r="C1540" t="s">
        <v>31</v>
      </c>
      <c r="D1540">
        <v>324.5</v>
      </c>
      <c r="E1540">
        <v>158.30000000000001</v>
      </c>
      <c r="F1540">
        <v>26.8</v>
      </c>
      <c r="G1540">
        <v>2</v>
      </c>
      <c r="H1540">
        <v>12.1</v>
      </c>
      <c r="I1540">
        <v>0</v>
      </c>
      <c r="J1540">
        <v>0</v>
      </c>
      <c r="K1540">
        <v>0</v>
      </c>
      <c r="L1540">
        <v>0</v>
      </c>
      <c r="M1540">
        <v>0</v>
      </c>
      <c r="N1540">
        <v>54236</v>
      </c>
      <c r="O1540">
        <v>104235</v>
      </c>
      <c r="P1540">
        <v>100914</v>
      </c>
      <c r="Q1540">
        <v>176</v>
      </c>
      <c r="R1540">
        <v>165</v>
      </c>
      <c r="S1540">
        <v>27</v>
      </c>
      <c r="T1540">
        <v>65</v>
      </c>
      <c r="U1540">
        <v>79</v>
      </c>
    </row>
    <row r="1541" spans="1:21" x14ac:dyDescent="0.35">
      <c r="A1541" t="s">
        <v>26</v>
      </c>
      <c r="B1541" s="1">
        <v>44730</v>
      </c>
      <c r="C1541" t="s">
        <v>31</v>
      </c>
      <c r="D1541">
        <v>40.700000000000003</v>
      </c>
      <c r="E1541">
        <v>27.8</v>
      </c>
      <c r="F1541">
        <v>15.6</v>
      </c>
      <c r="G1541">
        <v>1.5</v>
      </c>
      <c r="H1541">
        <v>2.6</v>
      </c>
      <c r="I1541">
        <v>0</v>
      </c>
      <c r="J1541">
        <v>0</v>
      </c>
      <c r="K1541">
        <v>0</v>
      </c>
      <c r="L1541">
        <v>0</v>
      </c>
      <c r="M1541">
        <v>0</v>
      </c>
      <c r="N1541">
        <v>46695</v>
      </c>
      <c r="O1541">
        <v>46794</v>
      </c>
      <c r="P1541">
        <v>166552</v>
      </c>
      <c r="Q1541">
        <v>19</v>
      </c>
      <c r="R1541">
        <v>13</v>
      </c>
      <c r="S1541">
        <v>26</v>
      </c>
      <c r="T1541">
        <v>65</v>
      </c>
      <c r="U1541">
        <v>79</v>
      </c>
    </row>
    <row r="1542" spans="1:21" x14ac:dyDescent="0.35">
      <c r="A1542" t="s">
        <v>28</v>
      </c>
      <c r="B1542" s="1">
        <v>44811</v>
      </c>
      <c r="C1542" t="s">
        <v>31</v>
      </c>
      <c r="D1542">
        <v>215.6</v>
      </c>
      <c r="E1542">
        <v>165.8</v>
      </c>
      <c r="F1542">
        <v>209</v>
      </c>
      <c r="G1542">
        <v>1.3</v>
      </c>
      <c r="H1542">
        <v>1</v>
      </c>
      <c r="I1542">
        <v>0</v>
      </c>
      <c r="J1542">
        <v>0</v>
      </c>
      <c r="K1542">
        <v>0</v>
      </c>
      <c r="L1542">
        <v>0</v>
      </c>
      <c r="M1542">
        <v>0</v>
      </c>
      <c r="N1542">
        <v>46385</v>
      </c>
      <c r="O1542">
        <v>45832</v>
      </c>
      <c r="P1542">
        <v>167927</v>
      </c>
      <c r="Q1542">
        <v>100</v>
      </c>
      <c r="R1542">
        <v>76</v>
      </c>
      <c r="S1542">
        <v>351</v>
      </c>
      <c r="T1542">
        <v>65</v>
      </c>
      <c r="U1542">
        <v>79</v>
      </c>
    </row>
    <row r="1543" spans="1:21" x14ac:dyDescent="0.35">
      <c r="A1543" t="s">
        <v>28</v>
      </c>
      <c r="B1543" s="1">
        <v>44772</v>
      </c>
      <c r="C1543" t="s">
        <v>23</v>
      </c>
      <c r="D1543">
        <v>513.70000000000005</v>
      </c>
      <c r="E1543">
        <v>181.5</v>
      </c>
      <c r="F1543">
        <v>248.3</v>
      </c>
      <c r="G1543">
        <v>2.8</v>
      </c>
      <c r="H1543">
        <v>2.1</v>
      </c>
      <c r="I1543">
        <v>0</v>
      </c>
      <c r="J1543">
        <v>0</v>
      </c>
      <c r="K1543">
        <v>0</v>
      </c>
      <c r="L1543">
        <v>0</v>
      </c>
      <c r="M1543">
        <v>0</v>
      </c>
      <c r="N1543">
        <v>41078</v>
      </c>
      <c r="O1543">
        <v>127792</v>
      </c>
      <c r="P1543">
        <v>242873</v>
      </c>
      <c r="Q1543">
        <v>211</v>
      </c>
      <c r="R1543">
        <v>232</v>
      </c>
      <c r="S1543">
        <v>603</v>
      </c>
      <c r="T1543">
        <v>50</v>
      </c>
      <c r="U1543">
        <v>64</v>
      </c>
    </row>
    <row r="1544" spans="1:21" x14ac:dyDescent="0.35">
      <c r="A1544" t="s">
        <v>21</v>
      </c>
      <c r="B1544" s="1">
        <v>44720</v>
      </c>
      <c r="C1544" t="s">
        <v>23</v>
      </c>
      <c r="D1544">
        <v>2.4</v>
      </c>
      <c r="E1544">
        <v>0.8</v>
      </c>
      <c r="F1544">
        <v>0.4</v>
      </c>
      <c r="G1544">
        <v>3</v>
      </c>
      <c r="H1544">
        <v>6</v>
      </c>
      <c r="I1544">
        <v>0</v>
      </c>
      <c r="J1544">
        <v>0</v>
      </c>
      <c r="K1544">
        <v>0</v>
      </c>
      <c r="L1544">
        <v>0</v>
      </c>
      <c r="M1544">
        <v>0</v>
      </c>
      <c r="N1544">
        <v>40870</v>
      </c>
      <c r="O1544">
        <v>127180</v>
      </c>
      <c r="P1544">
        <v>243708</v>
      </c>
      <c r="Q1544">
        <v>1</v>
      </c>
      <c r="R1544">
        <v>1</v>
      </c>
      <c r="S1544">
        <v>1</v>
      </c>
      <c r="T1544">
        <v>50</v>
      </c>
      <c r="U1544">
        <v>64</v>
      </c>
    </row>
    <row r="1545" spans="1:21" x14ac:dyDescent="0.35">
      <c r="A1545" t="s">
        <v>21</v>
      </c>
      <c r="B1545" s="1">
        <v>44583</v>
      </c>
      <c r="C1545" t="s">
        <v>23</v>
      </c>
      <c r="D1545">
        <v>50.9</v>
      </c>
      <c r="E1545">
        <v>6.9</v>
      </c>
      <c r="F1545">
        <v>0</v>
      </c>
      <c r="G1545">
        <v>7.4</v>
      </c>
      <c r="H1545">
        <v>0</v>
      </c>
      <c r="I1545">
        <v>0</v>
      </c>
      <c r="J1545">
        <v>0</v>
      </c>
      <c r="K1545">
        <v>0</v>
      </c>
      <c r="L1545">
        <v>0</v>
      </c>
      <c r="M1545">
        <v>0</v>
      </c>
      <c r="N1545">
        <v>51071</v>
      </c>
      <c r="O1545">
        <v>174412</v>
      </c>
      <c r="P1545">
        <v>182773</v>
      </c>
      <c r="Q1545">
        <v>26</v>
      </c>
      <c r="R1545">
        <v>12</v>
      </c>
      <c r="S1545">
        <v>0</v>
      </c>
      <c r="T1545">
        <v>50</v>
      </c>
      <c r="U1545">
        <v>64</v>
      </c>
    </row>
    <row r="1546" spans="1:21" x14ac:dyDescent="0.35">
      <c r="A1546" t="s">
        <v>26</v>
      </c>
      <c r="B1546" s="1">
        <v>44991</v>
      </c>
      <c r="C1546" t="s">
        <v>27</v>
      </c>
      <c r="D1546">
        <v>0</v>
      </c>
      <c r="E1546">
        <v>1.2</v>
      </c>
      <c r="F1546">
        <v>0</v>
      </c>
      <c r="G1546">
        <v>0</v>
      </c>
      <c r="H1546">
        <v>0</v>
      </c>
      <c r="I1546">
        <v>0</v>
      </c>
      <c r="J1546">
        <v>0</v>
      </c>
      <c r="K1546">
        <v>0</v>
      </c>
      <c r="L1546">
        <v>0</v>
      </c>
      <c r="M1546">
        <v>0</v>
      </c>
      <c r="N1546">
        <v>32449</v>
      </c>
      <c r="O1546">
        <v>86581</v>
      </c>
      <c r="P1546">
        <v>44580</v>
      </c>
      <c r="Q1546">
        <v>0</v>
      </c>
      <c r="R1546">
        <v>1</v>
      </c>
      <c r="S1546">
        <v>0</v>
      </c>
      <c r="T1546">
        <v>12</v>
      </c>
      <c r="U1546">
        <v>17</v>
      </c>
    </row>
    <row r="1547" spans="1:21" x14ac:dyDescent="0.35">
      <c r="A1547" t="s">
        <v>28</v>
      </c>
      <c r="B1547" s="1">
        <v>44618</v>
      </c>
      <c r="C1547" t="s">
        <v>25</v>
      </c>
      <c r="D1547">
        <v>102.8</v>
      </c>
      <c r="E1547">
        <v>38.5</v>
      </c>
      <c r="F1547">
        <v>72.099999999999994</v>
      </c>
      <c r="G1547">
        <v>2.7</v>
      </c>
      <c r="H1547">
        <v>1.4</v>
      </c>
      <c r="I1547">
        <v>0</v>
      </c>
      <c r="J1547">
        <v>0</v>
      </c>
      <c r="K1547">
        <v>0</v>
      </c>
      <c r="L1547">
        <v>0</v>
      </c>
      <c r="M1547">
        <v>0</v>
      </c>
      <c r="N1547">
        <v>102168</v>
      </c>
      <c r="O1547">
        <v>220893</v>
      </c>
      <c r="P1547">
        <v>137242</v>
      </c>
      <c r="Q1547">
        <v>105</v>
      </c>
      <c r="R1547">
        <v>85</v>
      </c>
      <c r="S1547">
        <v>99</v>
      </c>
      <c r="T1547">
        <v>18</v>
      </c>
      <c r="U1547">
        <v>29</v>
      </c>
    </row>
    <row r="1548" spans="1:21" x14ac:dyDescent="0.35">
      <c r="A1548" t="s">
        <v>26</v>
      </c>
      <c r="B1548" s="1">
        <v>45018</v>
      </c>
      <c r="C1548" t="s">
        <v>30</v>
      </c>
      <c r="D1548">
        <v>28.3</v>
      </c>
      <c r="E1548">
        <v>52.7</v>
      </c>
      <c r="F1548">
        <v>23.3</v>
      </c>
      <c r="G1548">
        <v>0.5</v>
      </c>
      <c r="H1548">
        <v>1.2</v>
      </c>
      <c r="I1548">
        <v>0</v>
      </c>
      <c r="J1548">
        <v>0</v>
      </c>
      <c r="K1548">
        <v>0</v>
      </c>
      <c r="L1548">
        <v>0</v>
      </c>
      <c r="M1548">
        <v>0</v>
      </c>
      <c r="N1548">
        <v>24721</v>
      </c>
      <c r="O1548">
        <v>11375</v>
      </c>
      <c r="P1548">
        <v>47121</v>
      </c>
      <c r="Q1548">
        <v>7</v>
      </c>
      <c r="R1548">
        <v>6</v>
      </c>
      <c r="S1548">
        <v>11</v>
      </c>
      <c r="T1548">
        <v>80</v>
      </c>
      <c r="U1548">
        <v>200</v>
      </c>
    </row>
    <row r="1549" spans="1:21" x14ac:dyDescent="0.35">
      <c r="A1549" t="s">
        <v>28</v>
      </c>
      <c r="B1549" s="1">
        <v>44828</v>
      </c>
      <c r="C1549" t="s">
        <v>32</v>
      </c>
      <c r="D1549">
        <v>54.7</v>
      </c>
      <c r="E1549">
        <v>1.2</v>
      </c>
      <c r="F1549">
        <v>0</v>
      </c>
      <c r="G1549">
        <v>45.6</v>
      </c>
      <c r="H1549">
        <v>0</v>
      </c>
      <c r="I1549">
        <v>0</v>
      </c>
      <c r="J1549">
        <v>0</v>
      </c>
      <c r="K1549">
        <v>0</v>
      </c>
      <c r="L1549">
        <v>0</v>
      </c>
      <c r="M1549">
        <v>0</v>
      </c>
      <c r="N1549">
        <v>162642</v>
      </c>
      <c r="O1549">
        <v>0</v>
      </c>
      <c r="P1549">
        <v>0</v>
      </c>
      <c r="Q1549">
        <v>89</v>
      </c>
      <c r="R1549">
        <v>2</v>
      </c>
      <c r="S1549">
        <v>0</v>
      </c>
      <c r="T1549">
        <v>0</v>
      </c>
      <c r="U1549">
        <v>4</v>
      </c>
    </row>
    <row r="1550" spans="1:21" x14ac:dyDescent="0.35">
      <c r="A1550" t="s">
        <v>21</v>
      </c>
      <c r="B1550" s="1">
        <v>44408</v>
      </c>
      <c r="C1550" t="s">
        <v>25</v>
      </c>
      <c r="D1550">
        <v>0.5</v>
      </c>
      <c r="E1550">
        <v>0</v>
      </c>
      <c r="F1550">
        <v>0</v>
      </c>
      <c r="G1550">
        <v>0</v>
      </c>
      <c r="H1550">
        <v>0</v>
      </c>
      <c r="I1550">
        <v>0</v>
      </c>
      <c r="J1550">
        <v>0</v>
      </c>
      <c r="K1550">
        <v>0</v>
      </c>
      <c r="L1550">
        <v>0</v>
      </c>
      <c r="M1550">
        <v>0</v>
      </c>
      <c r="N1550">
        <v>210867</v>
      </c>
      <c r="O1550">
        <v>279504</v>
      </c>
      <c r="P1550">
        <v>0</v>
      </c>
      <c r="Q1550">
        <v>1</v>
      </c>
      <c r="R1550">
        <v>0</v>
      </c>
      <c r="S1550">
        <v>0</v>
      </c>
      <c r="T1550">
        <v>18</v>
      </c>
      <c r="U1550">
        <v>29</v>
      </c>
    </row>
    <row r="1551" spans="1:21" x14ac:dyDescent="0.35">
      <c r="A1551" t="s">
        <v>26</v>
      </c>
      <c r="B1551" s="1">
        <v>44674</v>
      </c>
      <c r="C1551" t="s">
        <v>30</v>
      </c>
      <c r="D1551">
        <v>18.600000000000001</v>
      </c>
      <c r="E1551">
        <v>22.3</v>
      </c>
      <c r="F1551">
        <v>18.2</v>
      </c>
      <c r="G1551">
        <v>0.8</v>
      </c>
      <c r="H1551">
        <v>1</v>
      </c>
      <c r="I1551">
        <v>0</v>
      </c>
      <c r="J1551">
        <v>0</v>
      </c>
      <c r="K1551">
        <v>0</v>
      </c>
      <c r="L1551">
        <v>0</v>
      </c>
      <c r="M1551">
        <v>0</v>
      </c>
      <c r="N1551">
        <v>26906</v>
      </c>
      <c r="O1551">
        <v>13471</v>
      </c>
      <c r="P1551">
        <v>43906</v>
      </c>
      <c r="Q1551">
        <v>5</v>
      </c>
      <c r="R1551">
        <v>3</v>
      </c>
      <c r="S1551">
        <v>8</v>
      </c>
      <c r="T1551">
        <v>80</v>
      </c>
      <c r="U1551">
        <v>200</v>
      </c>
    </row>
    <row r="1552" spans="1:21" x14ac:dyDescent="0.35">
      <c r="A1552" t="s">
        <v>21</v>
      </c>
      <c r="B1552" s="1">
        <v>44618</v>
      </c>
      <c r="C1552" t="s">
        <v>22</v>
      </c>
      <c r="D1552">
        <v>2.1</v>
      </c>
      <c r="E1552">
        <v>1.2</v>
      </c>
      <c r="F1552">
        <v>0.7</v>
      </c>
      <c r="G1552">
        <v>1.8</v>
      </c>
      <c r="H1552">
        <v>3</v>
      </c>
      <c r="I1552">
        <v>2.9</v>
      </c>
      <c r="J1552">
        <v>1.9</v>
      </c>
      <c r="K1552">
        <v>0.4</v>
      </c>
      <c r="L1552">
        <v>1.5</v>
      </c>
      <c r="M1552">
        <v>6.9</v>
      </c>
      <c r="N1552">
        <v>671890</v>
      </c>
      <c r="O1552">
        <v>908056</v>
      </c>
      <c r="P1552">
        <v>888098</v>
      </c>
      <c r="Q1552">
        <v>14</v>
      </c>
      <c r="R1552">
        <v>11</v>
      </c>
      <c r="S1552">
        <v>6</v>
      </c>
      <c r="T1552">
        <v>999</v>
      </c>
      <c r="U1552">
        <v>999</v>
      </c>
    </row>
    <row r="1553" spans="1:21" x14ac:dyDescent="0.35">
      <c r="A1553" t="s">
        <v>26</v>
      </c>
      <c r="B1553" s="1">
        <v>44322</v>
      </c>
      <c r="C1553" t="s">
        <v>25</v>
      </c>
      <c r="D1553">
        <v>2.5</v>
      </c>
      <c r="E1553">
        <v>0.4</v>
      </c>
      <c r="F1553">
        <v>0</v>
      </c>
      <c r="G1553">
        <v>6.2</v>
      </c>
      <c r="H1553">
        <v>0</v>
      </c>
      <c r="I1553">
        <v>0</v>
      </c>
      <c r="J1553">
        <v>0</v>
      </c>
      <c r="K1553">
        <v>0</v>
      </c>
      <c r="L1553">
        <v>0</v>
      </c>
      <c r="M1553">
        <v>0</v>
      </c>
      <c r="N1553">
        <v>241512</v>
      </c>
      <c r="O1553">
        <v>225206</v>
      </c>
      <c r="P1553">
        <v>0</v>
      </c>
      <c r="Q1553">
        <v>6</v>
      </c>
      <c r="R1553">
        <v>1</v>
      </c>
      <c r="S1553">
        <v>0</v>
      </c>
      <c r="T1553">
        <v>18</v>
      </c>
      <c r="U1553">
        <v>29</v>
      </c>
    </row>
    <row r="1554" spans="1:21" x14ac:dyDescent="0.35">
      <c r="A1554" t="s">
        <v>21</v>
      </c>
      <c r="B1554" s="1">
        <v>44846</v>
      </c>
      <c r="C1554" t="s">
        <v>32</v>
      </c>
      <c r="D1554">
        <v>0</v>
      </c>
      <c r="E1554">
        <v>0</v>
      </c>
      <c r="F1554">
        <v>0</v>
      </c>
      <c r="G1554">
        <v>0</v>
      </c>
      <c r="H1554">
        <v>0</v>
      </c>
      <c r="I1554">
        <v>0</v>
      </c>
      <c r="J1554">
        <v>0</v>
      </c>
      <c r="K1554">
        <v>0</v>
      </c>
      <c r="L1554">
        <v>0</v>
      </c>
      <c r="M1554">
        <v>0</v>
      </c>
      <c r="N1554">
        <v>162642</v>
      </c>
      <c r="O1554">
        <v>0</v>
      </c>
      <c r="P1554">
        <v>0</v>
      </c>
      <c r="Q1554">
        <v>0</v>
      </c>
      <c r="R1554">
        <v>0</v>
      </c>
      <c r="S1554">
        <v>0</v>
      </c>
      <c r="T1554">
        <v>0</v>
      </c>
      <c r="U1554">
        <v>4</v>
      </c>
    </row>
    <row r="1555" spans="1:21" x14ac:dyDescent="0.35">
      <c r="A1555" t="s">
        <v>26</v>
      </c>
      <c r="B1555" s="1">
        <v>44527</v>
      </c>
      <c r="C1555" t="s">
        <v>23</v>
      </c>
      <c r="D1555">
        <v>89.3</v>
      </c>
      <c r="E1555">
        <v>6.7</v>
      </c>
      <c r="F1555">
        <v>3.2</v>
      </c>
      <c r="G1555">
        <v>13.3</v>
      </c>
      <c r="H1555">
        <v>27.9</v>
      </c>
      <c r="I1555">
        <v>0</v>
      </c>
      <c r="J1555">
        <v>0</v>
      </c>
      <c r="K1555">
        <v>0</v>
      </c>
      <c r="L1555">
        <v>0</v>
      </c>
      <c r="M1555">
        <v>0</v>
      </c>
      <c r="N1555">
        <v>66092</v>
      </c>
      <c r="O1555">
        <v>285061</v>
      </c>
      <c r="P1555">
        <v>63187</v>
      </c>
      <c r="Q1555">
        <v>59</v>
      </c>
      <c r="R1555">
        <v>19</v>
      </c>
      <c r="S1555">
        <v>2</v>
      </c>
      <c r="T1555">
        <v>50</v>
      </c>
      <c r="U1555">
        <v>64</v>
      </c>
    </row>
    <row r="1556" spans="1:21" x14ac:dyDescent="0.35">
      <c r="A1556" t="s">
        <v>28</v>
      </c>
      <c r="B1556" s="1">
        <v>44509</v>
      </c>
      <c r="C1556" t="s">
        <v>30</v>
      </c>
      <c r="D1556">
        <v>86.4</v>
      </c>
      <c r="E1556">
        <v>52.8</v>
      </c>
      <c r="F1556">
        <v>0</v>
      </c>
      <c r="G1556">
        <v>1.6</v>
      </c>
      <c r="H1556">
        <v>0</v>
      </c>
      <c r="I1556">
        <v>0</v>
      </c>
      <c r="J1556">
        <v>0</v>
      </c>
      <c r="K1556">
        <v>0</v>
      </c>
      <c r="L1556">
        <v>0</v>
      </c>
      <c r="M1556">
        <v>0</v>
      </c>
      <c r="N1556">
        <v>31257</v>
      </c>
      <c r="O1556">
        <v>53008</v>
      </c>
      <c r="P1556">
        <v>0</v>
      </c>
      <c r="Q1556">
        <v>27</v>
      </c>
      <c r="R1556">
        <v>28</v>
      </c>
      <c r="S1556">
        <v>0</v>
      </c>
      <c r="T1556">
        <v>80</v>
      </c>
      <c r="U1556">
        <v>200</v>
      </c>
    </row>
    <row r="1557" spans="1:21" x14ac:dyDescent="0.35">
      <c r="A1557" t="s">
        <v>28</v>
      </c>
      <c r="B1557" s="1">
        <v>44912</v>
      </c>
      <c r="C1557" t="s">
        <v>29</v>
      </c>
      <c r="D1557">
        <v>211.6</v>
      </c>
      <c r="E1557">
        <v>136.4</v>
      </c>
      <c r="F1557">
        <v>165.6</v>
      </c>
      <c r="G1557">
        <v>1.6</v>
      </c>
      <c r="H1557">
        <v>1.3</v>
      </c>
      <c r="I1557">
        <v>0</v>
      </c>
      <c r="J1557">
        <v>0</v>
      </c>
      <c r="K1557">
        <v>0</v>
      </c>
      <c r="L1557">
        <v>0</v>
      </c>
      <c r="M1557">
        <v>0</v>
      </c>
      <c r="N1557">
        <v>113869</v>
      </c>
      <c r="O1557">
        <v>277097</v>
      </c>
      <c r="P1557">
        <v>347151</v>
      </c>
      <c r="Q1557">
        <v>241</v>
      </c>
      <c r="R1557">
        <v>378</v>
      </c>
      <c r="S1557">
        <v>575</v>
      </c>
      <c r="T1557">
        <v>30</v>
      </c>
      <c r="U1557">
        <v>49</v>
      </c>
    </row>
    <row r="1558" spans="1:21" x14ac:dyDescent="0.35">
      <c r="A1558" t="s">
        <v>28</v>
      </c>
      <c r="B1558" s="1">
        <v>44583</v>
      </c>
      <c r="C1558" t="s">
        <v>25</v>
      </c>
      <c r="D1558">
        <v>693</v>
      </c>
      <c r="E1558">
        <v>363.3</v>
      </c>
      <c r="F1558">
        <v>428.6</v>
      </c>
      <c r="G1558">
        <v>1.9</v>
      </c>
      <c r="H1558">
        <v>1.6</v>
      </c>
      <c r="I1558">
        <v>0</v>
      </c>
      <c r="J1558">
        <v>0</v>
      </c>
      <c r="K1558">
        <v>0</v>
      </c>
      <c r="L1558">
        <v>0</v>
      </c>
      <c r="M1558">
        <v>0</v>
      </c>
      <c r="N1558">
        <v>116024</v>
      </c>
      <c r="O1558">
        <v>239720</v>
      </c>
      <c r="P1558">
        <v>103823</v>
      </c>
      <c r="Q1558">
        <v>804</v>
      </c>
      <c r="R1558">
        <v>871</v>
      </c>
      <c r="S1558">
        <v>445</v>
      </c>
      <c r="T1558">
        <v>18</v>
      </c>
      <c r="U1558">
        <v>29</v>
      </c>
    </row>
    <row r="1559" spans="1:21" x14ac:dyDescent="0.35">
      <c r="A1559" t="s">
        <v>21</v>
      </c>
      <c r="B1559" s="1">
        <v>45145</v>
      </c>
      <c r="C1559" t="s">
        <v>31</v>
      </c>
      <c r="D1559">
        <v>0</v>
      </c>
      <c r="E1559">
        <v>0</v>
      </c>
      <c r="F1559">
        <v>0.6</v>
      </c>
      <c r="G1559">
        <v>0</v>
      </c>
      <c r="H1559">
        <v>0</v>
      </c>
      <c r="I1559">
        <v>0</v>
      </c>
      <c r="J1559">
        <v>0</v>
      </c>
      <c r="K1559">
        <v>0</v>
      </c>
      <c r="L1559">
        <v>0</v>
      </c>
      <c r="M1559">
        <v>0</v>
      </c>
      <c r="N1559">
        <v>39363</v>
      </c>
      <c r="O1559">
        <v>43427</v>
      </c>
      <c r="P1559">
        <v>171742</v>
      </c>
      <c r="Q1559">
        <v>0</v>
      </c>
      <c r="R1559">
        <v>0</v>
      </c>
      <c r="S1559">
        <v>1</v>
      </c>
      <c r="T1559">
        <v>65</v>
      </c>
      <c r="U1559">
        <v>79</v>
      </c>
    </row>
    <row r="1560" spans="1:21" x14ac:dyDescent="0.35">
      <c r="A1560" t="s">
        <v>21</v>
      </c>
      <c r="B1560" s="1">
        <v>44262</v>
      </c>
      <c r="C1560" t="s">
        <v>22</v>
      </c>
      <c r="D1560">
        <v>0.7</v>
      </c>
      <c r="E1560">
        <v>0</v>
      </c>
      <c r="F1560">
        <v>0</v>
      </c>
      <c r="G1560">
        <v>0</v>
      </c>
      <c r="H1560">
        <v>0</v>
      </c>
      <c r="I1560">
        <v>1</v>
      </c>
      <c r="J1560">
        <v>0</v>
      </c>
      <c r="K1560">
        <v>0</v>
      </c>
      <c r="L1560">
        <v>0</v>
      </c>
      <c r="M1560">
        <v>0</v>
      </c>
      <c r="N1560">
        <v>1207003</v>
      </c>
      <c r="O1560">
        <v>1324045</v>
      </c>
      <c r="P1560">
        <v>0</v>
      </c>
      <c r="Q1560">
        <v>8</v>
      </c>
      <c r="R1560">
        <v>0</v>
      </c>
      <c r="S1560">
        <v>0</v>
      </c>
      <c r="T1560">
        <v>999</v>
      </c>
      <c r="U1560">
        <v>999</v>
      </c>
    </row>
    <row r="1561" spans="1:21" x14ac:dyDescent="0.35">
      <c r="A1561" t="s">
        <v>26</v>
      </c>
      <c r="B1561" s="1">
        <v>44536</v>
      </c>
      <c r="C1561" t="s">
        <v>30</v>
      </c>
      <c r="D1561">
        <v>17.600000000000001</v>
      </c>
      <c r="E1561">
        <v>6</v>
      </c>
      <c r="F1561">
        <v>0</v>
      </c>
      <c r="G1561">
        <v>2.9</v>
      </c>
      <c r="H1561">
        <v>0</v>
      </c>
      <c r="I1561">
        <v>0</v>
      </c>
      <c r="J1561">
        <v>0</v>
      </c>
      <c r="K1561">
        <v>0</v>
      </c>
      <c r="L1561">
        <v>0</v>
      </c>
      <c r="M1561">
        <v>0</v>
      </c>
      <c r="N1561">
        <v>34140</v>
      </c>
      <c r="O1561">
        <v>49948</v>
      </c>
      <c r="P1561">
        <v>0</v>
      </c>
      <c r="Q1561">
        <v>6</v>
      </c>
      <c r="R1561">
        <v>3</v>
      </c>
      <c r="S1561">
        <v>0</v>
      </c>
      <c r="T1561">
        <v>80</v>
      </c>
      <c r="U1561">
        <v>200</v>
      </c>
    </row>
    <row r="1562" spans="1:21" x14ac:dyDescent="0.35">
      <c r="A1562" t="s">
        <v>28</v>
      </c>
      <c r="B1562" s="1">
        <v>44793</v>
      </c>
      <c r="C1562" t="s">
        <v>22</v>
      </c>
      <c r="D1562">
        <v>194</v>
      </c>
      <c r="E1562">
        <v>107.8</v>
      </c>
      <c r="F1562">
        <v>174.8</v>
      </c>
      <c r="G1562">
        <v>1.8</v>
      </c>
      <c r="H1562">
        <v>1.1000000000000001</v>
      </c>
      <c r="I1562">
        <v>227.1</v>
      </c>
      <c r="J1562">
        <v>108.2</v>
      </c>
      <c r="K1562">
        <v>147.4</v>
      </c>
      <c r="L1562">
        <v>2.1</v>
      </c>
      <c r="M1562">
        <v>1.5</v>
      </c>
      <c r="N1562">
        <v>608684</v>
      </c>
      <c r="O1562">
        <v>846709</v>
      </c>
      <c r="P1562">
        <v>1022491</v>
      </c>
      <c r="Q1562">
        <v>1181</v>
      </c>
      <c r="R1562">
        <v>913</v>
      </c>
      <c r="S1562">
        <v>1787</v>
      </c>
      <c r="T1562">
        <v>999</v>
      </c>
      <c r="U1562">
        <v>999</v>
      </c>
    </row>
    <row r="1563" spans="1:21" x14ac:dyDescent="0.35">
      <c r="A1563" t="s">
        <v>28</v>
      </c>
      <c r="B1563" s="1">
        <v>44262</v>
      </c>
      <c r="C1563" t="s">
        <v>27</v>
      </c>
      <c r="D1563">
        <v>16.7</v>
      </c>
      <c r="E1563">
        <v>2.1</v>
      </c>
      <c r="F1563">
        <v>0</v>
      </c>
      <c r="G1563">
        <v>8</v>
      </c>
      <c r="H1563">
        <v>0</v>
      </c>
      <c r="I1563">
        <v>0</v>
      </c>
      <c r="J1563">
        <v>0</v>
      </c>
      <c r="K1563">
        <v>0</v>
      </c>
      <c r="L1563">
        <v>0</v>
      </c>
      <c r="M1563">
        <v>0</v>
      </c>
      <c r="N1563">
        <v>107885</v>
      </c>
      <c r="O1563">
        <v>48259</v>
      </c>
      <c r="P1563">
        <v>0</v>
      </c>
      <c r="Q1563">
        <v>18</v>
      </c>
      <c r="R1563">
        <v>1</v>
      </c>
      <c r="S1563">
        <v>0</v>
      </c>
      <c r="T1563">
        <v>12</v>
      </c>
      <c r="U1563">
        <v>17</v>
      </c>
    </row>
    <row r="1564" spans="1:21" x14ac:dyDescent="0.35">
      <c r="A1564" t="s">
        <v>28</v>
      </c>
      <c r="B1564" s="1">
        <v>45059</v>
      </c>
      <c r="C1564" t="s">
        <v>22</v>
      </c>
      <c r="D1564">
        <v>59.4</v>
      </c>
      <c r="E1564">
        <v>20.3</v>
      </c>
      <c r="F1564">
        <v>29.8</v>
      </c>
      <c r="G1564">
        <v>2.9</v>
      </c>
      <c r="H1564">
        <v>2</v>
      </c>
      <c r="I1564">
        <v>68.599999999999994</v>
      </c>
      <c r="J1564">
        <v>21.8</v>
      </c>
      <c r="K1564">
        <v>25.2</v>
      </c>
      <c r="L1564">
        <v>3.1</v>
      </c>
      <c r="M1564">
        <v>2.7</v>
      </c>
      <c r="N1564">
        <v>536622</v>
      </c>
      <c r="O1564">
        <v>860351</v>
      </c>
      <c r="P1564">
        <v>1040648</v>
      </c>
      <c r="Q1564">
        <v>319</v>
      </c>
      <c r="R1564">
        <v>175</v>
      </c>
      <c r="S1564">
        <v>310</v>
      </c>
      <c r="T1564">
        <v>999</v>
      </c>
      <c r="U1564">
        <v>999</v>
      </c>
    </row>
    <row r="1565" spans="1:21" x14ac:dyDescent="0.35">
      <c r="A1565" t="s">
        <v>21</v>
      </c>
      <c r="B1565" s="1">
        <v>44695</v>
      </c>
      <c r="C1565" t="s">
        <v>31</v>
      </c>
      <c r="D1565">
        <v>0</v>
      </c>
      <c r="E1565">
        <v>2</v>
      </c>
      <c r="F1565">
        <v>1.2</v>
      </c>
      <c r="G1565">
        <v>0</v>
      </c>
      <c r="H1565">
        <v>0</v>
      </c>
      <c r="I1565">
        <v>0</v>
      </c>
      <c r="J1565">
        <v>0</v>
      </c>
      <c r="K1565">
        <v>0</v>
      </c>
      <c r="L1565">
        <v>0</v>
      </c>
      <c r="M1565">
        <v>0</v>
      </c>
      <c r="N1565">
        <v>47442</v>
      </c>
      <c r="O1565">
        <v>48816</v>
      </c>
      <c r="P1565">
        <v>163445</v>
      </c>
      <c r="Q1565">
        <v>0</v>
      </c>
      <c r="R1565">
        <v>1</v>
      </c>
      <c r="S1565">
        <v>2</v>
      </c>
      <c r="T1565">
        <v>65</v>
      </c>
      <c r="U1565">
        <v>79</v>
      </c>
    </row>
    <row r="1566" spans="1:21" x14ac:dyDescent="0.35">
      <c r="A1566" t="s">
        <v>26</v>
      </c>
      <c r="B1566" s="1">
        <v>44408</v>
      </c>
      <c r="C1566" t="s">
        <v>23</v>
      </c>
      <c r="D1566">
        <v>35.1</v>
      </c>
      <c r="E1566">
        <v>2.6</v>
      </c>
      <c r="F1566">
        <v>0</v>
      </c>
      <c r="G1566">
        <v>13.5</v>
      </c>
      <c r="H1566">
        <v>0</v>
      </c>
      <c r="I1566">
        <v>0</v>
      </c>
      <c r="J1566">
        <v>0</v>
      </c>
      <c r="K1566">
        <v>0</v>
      </c>
      <c r="L1566">
        <v>0</v>
      </c>
      <c r="M1566">
        <v>0</v>
      </c>
      <c r="N1566">
        <v>99806</v>
      </c>
      <c r="O1566">
        <v>313577</v>
      </c>
      <c r="P1566">
        <v>0</v>
      </c>
      <c r="Q1566">
        <v>35</v>
      </c>
      <c r="R1566">
        <v>8</v>
      </c>
      <c r="S1566">
        <v>0</v>
      </c>
      <c r="T1566">
        <v>50</v>
      </c>
      <c r="U1566">
        <v>64</v>
      </c>
    </row>
    <row r="1567" spans="1:21" x14ac:dyDescent="0.35">
      <c r="A1567" t="s">
        <v>28</v>
      </c>
      <c r="B1567" s="1">
        <v>44548</v>
      </c>
      <c r="C1567" t="s">
        <v>22</v>
      </c>
      <c r="D1567">
        <v>1044.5999999999999</v>
      </c>
      <c r="E1567">
        <v>688</v>
      </c>
      <c r="F1567">
        <v>384.6</v>
      </c>
      <c r="G1567">
        <v>1.5</v>
      </c>
      <c r="H1567">
        <v>2.7</v>
      </c>
      <c r="I1567">
        <v>1195.7</v>
      </c>
      <c r="J1567">
        <v>571.79999999999995</v>
      </c>
      <c r="K1567">
        <v>431.4</v>
      </c>
      <c r="L1567">
        <v>2.1</v>
      </c>
      <c r="M1567">
        <v>2.8</v>
      </c>
      <c r="N1567">
        <v>829865</v>
      </c>
      <c r="O1567">
        <v>1210623</v>
      </c>
      <c r="P1567">
        <v>447192</v>
      </c>
      <c r="Q1567">
        <v>8669</v>
      </c>
      <c r="R1567">
        <v>8329</v>
      </c>
      <c r="S1567">
        <v>1720</v>
      </c>
      <c r="T1567">
        <v>999</v>
      </c>
      <c r="U1567">
        <v>999</v>
      </c>
    </row>
    <row r="1568" spans="1:21" x14ac:dyDescent="0.35">
      <c r="A1568" t="s">
        <v>21</v>
      </c>
      <c r="B1568" s="1">
        <v>45248</v>
      </c>
      <c r="C1568" t="s">
        <v>24</v>
      </c>
      <c r="D1568">
        <v>0</v>
      </c>
      <c r="E1568">
        <v>0</v>
      </c>
      <c r="F1568">
        <v>0</v>
      </c>
      <c r="G1568">
        <v>0</v>
      </c>
      <c r="H1568">
        <v>0</v>
      </c>
      <c r="I1568">
        <v>0</v>
      </c>
      <c r="J1568">
        <v>0</v>
      </c>
      <c r="K1568">
        <v>0</v>
      </c>
      <c r="L1568">
        <v>0</v>
      </c>
      <c r="M1568">
        <v>0</v>
      </c>
      <c r="N1568">
        <v>88375</v>
      </c>
      <c r="O1568">
        <v>81993</v>
      </c>
      <c r="P1568">
        <v>22205</v>
      </c>
      <c r="Q1568">
        <v>0</v>
      </c>
      <c r="R1568">
        <v>0</v>
      </c>
      <c r="S1568">
        <v>0</v>
      </c>
      <c r="T1568">
        <v>5</v>
      </c>
      <c r="U1568">
        <v>11</v>
      </c>
    </row>
    <row r="1569" spans="1:21" x14ac:dyDescent="0.35">
      <c r="A1569" t="s">
        <v>21</v>
      </c>
      <c r="B1569" s="1">
        <v>44338</v>
      </c>
      <c r="C1569" t="s">
        <v>22</v>
      </c>
      <c r="D1569">
        <v>3</v>
      </c>
      <c r="E1569">
        <v>0.1</v>
      </c>
      <c r="F1569">
        <v>0</v>
      </c>
      <c r="G1569">
        <v>30</v>
      </c>
      <c r="H1569">
        <v>0</v>
      </c>
      <c r="I1569">
        <v>4.3</v>
      </c>
      <c r="J1569">
        <v>0.1</v>
      </c>
      <c r="K1569">
        <v>0</v>
      </c>
      <c r="L1569">
        <v>61.2</v>
      </c>
      <c r="M1569">
        <v>0</v>
      </c>
      <c r="N1569">
        <v>1335903</v>
      </c>
      <c r="O1569">
        <v>1010820</v>
      </c>
      <c r="P1569">
        <v>0</v>
      </c>
      <c r="Q1569">
        <v>40</v>
      </c>
      <c r="R1569">
        <v>1</v>
      </c>
      <c r="S1569">
        <v>0</v>
      </c>
      <c r="T1569">
        <v>999</v>
      </c>
      <c r="U1569">
        <v>999</v>
      </c>
    </row>
    <row r="1570" spans="1:21" x14ac:dyDescent="0.35">
      <c r="A1570" t="s">
        <v>28</v>
      </c>
      <c r="B1570" s="1">
        <v>45073</v>
      </c>
      <c r="C1570" t="s">
        <v>30</v>
      </c>
      <c r="D1570">
        <v>24.4</v>
      </c>
      <c r="E1570">
        <v>8.8000000000000007</v>
      </c>
      <c r="F1570">
        <v>36.1</v>
      </c>
      <c r="G1570">
        <v>2.8</v>
      </c>
      <c r="H1570">
        <v>0.7</v>
      </c>
      <c r="I1570">
        <v>0</v>
      </c>
      <c r="J1570">
        <v>0</v>
      </c>
      <c r="K1570">
        <v>0</v>
      </c>
      <c r="L1570">
        <v>0</v>
      </c>
      <c r="M1570">
        <v>0</v>
      </c>
      <c r="N1570">
        <v>24542</v>
      </c>
      <c r="O1570">
        <v>11384</v>
      </c>
      <c r="P1570">
        <v>47129</v>
      </c>
      <c r="Q1570">
        <v>6</v>
      </c>
      <c r="R1570">
        <v>1</v>
      </c>
      <c r="S1570">
        <v>17</v>
      </c>
      <c r="T1570">
        <v>80</v>
      </c>
      <c r="U1570">
        <v>200</v>
      </c>
    </row>
    <row r="1571" spans="1:21" x14ac:dyDescent="0.35">
      <c r="A1571" t="s">
        <v>21</v>
      </c>
      <c r="B1571" s="1">
        <v>44684</v>
      </c>
      <c r="C1571" t="s">
        <v>29</v>
      </c>
      <c r="D1571">
        <v>0</v>
      </c>
      <c r="E1571">
        <v>0</v>
      </c>
      <c r="F1571">
        <v>0</v>
      </c>
      <c r="G1571">
        <v>0</v>
      </c>
      <c r="H1571">
        <v>0</v>
      </c>
      <c r="I1571">
        <v>0</v>
      </c>
      <c r="J1571">
        <v>0</v>
      </c>
      <c r="K1571">
        <v>0</v>
      </c>
      <c r="L1571">
        <v>0</v>
      </c>
      <c r="M1571">
        <v>0</v>
      </c>
      <c r="N1571">
        <v>135567</v>
      </c>
      <c r="O1571">
        <v>295387</v>
      </c>
      <c r="P1571">
        <v>314346</v>
      </c>
      <c r="Q1571">
        <v>0</v>
      </c>
      <c r="R1571">
        <v>0</v>
      </c>
      <c r="S1571">
        <v>0</v>
      </c>
      <c r="T1571">
        <v>30</v>
      </c>
      <c r="U1571">
        <v>49</v>
      </c>
    </row>
    <row r="1572" spans="1:21" x14ac:dyDescent="0.35">
      <c r="A1572" t="s">
        <v>21</v>
      </c>
      <c r="B1572" s="1">
        <v>44849</v>
      </c>
      <c r="C1572" t="s">
        <v>24</v>
      </c>
      <c r="D1572">
        <v>0</v>
      </c>
      <c r="E1572">
        <v>0</v>
      </c>
      <c r="F1572">
        <v>0</v>
      </c>
      <c r="G1572">
        <v>0</v>
      </c>
      <c r="H1572">
        <v>0</v>
      </c>
      <c r="I1572">
        <v>0</v>
      </c>
      <c r="J1572">
        <v>0</v>
      </c>
      <c r="K1572">
        <v>0</v>
      </c>
      <c r="L1572">
        <v>0</v>
      </c>
      <c r="M1572">
        <v>0</v>
      </c>
      <c r="N1572">
        <v>94329</v>
      </c>
      <c r="O1572">
        <v>80849</v>
      </c>
      <c r="P1572">
        <v>20269</v>
      </c>
      <c r="Q1572">
        <v>0</v>
      </c>
      <c r="R1572">
        <v>0</v>
      </c>
      <c r="S1572">
        <v>0</v>
      </c>
      <c r="T1572">
        <v>5</v>
      </c>
      <c r="U1572">
        <v>11</v>
      </c>
    </row>
    <row r="1573" spans="1:21" x14ac:dyDescent="0.35">
      <c r="A1573" t="s">
        <v>26</v>
      </c>
      <c r="B1573" s="1">
        <v>45220</v>
      </c>
      <c r="C1573" t="s">
        <v>32</v>
      </c>
      <c r="D1573">
        <v>2.5</v>
      </c>
      <c r="E1573">
        <v>0</v>
      </c>
      <c r="F1573">
        <v>0</v>
      </c>
      <c r="G1573">
        <v>0</v>
      </c>
      <c r="H1573">
        <v>0</v>
      </c>
      <c r="I1573">
        <v>0</v>
      </c>
      <c r="J1573">
        <v>0</v>
      </c>
      <c r="K1573">
        <v>0</v>
      </c>
      <c r="L1573">
        <v>0</v>
      </c>
      <c r="M1573">
        <v>0</v>
      </c>
      <c r="N1573">
        <v>162642</v>
      </c>
      <c r="O1573">
        <v>0</v>
      </c>
      <c r="P1573">
        <v>0</v>
      </c>
      <c r="Q1573">
        <v>4</v>
      </c>
      <c r="R1573">
        <v>0</v>
      </c>
      <c r="S1573">
        <v>0</v>
      </c>
      <c r="T1573">
        <v>0</v>
      </c>
      <c r="U1573">
        <v>4</v>
      </c>
    </row>
    <row r="1574" spans="1:21" x14ac:dyDescent="0.35">
      <c r="A1574" t="s">
        <v>21</v>
      </c>
      <c r="B1574" s="1">
        <v>44808</v>
      </c>
      <c r="C1574" t="s">
        <v>30</v>
      </c>
      <c r="D1574">
        <v>0</v>
      </c>
      <c r="E1574">
        <v>14.5</v>
      </c>
      <c r="F1574">
        <v>0</v>
      </c>
      <c r="G1574">
        <v>0</v>
      </c>
      <c r="H1574">
        <v>0</v>
      </c>
      <c r="I1574">
        <v>0</v>
      </c>
      <c r="J1574">
        <v>0</v>
      </c>
      <c r="K1574">
        <v>0</v>
      </c>
      <c r="L1574">
        <v>0</v>
      </c>
      <c r="M1574">
        <v>0</v>
      </c>
      <c r="N1574">
        <v>26990</v>
      </c>
      <c r="O1574">
        <v>13754</v>
      </c>
      <c r="P1574">
        <v>43462</v>
      </c>
      <c r="Q1574">
        <v>0</v>
      </c>
      <c r="R1574">
        <v>2</v>
      </c>
      <c r="S1574">
        <v>0</v>
      </c>
      <c r="T1574">
        <v>80</v>
      </c>
      <c r="U1574">
        <v>200</v>
      </c>
    </row>
    <row r="1575" spans="1:21" x14ac:dyDescent="0.35">
      <c r="A1575" t="s">
        <v>26</v>
      </c>
      <c r="B1575" s="1">
        <v>44464</v>
      </c>
      <c r="C1575" t="s">
        <v>30</v>
      </c>
      <c r="D1575">
        <v>38.799999999999997</v>
      </c>
      <c r="E1575">
        <v>24.6</v>
      </c>
      <c r="F1575">
        <v>0</v>
      </c>
      <c r="G1575">
        <v>1.6</v>
      </c>
      <c r="H1575">
        <v>0</v>
      </c>
      <c r="I1575">
        <v>0</v>
      </c>
      <c r="J1575">
        <v>0</v>
      </c>
      <c r="K1575">
        <v>0</v>
      </c>
      <c r="L1575">
        <v>0</v>
      </c>
      <c r="M1575">
        <v>0</v>
      </c>
      <c r="N1575">
        <v>30936</v>
      </c>
      <c r="O1575">
        <v>52848</v>
      </c>
      <c r="P1575">
        <v>0</v>
      </c>
      <c r="Q1575">
        <v>12</v>
      </c>
      <c r="R1575">
        <v>13</v>
      </c>
      <c r="S1575">
        <v>0</v>
      </c>
      <c r="T1575">
        <v>80</v>
      </c>
      <c r="U1575">
        <v>200</v>
      </c>
    </row>
    <row r="1576" spans="1:21" x14ac:dyDescent="0.35">
      <c r="A1576" t="s">
        <v>28</v>
      </c>
      <c r="B1576" s="1">
        <v>45255</v>
      </c>
      <c r="C1576" t="s">
        <v>25</v>
      </c>
      <c r="D1576">
        <v>60.4</v>
      </c>
      <c r="E1576">
        <v>18.600000000000001</v>
      </c>
      <c r="F1576">
        <v>28.2</v>
      </c>
      <c r="G1576">
        <v>3.2</v>
      </c>
      <c r="H1576">
        <v>2.1</v>
      </c>
      <c r="I1576">
        <v>0</v>
      </c>
      <c r="J1576">
        <v>0</v>
      </c>
      <c r="K1576">
        <v>0</v>
      </c>
      <c r="L1576">
        <v>0</v>
      </c>
      <c r="M1576">
        <v>0</v>
      </c>
      <c r="N1576">
        <v>67903</v>
      </c>
      <c r="O1576">
        <v>215525</v>
      </c>
      <c r="P1576">
        <v>162833</v>
      </c>
      <c r="Q1576">
        <v>41</v>
      </c>
      <c r="R1576">
        <v>40</v>
      </c>
      <c r="S1576">
        <v>46</v>
      </c>
      <c r="T1576">
        <v>18</v>
      </c>
      <c r="U1576">
        <v>29</v>
      </c>
    </row>
    <row r="1577" spans="1:21" x14ac:dyDescent="0.35">
      <c r="A1577" t="s">
        <v>21</v>
      </c>
      <c r="B1577" s="1">
        <v>44512</v>
      </c>
      <c r="C1577" t="s">
        <v>24</v>
      </c>
      <c r="D1577">
        <v>0</v>
      </c>
      <c r="E1577">
        <v>0</v>
      </c>
      <c r="F1577">
        <v>0</v>
      </c>
      <c r="G1577">
        <v>0</v>
      </c>
      <c r="H1577">
        <v>0</v>
      </c>
      <c r="I1577">
        <v>0</v>
      </c>
      <c r="J1577">
        <v>0</v>
      </c>
      <c r="K1577">
        <v>0</v>
      </c>
      <c r="L1577">
        <v>0</v>
      </c>
      <c r="M1577">
        <v>0</v>
      </c>
      <c r="N1577">
        <v>151855</v>
      </c>
      <c r="O1577">
        <v>2846</v>
      </c>
      <c r="P1577">
        <v>0</v>
      </c>
      <c r="Q1577">
        <v>0</v>
      </c>
      <c r="R1577">
        <v>0</v>
      </c>
      <c r="S1577">
        <v>0</v>
      </c>
      <c r="T1577">
        <v>5</v>
      </c>
      <c r="U1577">
        <v>11</v>
      </c>
    </row>
    <row r="1578" spans="1:21" x14ac:dyDescent="0.35">
      <c r="A1578" t="s">
        <v>28</v>
      </c>
      <c r="B1578" s="1">
        <v>44969</v>
      </c>
      <c r="C1578" t="s">
        <v>23</v>
      </c>
      <c r="D1578">
        <v>221.9</v>
      </c>
      <c r="E1578">
        <v>58.9</v>
      </c>
      <c r="F1578">
        <v>74.099999999999994</v>
      </c>
      <c r="G1578">
        <v>3.8</v>
      </c>
      <c r="H1578">
        <v>3</v>
      </c>
      <c r="I1578">
        <v>0</v>
      </c>
      <c r="J1578">
        <v>0</v>
      </c>
      <c r="K1578">
        <v>0</v>
      </c>
      <c r="L1578">
        <v>0</v>
      </c>
      <c r="M1578">
        <v>0</v>
      </c>
      <c r="N1578">
        <v>29740</v>
      </c>
      <c r="O1578">
        <v>125633</v>
      </c>
      <c r="P1578">
        <v>248283</v>
      </c>
      <c r="Q1578">
        <v>66</v>
      </c>
      <c r="R1578">
        <v>74</v>
      </c>
      <c r="S1578">
        <v>184</v>
      </c>
      <c r="T1578">
        <v>50</v>
      </c>
      <c r="U1578">
        <v>64</v>
      </c>
    </row>
    <row r="1579" spans="1:21" x14ac:dyDescent="0.35">
      <c r="A1579" t="s">
        <v>26</v>
      </c>
      <c r="B1579" s="1">
        <v>44772</v>
      </c>
      <c r="C1579" t="s">
        <v>32</v>
      </c>
      <c r="D1579">
        <v>3.1</v>
      </c>
      <c r="E1579">
        <v>0</v>
      </c>
      <c r="F1579">
        <v>0</v>
      </c>
      <c r="G1579">
        <v>0</v>
      </c>
      <c r="H1579">
        <v>0</v>
      </c>
      <c r="I1579">
        <v>0</v>
      </c>
      <c r="J1579">
        <v>0</v>
      </c>
      <c r="K1579">
        <v>0</v>
      </c>
      <c r="L1579">
        <v>0</v>
      </c>
      <c r="M1579">
        <v>0</v>
      </c>
      <c r="N1579">
        <v>162642</v>
      </c>
      <c r="O1579">
        <v>0</v>
      </c>
      <c r="P1579">
        <v>0</v>
      </c>
      <c r="Q1579">
        <v>5</v>
      </c>
      <c r="R1579">
        <v>0</v>
      </c>
      <c r="S1579">
        <v>0</v>
      </c>
      <c r="T1579">
        <v>0</v>
      </c>
      <c r="U1579">
        <v>4</v>
      </c>
    </row>
    <row r="1580" spans="1:21" x14ac:dyDescent="0.35">
      <c r="A1580" t="s">
        <v>28</v>
      </c>
      <c r="B1580" s="1">
        <v>44457</v>
      </c>
      <c r="C1580" t="s">
        <v>30</v>
      </c>
      <c r="D1580">
        <v>64.3</v>
      </c>
      <c r="E1580">
        <v>35.9</v>
      </c>
      <c r="F1580">
        <v>0</v>
      </c>
      <c r="G1580">
        <v>1.8</v>
      </c>
      <c r="H1580">
        <v>0</v>
      </c>
      <c r="I1580">
        <v>0</v>
      </c>
      <c r="J1580">
        <v>0</v>
      </c>
      <c r="K1580">
        <v>0</v>
      </c>
      <c r="L1580">
        <v>0</v>
      </c>
      <c r="M1580">
        <v>0</v>
      </c>
      <c r="N1580">
        <v>31106</v>
      </c>
      <c r="O1580">
        <v>52895</v>
      </c>
      <c r="P1580">
        <v>0</v>
      </c>
      <c r="Q1580">
        <v>20</v>
      </c>
      <c r="R1580">
        <v>19</v>
      </c>
      <c r="S1580">
        <v>0</v>
      </c>
      <c r="T1580">
        <v>80</v>
      </c>
      <c r="U1580">
        <v>200</v>
      </c>
    </row>
    <row r="1581" spans="1:21" x14ac:dyDescent="0.35">
      <c r="A1581" t="s">
        <v>21</v>
      </c>
      <c r="B1581" s="1">
        <v>44262</v>
      </c>
      <c r="C1581" t="s">
        <v>30</v>
      </c>
      <c r="D1581">
        <v>0</v>
      </c>
      <c r="E1581">
        <v>0</v>
      </c>
      <c r="F1581">
        <v>0</v>
      </c>
      <c r="G1581">
        <v>0</v>
      </c>
      <c r="H1581">
        <v>0</v>
      </c>
      <c r="I1581">
        <v>0</v>
      </c>
      <c r="J1581">
        <v>0</v>
      </c>
      <c r="K1581">
        <v>0</v>
      </c>
      <c r="L1581">
        <v>0</v>
      </c>
      <c r="M1581">
        <v>0</v>
      </c>
      <c r="N1581">
        <v>33360</v>
      </c>
      <c r="O1581">
        <v>51317</v>
      </c>
      <c r="P1581">
        <v>0</v>
      </c>
      <c r="Q1581">
        <v>0</v>
      </c>
      <c r="R1581">
        <v>0</v>
      </c>
      <c r="S1581">
        <v>0</v>
      </c>
      <c r="T1581">
        <v>80</v>
      </c>
      <c r="U1581">
        <v>200</v>
      </c>
    </row>
    <row r="1582" spans="1:21" x14ac:dyDescent="0.35">
      <c r="A1582" t="s">
        <v>21</v>
      </c>
      <c r="B1582" s="1">
        <v>44401</v>
      </c>
      <c r="C1582" t="s">
        <v>27</v>
      </c>
      <c r="D1582">
        <v>0</v>
      </c>
      <c r="E1582">
        <v>0</v>
      </c>
      <c r="F1582">
        <v>0</v>
      </c>
      <c r="G1582">
        <v>0</v>
      </c>
      <c r="H1582">
        <v>0</v>
      </c>
      <c r="I1582">
        <v>0</v>
      </c>
      <c r="J1582">
        <v>0</v>
      </c>
      <c r="K1582">
        <v>0</v>
      </c>
      <c r="L1582">
        <v>0</v>
      </c>
      <c r="M1582">
        <v>0</v>
      </c>
      <c r="N1582">
        <v>98632</v>
      </c>
      <c r="O1582">
        <v>61084</v>
      </c>
      <c r="P1582">
        <v>0</v>
      </c>
      <c r="Q1582">
        <v>0</v>
      </c>
      <c r="R1582">
        <v>0</v>
      </c>
      <c r="S1582">
        <v>0</v>
      </c>
      <c r="T1582">
        <v>12</v>
      </c>
      <c r="U1582">
        <v>17</v>
      </c>
    </row>
    <row r="1583" spans="1:21" x14ac:dyDescent="0.35">
      <c r="A1583" t="s">
        <v>21</v>
      </c>
      <c r="B1583" s="1">
        <v>44457</v>
      </c>
      <c r="C1583" t="s">
        <v>30</v>
      </c>
      <c r="D1583">
        <v>25.7</v>
      </c>
      <c r="E1583">
        <v>1.9</v>
      </c>
      <c r="F1583">
        <v>0</v>
      </c>
      <c r="G1583">
        <v>13.5</v>
      </c>
      <c r="H1583">
        <v>0</v>
      </c>
      <c r="I1583">
        <v>0</v>
      </c>
      <c r="J1583">
        <v>0</v>
      </c>
      <c r="K1583">
        <v>0</v>
      </c>
      <c r="L1583">
        <v>0</v>
      </c>
      <c r="M1583">
        <v>0</v>
      </c>
      <c r="N1583">
        <v>31106</v>
      </c>
      <c r="O1583">
        <v>52895</v>
      </c>
      <c r="P1583">
        <v>0</v>
      </c>
      <c r="Q1583">
        <v>8</v>
      </c>
      <c r="R1583">
        <v>1</v>
      </c>
      <c r="S1583">
        <v>0</v>
      </c>
      <c r="T1583">
        <v>80</v>
      </c>
      <c r="U1583">
        <v>200</v>
      </c>
    </row>
    <row r="1584" spans="1:21" x14ac:dyDescent="0.35">
      <c r="A1584" t="s">
        <v>28</v>
      </c>
      <c r="B1584" s="1">
        <v>44548</v>
      </c>
      <c r="C1584" t="s">
        <v>30</v>
      </c>
      <c r="D1584">
        <v>269.10000000000002</v>
      </c>
      <c r="E1584">
        <v>244.5</v>
      </c>
      <c r="F1584">
        <v>90.3</v>
      </c>
      <c r="G1584">
        <v>1.1000000000000001</v>
      </c>
      <c r="H1584">
        <v>3</v>
      </c>
      <c r="I1584">
        <v>0</v>
      </c>
      <c r="J1584">
        <v>0</v>
      </c>
      <c r="K1584">
        <v>0</v>
      </c>
      <c r="L1584">
        <v>0</v>
      </c>
      <c r="M1584">
        <v>0</v>
      </c>
      <c r="N1584">
        <v>28242</v>
      </c>
      <c r="O1584">
        <v>24945</v>
      </c>
      <c r="P1584">
        <v>31019</v>
      </c>
      <c r="Q1584">
        <v>76</v>
      </c>
      <c r="R1584">
        <v>61</v>
      </c>
      <c r="S1584">
        <v>28</v>
      </c>
      <c r="T1584">
        <v>80</v>
      </c>
      <c r="U1584">
        <v>200</v>
      </c>
    </row>
    <row r="1585" spans="1:21" x14ac:dyDescent="0.35">
      <c r="A1585" t="s">
        <v>26</v>
      </c>
      <c r="B1585" s="1">
        <v>45178</v>
      </c>
      <c r="C1585" t="s">
        <v>29</v>
      </c>
      <c r="D1585">
        <v>5.6</v>
      </c>
      <c r="E1585">
        <v>2.5</v>
      </c>
      <c r="F1585">
        <v>1.4</v>
      </c>
      <c r="G1585">
        <v>2.2000000000000002</v>
      </c>
      <c r="H1585">
        <v>4</v>
      </c>
      <c r="I1585">
        <v>0</v>
      </c>
      <c r="J1585">
        <v>0</v>
      </c>
      <c r="K1585">
        <v>0</v>
      </c>
      <c r="L1585">
        <v>0</v>
      </c>
      <c r="M1585">
        <v>0</v>
      </c>
      <c r="N1585">
        <v>106855</v>
      </c>
      <c r="O1585">
        <v>278397</v>
      </c>
      <c r="P1585">
        <v>347322</v>
      </c>
      <c r="Q1585">
        <v>6</v>
      </c>
      <c r="R1585">
        <v>7</v>
      </c>
      <c r="S1585">
        <v>5</v>
      </c>
      <c r="T1585">
        <v>30</v>
      </c>
      <c r="U1585">
        <v>49</v>
      </c>
    </row>
    <row r="1586" spans="1:21" x14ac:dyDescent="0.35">
      <c r="A1586" t="s">
        <v>26</v>
      </c>
      <c r="B1586" s="1">
        <v>44513</v>
      </c>
      <c r="C1586" t="s">
        <v>30</v>
      </c>
      <c r="D1586">
        <v>47.8</v>
      </c>
      <c r="E1586">
        <v>44.5</v>
      </c>
      <c r="F1586">
        <v>13.7</v>
      </c>
      <c r="G1586">
        <v>1.1000000000000001</v>
      </c>
      <c r="H1586">
        <v>3.5</v>
      </c>
      <c r="I1586">
        <v>0</v>
      </c>
      <c r="J1586">
        <v>0</v>
      </c>
      <c r="K1586">
        <v>0</v>
      </c>
      <c r="L1586">
        <v>0</v>
      </c>
      <c r="M1586">
        <v>0</v>
      </c>
      <c r="N1586">
        <v>29306</v>
      </c>
      <c r="O1586">
        <v>40458</v>
      </c>
      <c r="P1586">
        <v>14603</v>
      </c>
      <c r="Q1586">
        <v>14</v>
      </c>
      <c r="R1586">
        <v>18</v>
      </c>
      <c r="S1586">
        <v>2</v>
      </c>
      <c r="T1586">
        <v>80</v>
      </c>
      <c r="U1586">
        <v>200</v>
      </c>
    </row>
    <row r="1587" spans="1:21" x14ac:dyDescent="0.35">
      <c r="A1587" t="s">
        <v>28</v>
      </c>
      <c r="B1587" s="1">
        <v>44583</v>
      </c>
      <c r="C1587" t="s">
        <v>32</v>
      </c>
      <c r="D1587">
        <v>506</v>
      </c>
      <c r="E1587">
        <v>0</v>
      </c>
      <c r="F1587">
        <v>0</v>
      </c>
      <c r="G1587">
        <v>0</v>
      </c>
      <c r="H1587">
        <v>0</v>
      </c>
      <c r="I1587">
        <v>0</v>
      </c>
      <c r="J1587">
        <v>0</v>
      </c>
      <c r="K1587">
        <v>0</v>
      </c>
      <c r="L1587">
        <v>0</v>
      </c>
      <c r="M1587">
        <v>0</v>
      </c>
      <c r="N1587">
        <v>162642</v>
      </c>
      <c r="O1587">
        <v>0</v>
      </c>
      <c r="P1587">
        <v>0</v>
      </c>
      <c r="Q1587">
        <v>823</v>
      </c>
      <c r="R1587">
        <v>0</v>
      </c>
      <c r="S1587">
        <v>0</v>
      </c>
      <c r="T1587">
        <v>0</v>
      </c>
      <c r="U1587">
        <v>4</v>
      </c>
    </row>
    <row r="1588" spans="1:21" x14ac:dyDescent="0.35">
      <c r="A1588" t="s">
        <v>28</v>
      </c>
      <c r="B1588" s="1">
        <v>45233</v>
      </c>
      <c r="C1588" t="s">
        <v>32</v>
      </c>
      <c r="D1588">
        <v>47.3</v>
      </c>
      <c r="E1588">
        <v>4.3</v>
      </c>
      <c r="F1588">
        <v>0</v>
      </c>
      <c r="G1588">
        <v>11</v>
      </c>
      <c r="H1588">
        <v>0</v>
      </c>
      <c r="I1588">
        <v>0</v>
      </c>
      <c r="J1588">
        <v>0</v>
      </c>
      <c r="K1588">
        <v>0</v>
      </c>
      <c r="L1588">
        <v>0</v>
      </c>
      <c r="M1588">
        <v>0</v>
      </c>
      <c r="N1588">
        <v>162642</v>
      </c>
      <c r="O1588">
        <v>0</v>
      </c>
      <c r="P1588">
        <v>0</v>
      </c>
      <c r="Q1588">
        <v>77</v>
      </c>
      <c r="R1588">
        <v>7</v>
      </c>
      <c r="S1588">
        <v>0</v>
      </c>
      <c r="T1588">
        <v>0</v>
      </c>
      <c r="U1588">
        <v>4</v>
      </c>
    </row>
    <row r="1589" spans="1:21" x14ac:dyDescent="0.35">
      <c r="A1589" t="s">
        <v>26</v>
      </c>
      <c r="B1589" s="1">
        <v>44646</v>
      </c>
      <c r="C1589" t="s">
        <v>32</v>
      </c>
      <c r="D1589">
        <v>1.8</v>
      </c>
      <c r="E1589">
        <v>0</v>
      </c>
      <c r="F1589">
        <v>0</v>
      </c>
      <c r="G1589">
        <v>0</v>
      </c>
      <c r="H1589">
        <v>0</v>
      </c>
      <c r="I1589">
        <v>0</v>
      </c>
      <c r="J1589">
        <v>0</v>
      </c>
      <c r="K1589">
        <v>0</v>
      </c>
      <c r="L1589">
        <v>0</v>
      </c>
      <c r="M1589">
        <v>0</v>
      </c>
      <c r="N1589">
        <v>162642</v>
      </c>
      <c r="O1589">
        <v>0</v>
      </c>
      <c r="P1589">
        <v>0</v>
      </c>
      <c r="Q1589">
        <v>3</v>
      </c>
      <c r="R1589">
        <v>0</v>
      </c>
      <c r="S1589">
        <v>0</v>
      </c>
      <c r="T1589">
        <v>0</v>
      </c>
      <c r="U1589">
        <v>4</v>
      </c>
    </row>
    <row r="1590" spans="1:21" x14ac:dyDescent="0.35">
      <c r="A1590" t="s">
        <v>28</v>
      </c>
      <c r="B1590" s="1">
        <v>44639</v>
      </c>
      <c r="C1590" t="s">
        <v>32</v>
      </c>
      <c r="D1590">
        <v>41.8</v>
      </c>
      <c r="E1590">
        <v>0</v>
      </c>
      <c r="F1590">
        <v>0</v>
      </c>
      <c r="G1590">
        <v>0</v>
      </c>
      <c r="H1590">
        <v>0</v>
      </c>
      <c r="I1590">
        <v>0</v>
      </c>
      <c r="J1590">
        <v>0</v>
      </c>
      <c r="K1590">
        <v>0</v>
      </c>
      <c r="L1590">
        <v>0</v>
      </c>
      <c r="M1590">
        <v>0</v>
      </c>
      <c r="N1590">
        <v>162642</v>
      </c>
      <c r="O1590">
        <v>0</v>
      </c>
      <c r="P1590">
        <v>0</v>
      </c>
      <c r="Q1590">
        <v>68</v>
      </c>
      <c r="R1590">
        <v>0</v>
      </c>
      <c r="S1590">
        <v>0</v>
      </c>
      <c r="T1590">
        <v>0</v>
      </c>
      <c r="U1590">
        <v>4</v>
      </c>
    </row>
    <row r="1591" spans="1:21" x14ac:dyDescent="0.35">
      <c r="A1591" t="s">
        <v>21</v>
      </c>
      <c r="B1591" s="1">
        <v>44385</v>
      </c>
      <c r="C1591" t="s">
        <v>27</v>
      </c>
      <c r="D1591">
        <v>0</v>
      </c>
      <c r="E1591">
        <v>0</v>
      </c>
      <c r="F1591">
        <v>0</v>
      </c>
      <c r="G1591">
        <v>0</v>
      </c>
      <c r="H1591">
        <v>0</v>
      </c>
      <c r="I1591">
        <v>0</v>
      </c>
      <c r="J1591">
        <v>0</v>
      </c>
      <c r="K1591">
        <v>0</v>
      </c>
      <c r="L1591">
        <v>0</v>
      </c>
      <c r="M1591">
        <v>0</v>
      </c>
      <c r="N1591">
        <v>89733</v>
      </c>
      <c r="O1591">
        <v>67504</v>
      </c>
      <c r="P1591">
        <v>0</v>
      </c>
      <c r="Q1591">
        <v>0</v>
      </c>
      <c r="R1591">
        <v>0</v>
      </c>
      <c r="S1591">
        <v>0</v>
      </c>
      <c r="T1591">
        <v>12</v>
      </c>
      <c r="U1591">
        <v>17</v>
      </c>
    </row>
    <row r="1592" spans="1:21" x14ac:dyDescent="0.35">
      <c r="A1592" t="s">
        <v>26</v>
      </c>
      <c r="B1592" s="1">
        <v>44596</v>
      </c>
      <c r="C1592" t="s">
        <v>29</v>
      </c>
      <c r="D1592">
        <v>3.8</v>
      </c>
      <c r="E1592">
        <v>1</v>
      </c>
      <c r="F1592">
        <v>0.9</v>
      </c>
      <c r="G1592">
        <v>3.8</v>
      </c>
      <c r="H1592">
        <v>4.2</v>
      </c>
      <c r="I1592">
        <v>0</v>
      </c>
      <c r="J1592">
        <v>0</v>
      </c>
      <c r="K1592">
        <v>0</v>
      </c>
      <c r="L1592">
        <v>0</v>
      </c>
      <c r="M1592">
        <v>0</v>
      </c>
      <c r="N1592">
        <v>132699</v>
      </c>
      <c r="O1592">
        <v>290611</v>
      </c>
      <c r="P1592">
        <v>324980</v>
      </c>
      <c r="Q1592">
        <v>5</v>
      </c>
      <c r="R1592">
        <v>3</v>
      </c>
      <c r="S1592">
        <v>3</v>
      </c>
      <c r="T1592">
        <v>30</v>
      </c>
      <c r="U1592">
        <v>49</v>
      </c>
    </row>
    <row r="1593" spans="1:21" x14ac:dyDescent="0.35">
      <c r="A1593" t="s">
        <v>28</v>
      </c>
      <c r="B1593" s="1">
        <v>44571</v>
      </c>
      <c r="C1593" t="s">
        <v>32</v>
      </c>
      <c r="D1593">
        <v>41.2</v>
      </c>
      <c r="E1593">
        <v>4.9000000000000004</v>
      </c>
      <c r="F1593">
        <v>0</v>
      </c>
      <c r="G1593">
        <v>8.4</v>
      </c>
      <c r="H1593">
        <v>0</v>
      </c>
      <c r="I1593">
        <v>0</v>
      </c>
      <c r="J1593">
        <v>0</v>
      </c>
      <c r="K1593">
        <v>0</v>
      </c>
      <c r="L1593">
        <v>0</v>
      </c>
      <c r="M1593">
        <v>0</v>
      </c>
      <c r="N1593">
        <v>162642</v>
      </c>
      <c r="O1593">
        <v>0</v>
      </c>
      <c r="P1593">
        <v>0</v>
      </c>
      <c r="Q1593">
        <v>67</v>
      </c>
      <c r="R1593">
        <v>8</v>
      </c>
      <c r="S1593">
        <v>0</v>
      </c>
      <c r="T1593">
        <v>0</v>
      </c>
      <c r="U1593">
        <v>4</v>
      </c>
    </row>
    <row r="1594" spans="1:21" x14ac:dyDescent="0.35">
      <c r="A1594" t="s">
        <v>28</v>
      </c>
      <c r="B1594" s="1">
        <v>45248</v>
      </c>
      <c r="C1594" t="s">
        <v>23</v>
      </c>
      <c r="D1594">
        <v>190</v>
      </c>
      <c r="E1594">
        <v>38.200000000000003</v>
      </c>
      <c r="F1594">
        <v>60.1</v>
      </c>
      <c r="G1594">
        <v>5</v>
      </c>
      <c r="H1594">
        <v>3.2</v>
      </c>
      <c r="I1594">
        <v>0</v>
      </c>
      <c r="J1594">
        <v>0</v>
      </c>
      <c r="K1594">
        <v>0</v>
      </c>
      <c r="L1594">
        <v>0</v>
      </c>
      <c r="M1594">
        <v>0</v>
      </c>
      <c r="N1594">
        <v>29998</v>
      </c>
      <c r="O1594">
        <v>125698</v>
      </c>
      <c r="P1594">
        <v>247977</v>
      </c>
      <c r="Q1594">
        <v>57</v>
      </c>
      <c r="R1594">
        <v>48</v>
      </c>
      <c r="S1594">
        <v>149</v>
      </c>
      <c r="T1594">
        <v>50</v>
      </c>
      <c r="U1594">
        <v>64</v>
      </c>
    </row>
    <row r="1595" spans="1:21" x14ac:dyDescent="0.35">
      <c r="A1595" t="s">
        <v>26</v>
      </c>
      <c r="B1595" s="1">
        <v>45255</v>
      </c>
      <c r="C1595" t="s">
        <v>25</v>
      </c>
      <c r="D1595">
        <v>2.9</v>
      </c>
      <c r="E1595">
        <v>0.5</v>
      </c>
      <c r="F1595">
        <v>0</v>
      </c>
      <c r="G1595">
        <v>5.8</v>
      </c>
      <c r="H1595">
        <v>0</v>
      </c>
      <c r="I1595">
        <v>0</v>
      </c>
      <c r="J1595">
        <v>0</v>
      </c>
      <c r="K1595">
        <v>0</v>
      </c>
      <c r="L1595">
        <v>0</v>
      </c>
      <c r="M1595">
        <v>0</v>
      </c>
      <c r="N1595">
        <v>67903</v>
      </c>
      <c r="O1595">
        <v>215525</v>
      </c>
      <c r="P1595">
        <v>162833</v>
      </c>
      <c r="Q1595">
        <v>2</v>
      </c>
      <c r="R1595">
        <v>1</v>
      </c>
      <c r="S1595">
        <v>0</v>
      </c>
      <c r="T1595">
        <v>18</v>
      </c>
      <c r="U1595">
        <v>29</v>
      </c>
    </row>
    <row r="1596" spans="1:21" x14ac:dyDescent="0.35">
      <c r="A1596" t="s">
        <v>28</v>
      </c>
      <c r="B1596" s="1">
        <v>45233</v>
      </c>
      <c r="C1596" t="s">
        <v>29</v>
      </c>
      <c r="D1596">
        <v>112.3</v>
      </c>
      <c r="E1596">
        <v>47.8</v>
      </c>
      <c r="F1596">
        <v>70.8</v>
      </c>
      <c r="G1596">
        <v>2.2999999999999998</v>
      </c>
      <c r="H1596">
        <v>1.6</v>
      </c>
      <c r="I1596">
        <v>0</v>
      </c>
      <c r="J1596">
        <v>0</v>
      </c>
      <c r="K1596">
        <v>0</v>
      </c>
      <c r="L1596">
        <v>0</v>
      </c>
      <c r="M1596">
        <v>0</v>
      </c>
      <c r="N1596">
        <v>110407</v>
      </c>
      <c r="O1596">
        <v>277955</v>
      </c>
      <c r="P1596">
        <v>347264</v>
      </c>
      <c r="Q1596">
        <v>124</v>
      </c>
      <c r="R1596">
        <v>133</v>
      </c>
      <c r="S1596">
        <v>246</v>
      </c>
      <c r="T1596">
        <v>30</v>
      </c>
      <c r="U1596">
        <v>49</v>
      </c>
    </row>
    <row r="1597" spans="1:21" x14ac:dyDescent="0.35">
      <c r="A1597" t="s">
        <v>21</v>
      </c>
      <c r="B1597" s="1">
        <v>45101</v>
      </c>
      <c r="C1597" t="s">
        <v>23</v>
      </c>
      <c r="D1597">
        <v>0</v>
      </c>
      <c r="E1597">
        <v>0</v>
      </c>
      <c r="F1597">
        <v>0</v>
      </c>
      <c r="G1597">
        <v>0</v>
      </c>
      <c r="H1597">
        <v>0</v>
      </c>
      <c r="I1597">
        <v>0</v>
      </c>
      <c r="J1597">
        <v>0</v>
      </c>
      <c r="K1597">
        <v>0</v>
      </c>
      <c r="L1597">
        <v>0</v>
      </c>
      <c r="M1597">
        <v>0</v>
      </c>
      <c r="N1597">
        <v>32713</v>
      </c>
      <c r="O1597">
        <v>125736</v>
      </c>
      <c r="P1597">
        <v>246925</v>
      </c>
      <c r="Q1597">
        <v>0</v>
      </c>
      <c r="R1597">
        <v>0</v>
      </c>
      <c r="S1597">
        <v>0</v>
      </c>
      <c r="T1597">
        <v>50</v>
      </c>
      <c r="U1597">
        <v>64</v>
      </c>
    </row>
    <row r="1598" spans="1:21" x14ac:dyDescent="0.35">
      <c r="A1598" t="s">
        <v>26</v>
      </c>
      <c r="B1598" s="1">
        <v>45205</v>
      </c>
      <c r="C1598" t="s">
        <v>24</v>
      </c>
      <c r="D1598">
        <v>1.1000000000000001</v>
      </c>
      <c r="E1598">
        <v>0</v>
      </c>
      <c r="F1598">
        <v>0</v>
      </c>
      <c r="G1598">
        <v>0</v>
      </c>
      <c r="H1598">
        <v>0</v>
      </c>
      <c r="I1598">
        <v>0</v>
      </c>
      <c r="J1598">
        <v>0</v>
      </c>
      <c r="K1598">
        <v>0</v>
      </c>
      <c r="L1598">
        <v>0</v>
      </c>
      <c r="M1598">
        <v>0</v>
      </c>
      <c r="N1598">
        <v>90486</v>
      </c>
      <c r="O1598">
        <v>82681</v>
      </c>
      <c r="P1598">
        <v>21245</v>
      </c>
      <c r="Q1598">
        <v>1</v>
      </c>
      <c r="R1598">
        <v>0</v>
      </c>
      <c r="S1598">
        <v>0</v>
      </c>
      <c r="T1598">
        <v>5</v>
      </c>
      <c r="U1598">
        <v>11</v>
      </c>
    </row>
    <row r="1599" spans="1:21" x14ac:dyDescent="0.35">
      <c r="A1599" t="s">
        <v>28</v>
      </c>
      <c r="B1599" s="1">
        <v>45019</v>
      </c>
      <c r="C1599" t="s">
        <v>24</v>
      </c>
      <c r="D1599">
        <v>125.7</v>
      </c>
      <c r="E1599">
        <v>136.19999999999999</v>
      </c>
      <c r="F1599">
        <v>217</v>
      </c>
      <c r="G1599">
        <v>0.9</v>
      </c>
      <c r="H1599">
        <v>0.6</v>
      </c>
      <c r="I1599">
        <v>0</v>
      </c>
      <c r="J1599">
        <v>0</v>
      </c>
      <c r="K1599">
        <v>0</v>
      </c>
      <c r="L1599">
        <v>0</v>
      </c>
      <c r="M1599">
        <v>0</v>
      </c>
      <c r="N1599">
        <v>91467</v>
      </c>
      <c r="O1599">
        <v>82250</v>
      </c>
      <c r="P1599">
        <v>21203</v>
      </c>
      <c r="Q1599">
        <v>115</v>
      </c>
      <c r="R1599">
        <v>112</v>
      </c>
      <c r="S1599">
        <v>46</v>
      </c>
      <c r="T1599">
        <v>5</v>
      </c>
      <c r="U1599">
        <v>11</v>
      </c>
    </row>
    <row r="1600" spans="1:21" x14ac:dyDescent="0.35">
      <c r="A1600" t="s">
        <v>26</v>
      </c>
      <c r="B1600" s="1">
        <v>45227</v>
      </c>
      <c r="C1600" t="s">
        <v>25</v>
      </c>
      <c r="D1600">
        <v>2.9</v>
      </c>
      <c r="E1600">
        <v>0</v>
      </c>
      <c r="F1600">
        <v>0.6</v>
      </c>
      <c r="G1600">
        <v>0</v>
      </c>
      <c r="H1600">
        <v>4.8</v>
      </c>
      <c r="I1600">
        <v>0</v>
      </c>
      <c r="J1600">
        <v>0</v>
      </c>
      <c r="K1600">
        <v>0</v>
      </c>
      <c r="L1600">
        <v>0</v>
      </c>
      <c r="M1600">
        <v>0</v>
      </c>
      <c r="N1600">
        <v>70076</v>
      </c>
      <c r="O1600">
        <v>214953</v>
      </c>
      <c r="P1600">
        <v>162196</v>
      </c>
      <c r="Q1600">
        <v>2</v>
      </c>
      <c r="R1600">
        <v>0</v>
      </c>
      <c r="S1600">
        <v>1</v>
      </c>
      <c r="T1600">
        <v>18</v>
      </c>
      <c r="U1600">
        <v>29</v>
      </c>
    </row>
    <row r="1601" spans="1:21" x14ac:dyDescent="0.35">
      <c r="A1601" t="s">
        <v>26</v>
      </c>
      <c r="B1601" s="1">
        <v>44262</v>
      </c>
      <c r="C1601" t="s">
        <v>31</v>
      </c>
      <c r="D1601">
        <v>11</v>
      </c>
      <c r="E1601">
        <v>0.5</v>
      </c>
      <c r="F1601">
        <v>0</v>
      </c>
      <c r="G1601">
        <v>22</v>
      </c>
      <c r="H1601">
        <v>0</v>
      </c>
      <c r="I1601">
        <v>0</v>
      </c>
      <c r="J1601">
        <v>0</v>
      </c>
      <c r="K1601">
        <v>0</v>
      </c>
      <c r="L1601">
        <v>0</v>
      </c>
      <c r="M1601">
        <v>0</v>
      </c>
      <c r="N1601">
        <v>72516</v>
      </c>
      <c r="O1601">
        <v>187809</v>
      </c>
      <c r="P1601">
        <v>0</v>
      </c>
      <c r="Q1601">
        <v>8</v>
      </c>
      <c r="R1601">
        <v>1</v>
      </c>
      <c r="S1601">
        <v>0</v>
      </c>
      <c r="T1601">
        <v>65</v>
      </c>
      <c r="U1601">
        <v>79</v>
      </c>
    </row>
    <row r="1602" spans="1:21" x14ac:dyDescent="0.35">
      <c r="A1602" t="s">
        <v>28</v>
      </c>
      <c r="B1602" s="1">
        <v>44596</v>
      </c>
      <c r="C1602" t="s">
        <v>32</v>
      </c>
      <c r="D1602">
        <v>67.599999999999994</v>
      </c>
      <c r="E1602">
        <v>0</v>
      </c>
      <c r="F1602">
        <v>0</v>
      </c>
      <c r="G1602">
        <v>0</v>
      </c>
      <c r="H1602">
        <v>0</v>
      </c>
      <c r="I1602">
        <v>0</v>
      </c>
      <c r="J1602">
        <v>0</v>
      </c>
      <c r="K1602">
        <v>0</v>
      </c>
      <c r="L1602">
        <v>0</v>
      </c>
      <c r="M1602">
        <v>0</v>
      </c>
      <c r="N1602">
        <v>162642</v>
      </c>
      <c r="O1602">
        <v>0</v>
      </c>
      <c r="P1602">
        <v>0</v>
      </c>
      <c r="Q1602">
        <v>110</v>
      </c>
      <c r="R1602">
        <v>0</v>
      </c>
      <c r="S1602">
        <v>0</v>
      </c>
      <c r="T1602">
        <v>0</v>
      </c>
      <c r="U1602">
        <v>4</v>
      </c>
    </row>
    <row r="1603" spans="1:21" x14ac:dyDescent="0.35">
      <c r="A1603" t="s">
        <v>28</v>
      </c>
      <c r="B1603" s="1">
        <v>44259</v>
      </c>
      <c r="C1603" t="s">
        <v>22</v>
      </c>
      <c r="D1603">
        <v>201.6</v>
      </c>
      <c r="E1603">
        <v>25.4</v>
      </c>
      <c r="F1603">
        <v>0</v>
      </c>
      <c r="G1603">
        <v>7.9</v>
      </c>
      <c r="H1603">
        <v>0</v>
      </c>
      <c r="I1603">
        <v>198.6</v>
      </c>
      <c r="J1603">
        <v>21</v>
      </c>
      <c r="K1603">
        <v>0</v>
      </c>
      <c r="L1603">
        <v>9.4</v>
      </c>
      <c r="M1603">
        <v>0</v>
      </c>
      <c r="N1603">
        <v>1827674</v>
      </c>
      <c r="O1603">
        <v>338699</v>
      </c>
      <c r="P1603">
        <v>0</v>
      </c>
      <c r="Q1603">
        <v>3684</v>
      </c>
      <c r="R1603">
        <v>86</v>
      </c>
      <c r="S1603">
        <v>0</v>
      </c>
      <c r="T1603">
        <v>999</v>
      </c>
      <c r="U1603">
        <v>999</v>
      </c>
    </row>
    <row r="1604" spans="1:21" x14ac:dyDescent="0.35">
      <c r="A1604" t="s">
        <v>21</v>
      </c>
      <c r="B1604" s="1">
        <v>44954</v>
      </c>
      <c r="C1604" t="s">
        <v>27</v>
      </c>
      <c r="D1604">
        <v>0</v>
      </c>
      <c r="E1604">
        <v>0</v>
      </c>
      <c r="F1604">
        <v>0</v>
      </c>
      <c r="G1604">
        <v>0</v>
      </c>
      <c r="H1604">
        <v>0</v>
      </c>
      <c r="I1604">
        <v>0</v>
      </c>
      <c r="J1604">
        <v>0</v>
      </c>
      <c r="K1604">
        <v>0</v>
      </c>
      <c r="L1604">
        <v>0</v>
      </c>
      <c r="M1604">
        <v>0</v>
      </c>
      <c r="N1604">
        <v>33411</v>
      </c>
      <c r="O1604">
        <v>86292</v>
      </c>
      <c r="P1604">
        <v>44551</v>
      </c>
      <c r="Q1604">
        <v>0</v>
      </c>
      <c r="R1604">
        <v>0</v>
      </c>
      <c r="S1604">
        <v>0</v>
      </c>
      <c r="T1604">
        <v>12</v>
      </c>
      <c r="U1604">
        <v>17</v>
      </c>
    </row>
    <row r="1605" spans="1:21" x14ac:dyDescent="0.35">
      <c r="A1605" t="s">
        <v>26</v>
      </c>
      <c r="B1605" s="1">
        <v>44933</v>
      </c>
      <c r="C1605" t="s">
        <v>22</v>
      </c>
      <c r="D1605">
        <v>1.7</v>
      </c>
      <c r="E1605">
        <v>0.3</v>
      </c>
      <c r="F1605">
        <v>0.9</v>
      </c>
      <c r="G1605">
        <v>5.7</v>
      </c>
      <c r="H1605">
        <v>1.9</v>
      </c>
      <c r="I1605">
        <v>2.7</v>
      </c>
      <c r="J1605">
        <v>0.7</v>
      </c>
      <c r="K1605">
        <v>0.6</v>
      </c>
      <c r="L1605">
        <v>3.9</v>
      </c>
      <c r="M1605">
        <v>4.9000000000000004</v>
      </c>
      <c r="N1605">
        <v>532370</v>
      </c>
      <c r="O1605">
        <v>860333</v>
      </c>
      <c r="P1605">
        <v>1040733</v>
      </c>
      <c r="Q1605">
        <v>9</v>
      </c>
      <c r="R1605">
        <v>3</v>
      </c>
      <c r="S1605">
        <v>9</v>
      </c>
      <c r="T1605">
        <v>999</v>
      </c>
      <c r="U1605">
        <v>999</v>
      </c>
    </row>
    <row r="1606" spans="1:21" x14ac:dyDescent="0.35">
      <c r="A1606" t="s">
        <v>28</v>
      </c>
      <c r="B1606" s="1">
        <v>44940</v>
      </c>
      <c r="C1606" t="s">
        <v>30</v>
      </c>
      <c r="D1606">
        <v>117</v>
      </c>
      <c r="E1606">
        <v>211</v>
      </c>
      <c r="F1606">
        <v>212.2</v>
      </c>
      <c r="G1606">
        <v>0.6</v>
      </c>
      <c r="H1606">
        <v>0.6</v>
      </c>
      <c r="I1606">
        <v>0</v>
      </c>
      <c r="J1606">
        <v>0</v>
      </c>
      <c r="K1606">
        <v>0</v>
      </c>
      <c r="L1606">
        <v>0</v>
      </c>
      <c r="M1606">
        <v>0</v>
      </c>
      <c r="N1606">
        <v>24777</v>
      </c>
      <c r="O1606">
        <v>11372</v>
      </c>
      <c r="P1606">
        <v>47117</v>
      </c>
      <c r="Q1606">
        <v>29</v>
      </c>
      <c r="R1606">
        <v>24</v>
      </c>
      <c r="S1606">
        <v>100</v>
      </c>
      <c r="T1606">
        <v>80</v>
      </c>
      <c r="U1606">
        <v>200</v>
      </c>
    </row>
    <row r="1607" spans="1:21" x14ac:dyDescent="0.35">
      <c r="A1607" t="s">
        <v>26</v>
      </c>
      <c r="B1607" s="1">
        <v>44737</v>
      </c>
      <c r="C1607" t="s">
        <v>32</v>
      </c>
      <c r="D1607">
        <v>6.8</v>
      </c>
      <c r="E1607">
        <v>0</v>
      </c>
      <c r="F1607">
        <v>0</v>
      </c>
      <c r="G1607">
        <v>0</v>
      </c>
      <c r="H1607">
        <v>0</v>
      </c>
      <c r="I1607">
        <v>0</v>
      </c>
      <c r="J1607">
        <v>0</v>
      </c>
      <c r="K1607">
        <v>0</v>
      </c>
      <c r="L1607">
        <v>0</v>
      </c>
      <c r="M1607">
        <v>0</v>
      </c>
      <c r="N1607">
        <v>162642</v>
      </c>
      <c r="O1607">
        <v>0</v>
      </c>
      <c r="P1607">
        <v>0</v>
      </c>
      <c r="Q1607">
        <v>11</v>
      </c>
      <c r="R1607">
        <v>0</v>
      </c>
      <c r="S1607">
        <v>0</v>
      </c>
      <c r="T1607">
        <v>0</v>
      </c>
      <c r="U1607">
        <v>4</v>
      </c>
    </row>
    <row r="1608" spans="1:21" x14ac:dyDescent="0.35">
      <c r="A1608" t="s">
        <v>21</v>
      </c>
      <c r="B1608" s="1">
        <v>44449</v>
      </c>
      <c r="C1608" t="s">
        <v>24</v>
      </c>
      <c r="D1608">
        <v>0</v>
      </c>
      <c r="E1608">
        <v>0</v>
      </c>
      <c r="F1608">
        <v>0</v>
      </c>
      <c r="G1608">
        <v>0</v>
      </c>
      <c r="H1608">
        <v>0</v>
      </c>
      <c r="I1608">
        <v>0</v>
      </c>
      <c r="J1608">
        <v>0</v>
      </c>
      <c r="K1608">
        <v>0</v>
      </c>
      <c r="L1608">
        <v>0</v>
      </c>
      <c r="M1608">
        <v>0</v>
      </c>
      <c r="N1608">
        <v>210448</v>
      </c>
      <c r="O1608">
        <v>0</v>
      </c>
      <c r="P1608">
        <v>0</v>
      </c>
      <c r="Q1608">
        <v>0</v>
      </c>
      <c r="R1608">
        <v>0</v>
      </c>
      <c r="S1608">
        <v>0</v>
      </c>
      <c r="T1608">
        <v>5</v>
      </c>
      <c r="U1608">
        <v>11</v>
      </c>
    </row>
    <row r="1609" spans="1:21" x14ac:dyDescent="0.35">
      <c r="A1609" t="s">
        <v>26</v>
      </c>
      <c r="B1609" s="1">
        <v>45018</v>
      </c>
      <c r="C1609" t="s">
        <v>22</v>
      </c>
      <c r="D1609">
        <v>8</v>
      </c>
      <c r="E1609">
        <v>4.4000000000000004</v>
      </c>
      <c r="F1609">
        <v>6.2</v>
      </c>
      <c r="G1609">
        <v>1.8</v>
      </c>
      <c r="H1609">
        <v>1.3</v>
      </c>
      <c r="I1609">
        <v>9.9</v>
      </c>
      <c r="J1609">
        <v>6.1</v>
      </c>
      <c r="K1609">
        <v>4.2</v>
      </c>
      <c r="L1609">
        <v>1.6</v>
      </c>
      <c r="M1609">
        <v>2.2999999999999998</v>
      </c>
      <c r="N1609">
        <v>548376</v>
      </c>
      <c r="O1609">
        <v>856091</v>
      </c>
      <c r="P1609">
        <v>1040343</v>
      </c>
      <c r="Q1609">
        <v>44</v>
      </c>
      <c r="R1609">
        <v>38</v>
      </c>
      <c r="S1609">
        <v>64</v>
      </c>
      <c r="T1609">
        <v>999</v>
      </c>
      <c r="U1609">
        <v>999</v>
      </c>
    </row>
    <row r="1610" spans="1:21" x14ac:dyDescent="0.35">
      <c r="A1610" t="s">
        <v>21</v>
      </c>
      <c r="B1610" s="1">
        <v>45094</v>
      </c>
      <c r="C1610" t="s">
        <v>23</v>
      </c>
      <c r="D1610">
        <v>0</v>
      </c>
      <c r="E1610">
        <v>0</v>
      </c>
      <c r="F1610">
        <v>0</v>
      </c>
      <c r="G1610">
        <v>0</v>
      </c>
      <c r="H1610">
        <v>0</v>
      </c>
      <c r="I1610">
        <v>0</v>
      </c>
      <c r="J1610">
        <v>0</v>
      </c>
      <c r="K1610">
        <v>0</v>
      </c>
      <c r="L1610">
        <v>0</v>
      </c>
      <c r="M1610">
        <v>0</v>
      </c>
      <c r="N1610">
        <v>32757</v>
      </c>
      <c r="O1610">
        <v>125738</v>
      </c>
      <c r="P1610">
        <v>246922</v>
      </c>
      <c r="Q1610">
        <v>0</v>
      </c>
      <c r="R1610">
        <v>0</v>
      </c>
      <c r="S1610">
        <v>0</v>
      </c>
      <c r="T1610">
        <v>50</v>
      </c>
      <c r="U1610">
        <v>64</v>
      </c>
    </row>
    <row r="1611" spans="1:21" x14ac:dyDescent="0.35">
      <c r="A1611" t="s">
        <v>21</v>
      </c>
      <c r="B1611" s="1">
        <v>44429</v>
      </c>
      <c r="C1611" t="s">
        <v>23</v>
      </c>
      <c r="D1611">
        <v>7.6</v>
      </c>
      <c r="E1611">
        <v>0</v>
      </c>
      <c r="F1611">
        <v>0</v>
      </c>
      <c r="G1611">
        <v>0</v>
      </c>
      <c r="H1611">
        <v>0</v>
      </c>
      <c r="I1611">
        <v>0</v>
      </c>
      <c r="J1611">
        <v>0</v>
      </c>
      <c r="K1611">
        <v>0</v>
      </c>
      <c r="L1611">
        <v>0</v>
      </c>
      <c r="M1611">
        <v>0</v>
      </c>
      <c r="N1611">
        <v>91732</v>
      </c>
      <c r="O1611">
        <v>320054</v>
      </c>
      <c r="P1611">
        <v>0</v>
      </c>
      <c r="Q1611">
        <v>7</v>
      </c>
      <c r="R1611">
        <v>0</v>
      </c>
      <c r="S1611">
        <v>0</v>
      </c>
      <c r="T1611">
        <v>50</v>
      </c>
      <c r="U1611">
        <v>64</v>
      </c>
    </row>
    <row r="1612" spans="1:21" x14ac:dyDescent="0.35">
      <c r="A1612" t="s">
        <v>28</v>
      </c>
      <c r="B1612" s="1">
        <v>44331</v>
      </c>
      <c r="C1612" t="s">
        <v>23</v>
      </c>
      <c r="D1612">
        <v>184.7</v>
      </c>
      <c r="E1612">
        <v>9.1</v>
      </c>
      <c r="F1612">
        <v>0</v>
      </c>
      <c r="G1612">
        <v>20.3</v>
      </c>
      <c r="H1612">
        <v>0</v>
      </c>
      <c r="I1612">
        <v>0</v>
      </c>
      <c r="J1612">
        <v>0</v>
      </c>
      <c r="K1612">
        <v>0</v>
      </c>
      <c r="L1612">
        <v>0</v>
      </c>
      <c r="M1612">
        <v>0</v>
      </c>
      <c r="N1612">
        <v>139168</v>
      </c>
      <c r="O1612">
        <v>218624</v>
      </c>
      <c r="P1612">
        <v>0</v>
      </c>
      <c r="Q1612">
        <v>257</v>
      </c>
      <c r="R1612">
        <v>20</v>
      </c>
      <c r="S1612">
        <v>0</v>
      </c>
      <c r="T1612">
        <v>50</v>
      </c>
      <c r="U1612">
        <v>64</v>
      </c>
    </row>
    <row r="1613" spans="1:21" x14ac:dyDescent="0.35">
      <c r="A1613" t="s">
        <v>28</v>
      </c>
      <c r="B1613" s="1">
        <v>45117</v>
      </c>
      <c r="C1613" t="s">
        <v>27</v>
      </c>
      <c r="D1613">
        <v>6.3</v>
      </c>
      <c r="E1613">
        <v>10.4</v>
      </c>
      <c r="F1613">
        <v>9</v>
      </c>
      <c r="G1613">
        <v>0.6</v>
      </c>
      <c r="H1613">
        <v>0.7</v>
      </c>
      <c r="I1613">
        <v>0</v>
      </c>
      <c r="J1613">
        <v>0</v>
      </c>
      <c r="K1613">
        <v>0</v>
      </c>
      <c r="L1613">
        <v>0</v>
      </c>
      <c r="M1613">
        <v>0</v>
      </c>
      <c r="N1613">
        <v>31666</v>
      </c>
      <c r="O1613">
        <v>86571</v>
      </c>
      <c r="P1613">
        <v>44601</v>
      </c>
      <c r="Q1613">
        <v>2</v>
      </c>
      <c r="R1613">
        <v>9</v>
      </c>
      <c r="S1613">
        <v>4</v>
      </c>
      <c r="T1613">
        <v>12</v>
      </c>
      <c r="U1613">
        <v>17</v>
      </c>
    </row>
    <row r="1614" spans="1:21" x14ac:dyDescent="0.35">
      <c r="A1614" t="s">
        <v>21</v>
      </c>
      <c r="B1614" s="1">
        <v>44527</v>
      </c>
      <c r="C1614" t="s">
        <v>24</v>
      </c>
      <c r="D1614">
        <v>0</v>
      </c>
      <c r="E1614">
        <v>0</v>
      </c>
      <c r="F1614">
        <v>0</v>
      </c>
      <c r="G1614">
        <v>0</v>
      </c>
      <c r="H1614">
        <v>0</v>
      </c>
      <c r="I1614">
        <v>0</v>
      </c>
      <c r="J1614">
        <v>0</v>
      </c>
      <c r="K1614">
        <v>0</v>
      </c>
      <c r="L1614">
        <v>0</v>
      </c>
      <c r="M1614">
        <v>0</v>
      </c>
      <c r="N1614">
        <v>161164</v>
      </c>
      <c r="O1614">
        <v>5</v>
      </c>
      <c r="P1614">
        <v>0</v>
      </c>
      <c r="Q1614">
        <v>0</v>
      </c>
      <c r="R1614">
        <v>0</v>
      </c>
      <c r="S1614">
        <v>0</v>
      </c>
      <c r="T1614">
        <v>5</v>
      </c>
      <c r="U1614">
        <v>11</v>
      </c>
    </row>
    <row r="1615" spans="1:21" x14ac:dyDescent="0.35">
      <c r="A1615" t="s">
        <v>26</v>
      </c>
      <c r="B1615" s="1">
        <v>44629</v>
      </c>
      <c r="C1615" t="s">
        <v>30</v>
      </c>
      <c r="D1615">
        <v>64.900000000000006</v>
      </c>
      <c r="E1615">
        <v>61.1</v>
      </c>
      <c r="F1615">
        <v>76.7</v>
      </c>
      <c r="G1615">
        <v>1.1000000000000001</v>
      </c>
      <c r="H1615">
        <v>0.8</v>
      </c>
      <c r="I1615">
        <v>0</v>
      </c>
      <c r="J1615">
        <v>0</v>
      </c>
      <c r="K1615">
        <v>0</v>
      </c>
      <c r="L1615">
        <v>0</v>
      </c>
      <c r="M1615">
        <v>0</v>
      </c>
      <c r="N1615">
        <v>26205</v>
      </c>
      <c r="O1615">
        <v>11466</v>
      </c>
      <c r="P1615">
        <v>46907</v>
      </c>
      <c r="Q1615">
        <v>17</v>
      </c>
      <c r="R1615">
        <v>7</v>
      </c>
      <c r="S1615">
        <v>36</v>
      </c>
      <c r="T1615">
        <v>80</v>
      </c>
      <c r="U1615">
        <v>200</v>
      </c>
    </row>
    <row r="1616" spans="1:21" x14ac:dyDescent="0.35">
      <c r="A1616" t="s">
        <v>21</v>
      </c>
      <c r="B1616" s="1">
        <v>44413</v>
      </c>
      <c r="C1616" t="s">
        <v>25</v>
      </c>
      <c r="D1616">
        <v>0.7</v>
      </c>
      <c r="E1616">
        <v>0</v>
      </c>
      <c r="F1616">
        <v>0</v>
      </c>
      <c r="G1616">
        <v>0</v>
      </c>
      <c r="H1616">
        <v>0</v>
      </c>
      <c r="I1616">
        <v>0</v>
      </c>
      <c r="J1616">
        <v>0</v>
      </c>
      <c r="K1616">
        <v>0</v>
      </c>
      <c r="L1616">
        <v>0</v>
      </c>
      <c r="M1616">
        <v>0</v>
      </c>
      <c r="N1616">
        <v>274095</v>
      </c>
      <c r="O1616">
        <v>132496</v>
      </c>
      <c r="P1616">
        <v>0</v>
      </c>
      <c r="Q1616">
        <v>2</v>
      </c>
      <c r="R1616">
        <v>0</v>
      </c>
      <c r="S1616">
        <v>0</v>
      </c>
      <c r="T1616">
        <v>18</v>
      </c>
      <c r="U1616">
        <v>29</v>
      </c>
    </row>
    <row r="1617" spans="1:21" x14ac:dyDescent="0.35">
      <c r="A1617" t="s">
        <v>26</v>
      </c>
      <c r="B1617" s="1">
        <v>44237</v>
      </c>
      <c r="C1617" t="s">
        <v>27</v>
      </c>
      <c r="D1617">
        <v>1.5</v>
      </c>
      <c r="E1617">
        <v>0</v>
      </c>
      <c r="F1617">
        <v>0</v>
      </c>
      <c r="G1617">
        <v>0</v>
      </c>
      <c r="H1617">
        <v>0</v>
      </c>
      <c r="I1617">
        <v>0</v>
      </c>
      <c r="J1617">
        <v>0</v>
      </c>
      <c r="K1617">
        <v>0</v>
      </c>
      <c r="L1617">
        <v>0</v>
      </c>
      <c r="M1617">
        <v>0</v>
      </c>
      <c r="N1617">
        <v>68439</v>
      </c>
      <c r="O1617">
        <v>93584</v>
      </c>
      <c r="P1617">
        <v>0</v>
      </c>
      <c r="Q1617">
        <v>1</v>
      </c>
      <c r="R1617">
        <v>0</v>
      </c>
      <c r="S1617">
        <v>0</v>
      </c>
      <c r="T1617">
        <v>12</v>
      </c>
      <c r="U1617">
        <v>17</v>
      </c>
    </row>
    <row r="1618" spans="1:21" x14ac:dyDescent="0.35">
      <c r="A1618" t="s">
        <v>28</v>
      </c>
      <c r="B1618" s="1">
        <v>45122</v>
      </c>
      <c r="C1618" t="s">
        <v>24</v>
      </c>
      <c r="D1618">
        <v>3.3</v>
      </c>
      <c r="E1618">
        <v>2.4</v>
      </c>
      <c r="F1618">
        <v>9.4</v>
      </c>
      <c r="G1618">
        <v>1.4</v>
      </c>
      <c r="H1618">
        <v>0.4</v>
      </c>
      <c r="I1618">
        <v>0</v>
      </c>
      <c r="J1618">
        <v>0</v>
      </c>
      <c r="K1618">
        <v>0</v>
      </c>
      <c r="L1618">
        <v>0</v>
      </c>
      <c r="M1618">
        <v>0</v>
      </c>
      <c r="N1618">
        <v>90116</v>
      </c>
      <c r="O1618">
        <v>82668</v>
      </c>
      <c r="P1618">
        <v>21259</v>
      </c>
      <c r="Q1618">
        <v>3</v>
      </c>
      <c r="R1618">
        <v>2</v>
      </c>
      <c r="S1618">
        <v>2</v>
      </c>
      <c r="T1618">
        <v>5</v>
      </c>
      <c r="U1618">
        <v>11</v>
      </c>
    </row>
    <row r="1619" spans="1:21" x14ac:dyDescent="0.35">
      <c r="A1619" t="s">
        <v>26</v>
      </c>
      <c r="B1619" s="1">
        <v>44783</v>
      </c>
      <c r="C1619" t="s">
        <v>25</v>
      </c>
      <c r="D1619">
        <v>6.9</v>
      </c>
      <c r="E1619">
        <v>2.4</v>
      </c>
      <c r="F1619">
        <v>2.5</v>
      </c>
      <c r="G1619">
        <v>2.9</v>
      </c>
      <c r="H1619">
        <v>2.8</v>
      </c>
      <c r="I1619">
        <v>0</v>
      </c>
      <c r="J1619">
        <v>0</v>
      </c>
      <c r="K1619">
        <v>0</v>
      </c>
      <c r="L1619">
        <v>0</v>
      </c>
      <c r="M1619">
        <v>0</v>
      </c>
      <c r="N1619">
        <v>87155</v>
      </c>
      <c r="O1619">
        <v>211790</v>
      </c>
      <c r="P1619">
        <v>161468</v>
      </c>
      <c r="Q1619">
        <v>6</v>
      </c>
      <c r="R1619">
        <v>5</v>
      </c>
      <c r="S1619">
        <v>4</v>
      </c>
      <c r="T1619">
        <v>18</v>
      </c>
      <c r="U1619">
        <v>29</v>
      </c>
    </row>
    <row r="1620" spans="1:21" x14ac:dyDescent="0.35">
      <c r="A1620" t="s">
        <v>28</v>
      </c>
      <c r="B1620" s="1">
        <v>45066</v>
      </c>
      <c r="C1620" t="s">
        <v>32</v>
      </c>
      <c r="D1620">
        <v>16</v>
      </c>
      <c r="E1620">
        <v>0.6</v>
      </c>
      <c r="F1620">
        <v>0</v>
      </c>
      <c r="G1620">
        <v>26.7</v>
      </c>
      <c r="H1620">
        <v>0</v>
      </c>
      <c r="I1620">
        <v>0</v>
      </c>
      <c r="J1620">
        <v>0</v>
      </c>
      <c r="K1620">
        <v>0</v>
      </c>
      <c r="L1620">
        <v>0</v>
      </c>
      <c r="M1620">
        <v>0</v>
      </c>
      <c r="N1620">
        <v>162642</v>
      </c>
      <c r="O1620">
        <v>0</v>
      </c>
      <c r="P1620">
        <v>0</v>
      </c>
      <c r="Q1620">
        <v>26</v>
      </c>
      <c r="R1620">
        <v>1</v>
      </c>
      <c r="S1620">
        <v>0</v>
      </c>
      <c r="T1620">
        <v>0</v>
      </c>
      <c r="U1620">
        <v>4</v>
      </c>
    </row>
    <row r="1621" spans="1:21" x14ac:dyDescent="0.35">
      <c r="A1621" t="s">
        <v>26</v>
      </c>
      <c r="B1621" s="1">
        <v>44331</v>
      </c>
      <c r="C1621" t="s">
        <v>31</v>
      </c>
      <c r="D1621">
        <v>55</v>
      </c>
      <c r="E1621">
        <v>3.6</v>
      </c>
      <c r="F1621">
        <v>0</v>
      </c>
      <c r="G1621">
        <v>15.3</v>
      </c>
      <c r="H1621">
        <v>0</v>
      </c>
      <c r="I1621">
        <v>0</v>
      </c>
      <c r="J1621">
        <v>0</v>
      </c>
      <c r="K1621">
        <v>0</v>
      </c>
      <c r="L1621">
        <v>0</v>
      </c>
      <c r="M1621">
        <v>0</v>
      </c>
      <c r="N1621">
        <v>81874</v>
      </c>
      <c r="O1621">
        <v>166358</v>
      </c>
      <c r="P1621">
        <v>0</v>
      </c>
      <c r="Q1621">
        <v>45</v>
      </c>
      <c r="R1621">
        <v>6</v>
      </c>
      <c r="S1621">
        <v>0</v>
      </c>
      <c r="T1621">
        <v>65</v>
      </c>
      <c r="U1621">
        <v>79</v>
      </c>
    </row>
    <row r="1622" spans="1:21" x14ac:dyDescent="0.35">
      <c r="A1622" t="s">
        <v>28</v>
      </c>
      <c r="B1622" s="1">
        <v>44310</v>
      </c>
      <c r="C1622" t="s">
        <v>30</v>
      </c>
      <c r="D1622">
        <v>113.1</v>
      </c>
      <c r="E1622">
        <v>12.8</v>
      </c>
      <c r="F1622">
        <v>0</v>
      </c>
      <c r="G1622">
        <v>8.8000000000000007</v>
      </c>
      <c r="H1622">
        <v>0</v>
      </c>
      <c r="I1622">
        <v>0</v>
      </c>
      <c r="J1622">
        <v>0</v>
      </c>
      <c r="K1622">
        <v>0</v>
      </c>
      <c r="L1622">
        <v>0</v>
      </c>
      <c r="M1622">
        <v>0</v>
      </c>
      <c r="N1622">
        <v>38015</v>
      </c>
      <c r="O1622">
        <v>38918</v>
      </c>
      <c r="P1622">
        <v>0</v>
      </c>
      <c r="Q1622">
        <v>43</v>
      </c>
      <c r="R1622">
        <v>5</v>
      </c>
      <c r="S1622">
        <v>0</v>
      </c>
      <c r="T1622">
        <v>80</v>
      </c>
      <c r="U1622">
        <v>200</v>
      </c>
    </row>
    <row r="1623" spans="1:21" x14ac:dyDescent="0.35">
      <c r="A1623" t="s">
        <v>21</v>
      </c>
      <c r="B1623" s="1">
        <v>45010</v>
      </c>
      <c r="C1623" t="s">
        <v>24</v>
      </c>
      <c r="D1623">
        <v>0</v>
      </c>
      <c r="E1623">
        <v>0</v>
      </c>
      <c r="F1623">
        <v>0</v>
      </c>
      <c r="G1623">
        <v>0</v>
      </c>
      <c r="H1623">
        <v>0</v>
      </c>
      <c r="I1623">
        <v>0</v>
      </c>
      <c r="J1623">
        <v>0</v>
      </c>
      <c r="K1623">
        <v>0</v>
      </c>
      <c r="L1623">
        <v>0</v>
      </c>
      <c r="M1623">
        <v>0</v>
      </c>
      <c r="N1623">
        <v>91234</v>
      </c>
      <c r="O1623">
        <v>82443</v>
      </c>
      <c r="P1623">
        <v>21217</v>
      </c>
      <c r="Q1623">
        <v>0</v>
      </c>
      <c r="R1623">
        <v>0</v>
      </c>
      <c r="S1623">
        <v>0</v>
      </c>
      <c r="T1623">
        <v>5</v>
      </c>
      <c r="U1623">
        <v>11</v>
      </c>
    </row>
    <row r="1624" spans="1:21" x14ac:dyDescent="0.35">
      <c r="A1624" t="s">
        <v>21</v>
      </c>
      <c r="B1624" s="1">
        <v>44912</v>
      </c>
      <c r="C1624" t="s">
        <v>22</v>
      </c>
      <c r="D1624">
        <v>0.4</v>
      </c>
      <c r="E1624">
        <v>0.5</v>
      </c>
      <c r="F1624">
        <v>0.2</v>
      </c>
      <c r="G1624">
        <v>0.8</v>
      </c>
      <c r="H1624">
        <v>2</v>
      </c>
      <c r="I1624">
        <v>0.3</v>
      </c>
      <c r="J1624">
        <v>0.9</v>
      </c>
      <c r="K1624">
        <v>0.1</v>
      </c>
      <c r="L1624">
        <v>0.3</v>
      </c>
      <c r="M1624">
        <v>1.9</v>
      </c>
      <c r="N1624">
        <v>558425</v>
      </c>
      <c r="O1624">
        <v>852606</v>
      </c>
      <c r="P1624">
        <v>1039974</v>
      </c>
      <c r="Q1624">
        <v>2</v>
      </c>
      <c r="R1624">
        <v>4</v>
      </c>
      <c r="S1624">
        <v>2</v>
      </c>
      <c r="T1624">
        <v>999</v>
      </c>
      <c r="U1624">
        <v>999</v>
      </c>
    </row>
    <row r="1625" spans="1:21" x14ac:dyDescent="0.35">
      <c r="A1625" t="s">
        <v>26</v>
      </c>
      <c r="B1625" s="1">
        <v>44765</v>
      </c>
      <c r="C1625" t="s">
        <v>31</v>
      </c>
      <c r="D1625">
        <v>43.4</v>
      </c>
      <c r="E1625">
        <v>44.1</v>
      </c>
      <c r="F1625">
        <v>16.600000000000001</v>
      </c>
      <c r="G1625">
        <v>1</v>
      </c>
      <c r="H1625">
        <v>2.6</v>
      </c>
      <c r="I1625">
        <v>0</v>
      </c>
      <c r="J1625">
        <v>0</v>
      </c>
      <c r="K1625">
        <v>0</v>
      </c>
      <c r="L1625">
        <v>0</v>
      </c>
      <c r="M1625">
        <v>0</v>
      </c>
      <c r="N1625">
        <v>46080</v>
      </c>
      <c r="O1625">
        <v>45341</v>
      </c>
      <c r="P1625">
        <v>168622</v>
      </c>
      <c r="Q1625">
        <v>20</v>
      </c>
      <c r="R1625">
        <v>20</v>
      </c>
      <c r="S1625">
        <v>28</v>
      </c>
      <c r="T1625">
        <v>65</v>
      </c>
      <c r="U1625">
        <v>79</v>
      </c>
    </row>
    <row r="1626" spans="1:21" x14ac:dyDescent="0.35">
      <c r="A1626" t="s">
        <v>28</v>
      </c>
      <c r="B1626" s="1">
        <v>45027</v>
      </c>
      <c r="C1626" t="s">
        <v>32</v>
      </c>
      <c r="D1626">
        <v>43.7</v>
      </c>
      <c r="E1626">
        <v>1.8</v>
      </c>
      <c r="F1626">
        <v>0</v>
      </c>
      <c r="G1626">
        <v>24.3</v>
      </c>
      <c r="H1626">
        <v>0</v>
      </c>
      <c r="I1626">
        <v>0</v>
      </c>
      <c r="J1626">
        <v>0</v>
      </c>
      <c r="K1626">
        <v>0</v>
      </c>
      <c r="L1626">
        <v>0</v>
      </c>
      <c r="M1626">
        <v>0</v>
      </c>
      <c r="N1626">
        <v>162642</v>
      </c>
      <c r="O1626">
        <v>0</v>
      </c>
      <c r="P1626">
        <v>0</v>
      </c>
      <c r="Q1626">
        <v>71</v>
      </c>
      <c r="R1626">
        <v>3</v>
      </c>
      <c r="S1626">
        <v>0</v>
      </c>
      <c r="T1626">
        <v>0</v>
      </c>
      <c r="U1626">
        <v>4</v>
      </c>
    </row>
    <row r="1627" spans="1:21" x14ac:dyDescent="0.35">
      <c r="A1627" t="s">
        <v>28</v>
      </c>
      <c r="B1627" s="1">
        <v>44863</v>
      </c>
      <c r="C1627" t="s">
        <v>23</v>
      </c>
      <c r="D1627">
        <v>359.8</v>
      </c>
      <c r="E1627">
        <v>103.8</v>
      </c>
      <c r="F1627">
        <v>136.19999999999999</v>
      </c>
      <c r="G1627">
        <v>3.5</v>
      </c>
      <c r="H1627">
        <v>2.6</v>
      </c>
      <c r="I1627">
        <v>0</v>
      </c>
      <c r="J1627">
        <v>0</v>
      </c>
      <c r="K1627">
        <v>0</v>
      </c>
      <c r="L1627">
        <v>0</v>
      </c>
      <c r="M1627">
        <v>0</v>
      </c>
      <c r="N1627">
        <v>37238</v>
      </c>
      <c r="O1627">
        <v>125235</v>
      </c>
      <c r="P1627">
        <v>246658</v>
      </c>
      <c r="Q1627">
        <v>134</v>
      </c>
      <c r="R1627">
        <v>130</v>
      </c>
      <c r="S1627">
        <v>336</v>
      </c>
      <c r="T1627">
        <v>50</v>
      </c>
      <c r="U1627">
        <v>64</v>
      </c>
    </row>
    <row r="1628" spans="1:21" x14ac:dyDescent="0.35">
      <c r="A1628" t="s">
        <v>21</v>
      </c>
      <c r="B1628" s="1">
        <v>44930</v>
      </c>
      <c r="C1628" t="s">
        <v>24</v>
      </c>
      <c r="D1628">
        <v>0</v>
      </c>
      <c r="E1628">
        <v>0</v>
      </c>
      <c r="F1628">
        <v>0</v>
      </c>
      <c r="G1628">
        <v>0</v>
      </c>
      <c r="H1628">
        <v>0</v>
      </c>
      <c r="I1628">
        <v>0</v>
      </c>
      <c r="J1628">
        <v>0</v>
      </c>
      <c r="K1628">
        <v>0</v>
      </c>
      <c r="L1628">
        <v>0</v>
      </c>
      <c r="M1628">
        <v>0</v>
      </c>
      <c r="N1628">
        <v>91185</v>
      </c>
      <c r="O1628">
        <v>82489</v>
      </c>
      <c r="P1628">
        <v>21218</v>
      </c>
      <c r="Q1628">
        <v>0</v>
      </c>
      <c r="R1628">
        <v>0</v>
      </c>
      <c r="S1628">
        <v>0</v>
      </c>
      <c r="T1628">
        <v>5</v>
      </c>
      <c r="U1628">
        <v>11</v>
      </c>
    </row>
    <row r="1629" spans="1:21" x14ac:dyDescent="0.35">
      <c r="A1629" t="s">
        <v>21</v>
      </c>
      <c r="B1629" s="1">
        <v>45241</v>
      </c>
      <c r="C1629" t="s">
        <v>30</v>
      </c>
      <c r="D1629">
        <v>0</v>
      </c>
      <c r="E1629">
        <v>0</v>
      </c>
      <c r="F1629">
        <v>4.2</v>
      </c>
      <c r="G1629">
        <v>0</v>
      </c>
      <c r="H1629">
        <v>0</v>
      </c>
      <c r="I1629">
        <v>0</v>
      </c>
      <c r="J1629">
        <v>0</v>
      </c>
      <c r="K1629">
        <v>0</v>
      </c>
      <c r="L1629">
        <v>0</v>
      </c>
      <c r="M1629">
        <v>0</v>
      </c>
      <c r="N1629">
        <v>24027</v>
      </c>
      <c r="O1629">
        <v>11603</v>
      </c>
      <c r="P1629">
        <v>47294</v>
      </c>
      <c r="Q1629">
        <v>0</v>
      </c>
      <c r="R1629">
        <v>0</v>
      </c>
      <c r="S1629">
        <v>2</v>
      </c>
      <c r="T1629">
        <v>80</v>
      </c>
      <c r="U1629">
        <v>200</v>
      </c>
    </row>
    <row r="1630" spans="1:21" x14ac:dyDescent="0.35">
      <c r="A1630" t="s">
        <v>26</v>
      </c>
      <c r="B1630" s="1">
        <v>44863</v>
      </c>
      <c r="C1630" t="s">
        <v>24</v>
      </c>
      <c r="D1630">
        <v>1.1000000000000001</v>
      </c>
      <c r="E1630">
        <v>0</v>
      </c>
      <c r="F1630">
        <v>4.8</v>
      </c>
      <c r="G1630">
        <v>0</v>
      </c>
      <c r="H1630">
        <v>0.2</v>
      </c>
      <c r="I1630">
        <v>0</v>
      </c>
      <c r="J1630">
        <v>0</v>
      </c>
      <c r="K1630">
        <v>0</v>
      </c>
      <c r="L1630">
        <v>0</v>
      </c>
      <c r="M1630">
        <v>0</v>
      </c>
      <c r="N1630">
        <v>93885</v>
      </c>
      <c r="O1630">
        <v>80560</v>
      </c>
      <c r="P1630">
        <v>20921</v>
      </c>
      <c r="Q1630">
        <v>1</v>
      </c>
      <c r="R1630">
        <v>0</v>
      </c>
      <c r="S1630">
        <v>1</v>
      </c>
      <c r="T1630">
        <v>5</v>
      </c>
      <c r="U1630">
        <v>11</v>
      </c>
    </row>
    <row r="1631" spans="1:21" x14ac:dyDescent="0.35">
      <c r="A1631" t="s">
        <v>28</v>
      </c>
      <c r="B1631" s="1">
        <v>44401</v>
      </c>
      <c r="C1631" t="s">
        <v>22</v>
      </c>
      <c r="D1631">
        <v>75.599999999999994</v>
      </c>
      <c r="E1631">
        <v>31</v>
      </c>
      <c r="F1631">
        <v>0</v>
      </c>
      <c r="G1631">
        <v>2.4</v>
      </c>
      <c r="H1631">
        <v>0</v>
      </c>
      <c r="I1631">
        <v>81.3</v>
      </c>
      <c r="J1631">
        <v>25.5</v>
      </c>
      <c r="K1631">
        <v>0</v>
      </c>
      <c r="L1631">
        <v>3.2</v>
      </c>
      <c r="M1631">
        <v>0</v>
      </c>
      <c r="N1631">
        <v>1165954</v>
      </c>
      <c r="O1631">
        <v>1383641</v>
      </c>
      <c r="P1631">
        <v>0</v>
      </c>
      <c r="Q1631">
        <v>881</v>
      </c>
      <c r="R1631">
        <v>429</v>
      </c>
      <c r="S1631">
        <v>0</v>
      </c>
      <c r="T1631">
        <v>999</v>
      </c>
      <c r="U1631">
        <v>999</v>
      </c>
    </row>
    <row r="1632" spans="1:21" x14ac:dyDescent="0.35">
      <c r="A1632" t="s">
        <v>28</v>
      </c>
      <c r="B1632" s="1">
        <v>44548</v>
      </c>
      <c r="C1632" t="s">
        <v>32</v>
      </c>
      <c r="D1632">
        <v>351.7</v>
      </c>
      <c r="E1632">
        <v>0</v>
      </c>
      <c r="F1632">
        <v>0</v>
      </c>
      <c r="G1632">
        <v>0</v>
      </c>
      <c r="H1632">
        <v>0</v>
      </c>
      <c r="I1632">
        <v>0</v>
      </c>
      <c r="J1632">
        <v>0</v>
      </c>
      <c r="K1632">
        <v>0</v>
      </c>
      <c r="L1632">
        <v>0</v>
      </c>
      <c r="M1632">
        <v>0</v>
      </c>
      <c r="N1632">
        <v>162642</v>
      </c>
      <c r="O1632">
        <v>0</v>
      </c>
      <c r="P1632">
        <v>0</v>
      </c>
      <c r="Q1632">
        <v>572</v>
      </c>
      <c r="R1632">
        <v>0</v>
      </c>
      <c r="S1632">
        <v>0</v>
      </c>
      <c r="T1632">
        <v>0</v>
      </c>
      <c r="U1632">
        <v>4</v>
      </c>
    </row>
    <row r="1633" spans="1:21" x14ac:dyDescent="0.35">
      <c r="A1633" t="s">
        <v>21</v>
      </c>
      <c r="B1633" s="1">
        <v>45122</v>
      </c>
      <c r="C1633" t="s">
        <v>27</v>
      </c>
      <c r="D1633">
        <v>0</v>
      </c>
      <c r="E1633">
        <v>0</v>
      </c>
      <c r="F1633">
        <v>0</v>
      </c>
      <c r="G1633">
        <v>0</v>
      </c>
      <c r="H1633">
        <v>0</v>
      </c>
      <c r="I1633">
        <v>0</v>
      </c>
      <c r="J1633">
        <v>0</v>
      </c>
      <c r="K1633">
        <v>0</v>
      </c>
      <c r="L1633">
        <v>0</v>
      </c>
      <c r="M1633">
        <v>0</v>
      </c>
      <c r="N1633">
        <v>32190</v>
      </c>
      <c r="O1633">
        <v>86577</v>
      </c>
      <c r="P1633">
        <v>44590</v>
      </c>
      <c r="Q1633">
        <v>0</v>
      </c>
      <c r="R1633">
        <v>0</v>
      </c>
      <c r="S1633">
        <v>0</v>
      </c>
      <c r="T1633">
        <v>12</v>
      </c>
      <c r="U1633">
        <v>17</v>
      </c>
    </row>
    <row r="1634" spans="1:21" x14ac:dyDescent="0.35">
      <c r="A1634" t="s">
        <v>28</v>
      </c>
      <c r="B1634" s="1">
        <v>44632</v>
      </c>
      <c r="C1634" t="s">
        <v>22</v>
      </c>
      <c r="D1634">
        <v>238.4</v>
      </c>
      <c r="E1634">
        <v>122.7</v>
      </c>
      <c r="F1634">
        <v>161.6</v>
      </c>
      <c r="G1634">
        <v>1.9</v>
      </c>
      <c r="H1634">
        <v>1.5</v>
      </c>
      <c r="I1634">
        <v>283</v>
      </c>
      <c r="J1634">
        <v>127.6</v>
      </c>
      <c r="K1634">
        <v>141.30000000000001</v>
      </c>
      <c r="L1634">
        <v>2.2000000000000002</v>
      </c>
      <c r="M1634">
        <v>2</v>
      </c>
      <c r="N1634">
        <v>562883</v>
      </c>
      <c r="O1634">
        <v>851081</v>
      </c>
      <c r="P1634">
        <v>1039826</v>
      </c>
      <c r="Q1634">
        <v>1342</v>
      </c>
      <c r="R1634">
        <v>1044</v>
      </c>
      <c r="S1634">
        <v>1680</v>
      </c>
      <c r="T1634">
        <v>999</v>
      </c>
      <c r="U1634">
        <v>999</v>
      </c>
    </row>
    <row r="1635" spans="1:21" x14ac:dyDescent="0.35">
      <c r="A1635" t="s">
        <v>28</v>
      </c>
      <c r="B1635" s="1">
        <v>45255</v>
      </c>
      <c r="C1635" t="s">
        <v>23</v>
      </c>
      <c r="D1635">
        <v>174.7</v>
      </c>
      <c r="E1635">
        <v>49.3</v>
      </c>
      <c r="F1635">
        <v>49.6</v>
      </c>
      <c r="G1635">
        <v>3.5</v>
      </c>
      <c r="H1635">
        <v>3.5</v>
      </c>
      <c r="I1635">
        <v>0</v>
      </c>
      <c r="J1635">
        <v>0</v>
      </c>
      <c r="K1635">
        <v>0</v>
      </c>
      <c r="L1635">
        <v>0</v>
      </c>
      <c r="M1635">
        <v>0</v>
      </c>
      <c r="N1635">
        <v>29770</v>
      </c>
      <c r="O1635">
        <v>125696</v>
      </c>
      <c r="P1635">
        <v>248112</v>
      </c>
      <c r="Q1635">
        <v>52</v>
      </c>
      <c r="R1635">
        <v>62</v>
      </c>
      <c r="S1635">
        <v>123</v>
      </c>
      <c r="T1635">
        <v>50</v>
      </c>
      <c r="U1635">
        <v>64</v>
      </c>
    </row>
    <row r="1636" spans="1:21" x14ac:dyDescent="0.35">
      <c r="A1636" t="s">
        <v>26</v>
      </c>
      <c r="B1636" s="1">
        <v>45213</v>
      </c>
      <c r="C1636" t="s">
        <v>25</v>
      </c>
      <c r="D1636">
        <v>5.6</v>
      </c>
      <c r="E1636">
        <v>0.5</v>
      </c>
      <c r="F1636">
        <v>0</v>
      </c>
      <c r="G1636">
        <v>11.2</v>
      </c>
      <c r="H1636">
        <v>0</v>
      </c>
      <c r="I1636">
        <v>0</v>
      </c>
      <c r="J1636">
        <v>0</v>
      </c>
      <c r="K1636">
        <v>0</v>
      </c>
      <c r="L1636">
        <v>0</v>
      </c>
      <c r="M1636">
        <v>0</v>
      </c>
      <c r="N1636">
        <v>71300</v>
      </c>
      <c r="O1636">
        <v>214478</v>
      </c>
      <c r="P1636">
        <v>161898</v>
      </c>
      <c r="Q1636">
        <v>4</v>
      </c>
      <c r="R1636">
        <v>1</v>
      </c>
      <c r="S1636">
        <v>0</v>
      </c>
      <c r="T1636">
        <v>18</v>
      </c>
      <c r="U1636">
        <v>29</v>
      </c>
    </row>
    <row r="1637" spans="1:21" x14ac:dyDescent="0.35">
      <c r="A1637" t="s">
        <v>21</v>
      </c>
      <c r="B1637" s="1">
        <v>44692</v>
      </c>
      <c r="C1637" t="s">
        <v>31</v>
      </c>
      <c r="D1637">
        <v>7.1</v>
      </c>
      <c r="E1637">
        <v>0</v>
      </c>
      <c r="F1637">
        <v>1.2</v>
      </c>
      <c r="G1637">
        <v>0</v>
      </c>
      <c r="H1637">
        <v>5.9</v>
      </c>
      <c r="I1637">
        <v>0</v>
      </c>
      <c r="J1637">
        <v>0</v>
      </c>
      <c r="K1637">
        <v>0</v>
      </c>
      <c r="L1637">
        <v>0</v>
      </c>
      <c r="M1637">
        <v>0</v>
      </c>
      <c r="N1637">
        <v>42281</v>
      </c>
      <c r="O1637">
        <v>43326</v>
      </c>
      <c r="P1637">
        <v>171562</v>
      </c>
      <c r="Q1637">
        <v>3</v>
      </c>
      <c r="R1637">
        <v>0</v>
      </c>
      <c r="S1637">
        <v>2</v>
      </c>
      <c r="T1637">
        <v>65</v>
      </c>
      <c r="U1637">
        <v>79</v>
      </c>
    </row>
    <row r="1638" spans="1:21" x14ac:dyDescent="0.35">
      <c r="A1638" t="s">
        <v>28</v>
      </c>
      <c r="B1638" s="1">
        <v>44930</v>
      </c>
      <c r="C1638" t="s">
        <v>23</v>
      </c>
      <c r="D1638">
        <v>125.5</v>
      </c>
      <c r="E1638">
        <v>46.9</v>
      </c>
      <c r="F1638">
        <v>59.5</v>
      </c>
      <c r="G1638">
        <v>2.7</v>
      </c>
      <c r="H1638">
        <v>2.1</v>
      </c>
      <c r="I1638">
        <v>0</v>
      </c>
      <c r="J1638">
        <v>0</v>
      </c>
      <c r="K1638">
        <v>0</v>
      </c>
      <c r="L1638">
        <v>0</v>
      </c>
      <c r="M1638">
        <v>0</v>
      </c>
      <c r="N1638">
        <v>33477</v>
      </c>
      <c r="O1638">
        <v>125679</v>
      </c>
      <c r="P1638">
        <v>246893</v>
      </c>
      <c r="Q1638">
        <v>42</v>
      </c>
      <c r="R1638">
        <v>59</v>
      </c>
      <c r="S1638">
        <v>147</v>
      </c>
      <c r="T1638">
        <v>50</v>
      </c>
      <c r="U1638">
        <v>64</v>
      </c>
    </row>
    <row r="1639" spans="1:21" x14ac:dyDescent="0.35">
      <c r="A1639" t="s">
        <v>21</v>
      </c>
      <c r="B1639" s="1">
        <v>45185</v>
      </c>
      <c r="C1639" t="s">
        <v>31</v>
      </c>
      <c r="D1639">
        <v>0</v>
      </c>
      <c r="E1639">
        <v>0</v>
      </c>
      <c r="F1639">
        <v>0.6</v>
      </c>
      <c r="G1639">
        <v>0</v>
      </c>
      <c r="H1639">
        <v>0</v>
      </c>
      <c r="I1639">
        <v>0</v>
      </c>
      <c r="J1639">
        <v>0</v>
      </c>
      <c r="K1639">
        <v>0</v>
      </c>
      <c r="L1639">
        <v>0</v>
      </c>
      <c r="M1639">
        <v>0</v>
      </c>
      <c r="N1639">
        <v>39123</v>
      </c>
      <c r="O1639">
        <v>43414</v>
      </c>
      <c r="P1639">
        <v>171757</v>
      </c>
      <c r="Q1639">
        <v>0</v>
      </c>
      <c r="R1639">
        <v>0</v>
      </c>
      <c r="S1639">
        <v>1</v>
      </c>
      <c r="T1639">
        <v>65</v>
      </c>
      <c r="U1639">
        <v>79</v>
      </c>
    </row>
    <row r="1640" spans="1:21" x14ac:dyDescent="0.35">
      <c r="A1640" t="s">
        <v>21</v>
      </c>
      <c r="B1640" s="1">
        <v>45136</v>
      </c>
      <c r="C1640" t="s">
        <v>31</v>
      </c>
      <c r="D1640">
        <v>0</v>
      </c>
      <c r="E1640">
        <v>0</v>
      </c>
      <c r="F1640">
        <v>0</v>
      </c>
      <c r="G1640">
        <v>0</v>
      </c>
      <c r="H1640">
        <v>0</v>
      </c>
      <c r="I1640">
        <v>0</v>
      </c>
      <c r="J1640">
        <v>0</v>
      </c>
      <c r="K1640">
        <v>0</v>
      </c>
      <c r="L1640">
        <v>0</v>
      </c>
      <c r="M1640">
        <v>0</v>
      </c>
      <c r="N1640">
        <v>39287</v>
      </c>
      <c r="O1640">
        <v>43420</v>
      </c>
      <c r="P1640">
        <v>171749</v>
      </c>
      <c r="Q1640">
        <v>0</v>
      </c>
      <c r="R1640">
        <v>0</v>
      </c>
      <c r="S1640">
        <v>0</v>
      </c>
      <c r="T1640">
        <v>65</v>
      </c>
      <c r="U1640">
        <v>79</v>
      </c>
    </row>
    <row r="1641" spans="1:21" x14ac:dyDescent="0.35">
      <c r="A1641" t="s">
        <v>26</v>
      </c>
      <c r="B1641" s="1">
        <v>44843</v>
      </c>
      <c r="C1641" t="s">
        <v>30</v>
      </c>
      <c r="D1641">
        <v>64.900000000000006</v>
      </c>
      <c r="E1641">
        <v>87.7</v>
      </c>
      <c r="F1641">
        <v>38.299999999999997</v>
      </c>
      <c r="G1641">
        <v>0.7</v>
      </c>
      <c r="H1641">
        <v>1.7</v>
      </c>
      <c r="I1641">
        <v>0</v>
      </c>
      <c r="J1641">
        <v>0</v>
      </c>
      <c r="K1641">
        <v>0</v>
      </c>
      <c r="L1641">
        <v>0</v>
      </c>
      <c r="M1641">
        <v>0</v>
      </c>
      <c r="N1641">
        <v>26174</v>
      </c>
      <c r="O1641">
        <v>11409</v>
      </c>
      <c r="P1641">
        <v>46990</v>
      </c>
      <c r="Q1641">
        <v>17</v>
      </c>
      <c r="R1641">
        <v>10</v>
      </c>
      <c r="S1641">
        <v>18</v>
      </c>
      <c r="T1641">
        <v>80</v>
      </c>
      <c r="U1641">
        <v>200</v>
      </c>
    </row>
    <row r="1642" spans="1:21" x14ac:dyDescent="0.35">
      <c r="A1642" t="s">
        <v>28</v>
      </c>
      <c r="B1642" s="1">
        <v>44520</v>
      </c>
      <c r="C1642" t="s">
        <v>29</v>
      </c>
      <c r="D1642">
        <v>376.7</v>
      </c>
      <c r="E1642">
        <v>144.9</v>
      </c>
      <c r="F1642">
        <v>40.700000000000003</v>
      </c>
      <c r="G1642">
        <v>2.6</v>
      </c>
      <c r="H1642">
        <v>9.3000000000000007</v>
      </c>
      <c r="I1642">
        <v>0</v>
      </c>
      <c r="J1642">
        <v>0</v>
      </c>
      <c r="K1642">
        <v>0</v>
      </c>
      <c r="L1642">
        <v>0</v>
      </c>
      <c r="M1642">
        <v>0</v>
      </c>
      <c r="N1642">
        <v>192730</v>
      </c>
      <c r="O1642">
        <v>502972</v>
      </c>
      <c r="P1642">
        <v>63876</v>
      </c>
      <c r="Q1642">
        <v>726</v>
      </c>
      <c r="R1642">
        <v>729</v>
      </c>
      <c r="S1642">
        <v>26</v>
      </c>
      <c r="T1642">
        <v>30</v>
      </c>
      <c r="U1642">
        <v>49</v>
      </c>
    </row>
    <row r="1643" spans="1:21" x14ac:dyDescent="0.35">
      <c r="A1643" t="s">
        <v>21</v>
      </c>
      <c r="B1643" s="1">
        <v>44681</v>
      </c>
      <c r="C1643" t="s">
        <v>29</v>
      </c>
      <c r="D1643">
        <v>0</v>
      </c>
      <c r="E1643">
        <v>0</v>
      </c>
      <c r="F1643">
        <v>0</v>
      </c>
      <c r="G1643">
        <v>0</v>
      </c>
      <c r="H1643">
        <v>0</v>
      </c>
      <c r="I1643">
        <v>0</v>
      </c>
      <c r="J1643">
        <v>0</v>
      </c>
      <c r="K1643">
        <v>0</v>
      </c>
      <c r="L1643">
        <v>0</v>
      </c>
      <c r="M1643">
        <v>0</v>
      </c>
      <c r="N1643">
        <v>130975</v>
      </c>
      <c r="O1643">
        <v>287056</v>
      </c>
      <c r="P1643">
        <v>330602</v>
      </c>
      <c r="Q1643">
        <v>0</v>
      </c>
      <c r="R1643">
        <v>0</v>
      </c>
      <c r="S1643">
        <v>0</v>
      </c>
      <c r="T1643">
        <v>30</v>
      </c>
      <c r="U1643">
        <v>49</v>
      </c>
    </row>
    <row r="1644" spans="1:21" x14ac:dyDescent="0.35">
      <c r="A1644" t="s">
        <v>21</v>
      </c>
      <c r="B1644" s="1">
        <v>45054</v>
      </c>
      <c r="C1644" t="s">
        <v>31</v>
      </c>
      <c r="D1644">
        <v>0</v>
      </c>
      <c r="E1644">
        <v>0</v>
      </c>
      <c r="F1644">
        <v>0</v>
      </c>
      <c r="G1644">
        <v>0</v>
      </c>
      <c r="H1644">
        <v>0</v>
      </c>
      <c r="I1644">
        <v>0</v>
      </c>
      <c r="J1644">
        <v>0</v>
      </c>
      <c r="K1644">
        <v>0</v>
      </c>
      <c r="L1644">
        <v>0</v>
      </c>
      <c r="M1644">
        <v>0</v>
      </c>
      <c r="N1644">
        <v>39261</v>
      </c>
      <c r="O1644">
        <v>43418</v>
      </c>
      <c r="P1644">
        <v>171751</v>
      </c>
      <c r="Q1644">
        <v>0</v>
      </c>
      <c r="R1644">
        <v>0</v>
      </c>
      <c r="S1644">
        <v>0</v>
      </c>
      <c r="T1644">
        <v>65</v>
      </c>
      <c r="U1644">
        <v>79</v>
      </c>
    </row>
    <row r="1645" spans="1:21" x14ac:dyDescent="0.35">
      <c r="A1645" t="s">
        <v>26</v>
      </c>
      <c r="B1645" s="1">
        <v>45232</v>
      </c>
      <c r="C1645" t="s">
        <v>23</v>
      </c>
      <c r="D1645">
        <v>26.4</v>
      </c>
      <c r="E1645">
        <v>8</v>
      </c>
      <c r="F1645">
        <v>5.7</v>
      </c>
      <c r="G1645">
        <v>3.3</v>
      </c>
      <c r="H1645">
        <v>4.5999999999999996</v>
      </c>
      <c r="I1645">
        <v>0</v>
      </c>
      <c r="J1645">
        <v>0</v>
      </c>
      <c r="K1645">
        <v>0</v>
      </c>
      <c r="L1645">
        <v>0</v>
      </c>
      <c r="M1645">
        <v>0</v>
      </c>
      <c r="N1645">
        <v>34058</v>
      </c>
      <c r="O1645">
        <v>125536</v>
      </c>
      <c r="P1645">
        <v>246859</v>
      </c>
      <c r="Q1645">
        <v>9</v>
      </c>
      <c r="R1645">
        <v>10</v>
      </c>
      <c r="S1645">
        <v>14</v>
      </c>
      <c r="T1645">
        <v>50</v>
      </c>
      <c r="U1645">
        <v>64</v>
      </c>
    </row>
    <row r="1646" spans="1:21" x14ac:dyDescent="0.35">
      <c r="A1646" t="s">
        <v>21</v>
      </c>
      <c r="B1646" s="1">
        <v>45129</v>
      </c>
      <c r="C1646" t="s">
        <v>30</v>
      </c>
      <c r="D1646">
        <v>0</v>
      </c>
      <c r="E1646">
        <v>0</v>
      </c>
      <c r="F1646">
        <v>0</v>
      </c>
      <c r="G1646">
        <v>0</v>
      </c>
      <c r="H1646">
        <v>0</v>
      </c>
      <c r="I1646">
        <v>0</v>
      </c>
      <c r="J1646">
        <v>0</v>
      </c>
      <c r="K1646">
        <v>0</v>
      </c>
      <c r="L1646">
        <v>0</v>
      </c>
      <c r="M1646">
        <v>0</v>
      </c>
      <c r="N1646">
        <v>24486</v>
      </c>
      <c r="O1646">
        <v>11383</v>
      </c>
      <c r="P1646">
        <v>47130</v>
      </c>
      <c r="Q1646">
        <v>0</v>
      </c>
      <c r="R1646">
        <v>0</v>
      </c>
      <c r="S1646">
        <v>0</v>
      </c>
      <c r="T1646">
        <v>80</v>
      </c>
      <c r="U1646">
        <v>200</v>
      </c>
    </row>
    <row r="1647" spans="1:21" x14ac:dyDescent="0.35">
      <c r="A1647" t="s">
        <v>28</v>
      </c>
      <c r="B1647" s="1">
        <v>45031</v>
      </c>
      <c r="C1647" t="s">
        <v>31</v>
      </c>
      <c r="D1647">
        <v>57.8</v>
      </c>
      <c r="E1647">
        <v>59.9</v>
      </c>
      <c r="F1647">
        <v>68.099999999999994</v>
      </c>
      <c r="G1647">
        <v>1</v>
      </c>
      <c r="H1647">
        <v>0.8</v>
      </c>
      <c r="I1647">
        <v>0</v>
      </c>
      <c r="J1647">
        <v>0</v>
      </c>
      <c r="K1647">
        <v>0</v>
      </c>
      <c r="L1647">
        <v>0</v>
      </c>
      <c r="M1647">
        <v>0</v>
      </c>
      <c r="N1647">
        <v>39800</v>
      </c>
      <c r="O1647">
        <v>43431</v>
      </c>
      <c r="P1647">
        <v>171719</v>
      </c>
      <c r="Q1647">
        <v>23</v>
      </c>
      <c r="R1647">
        <v>26</v>
      </c>
      <c r="S1647">
        <v>117</v>
      </c>
      <c r="T1647">
        <v>65</v>
      </c>
      <c r="U1647">
        <v>79</v>
      </c>
    </row>
    <row r="1648" spans="1:21" x14ac:dyDescent="0.35">
      <c r="A1648" t="s">
        <v>26</v>
      </c>
      <c r="B1648" s="1">
        <v>44863</v>
      </c>
      <c r="C1648" t="s">
        <v>30</v>
      </c>
      <c r="D1648">
        <v>59.2</v>
      </c>
      <c r="E1648">
        <v>70.400000000000006</v>
      </c>
      <c r="F1648">
        <v>34</v>
      </c>
      <c r="G1648">
        <v>0.8</v>
      </c>
      <c r="H1648">
        <v>1.7</v>
      </c>
      <c r="I1648">
        <v>0</v>
      </c>
      <c r="J1648">
        <v>0</v>
      </c>
      <c r="K1648">
        <v>0</v>
      </c>
      <c r="L1648">
        <v>0</v>
      </c>
      <c r="M1648">
        <v>0</v>
      </c>
      <c r="N1648">
        <v>25326</v>
      </c>
      <c r="O1648">
        <v>11370</v>
      </c>
      <c r="P1648">
        <v>47077</v>
      </c>
      <c r="Q1648">
        <v>15</v>
      </c>
      <c r="R1648">
        <v>8</v>
      </c>
      <c r="S1648">
        <v>16</v>
      </c>
      <c r="T1648">
        <v>80</v>
      </c>
      <c r="U1648">
        <v>200</v>
      </c>
    </row>
    <row r="1649" spans="1:21" x14ac:dyDescent="0.35">
      <c r="A1649" t="s">
        <v>26</v>
      </c>
      <c r="B1649" s="1">
        <v>45010</v>
      </c>
      <c r="C1649" t="s">
        <v>23</v>
      </c>
      <c r="D1649">
        <v>23.8</v>
      </c>
      <c r="E1649">
        <v>5.6</v>
      </c>
      <c r="F1649">
        <v>4.5</v>
      </c>
      <c r="G1649">
        <v>4.2</v>
      </c>
      <c r="H1649">
        <v>5.3</v>
      </c>
      <c r="I1649">
        <v>0</v>
      </c>
      <c r="J1649">
        <v>0</v>
      </c>
      <c r="K1649">
        <v>0</v>
      </c>
      <c r="L1649">
        <v>0</v>
      </c>
      <c r="M1649">
        <v>0</v>
      </c>
      <c r="N1649">
        <v>33548</v>
      </c>
      <c r="O1649">
        <v>125665</v>
      </c>
      <c r="P1649">
        <v>246890</v>
      </c>
      <c r="Q1649">
        <v>8</v>
      </c>
      <c r="R1649">
        <v>7</v>
      </c>
      <c r="S1649">
        <v>11</v>
      </c>
      <c r="T1649">
        <v>50</v>
      </c>
      <c r="U1649">
        <v>64</v>
      </c>
    </row>
    <row r="1650" spans="1:21" x14ac:dyDescent="0.35">
      <c r="A1650" t="s">
        <v>26</v>
      </c>
      <c r="B1650" s="1">
        <v>44683</v>
      </c>
      <c r="C1650" t="s">
        <v>22</v>
      </c>
      <c r="D1650">
        <v>13.1</v>
      </c>
      <c r="E1650">
        <v>8.6</v>
      </c>
      <c r="F1650">
        <v>7.7</v>
      </c>
      <c r="G1650">
        <v>1.5</v>
      </c>
      <c r="H1650">
        <v>1.7</v>
      </c>
      <c r="I1650">
        <v>17.3</v>
      </c>
      <c r="J1650">
        <v>11.7</v>
      </c>
      <c r="K1650">
        <v>4.8</v>
      </c>
      <c r="L1650">
        <v>1.5</v>
      </c>
      <c r="M1650">
        <v>3.6</v>
      </c>
      <c r="N1650">
        <v>695615</v>
      </c>
      <c r="O1650">
        <v>928537</v>
      </c>
      <c r="P1650">
        <v>818642</v>
      </c>
      <c r="Q1650">
        <v>91</v>
      </c>
      <c r="R1650">
        <v>80</v>
      </c>
      <c r="S1650">
        <v>63</v>
      </c>
      <c r="T1650">
        <v>999</v>
      </c>
      <c r="U1650">
        <v>999</v>
      </c>
    </row>
    <row r="1651" spans="1:21" x14ac:dyDescent="0.35">
      <c r="A1651" t="s">
        <v>28</v>
      </c>
      <c r="B1651" s="1">
        <v>44674</v>
      </c>
      <c r="C1651" t="s">
        <v>31</v>
      </c>
      <c r="D1651">
        <v>98.1</v>
      </c>
      <c r="E1651">
        <v>77.8</v>
      </c>
      <c r="F1651">
        <v>132.1</v>
      </c>
      <c r="G1651">
        <v>1.3</v>
      </c>
      <c r="H1651">
        <v>0.7</v>
      </c>
      <c r="I1651">
        <v>0</v>
      </c>
      <c r="J1651">
        <v>0</v>
      </c>
      <c r="K1651">
        <v>0</v>
      </c>
      <c r="L1651">
        <v>0</v>
      </c>
      <c r="M1651">
        <v>0</v>
      </c>
      <c r="N1651">
        <v>47898</v>
      </c>
      <c r="O1651">
        <v>50126</v>
      </c>
      <c r="P1651">
        <v>161284</v>
      </c>
      <c r="Q1651">
        <v>47</v>
      </c>
      <c r="R1651">
        <v>39</v>
      </c>
      <c r="S1651">
        <v>213</v>
      </c>
      <c r="T1651">
        <v>65</v>
      </c>
      <c r="U1651">
        <v>79</v>
      </c>
    </row>
    <row r="1652" spans="1:21" x14ac:dyDescent="0.35">
      <c r="A1652" t="s">
        <v>28</v>
      </c>
      <c r="B1652" s="1">
        <v>44821</v>
      </c>
      <c r="C1652" t="s">
        <v>31</v>
      </c>
      <c r="D1652">
        <v>135.1</v>
      </c>
      <c r="E1652">
        <v>115.2</v>
      </c>
      <c r="F1652">
        <v>141.80000000000001</v>
      </c>
      <c r="G1652">
        <v>1.2</v>
      </c>
      <c r="H1652">
        <v>1</v>
      </c>
      <c r="I1652">
        <v>0</v>
      </c>
      <c r="J1652">
        <v>0</v>
      </c>
      <c r="K1652">
        <v>0</v>
      </c>
      <c r="L1652">
        <v>0</v>
      </c>
      <c r="M1652">
        <v>0</v>
      </c>
      <c r="N1652">
        <v>45164</v>
      </c>
      <c r="O1652">
        <v>43419</v>
      </c>
      <c r="P1652">
        <v>171309</v>
      </c>
      <c r="Q1652">
        <v>61</v>
      </c>
      <c r="R1652">
        <v>50</v>
      </c>
      <c r="S1652">
        <v>243</v>
      </c>
      <c r="T1652">
        <v>65</v>
      </c>
      <c r="U1652">
        <v>79</v>
      </c>
    </row>
    <row r="1653" spans="1:21" x14ac:dyDescent="0.35">
      <c r="A1653" t="s">
        <v>26</v>
      </c>
      <c r="B1653" s="1">
        <v>45059</v>
      </c>
      <c r="C1653" t="s">
        <v>30</v>
      </c>
      <c r="D1653">
        <v>16.3</v>
      </c>
      <c r="E1653">
        <v>26.4</v>
      </c>
      <c r="F1653">
        <v>29.7</v>
      </c>
      <c r="G1653">
        <v>0.6</v>
      </c>
      <c r="H1653">
        <v>0.5</v>
      </c>
      <c r="I1653">
        <v>0</v>
      </c>
      <c r="J1653">
        <v>0</v>
      </c>
      <c r="K1653">
        <v>0</v>
      </c>
      <c r="L1653">
        <v>0</v>
      </c>
      <c r="M1653">
        <v>0</v>
      </c>
      <c r="N1653">
        <v>24575</v>
      </c>
      <c r="O1653">
        <v>11384</v>
      </c>
      <c r="P1653">
        <v>47128</v>
      </c>
      <c r="Q1653">
        <v>4</v>
      </c>
      <c r="R1653">
        <v>3</v>
      </c>
      <c r="S1653">
        <v>14</v>
      </c>
      <c r="T1653">
        <v>80</v>
      </c>
      <c r="U1653">
        <v>200</v>
      </c>
    </row>
    <row r="1654" spans="1:21" x14ac:dyDescent="0.35">
      <c r="A1654" t="s">
        <v>26</v>
      </c>
      <c r="B1654" s="1">
        <v>45268</v>
      </c>
      <c r="C1654" t="s">
        <v>30</v>
      </c>
      <c r="D1654">
        <v>8.1999999999999993</v>
      </c>
      <c r="E1654">
        <v>17.600000000000001</v>
      </c>
      <c r="F1654">
        <v>25.5</v>
      </c>
      <c r="G1654">
        <v>0.5</v>
      </c>
      <c r="H1654">
        <v>0.3</v>
      </c>
      <c r="I1654">
        <v>0</v>
      </c>
      <c r="J1654">
        <v>0</v>
      </c>
      <c r="K1654">
        <v>0</v>
      </c>
      <c r="L1654">
        <v>0</v>
      </c>
      <c r="M1654">
        <v>0</v>
      </c>
      <c r="N1654">
        <v>24472</v>
      </c>
      <c r="O1654">
        <v>11382</v>
      </c>
      <c r="P1654">
        <v>47131</v>
      </c>
      <c r="Q1654">
        <v>2</v>
      </c>
      <c r="R1654">
        <v>2</v>
      </c>
      <c r="S1654">
        <v>12</v>
      </c>
      <c r="T1654">
        <v>80</v>
      </c>
      <c r="U1654">
        <v>200</v>
      </c>
    </row>
    <row r="1655" spans="1:21" x14ac:dyDescent="0.35">
      <c r="A1655" t="s">
        <v>28</v>
      </c>
      <c r="B1655" s="1">
        <v>44765</v>
      </c>
      <c r="C1655" t="s">
        <v>22</v>
      </c>
      <c r="D1655">
        <v>286.60000000000002</v>
      </c>
      <c r="E1655">
        <v>166</v>
      </c>
      <c r="F1655">
        <v>258.89999999999998</v>
      </c>
      <c r="G1655">
        <v>1.7</v>
      </c>
      <c r="H1655">
        <v>1.1000000000000001</v>
      </c>
      <c r="I1655">
        <v>334.5</v>
      </c>
      <c r="J1655">
        <v>164.4</v>
      </c>
      <c r="K1655">
        <v>230</v>
      </c>
      <c r="L1655">
        <v>2</v>
      </c>
      <c r="M1655">
        <v>1.5</v>
      </c>
      <c r="N1655">
        <v>620290</v>
      </c>
      <c r="O1655">
        <v>856799</v>
      </c>
      <c r="P1655">
        <v>1004817</v>
      </c>
      <c r="Q1655">
        <v>1778</v>
      </c>
      <c r="R1655">
        <v>1422</v>
      </c>
      <c r="S1655">
        <v>2601</v>
      </c>
      <c r="T1655">
        <v>999</v>
      </c>
      <c r="U1655">
        <v>999</v>
      </c>
    </row>
    <row r="1656" spans="1:21" x14ac:dyDescent="0.35">
      <c r="A1656" t="s">
        <v>21</v>
      </c>
      <c r="B1656" s="1">
        <v>44898</v>
      </c>
      <c r="C1656" t="s">
        <v>30</v>
      </c>
      <c r="D1656">
        <v>11.1</v>
      </c>
      <c r="E1656">
        <v>27.8</v>
      </c>
      <c r="F1656">
        <v>0</v>
      </c>
      <c r="G1656">
        <v>0.4</v>
      </c>
      <c r="H1656">
        <v>0</v>
      </c>
      <c r="I1656">
        <v>0</v>
      </c>
      <c r="J1656">
        <v>0</v>
      </c>
      <c r="K1656">
        <v>0</v>
      </c>
      <c r="L1656">
        <v>0</v>
      </c>
      <c r="M1656">
        <v>0</v>
      </c>
      <c r="N1656">
        <v>27140</v>
      </c>
      <c r="O1656">
        <v>14363</v>
      </c>
      <c r="P1656">
        <v>42701</v>
      </c>
      <c r="Q1656">
        <v>3</v>
      </c>
      <c r="R1656">
        <v>4</v>
      </c>
      <c r="S1656">
        <v>0</v>
      </c>
      <c r="T1656">
        <v>80</v>
      </c>
      <c r="U1656">
        <v>200</v>
      </c>
    </row>
    <row r="1657" spans="1:21" x14ac:dyDescent="0.35">
      <c r="A1657" t="s">
        <v>28</v>
      </c>
      <c r="B1657" s="1">
        <v>44947</v>
      </c>
      <c r="C1657" t="s">
        <v>22</v>
      </c>
      <c r="D1657">
        <v>128.19999999999999</v>
      </c>
      <c r="E1657">
        <v>71.7</v>
      </c>
      <c r="F1657">
        <v>93.1</v>
      </c>
      <c r="G1657">
        <v>1.8</v>
      </c>
      <c r="H1657">
        <v>1.4</v>
      </c>
      <c r="I1657">
        <v>148.19999999999999</v>
      </c>
      <c r="J1657">
        <v>73.5</v>
      </c>
      <c r="K1657">
        <v>88.7</v>
      </c>
      <c r="L1657">
        <v>2</v>
      </c>
      <c r="M1657">
        <v>1.7</v>
      </c>
      <c r="N1657">
        <v>550760</v>
      </c>
      <c r="O1657">
        <v>855236</v>
      </c>
      <c r="P1657">
        <v>1040253</v>
      </c>
      <c r="Q1657">
        <v>706</v>
      </c>
      <c r="R1657">
        <v>613</v>
      </c>
      <c r="S1657">
        <v>968</v>
      </c>
      <c r="T1657">
        <v>999</v>
      </c>
      <c r="U1657">
        <v>999</v>
      </c>
    </row>
    <row r="1658" spans="1:21" x14ac:dyDescent="0.35">
      <c r="A1658" t="s">
        <v>28</v>
      </c>
      <c r="B1658" s="1">
        <v>44667</v>
      </c>
      <c r="C1658" t="s">
        <v>23</v>
      </c>
      <c r="D1658">
        <v>172.7</v>
      </c>
      <c r="E1658">
        <v>58.4</v>
      </c>
      <c r="F1658">
        <v>124.9</v>
      </c>
      <c r="G1658">
        <v>3</v>
      </c>
      <c r="H1658">
        <v>1.4</v>
      </c>
      <c r="I1658">
        <v>0</v>
      </c>
      <c r="J1658">
        <v>0</v>
      </c>
      <c r="K1658">
        <v>0</v>
      </c>
      <c r="L1658">
        <v>0</v>
      </c>
      <c r="M1658">
        <v>0</v>
      </c>
      <c r="N1658">
        <v>44596</v>
      </c>
      <c r="O1658">
        <v>136888</v>
      </c>
      <c r="P1658">
        <v>229793</v>
      </c>
      <c r="Q1658">
        <v>77</v>
      </c>
      <c r="R1658">
        <v>80</v>
      </c>
      <c r="S1658">
        <v>287</v>
      </c>
      <c r="T1658">
        <v>50</v>
      </c>
      <c r="U1658">
        <v>64</v>
      </c>
    </row>
    <row r="1659" spans="1:21" x14ac:dyDescent="0.35">
      <c r="A1659" t="s">
        <v>28</v>
      </c>
      <c r="B1659" s="1">
        <v>44646</v>
      </c>
      <c r="C1659" t="s">
        <v>31</v>
      </c>
      <c r="D1659">
        <v>39.1</v>
      </c>
      <c r="E1659">
        <v>32.700000000000003</v>
      </c>
      <c r="F1659">
        <v>41.6</v>
      </c>
      <c r="G1659">
        <v>1.2</v>
      </c>
      <c r="H1659">
        <v>0.9</v>
      </c>
      <c r="I1659">
        <v>0</v>
      </c>
      <c r="J1659">
        <v>0</v>
      </c>
      <c r="K1659">
        <v>0</v>
      </c>
      <c r="L1659">
        <v>0</v>
      </c>
      <c r="M1659">
        <v>0</v>
      </c>
      <c r="N1659">
        <v>48633</v>
      </c>
      <c r="O1659">
        <v>52066</v>
      </c>
      <c r="P1659">
        <v>158525</v>
      </c>
      <c r="Q1659">
        <v>19</v>
      </c>
      <c r="R1659">
        <v>17</v>
      </c>
      <c r="S1659">
        <v>66</v>
      </c>
      <c r="T1659">
        <v>65</v>
      </c>
      <c r="U1659">
        <v>79</v>
      </c>
    </row>
    <row r="1660" spans="1:21" x14ac:dyDescent="0.35">
      <c r="A1660" t="s">
        <v>21</v>
      </c>
      <c r="B1660" s="1">
        <v>45082</v>
      </c>
      <c r="C1660" t="s">
        <v>25</v>
      </c>
      <c r="D1660">
        <v>0</v>
      </c>
      <c r="E1660">
        <v>0</v>
      </c>
      <c r="F1660">
        <v>0</v>
      </c>
      <c r="G1660">
        <v>0</v>
      </c>
      <c r="H1660">
        <v>0</v>
      </c>
      <c r="I1660">
        <v>0</v>
      </c>
      <c r="J1660">
        <v>0</v>
      </c>
      <c r="K1660">
        <v>0</v>
      </c>
      <c r="L1660">
        <v>0</v>
      </c>
      <c r="M1660">
        <v>0</v>
      </c>
      <c r="N1660">
        <v>75322</v>
      </c>
      <c r="O1660">
        <v>214130</v>
      </c>
      <c r="P1660">
        <v>161688</v>
      </c>
      <c r="Q1660">
        <v>0</v>
      </c>
      <c r="R1660">
        <v>0</v>
      </c>
      <c r="S1660">
        <v>0</v>
      </c>
      <c r="T1660">
        <v>18</v>
      </c>
      <c r="U1660">
        <v>29</v>
      </c>
    </row>
    <row r="1661" spans="1:21" x14ac:dyDescent="0.35">
      <c r="A1661" t="s">
        <v>21</v>
      </c>
      <c r="B1661" s="1">
        <v>44358</v>
      </c>
      <c r="C1661" t="s">
        <v>24</v>
      </c>
      <c r="D1661">
        <v>0</v>
      </c>
      <c r="E1661">
        <v>0</v>
      </c>
      <c r="F1661">
        <v>0</v>
      </c>
      <c r="G1661">
        <v>0</v>
      </c>
      <c r="H1661">
        <v>0</v>
      </c>
      <c r="I1661">
        <v>0</v>
      </c>
      <c r="J1661">
        <v>0</v>
      </c>
      <c r="K1661">
        <v>0</v>
      </c>
      <c r="L1661">
        <v>0</v>
      </c>
      <c r="M1661">
        <v>0</v>
      </c>
      <c r="N1661">
        <v>204950</v>
      </c>
      <c r="O1661">
        <v>0</v>
      </c>
      <c r="P1661">
        <v>0</v>
      </c>
      <c r="Q1661">
        <v>0</v>
      </c>
      <c r="R1661">
        <v>0</v>
      </c>
      <c r="S1661">
        <v>0</v>
      </c>
      <c r="T1661">
        <v>5</v>
      </c>
      <c r="U1661">
        <v>11</v>
      </c>
    </row>
    <row r="1662" spans="1:21" x14ac:dyDescent="0.35">
      <c r="A1662" t="s">
        <v>26</v>
      </c>
      <c r="B1662" s="1">
        <v>44298</v>
      </c>
      <c r="C1662" t="s">
        <v>25</v>
      </c>
      <c r="D1662">
        <v>19.100000000000001</v>
      </c>
      <c r="E1662">
        <v>3</v>
      </c>
      <c r="F1662">
        <v>0</v>
      </c>
      <c r="G1662">
        <v>6.4</v>
      </c>
      <c r="H1662">
        <v>0</v>
      </c>
      <c r="I1662">
        <v>0</v>
      </c>
      <c r="J1662">
        <v>0</v>
      </c>
      <c r="K1662">
        <v>0</v>
      </c>
      <c r="L1662">
        <v>0</v>
      </c>
      <c r="M1662">
        <v>0</v>
      </c>
      <c r="N1662">
        <v>151690</v>
      </c>
      <c r="O1662">
        <v>300768</v>
      </c>
      <c r="P1662">
        <v>31036</v>
      </c>
      <c r="Q1662">
        <v>29</v>
      </c>
      <c r="R1662">
        <v>9</v>
      </c>
      <c r="S1662">
        <v>0</v>
      </c>
      <c r="T1662">
        <v>18</v>
      </c>
      <c r="U1662">
        <v>29</v>
      </c>
    </row>
    <row r="1663" spans="1:21" x14ac:dyDescent="0.35">
      <c r="A1663" t="s">
        <v>21</v>
      </c>
      <c r="B1663" s="1">
        <v>45268</v>
      </c>
      <c r="C1663" t="s">
        <v>25</v>
      </c>
      <c r="D1663">
        <v>0</v>
      </c>
      <c r="E1663">
        <v>0</v>
      </c>
      <c r="F1663">
        <v>0</v>
      </c>
      <c r="G1663">
        <v>0</v>
      </c>
      <c r="H1663">
        <v>0</v>
      </c>
      <c r="I1663">
        <v>0</v>
      </c>
      <c r="J1663">
        <v>0</v>
      </c>
      <c r="K1663">
        <v>0</v>
      </c>
      <c r="L1663">
        <v>0</v>
      </c>
      <c r="M1663">
        <v>0</v>
      </c>
      <c r="N1663">
        <v>73575</v>
      </c>
      <c r="O1663">
        <v>214133</v>
      </c>
      <c r="P1663">
        <v>161715</v>
      </c>
      <c r="Q1663">
        <v>0</v>
      </c>
      <c r="R1663">
        <v>0</v>
      </c>
      <c r="S1663">
        <v>0</v>
      </c>
      <c r="T1663">
        <v>18</v>
      </c>
      <c r="U1663">
        <v>29</v>
      </c>
    </row>
    <row r="1664" spans="1:21" x14ac:dyDescent="0.35">
      <c r="A1664" t="s">
        <v>28</v>
      </c>
      <c r="B1664" s="1">
        <v>44926</v>
      </c>
      <c r="C1664" t="s">
        <v>32</v>
      </c>
      <c r="D1664">
        <v>89.8</v>
      </c>
      <c r="E1664">
        <v>4.9000000000000004</v>
      </c>
      <c r="F1664">
        <v>0</v>
      </c>
      <c r="G1664">
        <v>18.3</v>
      </c>
      <c r="H1664">
        <v>0</v>
      </c>
      <c r="I1664">
        <v>0</v>
      </c>
      <c r="J1664">
        <v>0</v>
      </c>
      <c r="K1664">
        <v>0</v>
      </c>
      <c r="L1664">
        <v>0</v>
      </c>
      <c r="M1664">
        <v>0</v>
      </c>
      <c r="N1664">
        <v>162642</v>
      </c>
      <c r="O1664">
        <v>0</v>
      </c>
      <c r="P1664">
        <v>0</v>
      </c>
      <c r="Q1664">
        <v>146</v>
      </c>
      <c r="R1664">
        <v>8</v>
      </c>
      <c r="S1664">
        <v>0</v>
      </c>
      <c r="T1664">
        <v>0</v>
      </c>
      <c r="U1664">
        <v>4</v>
      </c>
    </row>
    <row r="1665" spans="1:21" x14ac:dyDescent="0.35">
      <c r="A1665" t="s">
        <v>26</v>
      </c>
      <c r="B1665" s="1">
        <v>45232</v>
      </c>
      <c r="C1665" t="s">
        <v>32</v>
      </c>
      <c r="D1665">
        <v>2.5</v>
      </c>
      <c r="E1665">
        <v>0</v>
      </c>
      <c r="F1665">
        <v>0</v>
      </c>
      <c r="G1665">
        <v>0</v>
      </c>
      <c r="H1665">
        <v>0</v>
      </c>
      <c r="I1665">
        <v>0</v>
      </c>
      <c r="J1665">
        <v>0</v>
      </c>
      <c r="K1665">
        <v>0</v>
      </c>
      <c r="L1665">
        <v>0</v>
      </c>
      <c r="M1665">
        <v>0</v>
      </c>
      <c r="N1665">
        <v>162642</v>
      </c>
      <c r="O1665">
        <v>0</v>
      </c>
      <c r="P1665">
        <v>0</v>
      </c>
      <c r="Q1665">
        <v>4</v>
      </c>
      <c r="R1665">
        <v>0</v>
      </c>
      <c r="S1665">
        <v>0</v>
      </c>
      <c r="T1665">
        <v>0</v>
      </c>
      <c r="U1665">
        <v>4</v>
      </c>
    </row>
    <row r="1666" spans="1:21" x14ac:dyDescent="0.35">
      <c r="A1666" t="s">
        <v>21</v>
      </c>
      <c r="B1666" s="1">
        <v>44259</v>
      </c>
      <c r="C1666" t="s">
        <v>32</v>
      </c>
      <c r="D1666">
        <v>0</v>
      </c>
      <c r="E1666">
        <v>0</v>
      </c>
      <c r="F1666">
        <v>0</v>
      </c>
      <c r="G1666">
        <v>0</v>
      </c>
      <c r="H1666">
        <v>0</v>
      </c>
      <c r="I1666">
        <v>0</v>
      </c>
      <c r="J1666">
        <v>0</v>
      </c>
      <c r="K1666">
        <v>0</v>
      </c>
      <c r="L1666">
        <v>0</v>
      </c>
      <c r="M1666">
        <v>0</v>
      </c>
      <c r="N1666">
        <v>162642</v>
      </c>
      <c r="O1666">
        <v>0</v>
      </c>
      <c r="P1666">
        <v>0</v>
      </c>
      <c r="Q1666">
        <v>0</v>
      </c>
      <c r="R1666">
        <v>0</v>
      </c>
      <c r="S1666">
        <v>0</v>
      </c>
      <c r="T1666">
        <v>0</v>
      </c>
      <c r="U1666">
        <v>4</v>
      </c>
    </row>
    <row r="1667" spans="1:21" x14ac:dyDescent="0.35">
      <c r="A1667" t="s">
        <v>21</v>
      </c>
      <c r="B1667" s="1">
        <v>44259</v>
      </c>
      <c r="C1667" t="s">
        <v>24</v>
      </c>
      <c r="D1667">
        <v>0</v>
      </c>
      <c r="E1667">
        <v>0</v>
      </c>
      <c r="F1667">
        <v>0</v>
      </c>
      <c r="G1667">
        <v>0</v>
      </c>
      <c r="H1667">
        <v>0</v>
      </c>
      <c r="I1667">
        <v>0</v>
      </c>
      <c r="J1667">
        <v>0</v>
      </c>
      <c r="K1667">
        <v>0</v>
      </c>
      <c r="L1667">
        <v>0</v>
      </c>
      <c r="M1667">
        <v>0</v>
      </c>
      <c r="N1667">
        <v>210448</v>
      </c>
      <c r="O1667">
        <v>0</v>
      </c>
      <c r="P1667">
        <v>0</v>
      </c>
      <c r="Q1667">
        <v>0</v>
      </c>
      <c r="R1667">
        <v>0</v>
      </c>
      <c r="S1667">
        <v>0</v>
      </c>
      <c r="T1667">
        <v>5</v>
      </c>
      <c r="U1667">
        <v>11</v>
      </c>
    </row>
    <row r="1668" spans="1:21" x14ac:dyDescent="0.35">
      <c r="A1668" t="s">
        <v>21</v>
      </c>
      <c r="B1668" s="1">
        <v>44940</v>
      </c>
      <c r="C1668" t="s">
        <v>31</v>
      </c>
      <c r="D1668">
        <v>2.5</v>
      </c>
      <c r="E1668">
        <v>4.5999999999999996</v>
      </c>
      <c r="F1668">
        <v>1.2</v>
      </c>
      <c r="G1668">
        <v>0.5</v>
      </c>
      <c r="H1668">
        <v>2.1</v>
      </c>
      <c r="I1668">
        <v>0</v>
      </c>
      <c r="J1668">
        <v>0</v>
      </c>
      <c r="K1668">
        <v>0</v>
      </c>
      <c r="L1668">
        <v>0</v>
      </c>
      <c r="M1668">
        <v>0</v>
      </c>
      <c r="N1668">
        <v>40444</v>
      </c>
      <c r="O1668">
        <v>43375</v>
      </c>
      <c r="P1668">
        <v>171679</v>
      </c>
      <c r="Q1668">
        <v>1</v>
      </c>
      <c r="R1668">
        <v>2</v>
      </c>
      <c r="S1668">
        <v>2</v>
      </c>
      <c r="T1668">
        <v>65</v>
      </c>
      <c r="U1668">
        <v>79</v>
      </c>
    </row>
    <row r="1669" spans="1:21" x14ac:dyDescent="0.35">
      <c r="A1669" t="s">
        <v>21</v>
      </c>
      <c r="B1669" s="1">
        <v>44473</v>
      </c>
      <c r="C1669" t="s">
        <v>32</v>
      </c>
      <c r="D1669">
        <v>0</v>
      </c>
      <c r="E1669">
        <v>0</v>
      </c>
      <c r="F1669">
        <v>0</v>
      </c>
      <c r="G1669">
        <v>0</v>
      </c>
      <c r="H1669">
        <v>0</v>
      </c>
      <c r="I1669">
        <v>0</v>
      </c>
      <c r="J1669">
        <v>0</v>
      </c>
      <c r="K1669">
        <v>0</v>
      </c>
      <c r="L1669">
        <v>0</v>
      </c>
      <c r="M1669">
        <v>0</v>
      </c>
      <c r="N1669">
        <v>162642</v>
      </c>
      <c r="O1669">
        <v>0</v>
      </c>
      <c r="P1669">
        <v>0</v>
      </c>
      <c r="Q1669">
        <v>0</v>
      </c>
      <c r="R1669">
        <v>0</v>
      </c>
      <c r="S1669">
        <v>0</v>
      </c>
      <c r="T1669">
        <v>0</v>
      </c>
      <c r="U1669">
        <v>4</v>
      </c>
    </row>
    <row r="1670" spans="1:21" x14ac:dyDescent="0.35">
      <c r="A1670" t="s">
        <v>28</v>
      </c>
      <c r="B1670" s="1">
        <v>44590</v>
      </c>
      <c r="C1670" t="s">
        <v>32</v>
      </c>
      <c r="D1670">
        <v>301.89999999999998</v>
      </c>
      <c r="E1670">
        <v>0</v>
      </c>
      <c r="F1670">
        <v>0</v>
      </c>
      <c r="G1670">
        <v>0</v>
      </c>
      <c r="H1670">
        <v>0</v>
      </c>
      <c r="I1670">
        <v>0</v>
      </c>
      <c r="J1670">
        <v>0</v>
      </c>
      <c r="K1670">
        <v>0</v>
      </c>
      <c r="L1670">
        <v>0</v>
      </c>
      <c r="M1670">
        <v>0</v>
      </c>
      <c r="N1670">
        <v>162642</v>
      </c>
      <c r="O1670">
        <v>0</v>
      </c>
      <c r="P1670">
        <v>0</v>
      </c>
      <c r="Q1670">
        <v>491</v>
      </c>
      <c r="R1670">
        <v>0</v>
      </c>
      <c r="S1670">
        <v>0</v>
      </c>
      <c r="T1670">
        <v>0</v>
      </c>
      <c r="U1670">
        <v>4</v>
      </c>
    </row>
    <row r="1671" spans="1:21" x14ac:dyDescent="0.35">
      <c r="A1671" t="s">
        <v>21</v>
      </c>
      <c r="B1671" s="1">
        <v>44473</v>
      </c>
      <c r="C1671" t="s">
        <v>24</v>
      </c>
      <c r="D1671">
        <v>0</v>
      </c>
      <c r="E1671">
        <v>0</v>
      </c>
      <c r="F1671">
        <v>0</v>
      </c>
      <c r="G1671">
        <v>0</v>
      </c>
      <c r="H1671">
        <v>0</v>
      </c>
      <c r="I1671">
        <v>0</v>
      </c>
      <c r="J1671">
        <v>0</v>
      </c>
      <c r="K1671">
        <v>0</v>
      </c>
      <c r="L1671">
        <v>0</v>
      </c>
      <c r="M1671">
        <v>0</v>
      </c>
      <c r="N1671">
        <v>210448</v>
      </c>
      <c r="O1671">
        <v>0</v>
      </c>
      <c r="P1671">
        <v>0</v>
      </c>
      <c r="Q1671">
        <v>0</v>
      </c>
      <c r="R1671">
        <v>0</v>
      </c>
      <c r="S1671">
        <v>0</v>
      </c>
      <c r="T1671">
        <v>5</v>
      </c>
      <c r="U1671">
        <v>11</v>
      </c>
    </row>
    <row r="1672" spans="1:21" x14ac:dyDescent="0.35">
      <c r="A1672" t="s">
        <v>21</v>
      </c>
      <c r="B1672" s="1">
        <v>44303</v>
      </c>
      <c r="C1672" t="s">
        <v>32</v>
      </c>
      <c r="D1672">
        <v>0</v>
      </c>
      <c r="E1672">
        <v>0</v>
      </c>
      <c r="F1672">
        <v>0</v>
      </c>
      <c r="G1672">
        <v>0</v>
      </c>
      <c r="H1672">
        <v>0</v>
      </c>
      <c r="I1672">
        <v>0</v>
      </c>
      <c r="J1672">
        <v>0</v>
      </c>
      <c r="K1672">
        <v>0</v>
      </c>
      <c r="L1672">
        <v>0</v>
      </c>
      <c r="M1672">
        <v>0</v>
      </c>
      <c r="N1672">
        <v>162642</v>
      </c>
      <c r="O1672">
        <v>0</v>
      </c>
      <c r="P1672">
        <v>0</v>
      </c>
      <c r="Q1672">
        <v>0</v>
      </c>
      <c r="R1672">
        <v>0</v>
      </c>
      <c r="S1672">
        <v>0</v>
      </c>
      <c r="T1672">
        <v>0</v>
      </c>
      <c r="U1672">
        <v>4</v>
      </c>
    </row>
    <row r="1673" spans="1:21" x14ac:dyDescent="0.35">
      <c r="A1673" t="s">
        <v>21</v>
      </c>
      <c r="B1673" s="1">
        <v>45038</v>
      </c>
      <c r="C1673" t="s">
        <v>32</v>
      </c>
      <c r="D1673">
        <v>0</v>
      </c>
      <c r="E1673">
        <v>0</v>
      </c>
      <c r="F1673">
        <v>0</v>
      </c>
      <c r="G1673">
        <v>0</v>
      </c>
      <c r="H1673">
        <v>0</v>
      </c>
      <c r="I1673">
        <v>0</v>
      </c>
      <c r="J1673">
        <v>0</v>
      </c>
      <c r="K1673">
        <v>0</v>
      </c>
      <c r="L1673">
        <v>0</v>
      </c>
      <c r="M1673">
        <v>0</v>
      </c>
      <c r="N1673">
        <v>162642</v>
      </c>
      <c r="O1673">
        <v>0</v>
      </c>
      <c r="P1673">
        <v>0</v>
      </c>
      <c r="Q1673">
        <v>0</v>
      </c>
      <c r="R1673">
        <v>0</v>
      </c>
      <c r="S1673">
        <v>0</v>
      </c>
      <c r="T1673">
        <v>0</v>
      </c>
      <c r="U1673">
        <v>4</v>
      </c>
    </row>
    <row r="1674" spans="1:21" x14ac:dyDescent="0.35">
      <c r="A1674" t="s">
        <v>21</v>
      </c>
      <c r="B1674" s="1">
        <v>44303</v>
      </c>
      <c r="C1674" t="s">
        <v>24</v>
      </c>
      <c r="D1674">
        <v>0</v>
      </c>
      <c r="E1674">
        <v>0</v>
      </c>
      <c r="F1674">
        <v>0</v>
      </c>
      <c r="G1674">
        <v>0</v>
      </c>
      <c r="H1674">
        <v>0</v>
      </c>
      <c r="I1674">
        <v>0</v>
      </c>
      <c r="J1674">
        <v>0</v>
      </c>
      <c r="K1674">
        <v>0</v>
      </c>
      <c r="L1674">
        <v>0</v>
      </c>
      <c r="M1674">
        <v>0</v>
      </c>
      <c r="N1674">
        <v>210448</v>
      </c>
      <c r="O1674">
        <v>0</v>
      </c>
      <c r="P1674">
        <v>0</v>
      </c>
      <c r="Q1674">
        <v>0</v>
      </c>
      <c r="R1674">
        <v>0</v>
      </c>
      <c r="S1674">
        <v>0</v>
      </c>
      <c r="T1674">
        <v>5</v>
      </c>
      <c r="U1674">
        <v>11</v>
      </c>
    </row>
    <row r="1675" spans="1:21" x14ac:dyDescent="0.35">
      <c r="A1675" t="s">
        <v>26</v>
      </c>
      <c r="B1675" s="1">
        <v>44259</v>
      </c>
      <c r="C1675" t="s">
        <v>29</v>
      </c>
      <c r="D1675">
        <v>13.4</v>
      </c>
      <c r="E1675">
        <v>1.9</v>
      </c>
      <c r="F1675">
        <v>0</v>
      </c>
      <c r="G1675">
        <v>7.1</v>
      </c>
      <c r="H1675">
        <v>0</v>
      </c>
      <c r="I1675">
        <v>0</v>
      </c>
      <c r="J1675">
        <v>0</v>
      </c>
      <c r="K1675">
        <v>0</v>
      </c>
      <c r="L1675">
        <v>0</v>
      </c>
      <c r="M1675">
        <v>0</v>
      </c>
      <c r="N1675">
        <v>506745</v>
      </c>
      <c r="O1675">
        <v>105885</v>
      </c>
      <c r="P1675">
        <v>0</v>
      </c>
      <c r="Q1675">
        <v>68</v>
      </c>
      <c r="R1675">
        <v>2</v>
      </c>
      <c r="S1675">
        <v>0</v>
      </c>
      <c r="T1675">
        <v>30</v>
      </c>
      <c r="U1675">
        <v>49</v>
      </c>
    </row>
    <row r="1676" spans="1:21" x14ac:dyDescent="0.35">
      <c r="A1676" t="s">
        <v>21</v>
      </c>
      <c r="B1676" s="1">
        <v>44310</v>
      </c>
      <c r="C1676" t="s">
        <v>32</v>
      </c>
      <c r="D1676">
        <v>0</v>
      </c>
      <c r="E1676">
        <v>0</v>
      </c>
      <c r="F1676">
        <v>0</v>
      </c>
      <c r="G1676">
        <v>0</v>
      </c>
      <c r="H1676">
        <v>0</v>
      </c>
      <c r="I1676">
        <v>0</v>
      </c>
      <c r="J1676">
        <v>0</v>
      </c>
      <c r="K1676">
        <v>0</v>
      </c>
      <c r="L1676">
        <v>0</v>
      </c>
      <c r="M1676">
        <v>0</v>
      </c>
      <c r="N1676">
        <v>162642</v>
      </c>
      <c r="O1676">
        <v>0</v>
      </c>
      <c r="P1676">
        <v>0</v>
      </c>
      <c r="Q1676">
        <v>0</v>
      </c>
      <c r="R1676">
        <v>0</v>
      </c>
      <c r="S1676">
        <v>0</v>
      </c>
      <c r="T1676">
        <v>0</v>
      </c>
      <c r="U1676">
        <v>4</v>
      </c>
    </row>
    <row r="1677" spans="1:21" x14ac:dyDescent="0.35">
      <c r="A1677" t="s">
        <v>21</v>
      </c>
      <c r="B1677" s="1">
        <v>44201</v>
      </c>
      <c r="C1677" t="s">
        <v>30</v>
      </c>
      <c r="D1677">
        <v>29.7</v>
      </c>
      <c r="E1677">
        <v>2.4</v>
      </c>
      <c r="F1677">
        <v>0</v>
      </c>
      <c r="G1677">
        <v>12.4</v>
      </c>
      <c r="H1677">
        <v>0</v>
      </c>
      <c r="I1677">
        <v>0</v>
      </c>
      <c r="J1677">
        <v>0</v>
      </c>
      <c r="K1677">
        <v>0</v>
      </c>
      <c r="L1677">
        <v>0</v>
      </c>
      <c r="M1677">
        <v>0</v>
      </c>
      <c r="N1677">
        <v>37001</v>
      </c>
      <c r="O1677">
        <v>42149</v>
      </c>
      <c r="P1677">
        <v>0</v>
      </c>
      <c r="Q1677">
        <v>11</v>
      </c>
      <c r="R1677">
        <v>1</v>
      </c>
      <c r="S1677">
        <v>0</v>
      </c>
      <c r="T1677">
        <v>80</v>
      </c>
      <c r="U1677">
        <v>200</v>
      </c>
    </row>
    <row r="1678" spans="1:21" x14ac:dyDescent="0.35">
      <c r="A1678" t="s">
        <v>21</v>
      </c>
      <c r="B1678" s="1">
        <v>44310</v>
      </c>
      <c r="C1678" t="s">
        <v>24</v>
      </c>
      <c r="D1678">
        <v>0</v>
      </c>
      <c r="E1678">
        <v>0</v>
      </c>
      <c r="F1678">
        <v>0</v>
      </c>
      <c r="G1678">
        <v>0</v>
      </c>
      <c r="H1678">
        <v>0</v>
      </c>
      <c r="I1678">
        <v>0</v>
      </c>
      <c r="J1678">
        <v>0</v>
      </c>
      <c r="K1678">
        <v>0</v>
      </c>
      <c r="L1678">
        <v>0</v>
      </c>
      <c r="M1678">
        <v>0</v>
      </c>
      <c r="N1678">
        <v>210448</v>
      </c>
      <c r="O1678">
        <v>0</v>
      </c>
      <c r="P1678">
        <v>0</v>
      </c>
      <c r="Q1678">
        <v>0</v>
      </c>
      <c r="R1678">
        <v>0</v>
      </c>
      <c r="S1678">
        <v>0</v>
      </c>
      <c r="T1678">
        <v>5</v>
      </c>
      <c r="U1678">
        <v>11</v>
      </c>
    </row>
    <row r="1679" spans="1:21" x14ac:dyDescent="0.35">
      <c r="A1679" t="s">
        <v>21</v>
      </c>
      <c r="B1679" s="1">
        <v>44201</v>
      </c>
      <c r="C1679" t="s">
        <v>32</v>
      </c>
      <c r="D1679">
        <v>0</v>
      </c>
      <c r="E1679">
        <v>0</v>
      </c>
      <c r="F1679">
        <v>0</v>
      </c>
      <c r="G1679">
        <v>0</v>
      </c>
      <c r="H1679">
        <v>0</v>
      </c>
      <c r="I1679">
        <v>0</v>
      </c>
      <c r="J1679">
        <v>0</v>
      </c>
      <c r="K1679">
        <v>0</v>
      </c>
      <c r="L1679">
        <v>0</v>
      </c>
      <c r="M1679">
        <v>0</v>
      </c>
      <c r="N1679">
        <v>162642</v>
      </c>
      <c r="O1679">
        <v>0</v>
      </c>
      <c r="P1679">
        <v>0</v>
      </c>
      <c r="Q1679">
        <v>0</v>
      </c>
      <c r="R1679">
        <v>0</v>
      </c>
      <c r="S1679">
        <v>0</v>
      </c>
      <c r="T1679">
        <v>0</v>
      </c>
      <c r="U1679">
        <v>4</v>
      </c>
    </row>
    <row r="1680" spans="1:21" x14ac:dyDescent="0.35">
      <c r="A1680" t="s">
        <v>21</v>
      </c>
      <c r="B1680" s="1">
        <v>44201</v>
      </c>
      <c r="C1680" t="s">
        <v>24</v>
      </c>
      <c r="D1680">
        <v>0</v>
      </c>
      <c r="E1680">
        <v>0</v>
      </c>
      <c r="F1680">
        <v>0</v>
      </c>
      <c r="G1680">
        <v>0</v>
      </c>
      <c r="H1680">
        <v>0</v>
      </c>
      <c r="I1680">
        <v>0</v>
      </c>
      <c r="J1680">
        <v>0</v>
      </c>
      <c r="K1680">
        <v>0</v>
      </c>
      <c r="L1680">
        <v>0</v>
      </c>
      <c r="M1680">
        <v>0</v>
      </c>
      <c r="N1680">
        <v>210448</v>
      </c>
      <c r="O1680">
        <v>0</v>
      </c>
      <c r="P1680">
        <v>0</v>
      </c>
      <c r="Q1680">
        <v>0</v>
      </c>
      <c r="R1680">
        <v>0</v>
      </c>
      <c r="S1680">
        <v>0</v>
      </c>
      <c r="T1680">
        <v>5</v>
      </c>
      <c r="U1680">
        <v>11</v>
      </c>
    </row>
    <row r="1681" spans="1:21" x14ac:dyDescent="0.35">
      <c r="A1681" t="s">
        <v>21</v>
      </c>
      <c r="B1681" s="1">
        <v>44413</v>
      </c>
      <c r="C1681" t="s">
        <v>32</v>
      </c>
      <c r="D1681">
        <v>0</v>
      </c>
      <c r="E1681">
        <v>0</v>
      </c>
      <c r="F1681">
        <v>0</v>
      </c>
      <c r="G1681">
        <v>0</v>
      </c>
      <c r="H1681">
        <v>0</v>
      </c>
      <c r="I1681">
        <v>0</v>
      </c>
      <c r="J1681">
        <v>0</v>
      </c>
      <c r="K1681">
        <v>0</v>
      </c>
      <c r="L1681">
        <v>0</v>
      </c>
      <c r="M1681">
        <v>0</v>
      </c>
      <c r="N1681">
        <v>162642</v>
      </c>
      <c r="O1681">
        <v>0</v>
      </c>
      <c r="P1681">
        <v>0</v>
      </c>
      <c r="Q1681">
        <v>0</v>
      </c>
      <c r="R1681">
        <v>0</v>
      </c>
      <c r="S1681">
        <v>0</v>
      </c>
      <c r="T1681">
        <v>0</v>
      </c>
      <c r="U1681">
        <v>4</v>
      </c>
    </row>
    <row r="1682" spans="1:21" x14ac:dyDescent="0.35">
      <c r="A1682" t="s">
        <v>21</v>
      </c>
      <c r="B1682" s="1">
        <v>44429</v>
      </c>
      <c r="C1682" t="s">
        <v>30</v>
      </c>
      <c r="D1682">
        <v>12.6</v>
      </c>
      <c r="E1682">
        <v>3.8</v>
      </c>
      <c r="F1682">
        <v>0</v>
      </c>
      <c r="G1682">
        <v>3.3</v>
      </c>
      <c r="H1682">
        <v>0</v>
      </c>
      <c r="I1682">
        <v>0</v>
      </c>
      <c r="J1682">
        <v>0</v>
      </c>
      <c r="K1682">
        <v>0</v>
      </c>
      <c r="L1682">
        <v>0</v>
      </c>
      <c r="M1682">
        <v>0</v>
      </c>
      <c r="N1682">
        <v>31765</v>
      </c>
      <c r="O1682">
        <v>52936</v>
      </c>
      <c r="P1682">
        <v>0</v>
      </c>
      <c r="Q1682">
        <v>4</v>
      </c>
      <c r="R1682">
        <v>2</v>
      </c>
      <c r="S1682">
        <v>0</v>
      </c>
      <c r="T1682">
        <v>80</v>
      </c>
      <c r="U1682">
        <v>200</v>
      </c>
    </row>
    <row r="1683" spans="1:21" x14ac:dyDescent="0.35">
      <c r="A1683" t="s">
        <v>21</v>
      </c>
      <c r="B1683" s="1">
        <v>44413</v>
      </c>
      <c r="C1683" t="s">
        <v>24</v>
      </c>
      <c r="D1683">
        <v>0</v>
      </c>
      <c r="E1683">
        <v>0</v>
      </c>
      <c r="F1683">
        <v>0</v>
      </c>
      <c r="G1683">
        <v>0</v>
      </c>
      <c r="H1683">
        <v>0</v>
      </c>
      <c r="I1683">
        <v>0</v>
      </c>
      <c r="J1683">
        <v>0</v>
      </c>
      <c r="K1683">
        <v>0</v>
      </c>
      <c r="L1683">
        <v>0</v>
      </c>
      <c r="M1683">
        <v>0</v>
      </c>
      <c r="N1683">
        <v>210448</v>
      </c>
      <c r="O1683">
        <v>0</v>
      </c>
      <c r="P1683">
        <v>0</v>
      </c>
      <c r="Q1683">
        <v>0</v>
      </c>
      <c r="R1683">
        <v>0</v>
      </c>
      <c r="S1683">
        <v>0</v>
      </c>
      <c r="T1683">
        <v>5</v>
      </c>
      <c r="U1683">
        <v>11</v>
      </c>
    </row>
    <row r="1684" spans="1:21" x14ac:dyDescent="0.35">
      <c r="A1684" t="s">
        <v>21</v>
      </c>
      <c r="B1684" s="1">
        <v>44331</v>
      </c>
      <c r="C1684" t="s">
        <v>32</v>
      </c>
      <c r="D1684">
        <v>0</v>
      </c>
      <c r="E1684">
        <v>0</v>
      </c>
      <c r="F1684">
        <v>0</v>
      </c>
      <c r="G1684">
        <v>0</v>
      </c>
      <c r="H1684">
        <v>0</v>
      </c>
      <c r="I1684">
        <v>0</v>
      </c>
      <c r="J1684">
        <v>0</v>
      </c>
      <c r="K1684">
        <v>0</v>
      </c>
      <c r="L1684">
        <v>0</v>
      </c>
      <c r="M1684">
        <v>0</v>
      </c>
      <c r="N1684">
        <v>162642</v>
      </c>
      <c r="O1684">
        <v>0</v>
      </c>
      <c r="P1684">
        <v>0</v>
      </c>
      <c r="Q1684">
        <v>0</v>
      </c>
      <c r="R1684">
        <v>0</v>
      </c>
      <c r="S1684">
        <v>0</v>
      </c>
      <c r="T1684">
        <v>0</v>
      </c>
      <c r="U1684">
        <v>4</v>
      </c>
    </row>
    <row r="1685" spans="1:21" x14ac:dyDescent="0.35">
      <c r="A1685" t="s">
        <v>21</v>
      </c>
      <c r="B1685" s="1">
        <v>44331</v>
      </c>
      <c r="C1685" t="s">
        <v>24</v>
      </c>
      <c r="D1685">
        <v>0</v>
      </c>
      <c r="E1685">
        <v>0</v>
      </c>
      <c r="F1685">
        <v>0</v>
      </c>
      <c r="G1685">
        <v>0</v>
      </c>
      <c r="H1685">
        <v>0</v>
      </c>
      <c r="I1685">
        <v>0</v>
      </c>
      <c r="J1685">
        <v>0</v>
      </c>
      <c r="K1685">
        <v>0</v>
      </c>
      <c r="L1685">
        <v>0</v>
      </c>
      <c r="M1685">
        <v>0</v>
      </c>
      <c r="N1685">
        <v>210448</v>
      </c>
      <c r="O1685">
        <v>0</v>
      </c>
      <c r="P1685">
        <v>0</v>
      </c>
      <c r="Q1685">
        <v>0</v>
      </c>
      <c r="R1685">
        <v>0</v>
      </c>
      <c r="S1685">
        <v>0</v>
      </c>
      <c r="T1685">
        <v>5</v>
      </c>
      <c r="U1685">
        <v>11</v>
      </c>
    </row>
    <row r="1686" spans="1:21" x14ac:dyDescent="0.35">
      <c r="A1686" t="s">
        <v>28</v>
      </c>
      <c r="B1686" s="1">
        <v>45136</v>
      </c>
      <c r="C1686" t="s">
        <v>32</v>
      </c>
      <c r="D1686">
        <v>22.1</v>
      </c>
      <c r="E1686">
        <v>0.6</v>
      </c>
      <c r="F1686">
        <v>0</v>
      </c>
      <c r="G1686">
        <v>36.799999999999997</v>
      </c>
      <c r="H1686">
        <v>0</v>
      </c>
      <c r="I1686">
        <v>0</v>
      </c>
      <c r="J1686">
        <v>0</v>
      </c>
      <c r="K1686">
        <v>0</v>
      </c>
      <c r="L1686">
        <v>0</v>
      </c>
      <c r="M1686">
        <v>0</v>
      </c>
      <c r="N1686">
        <v>162642</v>
      </c>
      <c r="O1686">
        <v>0</v>
      </c>
      <c r="P1686">
        <v>0</v>
      </c>
      <c r="Q1686">
        <v>36</v>
      </c>
      <c r="R1686">
        <v>1</v>
      </c>
      <c r="S1686">
        <v>0</v>
      </c>
      <c r="T1686">
        <v>0</v>
      </c>
      <c r="U1686">
        <v>4</v>
      </c>
    </row>
    <row r="1687" spans="1:21" x14ac:dyDescent="0.35">
      <c r="A1687" t="s">
        <v>21</v>
      </c>
      <c r="B1687" s="1">
        <v>44338</v>
      </c>
      <c r="C1687" t="s">
        <v>32</v>
      </c>
      <c r="D1687">
        <v>0</v>
      </c>
      <c r="E1687">
        <v>0</v>
      </c>
      <c r="F1687">
        <v>0</v>
      </c>
      <c r="G1687">
        <v>0</v>
      </c>
      <c r="H1687">
        <v>0</v>
      </c>
      <c r="I1687">
        <v>0</v>
      </c>
      <c r="J1687">
        <v>0</v>
      </c>
      <c r="K1687">
        <v>0</v>
      </c>
      <c r="L1687">
        <v>0</v>
      </c>
      <c r="M1687">
        <v>0</v>
      </c>
      <c r="N1687">
        <v>162642</v>
      </c>
      <c r="O1687">
        <v>0</v>
      </c>
      <c r="P1687">
        <v>0</v>
      </c>
      <c r="Q1687">
        <v>0</v>
      </c>
      <c r="R1687">
        <v>0</v>
      </c>
      <c r="S1687">
        <v>0</v>
      </c>
      <c r="T1687">
        <v>0</v>
      </c>
      <c r="U1687">
        <v>4</v>
      </c>
    </row>
    <row r="1688" spans="1:21" x14ac:dyDescent="0.35">
      <c r="A1688" t="s">
        <v>21</v>
      </c>
      <c r="B1688" s="1">
        <v>44338</v>
      </c>
      <c r="C1688" t="s">
        <v>24</v>
      </c>
      <c r="D1688">
        <v>0</v>
      </c>
      <c r="E1688">
        <v>0</v>
      </c>
      <c r="F1688">
        <v>0</v>
      </c>
      <c r="G1688">
        <v>0</v>
      </c>
      <c r="H1688">
        <v>0</v>
      </c>
      <c r="I1688">
        <v>0</v>
      </c>
      <c r="J1688">
        <v>0</v>
      </c>
      <c r="K1688">
        <v>0</v>
      </c>
      <c r="L1688">
        <v>0</v>
      </c>
      <c r="M1688">
        <v>0</v>
      </c>
      <c r="N1688">
        <v>210448</v>
      </c>
      <c r="O1688">
        <v>0</v>
      </c>
      <c r="P1688">
        <v>0</v>
      </c>
      <c r="Q1688">
        <v>0</v>
      </c>
      <c r="R1688">
        <v>0</v>
      </c>
      <c r="S1688">
        <v>0</v>
      </c>
      <c r="T1688">
        <v>5</v>
      </c>
      <c r="U1688">
        <v>11</v>
      </c>
    </row>
    <row r="1689" spans="1:21" x14ac:dyDescent="0.35">
      <c r="A1689" t="s">
        <v>21</v>
      </c>
      <c r="B1689" s="1">
        <v>44345</v>
      </c>
      <c r="C1689" t="s">
        <v>32</v>
      </c>
      <c r="D1689">
        <v>0</v>
      </c>
      <c r="E1689">
        <v>0</v>
      </c>
      <c r="F1689">
        <v>0</v>
      </c>
      <c r="G1689">
        <v>0</v>
      </c>
      <c r="H1689">
        <v>0</v>
      </c>
      <c r="I1689">
        <v>0</v>
      </c>
      <c r="J1689">
        <v>0</v>
      </c>
      <c r="K1689">
        <v>0</v>
      </c>
      <c r="L1689">
        <v>0</v>
      </c>
      <c r="M1689">
        <v>0</v>
      </c>
      <c r="N1689">
        <v>162642</v>
      </c>
      <c r="O1689">
        <v>0</v>
      </c>
      <c r="P1689">
        <v>0</v>
      </c>
      <c r="Q1689">
        <v>0</v>
      </c>
      <c r="R1689">
        <v>0</v>
      </c>
      <c r="S1689">
        <v>0</v>
      </c>
      <c r="T1689">
        <v>0</v>
      </c>
      <c r="U1689">
        <v>4</v>
      </c>
    </row>
    <row r="1690" spans="1:21" x14ac:dyDescent="0.35">
      <c r="A1690" t="s">
        <v>21</v>
      </c>
      <c r="B1690" s="1">
        <v>44345</v>
      </c>
      <c r="C1690" t="s">
        <v>24</v>
      </c>
      <c r="D1690">
        <v>0</v>
      </c>
      <c r="E1690">
        <v>0</v>
      </c>
      <c r="F1690">
        <v>0</v>
      </c>
      <c r="G1690">
        <v>0</v>
      </c>
      <c r="H1690">
        <v>0</v>
      </c>
      <c r="I1690">
        <v>0</v>
      </c>
      <c r="J1690">
        <v>0</v>
      </c>
      <c r="K1690">
        <v>0</v>
      </c>
      <c r="L1690">
        <v>0</v>
      </c>
      <c r="M1690">
        <v>0</v>
      </c>
      <c r="N1690">
        <v>210448</v>
      </c>
      <c r="O1690">
        <v>0</v>
      </c>
      <c r="P1690">
        <v>0</v>
      </c>
      <c r="Q1690">
        <v>0</v>
      </c>
      <c r="R1690">
        <v>0</v>
      </c>
      <c r="S1690">
        <v>0</v>
      </c>
      <c r="T1690">
        <v>5</v>
      </c>
      <c r="U1690">
        <v>11</v>
      </c>
    </row>
    <row r="1691" spans="1:21" x14ac:dyDescent="0.35">
      <c r="A1691" t="s">
        <v>21</v>
      </c>
      <c r="B1691" s="1">
        <v>44322</v>
      </c>
      <c r="C1691" t="s">
        <v>32</v>
      </c>
      <c r="D1691">
        <v>0</v>
      </c>
      <c r="E1691">
        <v>0</v>
      </c>
      <c r="F1691">
        <v>0</v>
      </c>
      <c r="G1691">
        <v>0</v>
      </c>
      <c r="H1691">
        <v>0</v>
      </c>
      <c r="I1691">
        <v>0</v>
      </c>
      <c r="J1691">
        <v>0</v>
      </c>
      <c r="K1691">
        <v>0</v>
      </c>
      <c r="L1691">
        <v>0</v>
      </c>
      <c r="M1691">
        <v>0</v>
      </c>
      <c r="N1691">
        <v>162642</v>
      </c>
      <c r="O1691">
        <v>0</v>
      </c>
      <c r="P1691">
        <v>0</v>
      </c>
      <c r="Q1691">
        <v>0</v>
      </c>
      <c r="R1691">
        <v>0</v>
      </c>
      <c r="S1691">
        <v>0</v>
      </c>
      <c r="T1691">
        <v>0</v>
      </c>
      <c r="U1691">
        <v>4</v>
      </c>
    </row>
    <row r="1692" spans="1:21" x14ac:dyDescent="0.35">
      <c r="A1692" t="s">
        <v>21</v>
      </c>
      <c r="B1692" s="1">
        <v>44322</v>
      </c>
      <c r="C1692" t="s">
        <v>24</v>
      </c>
      <c r="D1692">
        <v>0</v>
      </c>
      <c r="E1692">
        <v>0</v>
      </c>
      <c r="F1692">
        <v>0</v>
      </c>
      <c r="G1692">
        <v>0</v>
      </c>
      <c r="H1692">
        <v>0</v>
      </c>
      <c r="I1692">
        <v>0</v>
      </c>
      <c r="J1692">
        <v>0</v>
      </c>
      <c r="K1692">
        <v>0</v>
      </c>
      <c r="L1692">
        <v>0</v>
      </c>
      <c r="M1692">
        <v>0</v>
      </c>
      <c r="N1692">
        <v>210448</v>
      </c>
      <c r="O1692">
        <v>0</v>
      </c>
      <c r="P1692">
        <v>0</v>
      </c>
      <c r="Q1692">
        <v>0</v>
      </c>
      <c r="R1692">
        <v>0</v>
      </c>
      <c r="S1692">
        <v>0</v>
      </c>
      <c r="T1692">
        <v>5</v>
      </c>
      <c r="U1692">
        <v>11</v>
      </c>
    </row>
    <row r="1693" spans="1:21" x14ac:dyDescent="0.35">
      <c r="A1693" t="s">
        <v>26</v>
      </c>
      <c r="B1693" s="1">
        <v>45010</v>
      </c>
      <c r="C1693" t="s">
        <v>32</v>
      </c>
      <c r="D1693">
        <v>3.7</v>
      </c>
      <c r="E1693">
        <v>0</v>
      </c>
      <c r="F1693">
        <v>0</v>
      </c>
      <c r="G1693">
        <v>0</v>
      </c>
      <c r="H1693">
        <v>0</v>
      </c>
      <c r="I1693">
        <v>0</v>
      </c>
      <c r="J1693">
        <v>0</v>
      </c>
      <c r="K1693">
        <v>0</v>
      </c>
      <c r="L1693">
        <v>0</v>
      </c>
      <c r="M1693">
        <v>0</v>
      </c>
      <c r="N1693">
        <v>162642</v>
      </c>
      <c r="O1693">
        <v>0</v>
      </c>
      <c r="P1693">
        <v>0</v>
      </c>
      <c r="Q1693">
        <v>6</v>
      </c>
      <c r="R1693">
        <v>0</v>
      </c>
      <c r="S1693">
        <v>0</v>
      </c>
      <c r="T1693">
        <v>0</v>
      </c>
      <c r="U1693">
        <v>4</v>
      </c>
    </row>
    <row r="1694" spans="1:21" x14ac:dyDescent="0.35">
      <c r="A1694" t="s">
        <v>21</v>
      </c>
      <c r="B1694" s="1">
        <v>44536</v>
      </c>
      <c r="C1694" t="s">
        <v>32</v>
      </c>
      <c r="D1694">
        <v>0</v>
      </c>
      <c r="E1694">
        <v>0</v>
      </c>
      <c r="F1694">
        <v>0</v>
      </c>
      <c r="G1694">
        <v>0</v>
      </c>
      <c r="H1694">
        <v>0</v>
      </c>
      <c r="I1694">
        <v>0</v>
      </c>
      <c r="J1694">
        <v>0</v>
      </c>
      <c r="K1694">
        <v>0</v>
      </c>
      <c r="L1694">
        <v>0</v>
      </c>
      <c r="M1694">
        <v>0</v>
      </c>
      <c r="N1694">
        <v>162642</v>
      </c>
      <c r="O1694">
        <v>0</v>
      </c>
      <c r="P1694">
        <v>0</v>
      </c>
      <c r="Q1694">
        <v>0</v>
      </c>
      <c r="R1694">
        <v>0</v>
      </c>
      <c r="S1694">
        <v>0</v>
      </c>
      <c r="T1694">
        <v>0</v>
      </c>
      <c r="U1694">
        <v>4</v>
      </c>
    </row>
    <row r="1695" spans="1:21" x14ac:dyDescent="0.35">
      <c r="A1695" t="s">
        <v>21</v>
      </c>
      <c r="B1695" s="1">
        <v>44930</v>
      </c>
      <c r="C1695" t="s">
        <v>29</v>
      </c>
      <c r="D1695">
        <v>0</v>
      </c>
      <c r="E1695">
        <v>0</v>
      </c>
      <c r="F1695">
        <v>0</v>
      </c>
      <c r="G1695">
        <v>0</v>
      </c>
      <c r="H1695">
        <v>0</v>
      </c>
      <c r="I1695">
        <v>0</v>
      </c>
      <c r="J1695">
        <v>0</v>
      </c>
      <c r="K1695">
        <v>0</v>
      </c>
      <c r="L1695">
        <v>0</v>
      </c>
      <c r="M1695">
        <v>0</v>
      </c>
      <c r="N1695">
        <v>109912</v>
      </c>
      <c r="O1695">
        <v>278121</v>
      </c>
      <c r="P1695">
        <v>347279</v>
      </c>
      <c r="Q1695">
        <v>0</v>
      </c>
      <c r="R1695">
        <v>0</v>
      </c>
      <c r="S1695">
        <v>0</v>
      </c>
      <c r="T1695">
        <v>30</v>
      </c>
      <c r="U1695">
        <v>49</v>
      </c>
    </row>
    <row r="1696" spans="1:21" x14ac:dyDescent="0.35">
      <c r="A1696" t="s">
        <v>21</v>
      </c>
      <c r="B1696" s="1">
        <v>44536</v>
      </c>
      <c r="C1696" t="s">
        <v>24</v>
      </c>
      <c r="D1696">
        <v>0</v>
      </c>
      <c r="E1696">
        <v>0</v>
      </c>
      <c r="F1696">
        <v>0</v>
      </c>
      <c r="G1696">
        <v>0</v>
      </c>
      <c r="H1696">
        <v>0</v>
      </c>
      <c r="I1696">
        <v>0</v>
      </c>
      <c r="J1696">
        <v>0</v>
      </c>
      <c r="K1696">
        <v>0</v>
      </c>
      <c r="L1696">
        <v>0</v>
      </c>
      <c r="M1696">
        <v>0</v>
      </c>
      <c r="N1696">
        <v>210448</v>
      </c>
      <c r="O1696">
        <v>0</v>
      </c>
      <c r="P1696">
        <v>0</v>
      </c>
      <c r="Q1696">
        <v>0</v>
      </c>
      <c r="R1696">
        <v>0</v>
      </c>
      <c r="S1696">
        <v>0</v>
      </c>
      <c r="T1696">
        <v>5</v>
      </c>
      <c r="U1696">
        <v>11</v>
      </c>
    </row>
    <row r="1697" spans="1:21" x14ac:dyDescent="0.35">
      <c r="A1697" t="s">
        <v>28</v>
      </c>
      <c r="B1697" s="1">
        <v>44786</v>
      </c>
      <c r="C1697" t="s">
        <v>31</v>
      </c>
      <c r="D1697">
        <v>224.9</v>
      </c>
      <c r="E1697">
        <v>159.9</v>
      </c>
      <c r="F1697">
        <v>210</v>
      </c>
      <c r="G1697">
        <v>1.4</v>
      </c>
      <c r="H1697">
        <v>1.1000000000000001</v>
      </c>
      <c r="I1697">
        <v>0</v>
      </c>
      <c r="J1697">
        <v>0</v>
      </c>
      <c r="K1697">
        <v>0</v>
      </c>
      <c r="L1697">
        <v>0</v>
      </c>
      <c r="M1697">
        <v>0</v>
      </c>
      <c r="N1697">
        <v>45801</v>
      </c>
      <c r="O1697">
        <v>44391</v>
      </c>
      <c r="P1697">
        <v>169993</v>
      </c>
      <c r="Q1697">
        <v>103</v>
      </c>
      <c r="R1697">
        <v>71</v>
      </c>
      <c r="S1697">
        <v>357</v>
      </c>
      <c r="T1697">
        <v>65</v>
      </c>
      <c r="U1697">
        <v>79</v>
      </c>
    </row>
    <row r="1698" spans="1:21" x14ac:dyDescent="0.35">
      <c r="A1698" t="s">
        <v>21</v>
      </c>
      <c r="B1698" s="1">
        <v>44590</v>
      </c>
      <c r="C1698" t="s">
        <v>24</v>
      </c>
      <c r="D1698">
        <v>0</v>
      </c>
      <c r="E1698">
        <v>0</v>
      </c>
      <c r="F1698">
        <v>0</v>
      </c>
      <c r="G1698">
        <v>0</v>
      </c>
      <c r="H1698">
        <v>0</v>
      </c>
      <c r="I1698">
        <v>0</v>
      </c>
      <c r="J1698">
        <v>0</v>
      </c>
      <c r="K1698">
        <v>0</v>
      </c>
      <c r="L1698">
        <v>0</v>
      </c>
      <c r="M1698">
        <v>0</v>
      </c>
      <c r="N1698">
        <v>115323</v>
      </c>
      <c r="O1698">
        <v>59100</v>
      </c>
      <c r="P1698">
        <v>0</v>
      </c>
      <c r="Q1698">
        <v>0</v>
      </c>
      <c r="R1698">
        <v>0</v>
      </c>
      <c r="S1698">
        <v>0</v>
      </c>
      <c r="T1698">
        <v>5</v>
      </c>
      <c r="U1698">
        <v>11</v>
      </c>
    </row>
    <row r="1699" spans="1:21" x14ac:dyDescent="0.35">
      <c r="A1699" t="s">
        <v>28</v>
      </c>
      <c r="B1699" s="1">
        <v>44310</v>
      </c>
      <c r="C1699" t="s">
        <v>23</v>
      </c>
      <c r="D1699">
        <v>238.7</v>
      </c>
      <c r="E1699">
        <v>22.3</v>
      </c>
      <c r="F1699">
        <v>0</v>
      </c>
      <c r="G1699">
        <v>10.7</v>
      </c>
      <c r="H1699">
        <v>0</v>
      </c>
      <c r="I1699">
        <v>0</v>
      </c>
      <c r="J1699">
        <v>0</v>
      </c>
      <c r="K1699">
        <v>0</v>
      </c>
      <c r="L1699">
        <v>0</v>
      </c>
      <c r="M1699">
        <v>0</v>
      </c>
      <c r="N1699">
        <v>168402</v>
      </c>
      <c r="O1699">
        <v>134446</v>
      </c>
      <c r="P1699">
        <v>0</v>
      </c>
      <c r="Q1699">
        <v>402</v>
      </c>
      <c r="R1699">
        <v>30</v>
      </c>
      <c r="S1699">
        <v>0</v>
      </c>
      <c r="T1699">
        <v>50</v>
      </c>
      <c r="U1699">
        <v>64</v>
      </c>
    </row>
    <row r="1700" spans="1:21" x14ac:dyDescent="0.35">
      <c r="A1700" t="s">
        <v>21</v>
      </c>
      <c r="B1700" s="1">
        <v>44303</v>
      </c>
      <c r="C1700" t="s">
        <v>23</v>
      </c>
      <c r="D1700">
        <v>7.5</v>
      </c>
      <c r="E1700">
        <v>0</v>
      </c>
      <c r="F1700">
        <v>0</v>
      </c>
      <c r="G1700">
        <v>0</v>
      </c>
      <c r="H1700">
        <v>0</v>
      </c>
      <c r="I1700">
        <v>0</v>
      </c>
      <c r="J1700">
        <v>0</v>
      </c>
      <c r="K1700">
        <v>0</v>
      </c>
      <c r="L1700">
        <v>0</v>
      </c>
      <c r="M1700">
        <v>0</v>
      </c>
      <c r="N1700">
        <v>186304</v>
      </c>
      <c r="O1700">
        <v>101585</v>
      </c>
      <c r="P1700">
        <v>0</v>
      </c>
      <c r="Q1700">
        <v>14</v>
      </c>
      <c r="R1700">
        <v>0</v>
      </c>
      <c r="S1700">
        <v>0</v>
      </c>
      <c r="T1700">
        <v>50</v>
      </c>
      <c r="U1700">
        <v>64</v>
      </c>
    </row>
    <row r="1701" spans="1:21" x14ac:dyDescent="0.35">
      <c r="A1701" t="s">
        <v>21</v>
      </c>
      <c r="B1701" s="1">
        <v>44366</v>
      </c>
      <c r="C1701" t="s">
        <v>32</v>
      </c>
      <c r="D1701">
        <v>0</v>
      </c>
      <c r="E1701">
        <v>0</v>
      </c>
      <c r="F1701">
        <v>0</v>
      </c>
      <c r="G1701">
        <v>0</v>
      </c>
      <c r="H1701">
        <v>0</v>
      </c>
      <c r="I1701">
        <v>0</v>
      </c>
      <c r="J1701">
        <v>0</v>
      </c>
      <c r="K1701">
        <v>0</v>
      </c>
      <c r="L1701">
        <v>0</v>
      </c>
      <c r="M1701">
        <v>0</v>
      </c>
      <c r="N1701">
        <v>162642</v>
      </c>
      <c r="O1701">
        <v>0</v>
      </c>
      <c r="P1701">
        <v>0</v>
      </c>
      <c r="Q1701">
        <v>0</v>
      </c>
      <c r="R1701">
        <v>0</v>
      </c>
      <c r="S1701">
        <v>0</v>
      </c>
      <c r="T1701">
        <v>0</v>
      </c>
      <c r="U1701">
        <v>4</v>
      </c>
    </row>
    <row r="1702" spans="1:21" x14ac:dyDescent="0.35">
      <c r="A1702" t="s">
        <v>21</v>
      </c>
      <c r="B1702" s="1">
        <v>44783</v>
      </c>
      <c r="C1702" t="s">
        <v>23</v>
      </c>
      <c r="D1702">
        <v>5.2</v>
      </c>
      <c r="E1702">
        <v>0</v>
      </c>
      <c r="F1702">
        <v>0.4</v>
      </c>
      <c r="G1702">
        <v>0</v>
      </c>
      <c r="H1702">
        <v>13</v>
      </c>
      <c r="I1702">
        <v>0</v>
      </c>
      <c r="J1702">
        <v>0</v>
      </c>
      <c r="K1702">
        <v>0</v>
      </c>
      <c r="L1702">
        <v>0</v>
      </c>
      <c r="M1702">
        <v>0</v>
      </c>
      <c r="N1702">
        <v>38636</v>
      </c>
      <c r="O1702">
        <v>125178</v>
      </c>
      <c r="P1702">
        <v>246593</v>
      </c>
      <c r="Q1702">
        <v>2</v>
      </c>
      <c r="R1702">
        <v>0</v>
      </c>
      <c r="S1702">
        <v>1</v>
      </c>
      <c r="T1702">
        <v>50</v>
      </c>
      <c r="U1702">
        <v>64</v>
      </c>
    </row>
    <row r="1703" spans="1:21" x14ac:dyDescent="0.35">
      <c r="A1703" t="s">
        <v>26</v>
      </c>
      <c r="B1703" s="1">
        <v>44429</v>
      </c>
      <c r="C1703" t="s">
        <v>23</v>
      </c>
      <c r="D1703">
        <v>53.4</v>
      </c>
      <c r="E1703">
        <v>4.0999999999999996</v>
      </c>
      <c r="F1703">
        <v>0</v>
      </c>
      <c r="G1703">
        <v>13</v>
      </c>
      <c r="H1703">
        <v>0</v>
      </c>
      <c r="I1703">
        <v>0</v>
      </c>
      <c r="J1703">
        <v>0</v>
      </c>
      <c r="K1703">
        <v>0</v>
      </c>
      <c r="L1703">
        <v>0</v>
      </c>
      <c r="M1703">
        <v>0</v>
      </c>
      <c r="N1703">
        <v>91732</v>
      </c>
      <c r="O1703">
        <v>320054</v>
      </c>
      <c r="P1703">
        <v>0</v>
      </c>
      <c r="Q1703">
        <v>49</v>
      </c>
      <c r="R1703">
        <v>13</v>
      </c>
      <c r="S1703">
        <v>0</v>
      </c>
      <c r="T1703">
        <v>50</v>
      </c>
      <c r="U1703">
        <v>64</v>
      </c>
    </row>
    <row r="1704" spans="1:21" x14ac:dyDescent="0.35">
      <c r="A1704" t="s">
        <v>21</v>
      </c>
      <c r="B1704" s="1">
        <v>44366</v>
      </c>
      <c r="C1704" t="s">
        <v>24</v>
      </c>
      <c r="D1704">
        <v>0</v>
      </c>
      <c r="E1704">
        <v>0</v>
      </c>
      <c r="F1704">
        <v>0</v>
      </c>
      <c r="G1704">
        <v>0</v>
      </c>
      <c r="H1704">
        <v>0</v>
      </c>
      <c r="I1704">
        <v>0</v>
      </c>
      <c r="J1704">
        <v>0</v>
      </c>
      <c r="K1704">
        <v>0</v>
      </c>
      <c r="L1704">
        <v>0</v>
      </c>
      <c r="M1704">
        <v>0</v>
      </c>
      <c r="N1704">
        <v>210448</v>
      </c>
      <c r="O1704">
        <v>0</v>
      </c>
      <c r="P1704">
        <v>0</v>
      </c>
      <c r="Q1704">
        <v>0</v>
      </c>
      <c r="R1704">
        <v>0</v>
      </c>
      <c r="S1704">
        <v>0</v>
      </c>
      <c r="T1704">
        <v>5</v>
      </c>
      <c r="U1704">
        <v>11</v>
      </c>
    </row>
    <row r="1705" spans="1:21" x14ac:dyDescent="0.35">
      <c r="A1705" t="s">
        <v>26</v>
      </c>
      <c r="B1705" s="1">
        <v>44940</v>
      </c>
      <c r="C1705" t="s">
        <v>29</v>
      </c>
      <c r="D1705">
        <v>9.8000000000000007</v>
      </c>
      <c r="E1705">
        <v>3.6</v>
      </c>
      <c r="F1705">
        <v>3.5</v>
      </c>
      <c r="G1705">
        <v>2.7</v>
      </c>
      <c r="H1705">
        <v>2.8</v>
      </c>
      <c r="I1705">
        <v>0</v>
      </c>
      <c r="J1705">
        <v>0</v>
      </c>
      <c r="K1705">
        <v>0</v>
      </c>
      <c r="L1705">
        <v>0</v>
      </c>
      <c r="M1705">
        <v>0</v>
      </c>
      <c r="N1705">
        <v>112361</v>
      </c>
      <c r="O1705">
        <v>277385</v>
      </c>
      <c r="P1705">
        <v>347213</v>
      </c>
      <c r="Q1705">
        <v>11</v>
      </c>
      <c r="R1705">
        <v>10</v>
      </c>
      <c r="S1705">
        <v>12</v>
      </c>
      <c r="T1705">
        <v>30</v>
      </c>
      <c r="U1705">
        <v>49</v>
      </c>
    </row>
    <row r="1706" spans="1:21" x14ac:dyDescent="0.35">
      <c r="A1706" t="s">
        <v>26</v>
      </c>
      <c r="B1706" s="1">
        <v>44513</v>
      </c>
      <c r="C1706" t="s">
        <v>29</v>
      </c>
      <c r="D1706">
        <v>18.3</v>
      </c>
      <c r="E1706">
        <v>1.5</v>
      </c>
      <c r="F1706">
        <v>0</v>
      </c>
      <c r="G1706">
        <v>12.2</v>
      </c>
      <c r="H1706">
        <v>0</v>
      </c>
      <c r="I1706">
        <v>0</v>
      </c>
      <c r="J1706">
        <v>0</v>
      </c>
      <c r="K1706">
        <v>0</v>
      </c>
      <c r="L1706">
        <v>0</v>
      </c>
      <c r="M1706">
        <v>0</v>
      </c>
      <c r="N1706">
        <v>196498</v>
      </c>
      <c r="O1706">
        <v>516743</v>
      </c>
      <c r="P1706">
        <v>46608</v>
      </c>
      <c r="Q1706">
        <v>36</v>
      </c>
      <c r="R1706">
        <v>8</v>
      </c>
      <c r="S1706">
        <v>0</v>
      </c>
      <c r="T1706">
        <v>30</v>
      </c>
      <c r="U1706">
        <v>49</v>
      </c>
    </row>
    <row r="1707" spans="1:21" x14ac:dyDescent="0.35">
      <c r="A1707" t="s">
        <v>21</v>
      </c>
      <c r="B1707" s="1">
        <v>44492</v>
      </c>
      <c r="C1707" t="s">
        <v>29</v>
      </c>
      <c r="D1707">
        <v>2.4</v>
      </c>
      <c r="E1707">
        <v>0</v>
      </c>
      <c r="F1707">
        <v>0</v>
      </c>
      <c r="G1707">
        <v>0</v>
      </c>
      <c r="H1707">
        <v>0</v>
      </c>
      <c r="I1707">
        <v>0</v>
      </c>
      <c r="J1707">
        <v>0</v>
      </c>
      <c r="K1707">
        <v>0</v>
      </c>
      <c r="L1707">
        <v>0</v>
      </c>
      <c r="M1707">
        <v>0</v>
      </c>
      <c r="N1707">
        <v>207114</v>
      </c>
      <c r="O1707">
        <v>534216</v>
      </c>
      <c r="P1707">
        <v>17244</v>
      </c>
      <c r="Q1707">
        <v>5</v>
      </c>
      <c r="R1707">
        <v>0</v>
      </c>
      <c r="S1707">
        <v>0</v>
      </c>
      <c r="T1707">
        <v>30</v>
      </c>
      <c r="U1707">
        <v>49</v>
      </c>
    </row>
    <row r="1708" spans="1:21" x14ac:dyDescent="0.35">
      <c r="A1708" t="s">
        <v>21</v>
      </c>
      <c r="B1708" s="1">
        <v>44373</v>
      </c>
      <c r="C1708" t="s">
        <v>32</v>
      </c>
      <c r="D1708">
        <v>0</v>
      </c>
      <c r="E1708">
        <v>0</v>
      </c>
      <c r="F1708">
        <v>0</v>
      </c>
      <c r="G1708">
        <v>0</v>
      </c>
      <c r="H1708">
        <v>0</v>
      </c>
      <c r="I1708">
        <v>0</v>
      </c>
      <c r="J1708">
        <v>0</v>
      </c>
      <c r="K1708">
        <v>0</v>
      </c>
      <c r="L1708">
        <v>0</v>
      </c>
      <c r="M1708">
        <v>0</v>
      </c>
      <c r="N1708">
        <v>162642</v>
      </c>
      <c r="O1708">
        <v>0</v>
      </c>
      <c r="P1708">
        <v>0</v>
      </c>
      <c r="Q1708">
        <v>0</v>
      </c>
      <c r="R1708">
        <v>0</v>
      </c>
      <c r="S1708">
        <v>0</v>
      </c>
      <c r="T1708">
        <v>0</v>
      </c>
      <c r="U1708">
        <v>4</v>
      </c>
    </row>
    <row r="1709" spans="1:21" x14ac:dyDescent="0.35">
      <c r="A1709" t="s">
        <v>28</v>
      </c>
      <c r="B1709" s="1">
        <v>44684</v>
      </c>
      <c r="C1709" t="s">
        <v>22</v>
      </c>
      <c r="D1709">
        <v>52.5</v>
      </c>
      <c r="E1709">
        <v>27.4</v>
      </c>
      <c r="F1709">
        <v>40.1</v>
      </c>
      <c r="G1709">
        <v>1.9</v>
      </c>
      <c r="H1709">
        <v>1.3</v>
      </c>
      <c r="I1709">
        <v>56.2</v>
      </c>
      <c r="J1709">
        <v>26.6</v>
      </c>
      <c r="K1709">
        <v>33.4</v>
      </c>
      <c r="L1709">
        <v>2.1</v>
      </c>
      <c r="M1709">
        <v>1.7</v>
      </c>
      <c r="N1709">
        <v>668131</v>
      </c>
      <c r="O1709">
        <v>908622</v>
      </c>
      <c r="P1709">
        <v>900419</v>
      </c>
      <c r="Q1709">
        <v>351</v>
      </c>
      <c r="R1709">
        <v>249</v>
      </c>
      <c r="S1709">
        <v>361</v>
      </c>
      <c r="T1709">
        <v>999</v>
      </c>
      <c r="U1709">
        <v>999</v>
      </c>
    </row>
    <row r="1710" spans="1:21" x14ac:dyDescent="0.35">
      <c r="A1710" t="s">
        <v>21</v>
      </c>
      <c r="B1710" s="1">
        <v>44954</v>
      </c>
      <c r="C1710" t="s">
        <v>22</v>
      </c>
      <c r="D1710">
        <v>0.4</v>
      </c>
      <c r="E1710">
        <v>0.2</v>
      </c>
      <c r="F1710">
        <v>0.3</v>
      </c>
      <c r="G1710">
        <v>2</v>
      </c>
      <c r="H1710">
        <v>1.3</v>
      </c>
      <c r="I1710">
        <v>0.6</v>
      </c>
      <c r="J1710">
        <v>0.5</v>
      </c>
      <c r="K1710">
        <v>0.2</v>
      </c>
      <c r="L1710">
        <v>1.1000000000000001</v>
      </c>
      <c r="M1710">
        <v>3</v>
      </c>
      <c r="N1710">
        <v>549564</v>
      </c>
      <c r="O1710">
        <v>855718</v>
      </c>
      <c r="P1710">
        <v>1040296</v>
      </c>
      <c r="Q1710">
        <v>2</v>
      </c>
      <c r="R1710">
        <v>2</v>
      </c>
      <c r="S1710">
        <v>3</v>
      </c>
      <c r="T1710">
        <v>999</v>
      </c>
      <c r="U1710">
        <v>999</v>
      </c>
    </row>
    <row r="1711" spans="1:21" x14ac:dyDescent="0.35">
      <c r="A1711" t="s">
        <v>26</v>
      </c>
      <c r="B1711" s="1">
        <v>44298</v>
      </c>
      <c r="C1711" t="s">
        <v>24</v>
      </c>
      <c r="D1711">
        <v>1.3</v>
      </c>
      <c r="E1711">
        <v>0</v>
      </c>
      <c r="F1711">
        <v>0</v>
      </c>
      <c r="G1711">
        <v>0</v>
      </c>
      <c r="H1711">
        <v>0</v>
      </c>
      <c r="I1711">
        <v>0</v>
      </c>
      <c r="J1711">
        <v>0</v>
      </c>
      <c r="K1711">
        <v>0</v>
      </c>
      <c r="L1711">
        <v>0</v>
      </c>
      <c r="M1711">
        <v>0</v>
      </c>
      <c r="N1711">
        <v>156736</v>
      </c>
      <c r="O1711">
        <v>13</v>
      </c>
      <c r="P1711">
        <v>0</v>
      </c>
      <c r="Q1711">
        <v>2</v>
      </c>
      <c r="R1711">
        <v>0</v>
      </c>
      <c r="S1711">
        <v>0</v>
      </c>
      <c r="T1711">
        <v>5</v>
      </c>
      <c r="U1711">
        <v>11</v>
      </c>
    </row>
    <row r="1712" spans="1:21" x14ac:dyDescent="0.35">
      <c r="A1712" t="s">
        <v>21</v>
      </c>
      <c r="B1712" s="1">
        <v>44373</v>
      </c>
      <c r="C1712" t="s">
        <v>24</v>
      </c>
      <c r="D1712">
        <v>0</v>
      </c>
      <c r="E1712">
        <v>0</v>
      </c>
      <c r="F1712">
        <v>0</v>
      </c>
      <c r="G1712">
        <v>0</v>
      </c>
      <c r="H1712">
        <v>0</v>
      </c>
      <c r="I1712">
        <v>0</v>
      </c>
      <c r="J1712">
        <v>0</v>
      </c>
      <c r="K1712">
        <v>0</v>
      </c>
      <c r="L1712">
        <v>0</v>
      </c>
      <c r="M1712">
        <v>0</v>
      </c>
      <c r="N1712">
        <v>210448</v>
      </c>
      <c r="O1712">
        <v>0</v>
      </c>
      <c r="P1712">
        <v>0</v>
      </c>
      <c r="Q1712">
        <v>0</v>
      </c>
      <c r="R1712">
        <v>0</v>
      </c>
      <c r="S1712">
        <v>0</v>
      </c>
      <c r="T1712">
        <v>5</v>
      </c>
      <c r="U1712">
        <v>11</v>
      </c>
    </row>
    <row r="1713" spans="1:21" x14ac:dyDescent="0.35">
      <c r="A1713" t="s">
        <v>26</v>
      </c>
      <c r="B1713" s="1">
        <v>45094</v>
      </c>
      <c r="C1713" t="s">
        <v>29</v>
      </c>
      <c r="D1713">
        <v>0.9</v>
      </c>
      <c r="E1713">
        <v>0</v>
      </c>
      <c r="F1713">
        <v>0.3</v>
      </c>
      <c r="G1713">
        <v>0</v>
      </c>
      <c r="H1713">
        <v>3</v>
      </c>
      <c r="I1713">
        <v>0</v>
      </c>
      <c r="J1713">
        <v>0</v>
      </c>
      <c r="K1713">
        <v>0</v>
      </c>
      <c r="L1713">
        <v>0</v>
      </c>
      <c r="M1713">
        <v>0</v>
      </c>
      <c r="N1713">
        <v>108176</v>
      </c>
      <c r="O1713">
        <v>278399</v>
      </c>
      <c r="P1713">
        <v>347307</v>
      </c>
      <c r="Q1713">
        <v>1</v>
      </c>
      <c r="R1713">
        <v>0</v>
      </c>
      <c r="S1713">
        <v>1</v>
      </c>
      <c r="T1713">
        <v>30</v>
      </c>
      <c r="U1713">
        <v>49</v>
      </c>
    </row>
    <row r="1714" spans="1:21" x14ac:dyDescent="0.35">
      <c r="A1714" t="s">
        <v>26</v>
      </c>
      <c r="B1714" s="1">
        <v>44975</v>
      </c>
      <c r="C1714" t="s">
        <v>32</v>
      </c>
      <c r="D1714">
        <v>3.7</v>
      </c>
      <c r="E1714">
        <v>0</v>
      </c>
      <c r="F1714">
        <v>0</v>
      </c>
      <c r="G1714">
        <v>0</v>
      </c>
      <c r="H1714">
        <v>0</v>
      </c>
      <c r="I1714">
        <v>0</v>
      </c>
      <c r="J1714">
        <v>0</v>
      </c>
      <c r="K1714">
        <v>0</v>
      </c>
      <c r="L1714">
        <v>0</v>
      </c>
      <c r="M1714">
        <v>0</v>
      </c>
      <c r="N1714">
        <v>162642</v>
      </c>
      <c r="O1714">
        <v>0</v>
      </c>
      <c r="P1714">
        <v>0</v>
      </c>
      <c r="Q1714">
        <v>6</v>
      </c>
      <c r="R1714">
        <v>0</v>
      </c>
      <c r="S1714">
        <v>0</v>
      </c>
      <c r="T1714">
        <v>0</v>
      </c>
      <c r="U1714">
        <v>4</v>
      </c>
    </row>
    <row r="1715" spans="1:21" x14ac:dyDescent="0.35">
      <c r="A1715" t="s">
        <v>28</v>
      </c>
      <c r="B1715" s="1">
        <v>44436</v>
      </c>
      <c r="C1715" t="s">
        <v>29</v>
      </c>
      <c r="D1715">
        <v>286.2</v>
      </c>
      <c r="E1715">
        <v>96.2</v>
      </c>
      <c r="F1715">
        <v>0</v>
      </c>
      <c r="G1715">
        <v>3</v>
      </c>
      <c r="H1715">
        <v>0</v>
      </c>
      <c r="I1715">
        <v>0</v>
      </c>
      <c r="J1715">
        <v>0</v>
      </c>
      <c r="K1715">
        <v>0</v>
      </c>
      <c r="L1715">
        <v>0</v>
      </c>
      <c r="M1715">
        <v>0</v>
      </c>
      <c r="N1715">
        <v>243499</v>
      </c>
      <c r="O1715">
        <v>512355</v>
      </c>
      <c r="P1715">
        <v>0</v>
      </c>
      <c r="Q1715">
        <v>697</v>
      </c>
      <c r="R1715">
        <v>493</v>
      </c>
      <c r="S1715">
        <v>0</v>
      </c>
      <c r="T1715">
        <v>30</v>
      </c>
      <c r="U1715">
        <v>49</v>
      </c>
    </row>
    <row r="1716" spans="1:21" x14ac:dyDescent="0.35">
      <c r="A1716" t="s">
        <v>28</v>
      </c>
      <c r="B1716" s="1">
        <v>45178</v>
      </c>
      <c r="C1716" t="s">
        <v>27</v>
      </c>
      <c r="D1716">
        <v>34.700000000000003</v>
      </c>
      <c r="E1716">
        <v>26.6</v>
      </c>
      <c r="F1716">
        <v>31.4</v>
      </c>
      <c r="G1716">
        <v>1.3</v>
      </c>
      <c r="H1716">
        <v>1.1000000000000001</v>
      </c>
      <c r="I1716">
        <v>0</v>
      </c>
      <c r="J1716">
        <v>0</v>
      </c>
      <c r="K1716">
        <v>0</v>
      </c>
      <c r="L1716">
        <v>0</v>
      </c>
      <c r="M1716">
        <v>0</v>
      </c>
      <c r="N1716">
        <v>31714</v>
      </c>
      <c r="O1716">
        <v>86574</v>
      </c>
      <c r="P1716">
        <v>44596</v>
      </c>
      <c r="Q1716">
        <v>11</v>
      </c>
      <c r="R1716">
        <v>23</v>
      </c>
      <c r="S1716">
        <v>14</v>
      </c>
      <c r="T1716">
        <v>12</v>
      </c>
      <c r="U1716">
        <v>17</v>
      </c>
    </row>
    <row r="1717" spans="1:21" x14ac:dyDescent="0.35">
      <c r="A1717" t="s">
        <v>21</v>
      </c>
      <c r="B1717" s="1">
        <v>44262</v>
      </c>
      <c r="C1717" t="s">
        <v>32</v>
      </c>
      <c r="D1717">
        <v>0</v>
      </c>
      <c r="E1717">
        <v>0</v>
      </c>
      <c r="F1717">
        <v>0</v>
      </c>
      <c r="G1717">
        <v>0</v>
      </c>
      <c r="H1717">
        <v>0</v>
      </c>
      <c r="I1717">
        <v>0</v>
      </c>
      <c r="J1717">
        <v>0</v>
      </c>
      <c r="K1717">
        <v>0</v>
      </c>
      <c r="L1717">
        <v>0</v>
      </c>
      <c r="M1717">
        <v>0</v>
      </c>
      <c r="N1717">
        <v>162642</v>
      </c>
      <c r="O1717">
        <v>0</v>
      </c>
      <c r="P1717">
        <v>0</v>
      </c>
      <c r="Q1717">
        <v>0</v>
      </c>
      <c r="R1717">
        <v>0</v>
      </c>
      <c r="S1717">
        <v>0</v>
      </c>
      <c r="T1717">
        <v>0</v>
      </c>
      <c r="U1717">
        <v>4</v>
      </c>
    </row>
    <row r="1718" spans="1:21" x14ac:dyDescent="0.35">
      <c r="A1718" t="s">
        <v>26</v>
      </c>
      <c r="B1718" s="1">
        <v>44828</v>
      </c>
      <c r="C1718" t="s">
        <v>24</v>
      </c>
      <c r="D1718">
        <v>2.1</v>
      </c>
      <c r="E1718">
        <v>0</v>
      </c>
      <c r="F1718">
        <v>0</v>
      </c>
      <c r="G1718">
        <v>0</v>
      </c>
      <c r="H1718">
        <v>0</v>
      </c>
      <c r="I1718">
        <v>0</v>
      </c>
      <c r="J1718">
        <v>0</v>
      </c>
      <c r="K1718">
        <v>0</v>
      </c>
      <c r="L1718">
        <v>0</v>
      </c>
      <c r="M1718">
        <v>0</v>
      </c>
      <c r="N1718">
        <v>94919</v>
      </c>
      <c r="O1718">
        <v>81672</v>
      </c>
      <c r="P1718">
        <v>18722</v>
      </c>
      <c r="Q1718">
        <v>2</v>
      </c>
      <c r="R1718">
        <v>0</v>
      </c>
      <c r="S1718">
        <v>0</v>
      </c>
      <c r="T1718">
        <v>5</v>
      </c>
      <c r="U1718">
        <v>11</v>
      </c>
    </row>
    <row r="1719" spans="1:21" x14ac:dyDescent="0.35">
      <c r="A1719" t="s">
        <v>21</v>
      </c>
      <c r="B1719" s="1">
        <v>44429</v>
      </c>
      <c r="C1719" t="s">
        <v>25</v>
      </c>
      <c r="D1719">
        <v>0.5</v>
      </c>
      <c r="E1719">
        <v>0</v>
      </c>
      <c r="F1719">
        <v>0</v>
      </c>
      <c r="G1719">
        <v>0</v>
      </c>
      <c r="H1719">
        <v>0</v>
      </c>
      <c r="I1719">
        <v>0</v>
      </c>
      <c r="J1719">
        <v>0</v>
      </c>
      <c r="K1719">
        <v>0</v>
      </c>
      <c r="L1719">
        <v>0</v>
      </c>
      <c r="M1719">
        <v>0</v>
      </c>
      <c r="N1719">
        <v>197658</v>
      </c>
      <c r="O1719">
        <v>288634</v>
      </c>
      <c r="P1719">
        <v>0</v>
      </c>
      <c r="Q1719">
        <v>1</v>
      </c>
      <c r="R1719">
        <v>0</v>
      </c>
      <c r="S1719">
        <v>0</v>
      </c>
      <c r="T1719">
        <v>18</v>
      </c>
      <c r="U1719">
        <v>29</v>
      </c>
    </row>
    <row r="1720" spans="1:21" x14ac:dyDescent="0.35">
      <c r="A1720" t="s">
        <v>21</v>
      </c>
      <c r="B1720" s="1">
        <v>44262</v>
      </c>
      <c r="C1720" t="s">
        <v>24</v>
      </c>
      <c r="D1720">
        <v>0</v>
      </c>
      <c r="E1720">
        <v>0</v>
      </c>
      <c r="F1720">
        <v>0</v>
      </c>
      <c r="G1720">
        <v>0</v>
      </c>
      <c r="H1720">
        <v>0</v>
      </c>
      <c r="I1720">
        <v>0</v>
      </c>
      <c r="J1720">
        <v>0</v>
      </c>
      <c r="K1720">
        <v>0</v>
      </c>
      <c r="L1720">
        <v>0</v>
      </c>
      <c r="M1720">
        <v>0</v>
      </c>
      <c r="N1720">
        <v>210448</v>
      </c>
      <c r="O1720">
        <v>0</v>
      </c>
      <c r="P1720">
        <v>0</v>
      </c>
      <c r="Q1720">
        <v>0</v>
      </c>
      <c r="R1720">
        <v>0</v>
      </c>
      <c r="S1720">
        <v>0</v>
      </c>
      <c r="T1720">
        <v>5</v>
      </c>
      <c r="U1720">
        <v>11</v>
      </c>
    </row>
    <row r="1721" spans="1:21" x14ac:dyDescent="0.35">
      <c r="A1721" t="s">
        <v>28</v>
      </c>
      <c r="B1721" s="1">
        <v>45199</v>
      </c>
      <c r="C1721" t="s">
        <v>22</v>
      </c>
      <c r="D1721">
        <v>42.4</v>
      </c>
      <c r="E1721">
        <v>21.3</v>
      </c>
      <c r="F1721">
        <v>39.9</v>
      </c>
      <c r="G1721">
        <v>2</v>
      </c>
      <c r="H1721">
        <v>1.1000000000000001</v>
      </c>
      <c r="I1721">
        <v>51.8</v>
      </c>
      <c r="J1721">
        <v>23.5</v>
      </c>
      <c r="K1721">
        <v>31.6</v>
      </c>
      <c r="L1721">
        <v>2.2000000000000002</v>
      </c>
      <c r="M1721">
        <v>1.6</v>
      </c>
      <c r="N1721">
        <v>524196</v>
      </c>
      <c r="O1721">
        <v>860280</v>
      </c>
      <c r="P1721">
        <v>1040855</v>
      </c>
      <c r="Q1721">
        <v>222</v>
      </c>
      <c r="R1721">
        <v>183</v>
      </c>
      <c r="S1721">
        <v>415</v>
      </c>
      <c r="T1721">
        <v>999</v>
      </c>
      <c r="U1721">
        <v>999</v>
      </c>
    </row>
    <row r="1722" spans="1:21" x14ac:dyDescent="0.35">
      <c r="A1722" t="s">
        <v>21</v>
      </c>
      <c r="B1722" s="1">
        <v>44476</v>
      </c>
      <c r="C1722" t="s">
        <v>32</v>
      </c>
      <c r="D1722">
        <v>0</v>
      </c>
      <c r="E1722">
        <v>0</v>
      </c>
      <c r="F1722">
        <v>0</v>
      </c>
      <c r="G1722">
        <v>0</v>
      </c>
      <c r="H1722">
        <v>0</v>
      </c>
      <c r="I1722">
        <v>0</v>
      </c>
      <c r="J1722">
        <v>0</v>
      </c>
      <c r="K1722">
        <v>0</v>
      </c>
      <c r="L1722">
        <v>0</v>
      </c>
      <c r="M1722">
        <v>0</v>
      </c>
      <c r="N1722">
        <v>162642</v>
      </c>
      <c r="O1722">
        <v>0</v>
      </c>
      <c r="P1722">
        <v>0</v>
      </c>
      <c r="Q1722">
        <v>0</v>
      </c>
      <c r="R1722">
        <v>0</v>
      </c>
      <c r="S1722">
        <v>0</v>
      </c>
      <c r="T1722">
        <v>0</v>
      </c>
      <c r="U1722">
        <v>4</v>
      </c>
    </row>
    <row r="1723" spans="1:21" x14ac:dyDescent="0.35">
      <c r="A1723" t="s">
        <v>21</v>
      </c>
      <c r="B1723" s="1">
        <v>44476</v>
      </c>
      <c r="C1723" t="s">
        <v>24</v>
      </c>
      <c r="D1723">
        <v>0</v>
      </c>
      <c r="E1723">
        <v>0</v>
      </c>
      <c r="F1723">
        <v>0</v>
      </c>
      <c r="G1723">
        <v>0</v>
      </c>
      <c r="H1723">
        <v>0</v>
      </c>
      <c r="I1723">
        <v>0</v>
      </c>
      <c r="J1723">
        <v>0</v>
      </c>
      <c r="K1723">
        <v>0</v>
      </c>
      <c r="L1723">
        <v>0</v>
      </c>
      <c r="M1723">
        <v>0</v>
      </c>
      <c r="N1723">
        <v>210448</v>
      </c>
      <c r="O1723">
        <v>0</v>
      </c>
      <c r="P1723">
        <v>0</v>
      </c>
      <c r="Q1723">
        <v>0</v>
      </c>
      <c r="R1723">
        <v>0</v>
      </c>
      <c r="S1723">
        <v>0</v>
      </c>
      <c r="T1723">
        <v>5</v>
      </c>
      <c r="U1723">
        <v>11</v>
      </c>
    </row>
    <row r="1724" spans="1:21" x14ac:dyDescent="0.35">
      <c r="A1724" t="s">
        <v>26</v>
      </c>
      <c r="B1724" s="1">
        <v>44536</v>
      </c>
      <c r="C1724" t="s">
        <v>25</v>
      </c>
      <c r="D1724">
        <v>2.5</v>
      </c>
      <c r="E1724">
        <v>0</v>
      </c>
      <c r="F1724">
        <v>0</v>
      </c>
      <c r="G1724">
        <v>0</v>
      </c>
      <c r="H1724">
        <v>0</v>
      </c>
      <c r="I1724">
        <v>0</v>
      </c>
      <c r="J1724">
        <v>0</v>
      </c>
      <c r="K1724">
        <v>0</v>
      </c>
      <c r="L1724">
        <v>0</v>
      </c>
      <c r="M1724">
        <v>0</v>
      </c>
      <c r="N1724">
        <v>236542</v>
      </c>
      <c r="O1724">
        <v>236566</v>
      </c>
      <c r="P1724">
        <v>0</v>
      </c>
      <c r="Q1724">
        <v>6</v>
      </c>
      <c r="R1724">
        <v>0</v>
      </c>
      <c r="S1724">
        <v>0</v>
      </c>
      <c r="T1724">
        <v>18</v>
      </c>
      <c r="U1724">
        <v>29</v>
      </c>
    </row>
    <row r="1725" spans="1:21" x14ac:dyDescent="0.35">
      <c r="A1725" t="s">
        <v>26</v>
      </c>
      <c r="B1725" s="1">
        <v>44632</v>
      </c>
      <c r="C1725" t="s">
        <v>31</v>
      </c>
      <c r="D1725">
        <v>72.5</v>
      </c>
      <c r="E1725">
        <v>48.4</v>
      </c>
      <c r="F1725">
        <v>25.1</v>
      </c>
      <c r="G1725">
        <v>1.5</v>
      </c>
      <c r="H1725">
        <v>2.9</v>
      </c>
      <c r="I1725">
        <v>0</v>
      </c>
      <c r="J1725">
        <v>0</v>
      </c>
      <c r="K1725">
        <v>0</v>
      </c>
      <c r="L1725">
        <v>0</v>
      </c>
      <c r="M1725">
        <v>0</v>
      </c>
      <c r="N1725">
        <v>41351</v>
      </c>
      <c r="O1725">
        <v>43349</v>
      </c>
      <c r="P1725">
        <v>171626</v>
      </c>
      <c r="Q1725">
        <v>30</v>
      </c>
      <c r="R1725">
        <v>21</v>
      </c>
      <c r="S1725">
        <v>43</v>
      </c>
      <c r="T1725">
        <v>65</v>
      </c>
      <c r="U1725">
        <v>79</v>
      </c>
    </row>
    <row r="1726" spans="1:21" x14ac:dyDescent="0.35">
      <c r="A1726" t="s">
        <v>21</v>
      </c>
      <c r="B1726" s="1">
        <v>44394</v>
      </c>
      <c r="C1726" t="s">
        <v>32</v>
      </c>
      <c r="D1726">
        <v>0</v>
      </c>
      <c r="E1726">
        <v>0</v>
      </c>
      <c r="F1726">
        <v>0</v>
      </c>
      <c r="G1726">
        <v>0</v>
      </c>
      <c r="H1726">
        <v>0</v>
      </c>
      <c r="I1726">
        <v>0</v>
      </c>
      <c r="J1726">
        <v>0</v>
      </c>
      <c r="K1726">
        <v>0</v>
      </c>
      <c r="L1726">
        <v>0</v>
      </c>
      <c r="M1726">
        <v>0</v>
      </c>
      <c r="N1726">
        <v>162642</v>
      </c>
      <c r="O1726">
        <v>0</v>
      </c>
      <c r="P1726">
        <v>0</v>
      </c>
      <c r="Q1726">
        <v>0</v>
      </c>
      <c r="R1726">
        <v>0</v>
      </c>
      <c r="S1726">
        <v>0</v>
      </c>
      <c r="T1726">
        <v>0</v>
      </c>
      <c r="U1726">
        <v>4</v>
      </c>
    </row>
    <row r="1727" spans="1:21" x14ac:dyDescent="0.35">
      <c r="A1727" t="s">
        <v>26</v>
      </c>
      <c r="B1727" s="1">
        <v>44846</v>
      </c>
      <c r="C1727" t="s">
        <v>22</v>
      </c>
      <c r="D1727">
        <v>16.8</v>
      </c>
      <c r="E1727">
        <v>9.3000000000000007</v>
      </c>
      <c r="F1727">
        <v>13.3</v>
      </c>
      <c r="G1727">
        <v>1.8</v>
      </c>
      <c r="H1727">
        <v>1.3</v>
      </c>
      <c r="I1727">
        <v>21.7</v>
      </c>
      <c r="J1727">
        <v>13.4</v>
      </c>
      <c r="K1727">
        <v>9</v>
      </c>
      <c r="L1727">
        <v>1.6</v>
      </c>
      <c r="M1727">
        <v>2.4</v>
      </c>
      <c r="N1727">
        <v>560620</v>
      </c>
      <c r="O1727">
        <v>851689</v>
      </c>
      <c r="P1727">
        <v>1039873</v>
      </c>
      <c r="Q1727">
        <v>94</v>
      </c>
      <c r="R1727">
        <v>79</v>
      </c>
      <c r="S1727">
        <v>138</v>
      </c>
      <c r="T1727">
        <v>999</v>
      </c>
      <c r="U1727">
        <v>999</v>
      </c>
    </row>
    <row r="1728" spans="1:21" x14ac:dyDescent="0.35">
      <c r="A1728" t="s">
        <v>21</v>
      </c>
      <c r="B1728" s="1">
        <v>44394</v>
      </c>
      <c r="C1728" t="s">
        <v>24</v>
      </c>
      <c r="D1728">
        <v>0</v>
      </c>
      <c r="E1728">
        <v>0</v>
      </c>
      <c r="F1728">
        <v>0</v>
      </c>
      <c r="G1728">
        <v>0</v>
      </c>
      <c r="H1728">
        <v>0</v>
      </c>
      <c r="I1728">
        <v>0</v>
      </c>
      <c r="J1728">
        <v>0</v>
      </c>
      <c r="K1728">
        <v>0</v>
      </c>
      <c r="L1728">
        <v>0</v>
      </c>
      <c r="M1728">
        <v>0</v>
      </c>
      <c r="N1728">
        <v>210448</v>
      </c>
      <c r="O1728">
        <v>0</v>
      </c>
      <c r="P1728">
        <v>0</v>
      </c>
      <c r="Q1728">
        <v>0</v>
      </c>
      <c r="R1728">
        <v>0</v>
      </c>
      <c r="S1728">
        <v>0</v>
      </c>
      <c r="T1728">
        <v>5</v>
      </c>
      <c r="U1728">
        <v>11</v>
      </c>
    </row>
    <row r="1729" spans="1:21" x14ac:dyDescent="0.35">
      <c r="A1729" t="s">
        <v>28</v>
      </c>
      <c r="B1729" s="1">
        <v>44571</v>
      </c>
      <c r="C1729" t="s">
        <v>31</v>
      </c>
      <c r="D1729">
        <v>96.9</v>
      </c>
      <c r="E1729">
        <v>103.7</v>
      </c>
      <c r="F1729">
        <v>100.4</v>
      </c>
      <c r="G1729">
        <v>0.9</v>
      </c>
      <c r="H1729">
        <v>1</v>
      </c>
      <c r="I1729">
        <v>0</v>
      </c>
      <c r="J1729">
        <v>0</v>
      </c>
      <c r="K1729">
        <v>0</v>
      </c>
      <c r="L1729">
        <v>0</v>
      </c>
      <c r="M1729">
        <v>0</v>
      </c>
      <c r="N1729">
        <v>44363</v>
      </c>
      <c r="O1729">
        <v>43409</v>
      </c>
      <c r="P1729">
        <v>171376</v>
      </c>
      <c r="Q1729">
        <v>43</v>
      </c>
      <c r="R1729">
        <v>45</v>
      </c>
      <c r="S1729">
        <v>172</v>
      </c>
      <c r="T1729">
        <v>65</v>
      </c>
      <c r="U1729">
        <v>79</v>
      </c>
    </row>
    <row r="1730" spans="1:21" x14ac:dyDescent="0.35">
      <c r="A1730" t="s">
        <v>21</v>
      </c>
      <c r="B1730" s="1">
        <v>45117</v>
      </c>
      <c r="C1730" t="s">
        <v>27</v>
      </c>
      <c r="D1730">
        <v>0</v>
      </c>
      <c r="E1730">
        <v>0</v>
      </c>
      <c r="F1730">
        <v>0</v>
      </c>
      <c r="G1730">
        <v>0</v>
      </c>
      <c r="H1730">
        <v>0</v>
      </c>
      <c r="I1730">
        <v>0</v>
      </c>
      <c r="J1730">
        <v>0</v>
      </c>
      <c r="K1730">
        <v>0</v>
      </c>
      <c r="L1730">
        <v>0</v>
      </c>
      <c r="M1730">
        <v>0</v>
      </c>
      <c r="N1730">
        <v>31666</v>
      </c>
      <c r="O1730">
        <v>86571</v>
      </c>
      <c r="P1730">
        <v>44601</v>
      </c>
      <c r="Q1730">
        <v>0</v>
      </c>
      <c r="R1730">
        <v>0</v>
      </c>
      <c r="S1730">
        <v>0</v>
      </c>
      <c r="T1730">
        <v>12</v>
      </c>
      <c r="U1730">
        <v>17</v>
      </c>
    </row>
    <row r="1731" spans="1:21" x14ac:dyDescent="0.35">
      <c r="A1731" t="s">
        <v>28</v>
      </c>
      <c r="B1731" s="1">
        <v>45108</v>
      </c>
      <c r="C1731" t="s">
        <v>31</v>
      </c>
      <c r="D1731">
        <v>187.4</v>
      </c>
      <c r="E1731">
        <v>143</v>
      </c>
      <c r="F1731">
        <v>148</v>
      </c>
      <c r="G1731">
        <v>1.3</v>
      </c>
      <c r="H1731">
        <v>1.3</v>
      </c>
      <c r="I1731">
        <v>0</v>
      </c>
      <c r="J1731">
        <v>0</v>
      </c>
      <c r="K1731">
        <v>0</v>
      </c>
      <c r="L1731">
        <v>0</v>
      </c>
      <c r="M1731">
        <v>0</v>
      </c>
      <c r="N1731">
        <v>40561</v>
      </c>
      <c r="O1731">
        <v>43362</v>
      </c>
      <c r="P1731">
        <v>171679</v>
      </c>
      <c r="Q1731">
        <v>76</v>
      </c>
      <c r="R1731">
        <v>62</v>
      </c>
      <c r="S1731">
        <v>254</v>
      </c>
      <c r="T1731">
        <v>65</v>
      </c>
      <c r="U1731">
        <v>79</v>
      </c>
    </row>
    <row r="1732" spans="1:21" x14ac:dyDescent="0.35">
      <c r="A1732" t="s">
        <v>28</v>
      </c>
      <c r="B1732" s="1">
        <v>44618</v>
      </c>
      <c r="C1732" t="s">
        <v>22</v>
      </c>
      <c r="D1732">
        <v>77.7</v>
      </c>
      <c r="E1732">
        <v>37.700000000000003</v>
      </c>
      <c r="F1732">
        <v>50.7</v>
      </c>
      <c r="G1732">
        <v>2.1</v>
      </c>
      <c r="H1732">
        <v>1.5</v>
      </c>
      <c r="I1732">
        <v>88.9</v>
      </c>
      <c r="J1732">
        <v>36</v>
      </c>
      <c r="K1732">
        <v>44.8</v>
      </c>
      <c r="L1732">
        <v>2.5</v>
      </c>
      <c r="M1732">
        <v>2</v>
      </c>
      <c r="N1732">
        <v>671890</v>
      </c>
      <c r="O1732">
        <v>908056</v>
      </c>
      <c r="P1732">
        <v>888098</v>
      </c>
      <c r="Q1732">
        <v>522</v>
      </c>
      <c r="R1732">
        <v>342</v>
      </c>
      <c r="S1732">
        <v>450</v>
      </c>
      <c r="T1732">
        <v>999</v>
      </c>
      <c r="U1732">
        <v>999</v>
      </c>
    </row>
    <row r="1733" spans="1:21" x14ac:dyDescent="0.35">
      <c r="A1733" t="s">
        <v>21</v>
      </c>
      <c r="B1733" s="1">
        <v>44401</v>
      </c>
      <c r="C1733" t="s">
        <v>32</v>
      </c>
      <c r="D1733">
        <v>0</v>
      </c>
      <c r="E1733">
        <v>0</v>
      </c>
      <c r="F1733">
        <v>0</v>
      </c>
      <c r="G1733">
        <v>0</v>
      </c>
      <c r="H1733">
        <v>0</v>
      </c>
      <c r="I1733">
        <v>0</v>
      </c>
      <c r="J1733">
        <v>0</v>
      </c>
      <c r="K1733">
        <v>0</v>
      </c>
      <c r="L1733">
        <v>0</v>
      </c>
      <c r="M1733">
        <v>0</v>
      </c>
      <c r="N1733">
        <v>162642</v>
      </c>
      <c r="O1733">
        <v>0</v>
      </c>
      <c r="P1733">
        <v>0</v>
      </c>
      <c r="Q1733">
        <v>0</v>
      </c>
      <c r="R1733">
        <v>0</v>
      </c>
      <c r="S1733">
        <v>0</v>
      </c>
      <c r="T1733">
        <v>0</v>
      </c>
      <c r="U1733">
        <v>4</v>
      </c>
    </row>
    <row r="1734" spans="1:21" x14ac:dyDescent="0.35">
      <c r="A1734" t="s">
        <v>26</v>
      </c>
      <c r="B1734" s="1">
        <v>44897</v>
      </c>
      <c r="C1734" t="s">
        <v>31</v>
      </c>
      <c r="D1734">
        <v>36.4</v>
      </c>
      <c r="E1734">
        <v>31.2</v>
      </c>
      <c r="F1734">
        <v>8.6</v>
      </c>
      <c r="G1734">
        <v>1.2</v>
      </c>
      <c r="H1734">
        <v>4.2</v>
      </c>
      <c r="I1734">
        <v>0</v>
      </c>
      <c r="J1734">
        <v>0</v>
      </c>
      <c r="K1734">
        <v>0</v>
      </c>
      <c r="L1734">
        <v>0</v>
      </c>
      <c r="M1734">
        <v>0</v>
      </c>
      <c r="N1734">
        <v>49452</v>
      </c>
      <c r="O1734">
        <v>57654</v>
      </c>
      <c r="P1734">
        <v>151402</v>
      </c>
      <c r="Q1734">
        <v>18</v>
      </c>
      <c r="R1734">
        <v>18</v>
      </c>
      <c r="S1734">
        <v>13</v>
      </c>
      <c r="T1734">
        <v>65</v>
      </c>
      <c r="U1734">
        <v>79</v>
      </c>
    </row>
    <row r="1735" spans="1:21" x14ac:dyDescent="0.35">
      <c r="A1735" t="s">
        <v>28</v>
      </c>
      <c r="B1735" s="1">
        <v>44422</v>
      </c>
      <c r="C1735" t="s">
        <v>23</v>
      </c>
      <c r="D1735">
        <v>235.6</v>
      </c>
      <c r="E1735">
        <v>53.8</v>
      </c>
      <c r="F1735">
        <v>0</v>
      </c>
      <c r="G1735">
        <v>4.4000000000000004</v>
      </c>
      <c r="H1735">
        <v>0</v>
      </c>
      <c r="I1735">
        <v>0</v>
      </c>
      <c r="J1735">
        <v>0</v>
      </c>
      <c r="K1735">
        <v>0</v>
      </c>
      <c r="L1735">
        <v>0</v>
      </c>
      <c r="M1735">
        <v>0</v>
      </c>
      <c r="N1735">
        <v>94229</v>
      </c>
      <c r="O1735">
        <v>318064</v>
      </c>
      <c r="P1735">
        <v>0</v>
      </c>
      <c r="Q1735">
        <v>222</v>
      </c>
      <c r="R1735">
        <v>171</v>
      </c>
      <c r="S1735">
        <v>0</v>
      </c>
      <c r="T1735">
        <v>50</v>
      </c>
      <c r="U1735">
        <v>64</v>
      </c>
    </row>
    <row r="1736" spans="1:21" x14ac:dyDescent="0.35">
      <c r="A1736" t="s">
        <v>21</v>
      </c>
      <c r="B1736" s="1">
        <v>45027</v>
      </c>
      <c r="C1736" t="s">
        <v>25</v>
      </c>
      <c r="D1736">
        <v>0</v>
      </c>
      <c r="E1736">
        <v>0</v>
      </c>
      <c r="F1736">
        <v>0</v>
      </c>
      <c r="G1736">
        <v>0</v>
      </c>
      <c r="H1736">
        <v>0</v>
      </c>
      <c r="I1736">
        <v>0</v>
      </c>
      <c r="J1736">
        <v>0</v>
      </c>
      <c r="K1736">
        <v>0</v>
      </c>
      <c r="L1736">
        <v>0</v>
      </c>
      <c r="M1736">
        <v>0</v>
      </c>
      <c r="N1736">
        <v>69457</v>
      </c>
      <c r="O1736">
        <v>215124</v>
      </c>
      <c r="P1736">
        <v>162370</v>
      </c>
      <c r="Q1736">
        <v>0</v>
      </c>
      <c r="R1736">
        <v>0</v>
      </c>
      <c r="S1736">
        <v>0</v>
      </c>
      <c r="T1736">
        <v>18</v>
      </c>
      <c r="U1736">
        <v>29</v>
      </c>
    </row>
    <row r="1737" spans="1:21" x14ac:dyDescent="0.35">
      <c r="A1737" t="s">
        <v>21</v>
      </c>
      <c r="B1737" s="1">
        <v>44401</v>
      </c>
      <c r="C1737" t="s">
        <v>24</v>
      </c>
      <c r="D1737">
        <v>0</v>
      </c>
      <c r="E1737">
        <v>0</v>
      </c>
      <c r="F1737">
        <v>0</v>
      </c>
      <c r="G1737">
        <v>0</v>
      </c>
      <c r="H1737">
        <v>0</v>
      </c>
      <c r="I1737">
        <v>0</v>
      </c>
      <c r="J1737">
        <v>0</v>
      </c>
      <c r="K1737">
        <v>0</v>
      </c>
      <c r="L1737">
        <v>0</v>
      </c>
      <c r="M1737">
        <v>0</v>
      </c>
      <c r="N1737">
        <v>210448</v>
      </c>
      <c r="O1737">
        <v>0</v>
      </c>
      <c r="P1737">
        <v>0</v>
      </c>
      <c r="Q1737">
        <v>0</v>
      </c>
      <c r="R1737">
        <v>0</v>
      </c>
      <c r="S1737">
        <v>0</v>
      </c>
      <c r="T1737">
        <v>5</v>
      </c>
      <c r="U1737">
        <v>11</v>
      </c>
    </row>
    <row r="1738" spans="1:21" x14ac:dyDescent="0.35">
      <c r="A1738" t="s">
        <v>28</v>
      </c>
      <c r="B1738" s="1">
        <v>44555</v>
      </c>
      <c r="C1738" t="s">
        <v>30</v>
      </c>
      <c r="D1738">
        <v>516.6</v>
      </c>
      <c r="E1738">
        <v>798.1</v>
      </c>
      <c r="F1738">
        <v>266.3</v>
      </c>
      <c r="G1738">
        <v>0.6</v>
      </c>
      <c r="H1738">
        <v>1.9</v>
      </c>
      <c r="I1738">
        <v>0</v>
      </c>
      <c r="J1738">
        <v>0</v>
      </c>
      <c r="K1738">
        <v>0</v>
      </c>
      <c r="L1738">
        <v>0</v>
      </c>
      <c r="M1738">
        <v>0</v>
      </c>
      <c r="N1738">
        <v>28067</v>
      </c>
      <c r="O1738">
        <v>22679</v>
      </c>
      <c r="P1738">
        <v>33427</v>
      </c>
      <c r="Q1738">
        <v>145</v>
      </c>
      <c r="R1738">
        <v>181</v>
      </c>
      <c r="S1738">
        <v>89</v>
      </c>
      <c r="T1738">
        <v>80</v>
      </c>
      <c r="U1738">
        <v>200</v>
      </c>
    </row>
    <row r="1739" spans="1:21" x14ac:dyDescent="0.35">
      <c r="A1739" t="s">
        <v>28</v>
      </c>
      <c r="B1739" s="1">
        <v>44982</v>
      </c>
      <c r="C1739" t="s">
        <v>29</v>
      </c>
      <c r="D1739">
        <v>121.8</v>
      </c>
      <c r="E1739">
        <v>61.9</v>
      </c>
      <c r="F1739">
        <v>79.5</v>
      </c>
      <c r="G1739">
        <v>2</v>
      </c>
      <c r="H1739">
        <v>1.5</v>
      </c>
      <c r="I1739">
        <v>0</v>
      </c>
      <c r="J1739">
        <v>0</v>
      </c>
      <c r="K1739">
        <v>0</v>
      </c>
      <c r="L1739">
        <v>0</v>
      </c>
      <c r="M1739">
        <v>0</v>
      </c>
      <c r="N1739">
        <v>110797</v>
      </c>
      <c r="O1739">
        <v>277836</v>
      </c>
      <c r="P1739">
        <v>347256</v>
      </c>
      <c r="Q1739">
        <v>135</v>
      </c>
      <c r="R1739">
        <v>172</v>
      </c>
      <c r="S1739">
        <v>276</v>
      </c>
      <c r="T1739">
        <v>30</v>
      </c>
      <c r="U1739">
        <v>49</v>
      </c>
    </row>
    <row r="1740" spans="1:21" x14ac:dyDescent="0.35">
      <c r="A1740" t="s">
        <v>21</v>
      </c>
      <c r="B1740" s="1">
        <v>44408</v>
      </c>
      <c r="C1740" t="s">
        <v>32</v>
      </c>
      <c r="D1740">
        <v>0</v>
      </c>
      <c r="E1740">
        <v>0</v>
      </c>
      <c r="F1740">
        <v>0</v>
      </c>
      <c r="G1740">
        <v>0</v>
      </c>
      <c r="H1740">
        <v>0</v>
      </c>
      <c r="I1740">
        <v>0</v>
      </c>
      <c r="J1740">
        <v>0</v>
      </c>
      <c r="K1740">
        <v>0</v>
      </c>
      <c r="L1740">
        <v>0</v>
      </c>
      <c r="M1740">
        <v>0</v>
      </c>
      <c r="N1740">
        <v>162642</v>
      </c>
      <c r="O1740">
        <v>0</v>
      </c>
      <c r="P1740">
        <v>0</v>
      </c>
      <c r="Q1740">
        <v>0</v>
      </c>
      <c r="R1740">
        <v>0</v>
      </c>
      <c r="S1740">
        <v>0</v>
      </c>
      <c r="T1740">
        <v>0</v>
      </c>
      <c r="U1740">
        <v>4</v>
      </c>
    </row>
    <row r="1741" spans="1:21" x14ac:dyDescent="0.35">
      <c r="A1741" t="s">
        <v>28</v>
      </c>
      <c r="B1741" s="1">
        <v>44298</v>
      </c>
      <c r="C1741" t="s">
        <v>25</v>
      </c>
      <c r="D1741">
        <v>537.29999999999995</v>
      </c>
      <c r="E1741">
        <v>203.8</v>
      </c>
      <c r="F1741">
        <v>103.1</v>
      </c>
      <c r="G1741">
        <v>2.6</v>
      </c>
      <c r="H1741">
        <v>5.2</v>
      </c>
      <c r="I1741">
        <v>0</v>
      </c>
      <c r="J1741">
        <v>0</v>
      </c>
      <c r="K1741">
        <v>0</v>
      </c>
      <c r="L1741">
        <v>0</v>
      </c>
      <c r="M1741">
        <v>0</v>
      </c>
      <c r="N1741">
        <v>151690</v>
      </c>
      <c r="O1741">
        <v>300768</v>
      </c>
      <c r="P1741">
        <v>31036</v>
      </c>
      <c r="Q1741">
        <v>815</v>
      </c>
      <c r="R1741">
        <v>613</v>
      </c>
      <c r="S1741">
        <v>32</v>
      </c>
      <c r="T1741">
        <v>18</v>
      </c>
      <c r="U1741">
        <v>29</v>
      </c>
    </row>
    <row r="1742" spans="1:21" x14ac:dyDescent="0.35">
      <c r="A1742" t="s">
        <v>28</v>
      </c>
      <c r="B1742" s="1">
        <v>44849</v>
      </c>
      <c r="C1742" t="s">
        <v>23</v>
      </c>
      <c r="D1742">
        <v>259.3</v>
      </c>
      <c r="E1742">
        <v>67.900000000000006</v>
      </c>
      <c r="F1742">
        <v>106.2</v>
      </c>
      <c r="G1742">
        <v>3.8</v>
      </c>
      <c r="H1742">
        <v>2.4</v>
      </c>
      <c r="I1742">
        <v>0</v>
      </c>
      <c r="J1742">
        <v>0</v>
      </c>
      <c r="K1742">
        <v>0</v>
      </c>
      <c r="L1742">
        <v>0</v>
      </c>
      <c r="M1742">
        <v>0</v>
      </c>
      <c r="N1742">
        <v>38173</v>
      </c>
      <c r="O1742">
        <v>125196</v>
      </c>
      <c r="P1742">
        <v>246614</v>
      </c>
      <c r="Q1742">
        <v>99</v>
      </c>
      <c r="R1742">
        <v>85</v>
      </c>
      <c r="S1742">
        <v>262</v>
      </c>
      <c r="T1742">
        <v>50</v>
      </c>
      <c r="U1742">
        <v>64</v>
      </c>
    </row>
    <row r="1743" spans="1:21" x14ac:dyDescent="0.35">
      <c r="A1743" t="s">
        <v>26</v>
      </c>
      <c r="B1743" s="1">
        <v>45054</v>
      </c>
      <c r="C1743" t="s">
        <v>27</v>
      </c>
      <c r="D1743">
        <v>0</v>
      </c>
      <c r="E1743">
        <v>0</v>
      </c>
      <c r="F1743">
        <v>0</v>
      </c>
      <c r="G1743">
        <v>0</v>
      </c>
      <c r="H1743">
        <v>0</v>
      </c>
      <c r="I1743">
        <v>0</v>
      </c>
      <c r="J1743">
        <v>0</v>
      </c>
      <c r="K1743">
        <v>0</v>
      </c>
      <c r="L1743">
        <v>0</v>
      </c>
      <c r="M1743">
        <v>0</v>
      </c>
      <c r="N1743">
        <v>32022</v>
      </c>
      <c r="O1743">
        <v>86577</v>
      </c>
      <c r="P1743">
        <v>44592</v>
      </c>
      <c r="Q1743">
        <v>0</v>
      </c>
      <c r="R1743">
        <v>0</v>
      </c>
      <c r="S1743">
        <v>0</v>
      </c>
      <c r="T1743">
        <v>12</v>
      </c>
      <c r="U1743">
        <v>17</v>
      </c>
    </row>
    <row r="1744" spans="1:21" x14ac:dyDescent="0.35">
      <c r="A1744" t="s">
        <v>21</v>
      </c>
      <c r="B1744" s="1">
        <v>44408</v>
      </c>
      <c r="C1744" t="s">
        <v>24</v>
      </c>
      <c r="D1744">
        <v>0</v>
      </c>
      <c r="E1744">
        <v>0</v>
      </c>
      <c r="F1744">
        <v>0</v>
      </c>
      <c r="G1744">
        <v>0</v>
      </c>
      <c r="H1744">
        <v>0</v>
      </c>
      <c r="I1744">
        <v>0</v>
      </c>
      <c r="J1744">
        <v>0</v>
      </c>
      <c r="K1744">
        <v>0</v>
      </c>
      <c r="L1744">
        <v>0</v>
      </c>
      <c r="M1744">
        <v>0</v>
      </c>
      <c r="N1744">
        <v>210448</v>
      </c>
      <c r="O1744">
        <v>0</v>
      </c>
      <c r="P1744">
        <v>0</v>
      </c>
      <c r="Q1744">
        <v>0</v>
      </c>
      <c r="R1744">
        <v>0</v>
      </c>
      <c r="S1744">
        <v>0</v>
      </c>
      <c r="T1744">
        <v>5</v>
      </c>
      <c r="U1744">
        <v>11</v>
      </c>
    </row>
    <row r="1745" spans="1:21" x14ac:dyDescent="0.35">
      <c r="A1745" t="s">
        <v>28</v>
      </c>
      <c r="B1745" s="1">
        <v>44457</v>
      </c>
      <c r="C1745" t="s">
        <v>22</v>
      </c>
      <c r="D1745">
        <v>188.9</v>
      </c>
      <c r="E1745">
        <v>63</v>
      </c>
      <c r="F1745">
        <v>0</v>
      </c>
      <c r="G1745">
        <v>3</v>
      </c>
      <c r="H1745">
        <v>0</v>
      </c>
      <c r="I1745">
        <v>211.4</v>
      </c>
      <c r="J1745">
        <v>51.8</v>
      </c>
      <c r="K1745">
        <v>0</v>
      </c>
      <c r="L1745">
        <v>4.0999999999999996</v>
      </c>
      <c r="M1745">
        <v>0</v>
      </c>
      <c r="N1745">
        <v>1033219</v>
      </c>
      <c r="O1745">
        <v>1487228</v>
      </c>
      <c r="P1745">
        <v>0</v>
      </c>
      <c r="Q1745">
        <v>1952</v>
      </c>
      <c r="R1745">
        <v>937</v>
      </c>
      <c r="S1745">
        <v>0</v>
      </c>
      <c r="T1745">
        <v>999</v>
      </c>
      <c r="U1745">
        <v>999</v>
      </c>
    </row>
    <row r="1746" spans="1:21" x14ac:dyDescent="0.35">
      <c r="A1746" t="s">
        <v>28</v>
      </c>
      <c r="B1746" s="1">
        <v>44897</v>
      </c>
      <c r="C1746" t="s">
        <v>23</v>
      </c>
      <c r="D1746">
        <v>229.9</v>
      </c>
      <c r="E1746">
        <v>72.099999999999994</v>
      </c>
      <c r="F1746">
        <v>71.599999999999994</v>
      </c>
      <c r="G1746">
        <v>3.2</v>
      </c>
      <c r="H1746">
        <v>3.2</v>
      </c>
      <c r="I1746">
        <v>0</v>
      </c>
      <c r="J1746">
        <v>0</v>
      </c>
      <c r="K1746">
        <v>0</v>
      </c>
      <c r="L1746">
        <v>0</v>
      </c>
      <c r="M1746">
        <v>0</v>
      </c>
      <c r="N1746">
        <v>47848</v>
      </c>
      <c r="O1746">
        <v>152527</v>
      </c>
      <c r="P1746">
        <v>208125</v>
      </c>
      <c r="Q1746">
        <v>110</v>
      </c>
      <c r="R1746">
        <v>110</v>
      </c>
      <c r="S1746">
        <v>149</v>
      </c>
      <c r="T1746">
        <v>50</v>
      </c>
      <c r="U1746">
        <v>64</v>
      </c>
    </row>
    <row r="1747" spans="1:21" x14ac:dyDescent="0.35">
      <c r="A1747" t="s">
        <v>21</v>
      </c>
      <c r="B1747" s="1">
        <v>44702</v>
      </c>
      <c r="C1747" t="s">
        <v>24</v>
      </c>
      <c r="D1747">
        <v>0</v>
      </c>
      <c r="E1747">
        <v>0</v>
      </c>
      <c r="F1747">
        <v>0</v>
      </c>
      <c r="G1747">
        <v>0</v>
      </c>
      <c r="H1747">
        <v>0</v>
      </c>
      <c r="I1747">
        <v>0</v>
      </c>
      <c r="J1747">
        <v>0</v>
      </c>
      <c r="K1747">
        <v>0</v>
      </c>
      <c r="L1747">
        <v>0</v>
      </c>
      <c r="M1747">
        <v>0</v>
      </c>
      <c r="N1747">
        <v>101061</v>
      </c>
      <c r="O1747">
        <v>94369</v>
      </c>
      <c r="P1747">
        <v>411</v>
      </c>
      <c r="Q1747">
        <v>0</v>
      </c>
      <c r="R1747">
        <v>0</v>
      </c>
      <c r="S1747">
        <v>0</v>
      </c>
      <c r="T1747">
        <v>5</v>
      </c>
      <c r="U1747">
        <v>11</v>
      </c>
    </row>
    <row r="1748" spans="1:21" x14ac:dyDescent="0.35">
      <c r="A1748" t="s">
        <v>21</v>
      </c>
      <c r="B1748" s="1">
        <v>44385</v>
      </c>
      <c r="C1748" t="s">
        <v>32</v>
      </c>
      <c r="D1748">
        <v>0</v>
      </c>
      <c r="E1748">
        <v>0</v>
      </c>
      <c r="F1748">
        <v>0</v>
      </c>
      <c r="G1748">
        <v>0</v>
      </c>
      <c r="H1748">
        <v>0</v>
      </c>
      <c r="I1748">
        <v>0</v>
      </c>
      <c r="J1748">
        <v>0</v>
      </c>
      <c r="K1748">
        <v>0</v>
      </c>
      <c r="L1748">
        <v>0</v>
      </c>
      <c r="M1748">
        <v>0</v>
      </c>
      <c r="N1748">
        <v>162642</v>
      </c>
      <c r="O1748">
        <v>0</v>
      </c>
      <c r="P1748">
        <v>0</v>
      </c>
      <c r="Q1748">
        <v>0</v>
      </c>
      <c r="R1748">
        <v>0</v>
      </c>
      <c r="S1748">
        <v>0</v>
      </c>
      <c r="T1748">
        <v>0</v>
      </c>
      <c r="U1748">
        <v>4</v>
      </c>
    </row>
    <row r="1749" spans="1:21" x14ac:dyDescent="0.35">
      <c r="A1749" t="s">
        <v>28</v>
      </c>
      <c r="B1749" s="1">
        <v>44912</v>
      </c>
      <c r="C1749" t="s">
        <v>32</v>
      </c>
      <c r="D1749">
        <v>126.7</v>
      </c>
      <c r="E1749">
        <v>7.4</v>
      </c>
      <c r="F1749">
        <v>0</v>
      </c>
      <c r="G1749">
        <v>17.100000000000001</v>
      </c>
      <c r="H1749">
        <v>0</v>
      </c>
      <c r="I1749">
        <v>0</v>
      </c>
      <c r="J1749">
        <v>0</v>
      </c>
      <c r="K1749">
        <v>0</v>
      </c>
      <c r="L1749">
        <v>0</v>
      </c>
      <c r="M1749">
        <v>0</v>
      </c>
      <c r="N1749">
        <v>162642</v>
      </c>
      <c r="O1749">
        <v>0</v>
      </c>
      <c r="P1749">
        <v>0</v>
      </c>
      <c r="Q1749">
        <v>206</v>
      </c>
      <c r="R1749">
        <v>12</v>
      </c>
      <c r="S1749">
        <v>0</v>
      </c>
      <c r="T1749">
        <v>0</v>
      </c>
      <c r="U1749">
        <v>4</v>
      </c>
    </row>
    <row r="1750" spans="1:21" x14ac:dyDescent="0.35">
      <c r="A1750" t="s">
        <v>28</v>
      </c>
      <c r="B1750" s="1">
        <v>44765</v>
      </c>
      <c r="C1750" t="s">
        <v>27</v>
      </c>
      <c r="D1750">
        <v>174.6</v>
      </c>
      <c r="E1750">
        <v>86.4</v>
      </c>
      <c r="F1750">
        <v>120.5</v>
      </c>
      <c r="G1750">
        <v>2</v>
      </c>
      <c r="H1750">
        <v>1.4</v>
      </c>
      <c r="I1750">
        <v>0</v>
      </c>
      <c r="J1750">
        <v>0</v>
      </c>
      <c r="K1750">
        <v>0</v>
      </c>
      <c r="L1750">
        <v>0</v>
      </c>
      <c r="M1750">
        <v>0</v>
      </c>
      <c r="N1750">
        <v>36073</v>
      </c>
      <c r="O1750">
        <v>90284</v>
      </c>
      <c r="P1750">
        <v>39015</v>
      </c>
      <c r="Q1750">
        <v>63</v>
      </c>
      <c r="R1750">
        <v>78</v>
      </c>
      <c r="S1750">
        <v>47</v>
      </c>
      <c r="T1750">
        <v>12</v>
      </c>
      <c r="U1750">
        <v>17</v>
      </c>
    </row>
    <row r="1751" spans="1:21" x14ac:dyDescent="0.35">
      <c r="A1751" t="s">
        <v>21</v>
      </c>
      <c r="B1751" s="1">
        <v>44385</v>
      </c>
      <c r="C1751" t="s">
        <v>24</v>
      </c>
      <c r="D1751">
        <v>0.5</v>
      </c>
      <c r="E1751">
        <v>0</v>
      </c>
      <c r="F1751">
        <v>0</v>
      </c>
      <c r="G1751">
        <v>0</v>
      </c>
      <c r="H1751">
        <v>0</v>
      </c>
      <c r="I1751">
        <v>0</v>
      </c>
      <c r="J1751">
        <v>0</v>
      </c>
      <c r="K1751">
        <v>0</v>
      </c>
      <c r="L1751">
        <v>0</v>
      </c>
      <c r="M1751">
        <v>0</v>
      </c>
      <c r="N1751">
        <v>210448</v>
      </c>
      <c r="O1751">
        <v>0</v>
      </c>
      <c r="P1751">
        <v>0</v>
      </c>
      <c r="Q1751">
        <v>1</v>
      </c>
      <c r="R1751">
        <v>0</v>
      </c>
      <c r="S1751">
        <v>0</v>
      </c>
      <c r="T1751">
        <v>5</v>
      </c>
      <c r="U1751">
        <v>11</v>
      </c>
    </row>
    <row r="1752" spans="1:21" x14ac:dyDescent="0.35">
      <c r="A1752" t="s">
        <v>21</v>
      </c>
      <c r="B1752" s="1">
        <v>44259</v>
      </c>
      <c r="C1752" t="s">
        <v>22</v>
      </c>
      <c r="D1752">
        <v>1.5</v>
      </c>
      <c r="E1752">
        <v>0.3</v>
      </c>
      <c r="F1752">
        <v>0</v>
      </c>
      <c r="G1752">
        <v>5</v>
      </c>
      <c r="H1752">
        <v>0</v>
      </c>
      <c r="I1752">
        <v>2</v>
      </c>
      <c r="J1752">
        <v>0.1</v>
      </c>
      <c r="K1752">
        <v>0</v>
      </c>
      <c r="L1752">
        <v>19.3</v>
      </c>
      <c r="M1752">
        <v>0</v>
      </c>
      <c r="N1752">
        <v>1827674</v>
      </c>
      <c r="O1752">
        <v>338699</v>
      </c>
      <c r="P1752">
        <v>0</v>
      </c>
      <c r="Q1752">
        <v>27</v>
      </c>
      <c r="R1752">
        <v>1</v>
      </c>
      <c r="S1752">
        <v>0</v>
      </c>
      <c r="T1752">
        <v>999</v>
      </c>
      <c r="U1752">
        <v>999</v>
      </c>
    </row>
    <row r="1753" spans="1:21" x14ac:dyDescent="0.35">
      <c r="A1753" t="s">
        <v>21</v>
      </c>
      <c r="B1753" s="1">
        <v>44422</v>
      </c>
      <c r="C1753" t="s">
        <v>32</v>
      </c>
      <c r="D1753">
        <v>0</v>
      </c>
      <c r="E1753">
        <v>0</v>
      </c>
      <c r="F1753">
        <v>0</v>
      </c>
      <c r="G1753">
        <v>0</v>
      </c>
      <c r="H1753">
        <v>0</v>
      </c>
      <c r="I1753">
        <v>0</v>
      </c>
      <c r="J1753">
        <v>0</v>
      </c>
      <c r="K1753">
        <v>0</v>
      </c>
      <c r="L1753">
        <v>0</v>
      </c>
      <c r="M1753">
        <v>0</v>
      </c>
      <c r="N1753">
        <v>162642</v>
      </c>
      <c r="O1753">
        <v>0</v>
      </c>
      <c r="P1753">
        <v>0</v>
      </c>
      <c r="Q1753">
        <v>0</v>
      </c>
      <c r="R1753">
        <v>0</v>
      </c>
      <c r="S1753">
        <v>0</v>
      </c>
      <c r="T1753">
        <v>0</v>
      </c>
      <c r="U1753">
        <v>4</v>
      </c>
    </row>
    <row r="1754" spans="1:21" x14ac:dyDescent="0.35">
      <c r="A1754" t="s">
        <v>28</v>
      </c>
      <c r="B1754" s="1">
        <v>44821</v>
      </c>
      <c r="C1754" t="s">
        <v>27</v>
      </c>
      <c r="D1754">
        <v>208</v>
      </c>
      <c r="E1754">
        <v>80.5</v>
      </c>
      <c r="F1754">
        <v>85.7</v>
      </c>
      <c r="G1754">
        <v>2.6</v>
      </c>
      <c r="H1754">
        <v>2.4</v>
      </c>
      <c r="I1754">
        <v>0</v>
      </c>
      <c r="J1754">
        <v>0</v>
      </c>
      <c r="K1754">
        <v>0</v>
      </c>
      <c r="L1754">
        <v>0</v>
      </c>
      <c r="M1754">
        <v>0</v>
      </c>
      <c r="N1754">
        <v>35094</v>
      </c>
      <c r="O1754">
        <v>85762</v>
      </c>
      <c r="P1754">
        <v>44338</v>
      </c>
      <c r="Q1754">
        <v>73</v>
      </c>
      <c r="R1754">
        <v>69</v>
      </c>
      <c r="S1754">
        <v>38</v>
      </c>
      <c r="T1754">
        <v>12</v>
      </c>
      <c r="U1754">
        <v>17</v>
      </c>
    </row>
    <row r="1755" spans="1:21" x14ac:dyDescent="0.35">
      <c r="A1755" t="s">
        <v>28</v>
      </c>
      <c r="B1755" s="1">
        <v>44747</v>
      </c>
      <c r="C1755" t="s">
        <v>24</v>
      </c>
      <c r="D1755">
        <v>278.10000000000002</v>
      </c>
      <c r="E1755">
        <v>534.79999999999995</v>
      </c>
      <c r="F1755">
        <v>0</v>
      </c>
      <c r="G1755">
        <v>0.5</v>
      </c>
      <c r="H1755">
        <v>0</v>
      </c>
      <c r="I1755">
        <v>0</v>
      </c>
      <c r="J1755">
        <v>0</v>
      </c>
      <c r="K1755">
        <v>0</v>
      </c>
      <c r="L1755">
        <v>0</v>
      </c>
      <c r="M1755">
        <v>0</v>
      </c>
      <c r="N1755">
        <v>101762</v>
      </c>
      <c r="O1755">
        <v>93683</v>
      </c>
      <c r="P1755">
        <v>0</v>
      </c>
      <c r="Q1755">
        <v>283</v>
      </c>
      <c r="R1755">
        <v>501</v>
      </c>
      <c r="S1755">
        <v>0</v>
      </c>
      <c r="T1755">
        <v>5</v>
      </c>
      <c r="U1755">
        <v>11</v>
      </c>
    </row>
    <row r="1756" spans="1:21" x14ac:dyDescent="0.35">
      <c r="A1756" t="s">
        <v>26</v>
      </c>
      <c r="B1756" s="1">
        <v>44449</v>
      </c>
      <c r="C1756" t="s">
        <v>29</v>
      </c>
      <c r="D1756">
        <v>14.4</v>
      </c>
      <c r="E1756">
        <v>1.7</v>
      </c>
      <c r="F1756">
        <v>0</v>
      </c>
      <c r="G1756">
        <v>8.5</v>
      </c>
      <c r="H1756">
        <v>0</v>
      </c>
      <c r="I1756">
        <v>0</v>
      </c>
      <c r="J1756">
        <v>0</v>
      </c>
      <c r="K1756">
        <v>0</v>
      </c>
      <c r="L1756">
        <v>0</v>
      </c>
      <c r="M1756">
        <v>0</v>
      </c>
      <c r="N1756">
        <v>214640</v>
      </c>
      <c r="O1756">
        <v>537114</v>
      </c>
      <c r="P1756">
        <v>0</v>
      </c>
      <c r="Q1756">
        <v>31</v>
      </c>
      <c r="R1756">
        <v>9</v>
      </c>
      <c r="S1756">
        <v>0</v>
      </c>
      <c r="T1756">
        <v>30</v>
      </c>
      <c r="U1756">
        <v>49</v>
      </c>
    </row>
    <row r="1757" spans="1:21" x14ac:dyDescent="0.35">
      <c r="A1757" t="s">
        <v>21</v>
      </c>
      <c r="B1757" s="1">
        <v>44422</v>
      </c>
      <c r="C1757" t="s">
        <v>24</v>
      </c>
      <c r="D1757">
        <v>0</v>
      </c>
      <c r="E1757">
        <v>0</v>
      </c>
      <c r="F1757">
        <v>0</v>
      </c>
      <c r="G1757">
        <v>0</v>
      </c>
      <c r="H1757">
        <v>0</v>
      </c>
      <c r="I1757">
        <v>0</v>
      </c>
      <c r="J1757">
        <v>0</v>
      </c>
      <c r="K1757">
        <v>0</v>
      </c>
      <c r="L1757">
        <v>0</v>
      </c>
      <c r="M1757">
        <v>0</v>
      </c>
      <c r="N1757">
        <v>210448</v>
      </c>
      <c r="O1757">
        <v>0</v>
      </c>
      <c r="P1757">
        <v>0</v>
      </c>
      <c r="Q1757">
        <v>0</v>
      </c>
      <c r="R1757">
        <v>0</v>
      </c>
      <c r="S1757">
        <v>0</v>
      </c>
      <c r="T1757">
        <v>5</v>
      </c>
      <c r="U1757">
        <v>11</v>
      </c>
    </row>
    <row r="1758" spans="1:21" x14ac:dyDescent="0.35">
      <c r="A1758" t="s">
        <v>28</v>
      </c>
      <c r="B1758" s="1">
        <v>45108</v>
      </c>
      <c r="C1758" t="s">
        <v>29</v>
      </c>
      <c r="D1758">
        <v>178.3</v>
      </c>
      <c r="E1758">
        <v>68.900000000000006</v>
      </c>
      <c r="F1758">
        <v>97.3</v>
      </c>
      <c r="G1758">
        <v>2.6</v>
      </c>
      <c r="H1758">
        <v>1.8</v>
      </c>
      <c r="I1758">
        <v>0</v>
      </c>
      <c r="J1758">
        <v>0</v>
      </c>
      <c r="K1758">
        <v>0</v>
      </c>
      <c r="L1758">
        <v>0</v>
      </c>
      <c r="M1758">
        <v>0</v>
      </c>
      <c r="N1758">
        <v>112744</v>
      </c>
      <c r="O1758">
        <v>277305</v>
      </c>
      <c r="P1758">
        <v>347207</v>
      </c>
      <c r="Q1758">
        <v>201</v>
      </c>
      <c r="R1758">
        <v>191</v>
      </c>
      <c r="S1758">
        <v>338</v>
      </c>
      <c r="T1758">
        <v>30</v>
      </c>
      <c r="U1758">
        <v>49</v>
      </c>
    </row>
    <row r="1759" spans="1:21" x14ac:dyDescent="0.35">
      <c r="A1759" t="s">
        <v>21</v>
      </c>
      <c r="B1759" s="1">
        <v>44429</v>
      </c>
      <c r="C1759" t="s">
        <v>32</v>
      </c>
      <c r="D1759">
        <v>0</v>
      </c>
      <c r="E1759">
        <v>0</v>
      </c>
      <c r="F1759">
        <v>0</v>
      </c>
      <c r="G1759">
        <v>0</v>
      </c>
      <c r="H1759">
        <v>0</v>
      </c>
      <c r="I1759">
        <v>0</v>
      </c>
      <c r="J1759">
        <v>0</v>
      </c>
      <c r="K1759">
        <v>0</v>
      </c>
      <c r="L1759">
        <v>0</v>
      </c>
      <c r="M1759">
        <v>0</v>
      </c>
      <c r="N1759">
        <v>162642</v>
      </c>
      <c r="O1759">
        <v>0</v>
      </c>
      <c r="P1759">
        <v>0</v>
      </c>
      <c r="Q1759">
        <v>0</v>
      </c>
      <c r="R1759">
        <v>0</v>
      </c>
      <c r="S1759">
        <v>0</v>
      </c>
      <c r="T1759">
        <v>0</v>
      </c>
      <c r="U1759">
        <v>4</v>
      </c>
    </row>
    <row r="1760" spans="1:21" x14ac:dyDescent="0.35">
      <c r="A1760" t="s">
        <v>21</v>
      </c>
      <c r="B1760" s="1">
        <v>44429</v>
      </c>
      <c r="C1760" t="s">
        <v>24</v>
      </c>
      <c r="D1760">
        <v>0</v>
      </c>
      <c r="E1760">
        <v>0</v>
      </c>
      <c r="F1760">
        <v>0</v>
      </c>
      <c r="G1760">
        <v>0</v>
      </c>
      <c r="H1760">
        <v>0</v>
      </c>
      <c r="I1760">
        <v>0</v>
      </c>
      <c r="J1760">
        <v>0</v>
      </c>
      <c r="K1760">
        <v>0</v>
      </c>
      <c r="L1760">
        <v>0</v>
      </c>
      <c r="M1760">
        <v>0</v>
      </c>
      <c r="N1760">
        <v>210448</v>
      </c>
      <c r="O1760">
        <v>0</v>
      </c>
      <c r="P1760">
        <v>0</v>
      </c>
      <c r="Q1760">
        <v>0</v>
      </c>
      <c r="R1760">
        <v>0</v>
      </c>
      <c r="S1760">
        <v>0</v>
      </c>
      <c r="T1760">
        <v>5</v>
      </c>
      <c r="U1760">
        <v>11</v>
      </c>
    </row>
    <row r="1761" spans="1:21" x14ac:dyDescent="0.35">
      <c r="A1761" t="s">
        <v>21</v>
      </c>
      <c r="B1761" s="1">
        <v>44436</v>
      </c>
      <c r="C1761" t="s">
        <v>32</v>
      </c>
      <c r="D1761">
        <v>0</v>
      </c>
      <c r="E1761">
        <v>0</v>
      </c>
      <c r="F1761">
        <v>0</v>
      </c>
      <c r="G1761">
        <v>0</v>
      </c>
      <c r="H1761">
        <v>0</v>
      </c>
      <c r="I1761">
        <v>0</v>
      </c>
      <c r="J1761">
        <v>0</v>
      </c>
      <c r="K1761">
        <v>0</v>
      </c>
      <c r="L1761">
        <v>0</v>
      </c>
      <c r="M1761">
        <v>0</v>
      </c>
      <c r="N1761">
        <v>162642</v>
      </c>
      <c r="O1761">
        <v>0</v>
      </c>
      <c r="P1761">
        <v>0</v>
      </c>
      <c r="Q1761">
        <v>0</v>
      </c>
      <c r="R1761">
        <v>0</v>
      </c>
      <c r="S1761">
        <v>0</v>
      </c>
      <c r="T1761">
        <v>0</v>
      </c>
      <c r="U1761">
        <v>4</v>
      </c>
    </row>
    <row r="1762" spans="1:21" x14ac:dyDescent="0.35">
      <c r="A1762" t="s">
        <v>21</v>
      </c>
      <c r="B1762" s="1">
        <v>44758</v>
      </c>
      <c r="C1762" t="s">
        <v>30</v>
      </c>
      <c r="D1762">
        <v>15.2</v>
      </c>
      <c r="E1762">
        <v>8.3000000000000007</v>
      </c>
      <c r="F1762">
        <v>6.5</v>
      </c>
      <c r="G1762">
        <v>1.8</v>
      </c>
      <c r="H1762">
        <v>2.2999999999999998</v>
      </c>
      <c r="I1762">
        <v>0</v>
      </c>
      <c r="J1762">
        <v>0</v>
      </c>
      <c r="K1762">
        <v>0</v>
      </c>
      <c r="L1762">
        <v>0</v>
      </c>
      <c r="M1762">
        <v>0</v>
      </c>
      <c r="N1762">
        <v>26383</v>
      </c>
      <c r="O1762">
        <v>12003</v>
      </c>
      <c r="P1762">
        <v>46163</v>
      </c>
      <c r="Q1762">
        <v>4</v>
      </c>
      <c r="R1762">
        <v>1</v>
      </c>
      <c r="S1762">
        <v>3</v>
      </c>
      <c r="T1762">
        <v>80</v>
      </c>
      <c r="U1762">
        <v>200</v>
      </c>
    </row>
    <row r="1763" spans="1:21" x14ac:dyDescent="0.35">
      <c r="A1763" t="s">
        <v>26</v>
      </c>
      <c r="B1763" s="1">
        <v>44846</v>
      </c>
      <c r="C1763" t="s">
        <v>29</v>
      </c>
      <c r="D1763">
        <v>14.9</v>
      </c>
      <c r="E1763">
        <v>4</v>
      </c>
      <c r="F1763">
        <v>3.5</v>
      </c>
      <c r="G1763">
        <v>3.7</v>
      </c>
      <c r="H1763">
        <v>4.3</v>
      </c>
      <c r="I1763">
        <v>0</v>
      </c>
      <c r="J1763">
        <v>0</v>
      </c>
      <c r="K1763">
        <v>0</v>
      </c>
      <c r="L1763">
        <v>0</v>
      </c>
      <c r="M1763">
        <v>0</v>
      </c>
      <c r="N1763">
        <v>114339</v>
      </c>
      <c r="O1763">
        <v>276994</v>
      </c>
      <c r="P1763">
        <v>347125</v>
      </c>
      <c r="Q1763">
        <v>17</v>
      </c>
      <c r="R1763">
        <v>11</v>
      </c>
      <c r="S1763">
        <v>12</v>
      </c>
      <c r="T1763">
        <v>30</v>
      </c>
      <c r="U1763">
        <v>49</v>
      </c>
    </row>
    <row r="1764" spans="1:21" x14ac:dyDescent="0.35">
      <c r="A1764" t="s">
        <v>21</v>
      </c>
      <c r="B1764" s="1">
        <v>44436</v>
      </c>
      <c r="C1764" t="s">
        <v>24</v>
      </c>
      <c r="D1764">
        <v>0</v>
      </c>
      <c r="E1764">
        <v>0</v>
      </c>
      <c r="F1764">
        <v>0</v>
      </c>
      <c r="G1764">
        <v>0</v>
      </c>
      <c r="H1764">
        <v>0</v>
      </c>
      <c r="I1764">
        <v>0</v>
      </c>
      <c r="J1764">
        <v>0</v>
      </c>
      <c r="K1764">
        <v>0</v>
      </c>
      <c r="L1764">
        <v>0</v>
      </c>
      <c r="M1764">
        <v>0</v>
      </c>
      <c r="N1764">
        <v>210448</v>
      </c>
      <c r="O1764">
        <v>0</v>
      </c>
      <c r="P1764">
        <v>0</v>
      </c>
      <c r="Q1764">
        <v>0</v>
      </c>
      <c r="R1764">
        <v>0</v>
      </c>
      <c r="S1764">
        <v>0</v>
      </c>
      <c r="T1764">
        <v>5</v>
      </c>
      <c r="U1764">
        <v>11</v>
      </c>
    </row>
    <row r="1765" spans="1:21" x14ac:dyDescent="0.35">
      <c r="A1765" t="s">
        <v>28</v>
      </c>
      <c r="B1765" s="1">
        <v>44237</v>
      </c>
      <c r="C1765" t="s">
        <v>31</v>
      </c>
      <c r="D1765">
        <v>130.1</v>
      </c>
      <c r="E1765">
        <v>46</v>
      </c>
      <c r="F1765">
        <v>0</v>
      </c>
      <c r="G1765">
        <v>2.8</v>
      </c>
      <c r="H1765">
        <v>0</v>
      </c>
      <c r="I1765">
        <v>0</v>
      </c>
      <c r="J1765">
        <v>0</v>
      </c>
      <c r="K1765">
        <v>0</v>
      </c>
      <c r="L1765">
        <v>0</v>
      </c>
      <c r="M1765">
        <v>0</v>
      </c>
      <c r="N1765">
        <v>62283</v>
      </c>
      <c r="O1765">
        <v>193295</v>
      </c>
      <c r="P1765">
        <v>0</v>
      </c>
      <c r="Q1765">
        <v>81</v>
      </c>
      <c r="R1765">
        <v>89</v>
      </c>
      <c r="S1765">
        <v>0</v>
      </c>
      <c r="T1765">
        <v>65</v>
      </c>
      <c r="U1765">
        <v>79</v>
      </c>
    </row>
    <row r="1766" spans="1:21" x14ac:dyDescent="0.35">
      <c r="A1766" t="s">
        <v>28</v>
      </c>
      <c r="B1766" s="1">
        <v>44667</v>
      </c>
      <c r="C1766" t="s">
        <v>29</v>
      </c>
      <c r="D1766">
        <v>154.9</v>
      </c>
      <c r="E1766">
        <v>73.099999999999994</v>
      </c>
      <c r="F1766">
        <v>259.39999999999998</v>
      </c>
      <c r="G1766">
        <v>2.1</v>
      </c>
      <c r="H1766">
        <v>0.6</v>
      </c>
      <c r="I1766">
        <v>0</v>
      </c>
      <c r="J1766">
        <v>0</v>
      </c>
      <c r="K1766">
        <v>0</v>
      </c>
      <c r="L1766">
        <v>0</v>
      </c>
      <c r="M1766">
        <v>0</v>
      </c>
      <c r="N1766">
        <v>131729</v>
      </c>
      <c r="O1766">
        <v>288694</v>
      </c>
      <c r="P1766">
        <v>328103</v>
      </c>
      <c r="Q1766">
        <v>204</v>
      </c>
      <c r="R1766">
        <v>211</v>
      </c>
      <c r="S1766">
        <v>851</v>
      </c>
      <c r="T1766">
        <v>30</v>
      </c>
      <c r="U1766">
        <v>49</v>
      </c>
    </row>
    <row r="1767" spans="1:21" x14ac:dyDescent="0.35">
      <c r="A1767" t="s">
        <v>21</v>
      </c>
      <c r="B1767" s="1">
        <v>44295</v>
      </c>
      <c r="C1767" t="s">
        <v>32</v>
      </c>
      <c r="D1767">
        <v>0</v>
      </c>
      <c r="E1767">
        <v>0</v>
      </c>
      <c r="F1767">
        <v>0</v>
      </c>
      <c r="G1767">
        <v>0</v>
      </c>
      <c r="H1767">
        <v>0</v>
      </c>
      <c r="I1767">
        <v>0</v>
      </c>
      <c r="J1767">
        <v>0</v>
      </c>
      <c r="K1767">
        <v>0</v>
      </c>
      <c r="L1767">
        <v>0</v>
      </c>
      <c r="M1767">
        <v>0</v>
      </c>
      <c r="N1767">
        <v>162642</v>
      </c>
      <c r="O1767">
        <v>0</v>
      </c>
      <c r="P1767">
        <v>0</v>
      </c>
      <c r="Q1767">
        <v>0</v>
      </c>
      <c r="R1767">
        <v>0</v>
      </c>
      <c r="S1767">
        <v>0</v>
      </c>
      <c r="T1767">
        <v>0</v>
      </c>
      <c r="U1767">
        <v>4</v>
      </c>
    </row>
    <row r="1768" spans="1:21" x14ac:dyDescent="0.35">
      <c r="A1768" t="s">
        <v>28</v>
      </c>
      <c r="B1768" s="1">
        <v>45232</v>
      </c>
      <c r="C1768" t="s">
        <v>31</v>
      </c>
      <c r="D1768">
        <v>124.4</v>
      </c>
      <c r="E1768">
        <v>106</v>
      </c>
      <c r="F1768">
        <v>96.7</v>
      </c>
      <c r="G1768">
        <v>1.2</v>
      </c>
      <c r="H1768">
        <v>1.3</v>
      </c>
      <c r="I1768">
        <v>0</v>
      </c>
      <c r="J1768">
        <v>0</v>
      </c>
      <c r="K1768">
        <v>0</v>
      </c>
      <c r="L1768">
        <v>0</v>
      </c>
      <c r="M1768">
        <v>0</v>
      </c>
      <c r="N1768">
        <v>40183</v>
      </c>
      <c r="O1768">
        <v>43393</v>
      </c>
      <c r="P1768">
        <v>171693</v>
      </c>
      <c r="Q1768">
        <v>50</v>
      </c>
      <c r="R1768">
        <v>46</v>
      </c>
      <c r="S1768">
        <v>166</v>
      </c>
      <c r="T1768">
        <v>65</v>
      </c>
      <c r="U1768">
        <v>79</v>
      </c>
    </row>
    <row r="1769" spans="1:21" x14ac:dyDescent="0.35">
      <c r="A1769" t="s">
        <v>28</v>
      </c>
      <c r="B1769" s="1">
        <v>45018</v>
      </c>
      <c r="C1769" t="s">
        <v>29</v>
      </c>
      <c r="D1769">
        <v>122.9</v>
      </c>
      <c r="E1769">
        <v>54</v>
      </c>
      <c r="F1769">
        <v>79.2</v>
      </c>
      <c r="G1769">
        <v>2.2999999999999998</v>
      </c>
      <c r="H1769">
        <v>1.6</v>
      </c>
      <c r="I1769">
        <v>0</v>
      </c>
      <c r="J1769">
        <v>0</v>
      </c>
      <c r="K1769">
        <v>0</v>
      </c>
      <c r="L1769">
        <v>0</v>
      </c>
      <c r="M1769">
        <v>0</v>
      </c>
      <c r="N1769">
        <v>111518</v>
      </c>
      <c r="O1769">
        <v>277594</v>
      </c>
      <c r="P1769">
        <v>347241</v>
      </c>
      <c r="Q1769">
        <v>137</v>
      </c>
      <c r="R1769">
        <v>150</v>
      </c>
      <c r="S1769">
        <v>275</v>
      </c>
      <c r="T1769">
        <v>30</v>
      </c>
      <c r="U1769">
        <v>49</v>
      </c>
    </row>
    <row r="1770" spans="1:21" x14ac:dyDescent="0.35">
      <c r="A1770" t="s">
        <v>21</v>
      </c>
      <c r="B1770" s="1">
        <v>44295</v>
      </c>
      <c r="C1770" t="s">
        <v>24</v>
      </c>
      <c r="D1770">
        <v>0</v>
      </c>
      <c r="E1770">
        <v>0</v>
      </c>
      <c r="F1770">
        <v>0</v>
      </c>
      <c r="G1770">
        <v>0</v>
      </c>
      <c r="H1770">
        <v>0</v>
      </c>
      <c r="I1770">
        <v>0</v>
      </c>
      <c r="J1770">
        <v>0</v>
      </c>
      <c r="K1770">
        <v>0</v>
      </c>
      <c r="L1770">
        <v>0</v>
      </c>
      <c r="M1770">
        <v>0</v>
      </c>
      <c r="N1770">
        <v>210448</v>
      </c>
      <c r="O1770">
        <v>0</v>
      </c>
      <c r="P1770">
        <v>0</v>
      </c>
      <c r="Q1770">
        <v>0</v>
      </c>
      <c r="R1770">
        <v>0</v>
      </c>
      <c r="S1770">
        <v>0</v>
      </c>
      <c r="T1770">
        <v>5</v>
      </c>
      <c r="U1770">
        <v>11</v>
      </c>
    </row>
    <row r="1771" spans="1:21" x14ac:dyDescent="0.35">
      <c r="A1771" t="s">
        <v>28</v>
      </c>
      <c r="B1771" s="1">
        <v>44919</v>
      </c>
      <c r="C1771" t="s">
        <v>32</v>
      </c>
      <c r="D1771">
        <v>99</v>
      </c>
      <c r="E1771">
        <v>9.8000000000000007</v>
      </c>
      <c r="F1771">
        <v>0</v>
      </c>
      <c r="G1771">
        <v>10.1</v>
      </c>
      <c r="H1771">
        <v>0</v>
      </c>
      <c r="I1771">
        <v>0</v>
      </c>
      <c r="J1771">
        <v>0</v>
      </c>
      <c r="K1771">
        <v>0</v>
      </c>
      <c r="L1771">
        <v>0</v>
      </c>
      <c r="M1771">
        <v>0</v>
      </c>
      <c r="N1771">
        <v>162642</v>
      </c>
      <c r="O1771">
        <v>0</v>
      </c>
      <c r="P1771">
        <v>0</v>
      </c>
      <c r="Q1771">
        <v>161</v>
      </c>
      <c r="R1771">
        <v>16</v>
      </c>
      <c r="S1771">
        <v>0</v>
      </c>
      <c r="T1771">
        <v>0</v>
      </c>
      <c r="U1771">
        <v>4</v>
      </c>
    </row>
    <row r="1772" spans="1:21" x14ac:dyDescent="0.35">
      <c r="A1772" t="s">
        <v>28</v>
      </c>
      <c r="B1772" s="1">
        <v>44464</v>
      </c>
      <c r="C1772" t="s">
        <v>22</v>
      </c>
      <c r="D1772">
        <v>150.5</v>
      </c>
      <c r="E1772">
        <v>58.8</v>
      </c>
      <c r="F1772">
        <v>0</v>
      </c>
      <c r="G1772">
        <v>2.6</v>
      </c>
      <c r="H1772">
        <v>0</v>
      </c>
      <c r="I1772">
        <v>167.7</v>
      </c>
      <c r="J1772">
        <v>48.1</v>
      </c>
      <c r="K1772">
        <v>0</v>
      </c>
      <c r="L1772">
        <v>3.5</v>
      </c>
      <c r="M1772">
        <v>0</v>
      </c>
      <c r="N1772">
        <v>1021435</v>
      </c>
      <c r="O1772">
        <v>1498444</v>
      </c>
      <c r="P1772">
        <v>0</v>
      </c>
      <c r="Q1772">
        <v>1537</v>
      </c>
      <c r="R1772">
        <v>881</v>
      </c>
      <c r="S1772">
        <v>0</v>
      </c>
      <c r="T1772">
        <v>999</v>
      </c>
      <c r="U1772">
        <v>999</v>
      </c>
    </row>
    <row r="1773" spans="1:21" x14ac:dyDescent="0.35">
      <c r="A1773" t="s">
        <v>21</v>
      </c>
      <c r="B1773" s="1">
        <v>44520</v>
      </c>
      <c r="C1773" t="s">
        <v>31</v>
      </c>
      <c r="D1773">
        <v>5.3</v>
      </c>
      <c r="E1773">
        <v>0</v>
      </c>
      <c r="F1773">
        <v>0</v>
      </c>
      <c r="G1773">
        <v>0</v>
      </c>
      <c r="H1773">
        <v>0</v>
      </c>
      <c r="I1773">
        <v>0</v>
      </c>
      <c r="J1773">
        <v>0</v>
      </c>
      <c r="K1773">
        <v>0</v>
      </c>
      <c r="L1773">
        <v>0</v>
      </c>
      <c r="M1773">
        <v>0</v>
      </c>
      <c r="N1773">
        <v>56364</v>
      </c>
      <c r="O1773">
        <v>133667</v>
      </c>
      <c r="P1773">
        <v>69658</v>
      </c>
      <c r="Q1773">
        <v>3</v>
      </c>
      <c r="R1773">
        <v>0</v>
      </c>
      <c r="S1773">
        <v>0</v>
      </c>
      <c r="T1773">
        <v>65</v>
      </c>
      <c r="U1773">
        <v>79</v>
      </c>
    </row>
    <row r="1774" spans="1:21" x14ac:dyDescent="0.35">
      <c r="A1774" t="s">
        <v>21</v>
      </c>
      <c r="B1774" s="1">
        <v>44509</v>
      </c>
      <c r="C1774" t="s">
        <v>32</v>
      </c>
      <c r="D1774">
        <v>0</v>
      </c>
      <c r="E1774">
        <v>0</v>
      </c>
      <c r="F1774">
        <v>0</v>
      </c>
      <c r="G1774">
        <v>0</v>
      </c>
      <c r="H1774">
        <v>0</v>
      </c>
      <c r="I1774">
        <v>0</v>
      </c>
      <c r="J1774">
        <v>0</v>
      </c>
      <c r="K1774">
        <v>0</v>
      </c>
      <c r="L1774">
        <v>0</v>
      </c>
      <c r="M1774">
        <v>0</v>
      </c>
      <c r="N1774">
        <v>162642</v>
      </c>
      <c r="O1774">
        <v>0</v>
      </c>
      <c r="P1774">
        <v>0</v>
      </c>
      <c r="Q1774">
        <v>0</v>
      </c>
      <c r="R1774">
        <v>0</v>
      </c>
      <c r="S1774">
        <v>0</v>
      </c>
      <c r="T1774">
        <v>0</v>
      </c>
      <c r="U1774">
        <v>4</v>
      </c>
    </row>
    <row r="1775" spans="1:21" x14ac:dyDescent="0.35">
      <c r="A1775" t="s">
        <v>21</v>
      </c>
      <c r="B1775" s="1">
        <v>44509</v>
      </c>
      <c r="C1775" t="s">
        <v>24</v>
      </c>
      <c r="D1775">
        <v>0</v>
      </c>
      <c r="E1775">
        <v>0</v>
      </c>
      <c r="F1775">
        <v>0</v>
      </c>
      <c r="G1775">
        <v>0</v>
      </c>
      <c r="H1775">
        <v>0</v>
      </c>
      <c r="I1775">
        <v>0</v>
      </c>
      <c r="J1775">
        <v>0</v>
      </c>
      <c r="K1775">
        <v>0</v>
      </c>
      <c r="L1775">
        <v>0</v>
      </c>
      <c r="M1775">
        <v>0</v>
      </c>
      <c r="N1775">
        <v>210448</v>
      </c>
      <c r="O1775">
        <v>0</v>
      </c>
      <c r="P1775">
        <v>0</v>
      </c>
      <c r="Q1775">
        <v>0</v>
      </c>
      <c r="R1775">
        <v>0</v>
      </c>
      <c r="S1775">
        <v>0</v>
      </c>
      <c r="T1775">
        <v>5</v>
      </c>
      <c r="U1775">
        <v>11</v>
      </c>
    </row>
    <row r="1776" spans="1:21" x14ac:dyDescent="0.35">
      <c r="A1776" t="s">
        <v>21</v>
      </c>
      <c r="B1776" s="1">
        <v>44457</v>
      </c>
      <c r="C1776" t="s">
        <v>32</v>
      </c>
      <c r="D1776">
        <v>0</v>
      </c>
      <c r="E1776">
        <v>0</v>
      </c>
      <c r="F1776">
        <v>0</v>
      </c>
      <c r="G1776">
        <v>0</v>
      </c>
      <c r="H1776">
        <v>0</v>
      </c>
      <c r="I1776">
        <v>0</v>
      </c>
      <c r="J1776">
        <v>0</v>
      </c>
      <c r="K1776">
        <v>0</v>
      </c>
      <c r="L1776">
        <v>0</v>
      </c>
      <c r="M1776">
        <v>0</v>
      </c>
      <c r="N1776">
        <v>162642</v>
      </c>
      <c r="O1776">
        <v>0</v>
      </c>
      <c r="P1776">
        <v>0</v>
      </c>
      <c r="Q1776">
        <v>0</v>
      </c>
      <c r="R1776">
        <v>0</v>
      </c>
      <c r="S1776">
        <v>0</v>
      </c>
      <c r="T1776">
        <v>0</v>
      </c>
      <c r="U1776">
        <v>4</v>
      </c>
    </row>
    <row r="1777" spans="1:21" x14ac:dyDescent="0.35">
      <c r="A1777" t="s">
        <v>21</v>
      </c>
      <c r="B1777" s="1">
        <v>44457</v>
      </c>
      <c r="C1777" t="s">
        <v>24</v>
      </c>
      <c r="D1777">
        <v>0</v>
      </c>
      <c r="E1777">
        <v>0</v>
      </c>
      <c r="F1777">
        <v>0</v>
      </c>
      <c r="G1777">
        <v>0</v>
      </c>
      <c r="H1777">
        <v>0</v>
      </c>
      <c r="I1777">
        <v>0</v>
      </c>
      <c r="J1777">
        <v>0</v>
      </c>
      <c r="K1777">
        <v>0</v>
      </c>
      <c r="L1777">
        <v>0</v>
      </c>
      <c r="M1777">
        <v>0</v>
      </c>
      <c r="N1777">
        <v>210448</v>
      </c>
      <c r="O1777">
        <v>0</v>
      </c>
      <c r="P1777">
        <v>0</v>
      </c>
      <c r="Q1777">
        <v>0</v>
      </c>
      <c r="R1777">
        <v>0</v>
      </c>
      <c r="S1777">
        <v>0</v>
      </c>
      <c r="T1777">
        <v>5</v>
      </c>
      <c r="U1777">
        <v>11</v>
      </c>
    </row>
    <row r="1778" spans="1:21" x14ac:dyDescent="0.35">
      <c r="A1778" t="s">
        <v>21</v>
      </c>
      <c r="B1778" s="1">
        <v>44464</v>
      </c>
      <c r="C1778" t="s">
        <v>32</v>
      </c>
      <c r="D1778">
        <v>0</v>
      </c>
      <c r="E1778">
        <v>0</v>
      </c>
      <c r="F1778">
        <v>0</v>
      </c>
      <c r="G1778">
        <v>0</v>
      </c>
      <c r="H1778">
        <v>0</v>
      </c>
      <c r="I1778">
        <v>0</v>
      </c>
      <c r="J1778">
        <v>0</v>
      </c>
      <c r="K1778">
        <v>0</v>
      </c>
      <c r="L1778">
        <v>0</v>
      </c>
      <c r="M1778">
        <v>0</v>
      </c>
      <c r="N1778">
        <v>162642</v>
      </c>
      <c r="O1778">
        <v>0</v>
      </c>
      <c r="P1778">
        <v>0</v>
      </c>
      <c r="Q1778">
        <v>0</v>
      </c>
      <c r="R1778">
        <v>0</v>
      </c>
      <c r="S1778">
        <v>0</v>
      </c>
      <c r="T1778">
        <v>0</v>
      </c>
      <c r="U1778">
        <v>4</v>
      </c>
    </row>
    <row r="1779" spans="1:21" x14ac:dyDescent="0.35">
      <c r="A1779" t="s">
        <v>21</v>
      </c>
      <c r="B1779" s="1">
        <v>44464</v>
      </c>
      <c r="C1779" t="s">
        <v>24</v>
      </c>
      <c r="D1779">
        <v>0</v>
      </c>
      <c r="E1779">
        <v>0</v>
      </c>
      <c r="F1779">
        <v>0</v>
      </c>
      <c r="G1779">
        <v>0</v>
      </c>
      <c r="H1779">
        <v>0</v>
      </c>
      <c r="I1779">
        <v>0</v>
      </c>
      <c r="J1779">
        <v>0</v>
      </c>
      <c r="K1779">
        <v>0</v>
      </c>
      <c r="L1779">
        <v>0</v>
      </c>
      <c r="M1779">
        <v>0</v>
      </c>
      <c r="N1779">
        <v>210448</v>
      </c>
      <c r="O1779">
        <v>0</v>
      </c>
      <c r="P1779">
        <v>0</v>
      </c>
      <c r="Q1779">
        <v>0</v>
      </c>
      <c r="R1779">
        <v>0</v>
      </c>
      <c r="S1779">
        <v>0</v>
      </c>
      <c r="T1779">
        <v>5</v>
      </c>
      <c r="U1779">
        <v>11</v>
      </c>
    </row>
    <row r="1780" spans="1:21" x14ac:dyDescent="0.35">
      <c r="A1780" t="s">
        <v>21</v>
      </c>
      <c r="B1780" s="1">
        <v>44237</v>
      </c>
      <c r="C1780" t="s">
        <v>32</v>
      </c>
      <c r="D1780">
        <v>0</v>
      </c>
      <c r="E1780">
        <v>0</v>
      </c>
      <c r="F1780">
        <v>0</v>
      </c>
      <c r="G1780">
        <v>0</v>
      </c>
      <c r="H1780">
        <v>0</v>
      </c>
      <c r="I1780">
        <v>0</v>
      </c>
      <c r="J1780">
        <v>0</v>
      </c>
      <c r="K1780">
        <v>0</v>
      </c>
      <c r="L1780">
        <v>0</v>
      </c>
      <c r="M1780">
        <v>0</v>
      </c>
      <c r="N1780">
        <v>162642</v>
      </c>
      <c r="O1780">
        <v>0</v>
      </c>
      <c r="P1780">
        <v>0</v>
      </c>
      <c r="Q1780">
        <v>0</v>
      </c>
      <c r="R1780">
        <v>0</v>
      </c>
      <c r="S1780">
        <v>0</v>
      </c>
      <c r="T1780">
        <v>0</v>
      </c>
      <c r="U1780">
        <v>4</v>
      </c>
    </row>
    <row r="1781" spans="1:21" x14ac:dyDescent="0.35">
      <c r="A1781" t="s">
        <v>21</v>
      </c>
      <c r="B1781" s="1">
        <v>44237</v>
      </c>
      <c r="C1781" t="s">
        <v>24</v>
      </c>
      <c r="D1781">
        <v>0</v>
      </c>
      <c r="E1781">
        <v>0</v>
      </c>
      <c r="F1781">
        <v>0</v>
      </c>
      <c r="G1781">
        <v>0</v>
      </c>
      <c r="H1781">
        <v>0</v>
      </c>
      <c r="I1781">
        <v>0</v>
      </c>
      <c r="J1781">
        <v>0</v>
      </c>
      <c r="K1781">
        <v>0</v>
      </c>
      <c r="L1781">
        <v>0</v>
      </c>
      <c r="M1781">
        <v>0</v>
      </c>
      <c r="N1781">
        <v>210448</v>
      </c>
      <c r="O1781">
        <v>0</v>
      </c>
      <c r="P1781">
        <v>0</v>
      </c>
      <c r="Q1781">
        <v>0</v>
      </c>
      <c r="R1781">
        <v>0</v>
      </c>
      <c r="S1781">
        <v>0</v>
      </c>
      <c r="T1781">
        <v>5</v>
      </c>
      <c r="U1781">
        <v>11</v>
      </c>
    </row>
    <row r="1782" spans="1:21" x14ac:dyDescent="0.35">
      <c r="A1782" t="s">
        <v>26</v>
      </c>
      <c r="B1782" s="1">
        <v>45178</v>
      </c>
      <c r="C1782" t="s">
        <v>24</v>
      </c>
      <c r="D1782">
        <v>0</v>
      </c>
      <c r="E1782">
        <v>0</v>
      </c>
      <c r="F1782">
        <v>0</v>
      </c>
      <c r="G1782">
        <v>0</v>
      </c>
      <c r="H1782">
        <v>0</v>
      </c>
      <c r="I1782">
        <v>0</v>
      </c>
      <c r="J1782">
        <v>0</v>
      </c>
      <c r="K1782">
        <v>0</v>
      </c>
      <c r="L1782">
        <v>0</v>
      </c>
      <c r="M1782">
        <v>0</v>
      </c>
      <c r="N1782">
        <v>89422</v>
      </c>
      <c r="O1782">
        <v>82670</v>
      </c>
      <c r="P1782">
        <v>21265</v>
      </c>
      <c r="Q1782">
        <v>0</v>
      </c>
      <c r="R1782">
        <v>0</v>
      </c>
      <c r="S1782">
        <v>0</v>
      </c>
      <c r="T1782">
        <v>5</v>
      </c>
      <c r="U1782">
        <v>11</v>
      </c>
    </row>
    <row r="1783" spans="1:21" x14ac:dyDescent="0.35">
      <c r="A1783" t="s">
        <v>21</v>
      </c>
      <c r="B1783" s="1">
        <v>44449</v>
      </c>
      <c r="C1783" t="s">
        <v>32</v>
      </c>
      <c r="D1783">
        <v>0</v>
      </c>
      <c r="E1783">
        <v>0</v>
      </c>
      <c r="F1783">
        <v>0</v>
      </c>
      <c r="G1783">
        <v>0</v>
      </c>
      <c r="H1783">
        <v>0</v>
      </c>
      <c r="I1783">
        <v>0</v>
      </c>
      <c r="J1783">
        <v>0</v>
      </c>
      <c r="K1783">
        <v>0</v>
      </c>
      <c r="L1783">
        <v>0</v>
      </c>
      <c r="M1783">
        <v>0</v>
      </c>
      <c r="N1783">
        <v>162642</v>
      </c>
      <c r="O1783">
        <v>0</v>
      </c>
      <c r="P1783">
        <v>0</v>
      </c>
      <c r="Q1783">
        <v>0</v>
      </c>
      <c r="R1783">
        <v>0</v>
      </c>
      <c r="S1783">
        <v>0</v>
      </c>
      <c r="T1783">
        <v>0</v>
      </c>
      <c r="U1783">
        <v>4</v>
      </c>
    </row>
    <row r="1784" spans="1:21" x14ac:dyDescent="0.35">
      <c r="A1784" t="s">
        <v>28</v>
      </c>
      <c r="B1784" s="1">
        <v>44513</v>
      </c>
      <c r="C1784" t="s">
        <v>30</v>
      </c>
      <c r="D1784">
        <v>95.5</v>
      </c>
      <c r="E1784">
        <v>128.5</v>
      </c>
      <c r="F1784">
        <v>13.7</v>
      </c>
      <c r="G1784">
        <v>0.7</v>
      </c>
      <c r="H1784">
        <v>7</v>
      </c>
      <c r="I1784">
        <v>0</v>
      </c>
      <c r="J1784">
        <v>0</v>
      </c>
      <c r="K1784">
        <v>0</v>
      </c>
      <c r="L1784">
        <v>0</v>
      </c>
      <c r="M1784">
        <v>0</v>
      </c>
      <c r="N1784">
        <v>29306</v>
      </c>
      <c r="O1784">
        <v>40458</v>
      </c>
      <c r="P1784">
        <v>14603</v>
      </c>
      <c r="Q1784">
        <v>28</v>
      </c>
      <c r="R1784">
        <v>52</v>
      </c>
      <c r="S1784">
        <v>2</v>
      </c>
      <c r="T1784">
        <v>80</v>
      </c>
      <c r="U1784">
        <v>200</v>
      </c>
    </row>
    <row r="1785" spans="1:21" x14ac:dyDescent="0.35">
      <c r="A1785" t="s">
        <v>21</v>
      </c>
      <c r="B1785" s="1">
        <v>44485</v>
      </c>
      <c r="C1785" t="s">
        <v>32</v>
      </c>
      <c r="D1785">
        <v>0</v>
      </c>
      <c r="E1785">
        <v>0</v>
      </c>
      <c r="F1785">
        <v>0</v>
      </c>
      <c r="G1785">
        <v>0</v>
      </c>
      <c r="H1785">
        <v>0</v>
      </c>
      <c r="I1785">
        <v>0</v>
      </c>
      <c r="J1785">
        <v>0</v>
      </c>
      <c r="K1785">
        <v>0</v>
      </c>
      <c r="L1785">
        <v>0</v>
      </c>
      <c r="M1785">
        <v>0</v>
      </c>
      <c r="N1785">
        <v>162642</v>
      </c>
      <c r="O1785">
        <v>0</v>
      </c>
      <c r="P1785">
        <v>0</v>
      </c>
      <c r="Q1785">
        <v>0</v>
      </c>
      <c r="R1785">
        <v>0</v>
      </c>
      <c r="S1785">
        <v>0</v>
      </c>
      <c r="T1785">
        <v>0</v>
      </c>
      <c r="U1785">
        <v>4</v>
      </c>
    </row>
    <row r="1786" spans="1:21" x14ac:dyDescent="0.35">
      <c r="A1786" t="s">
        <v>21</v>
      </c>
      <c r="B1786" s="1">
        <v>44485</v>
      </c>
      <c r="C1786" t="s">
        <v>24</v>
      </c>
      <c r="D1786">
        <v>0</v>
      </c>
      <c r="E1786">
        <v>0</v>
      </c>
      <c r="F1786">
        <v>0</v>
      </c>
      <c r="G1786">
        <v>0</v>
      </c>
      <c r="H1786">
        <v>0</v>
      </c>
      <c r="I1786">
        <v>0</v>
      </c>
      <c r="J1786">
        <v>0</v>
      </c>
      <c r="K1786">
        <v>0</v>
      </c>
      <c r="L1786">
        <v>0</v>
      </c>
      <c r="M1786">
        <v>0</v>
      </c>
      <c r="N1786">
        <v>210448</v>
      </c>
      <c r="O1786">
        <v>0</v>
      </c>
      <c r="P1786">
        <v>0</v>
      </c>
      <c r="Q1786">
        <v>0</v>
      </c>
      <c r="R1786">
        <v>0</v>
      </c>
      <c r="S1786">
        <v>0</v>
      </c>
      <c r="T1786">
        <v>5</v>
      </c>
      <c r="U1786">
        <v>11</v>
      </c>
    </row>
    <row r="1787" spans="1:21" x14ac:dyDescent="0.35">
      <c r="A1787" t="s">
        <v>21</v>
      </c>
      <c r="B1787" s="1">
        <v>44919</v>
      </c>
      <c r="C1787" t="s">
        <v>29</v>
      </c>
      <c r="D1787">
        <v>0</v>
      </c>
      <c r="E1787">
        <v>0</v>
      </c>
      <c r="F1787">
        <v>0</v>
      </c>
      <c r="G1787">
        <v>0</v>
      </c>
      <c r="H1787">
        <v>0</v>
      </c>
      <c r="I1787">
        <v>0</v>
      </c>
      <c r="J1787">
        <v>0</v>
      </c>
      <c r="K1787">
        <v>0</v>
      </c>
      <c r="L1787">
        <v>0</v>
      </c>
      <c r="M1787">
        <v>0</v>
      </c>
      <c r="N1787">
        <v>113497</v>
      </c>
      <c r="O1787">
        <v>277193</v>
      </c>
      <c r="P1787">
        <v>347177</v>
      </c>
      <c r="Q1787">
        <v>0</v>
      </c>
      <c r="R1787">
        <v>0</v>
      </c>
      <c r="S1787">
        <v>0</v>
      </c>
      <c r="T1787">
        <v>30</v>
      </c>
      <c r="U1787">
        <v>49</v>
      </c>
    </row>
    <row r="1788" spans="1:21" x14ac:dyDescent="0.35">
      <c r="A1788" t="s">
        <v>21</v>
      </c>
      <c r="B1788" s="1">
        <v>44492</v>
      </c>
      <c r="C1788" t="s">
        <v>32</v>
      </c>
      <c r="D1788">
        <v>0</v>
      </c>
      <c r="E1788">
        <v>0</v>
      </c>
      <c r="F1788">
        <v>0</v>
      </c>
      <c r="G1788">
        <v>0</v>
      </c>
      <c r="H1788">
        <v>0</v>
      </c>
      <c r="I1788">
        <v>0</v>
      </c>
      <c r="J1788">
        <v>0</v>
      </c>
      <c r="K1788">
        <v>0</v>
      </c>
      <c r="L1788">
        <v>0</v>
      </c>
      <c r="M1788">
        <v>0</v>
      </c>
      <c r="N1788">
        <v>162642</v>
      </c>
      <c r="O1788">
        <v>0</v>
      </c>
      <c r="P1788">
        <v>0</v>
      </c>
      <c r="Q1788">
        <v>0</v>
      </c>
      <c r="R1788">
        <v>0</v>
      </c>
      <c r="S1788">
        <v>0</v>
      </c>
      <c r="T1788">
        <v>0</v>
      </c>
      <c r="U1788">
        <v>4</v>
      </c>
    </row>
    <row r="1789" spans="1:21" x14ac:dyDescent="0.35">
      <c r="A1789" t="s">
        <v>21</v>
      </c>
      <c r="B1789" s="1">
        <v>44492</v>
      </c>
      <c r="C1789" t="s">
        <v>24</v>
      </c>
      <c r="D1789">
        <v>0</v>
      </c>
      <c r="E1789">
        <v>0</v>
      </c>
      <c r="F1789">
        <v>0</v>
      </c>
      <c r="G1789">
        <v>0</v>
      </c>
      <c r="H1789">
        <v>0</v>
      </c>
      <c r="I1789">
        <v>0</v>
      </c>
      <c r="J1789">
        <v>0</v>
      </c>
      <c r="K1789">
        <v>0</v>
      </c>
      <c r="L1789">
        <v>0</v>
      </c>
      <c r="M1789">
        <v>0</v>
      </c>
      <c r="N1789">
        <v>210448</v>
      </c>
      <c r="O1789">
        <v>0</v>
      </c>
      <c r="P1789">
        <v>0</v>
      </c>
      <c r="Q1789">
        <v>0</v>
      </c>
      <c r="R1789">
        <v>0</v>
      </c>
      <c r="S1789">
        <v>0</v>
      </c>
      <c r="T1789">
        <v>5</v>
      </c>
      <c r="U1789">
        <v>11</v>
      </c>
    </row>
    <row r="1790" spans="1:21" x14ac:dyDescent="0.35">
      <c r="A1790" t="s">
        <v>21</v>
      </c>
      <c r="B1790" s="1">
        <v>44499</v>
      </c>
      <c r="C1790" t="s">
        <v>32</v>
      </c>
      <c r="D1790">
        <v>0</v>
      </c>
      <c r="E1790">
        <v>0</v>
      </c>
      <c r="F1790">
        <v>0</v>
      </c>
      <c r="G1790">
        <v>0</v>
      </c>
      <c r="H1790">
        <v>0</v>
      </c>
      <c r="I1790">
        <v>0</v>
      </c>
      <c r="J1790">
        <v>0</v>
      </c>
      <c r="K1790">
        <v>0</v>
      </c>
      <c r="L1790">
        <v>0</v>
      </c>
      <c r="M1790">
        <v>0</v>
      </c>
      <c r="N1790">
        <v>162642</v>
      </c>
      <c r="O1790">
        <v>0</v>
      </c>
      <c r="P1790">
        <v>0</v>
      </c>
      <c r="Q1790">
        <v>0</v>
      </c>
      <c r="R1790">
        <v>0</v>
      </c>
      <c r="S1790">
        <v>0</v>
      </c>
      <c r="T1790">
        <v>0</v>
      </c>
      <c r="U1790">
        <v>4</v>
      </c>
    </row>
    <row r="1791" spans="1:21" x14ac:dyDescent="0.35">
      <c r="A1791" t="s">
        <v>21</v>
      </c>
      <c r="B1791" s="1">
        <v>44499</v>
      </c>
      <c r="C1791" t="s">
        <v>24</v>
      </c>
      <c r="D1791">
        <v>0</v>
      </c>
      <c r="E1791">
        <v>0</v>
      </c>
      <c r="F1791">
        <v>0</v>
      </c>
      <c r="G1791">
        <v>0</v>
      </c>
      <c r="H1791">
        <v>0</v>
      </c>
      <c r="I1791">
        <v>0</v>
      </c>
      <c r="J1791">
        <v>0</v>
      </c>
      <c r="K1791">
        <v>0</v>
      </c>
      <c r="L1791">
        <v>0</v>
      </c>
      <c r="M1791">
        <v>0</v>
      </c>
      <c r="N1791">
        <v>210448</v>
      </c>
      <c r="O1791">
        <v>0</v>
      </c>
      <c r="P1791">
        <v>0</v>
      </c>
      <c r="Q1791">
        <v>0</v>
      </c>
      <c r="R1791">
        <v>0</v>
      </c>
      <c r="S1791">
        <v>0</v>
      </c>
      <c r="T1791">
        <v>5</v>
      </c>
      <c r="U1791">
        <v>11</v>
      </c>
    </row>
    <row r="1792" spans="1:21" x14ac:dyDescent="0.35">
      <c r="A1792" t="s">
        <v>21</v>
      </c>
      <c r="B1792" s="1">
        <v>44912</v>
      </c>
      <c r="C1792" t="s">
        <v>32</v>
      </c>
      <c r="D1792">
        <v>0</v>
      </c>
      <c r="E1792">
        <v>0</v>
      </c>
      <c r="F1792">
        <v>0</v>
      </c>
      <c r="G1792">
        <v>0</v>
      </c>
      <c r="H1792">
        <v>0</v>
      </c>
      <c r="I1792">
        <v>0</v>
      </c>
      <c r="J1792">
        <v>0</v>
      </c>
      <c r="K1792">
        <v>0</v>
      </c>
      <c r="L1792">
        <v>0</v>
      </c>
      <c r="M1792">
        <v>0</v>
      </c>
      <c r="N1792">
        <v>162642</v>
      </c>
      <c r="O1792">
        <v>0</v>
      </c>
      <c r="P1792">
        <v>0</v>
      </c>
      <c r="Q1792">
        <v>0</v>
      </c>
      <c r="R1792">
        <v>0</v>
      </c>
      <c r="S1792">
        <v>0</v>
      </c>
      <c r="T1792">
        <v>0</v>
      </c>
      <c r="U1792">
        <v>4</v>
      </c>
    </row>
    <row r="1793" spans="1:21" x14ac:dyDescent="0.35">
      <c r="A1793" t="s">
        <v>21</v>
      </c>
      <c r="B1793" s="1">
        <v>44618</v>
      </c>
      <c r="C1793" t="s">
        <v>24</v>
      </c>
      <c r="D1793">
        <v>0</v>
      </c>
      <c r="E1793">
        <v>0</v>
      </c>
      <c r="F1793">
        <v>0</v>
      </c>
      <c r="G1793">
        <v>0</v>
      </c>
      <c r="H1793">
        <v>0</v>
      </c>
      <c r="I1793">
        <v>0</v>
      </c>
      <c r="J1793">
        <v>0</v>
      </c>
      <c r="K1793">
        <v>0</v>
      </c>
      <c r="L1793">
        <v>0</v>
      </c>
      <c r="M1793">
        <v>0</v>
      </c>
      <c r="N1793">
        <v>106580</v>
      </c>
      <c r="O1793">
        <v>79595</v>
      </c>
      <c r="P1793">
        <v>0</v>
      </c>
      <c r="Q1793">
        <v>0</v>
      </c>
      <c r="R1793">
        <v>0</v>
      </c>
      <c r="S1793">
        <v>0</v>
      </c>
      <c r="T1793">
        <v>5</v>
      </c>
      <c r="U1793">
        <v>11</v>
      </c>
    </row>
    <row r="1794" spans="1:21" x14ac:dyDescent="0.35">
      <c r="A1794" t="s">
        <v>21</v>
      </c>
      <c r="B1794" s="1">
        <v>44358</v>
      </c>
      <c r="C1794" t="s">
        <v>32</v>
      </c>
      <c r="D1794">
        <v>0</v>
      </c>
      <c r="E1794">
        <v>0</v>
      </c>
      <c r="F1794">
        <v>0</v>
      </c>
      <c r="G1794">
        <v>0</v>
      </c>
      <c r="H1794">
        <v>0</v>
      </c>
      <c r="I1794">
        <v>0</v>
      </c>
      <c r="J1794">
        <v>0</v>
      </c>
      <c r="K1794">
        <v>0</v>
      </c>
      <c r="L1794">
        <v>0</v>
      </c>
      <c r="M1794">
        <v>0</v>
      </c>
      <c r="N1794">
        <v>162642</v>
      </c>
      <c r="O1794">
        <v>0</v>
      </c>
      <c r="P1794">
        <v>0</v>
      </c>
      <c r="Q1794">
        <v>0</v>
      </c>
      <c r="R1794">
        <v>0</v>
      </c>
      <c r="S1794">
        <v>0</v>
      </c>
      <c r="T1794">
        <v>0</v>
      </c>
      <c r="U1794">
        <v>4</v>
      </c>
    </row>
    <row r="1795" spans="1:21" x14ac:dyDescent="0.35">
      <c r="A1795" t="s">
        <v>26</v>
      </c>
      <c r="B1795" s="1">
        <v>44783</v>
      </c>
      <c r="C1795" t="s">
        <v>22</v>
      </c>
      <c r="D1795">
        <v>7.5</v>
      </c>
      <c r="E1795">
        <v>3.8</v>
      </c>
      <c r="F1795">
        <v>7.1</v>
      </c>
      <c r="G1795">
        <v>2</v>
      </c>
      <c r="H1795">
        <v>1.1000000000000001</v>
      </c>
      <c r="I1795">
        <v>10.5</v>
      </c>
      <c r="J1795">
        <v>6.1</v>
      </c>
      <c r="K1795">
        <v>4.9000000000000004</v>
      </c>
      <c r="L1795">
        <v>1.7</v>
      </c>
      <c r="M1795">
        <v>2.2000000000000002</v>
      </c>
      <c r="N1795">
        <v>588205</v>
      </c>
      <c r="O1795">
        <v>843467</v>
      </c>
      <c r="P1795">
        <v>1037728</v>
      </c>
      <c r="Q1795">
        <v>44</v>
      </c>
      <c r="R1795">
        <v>32</v>
      </c>
      <c r="S1795">
        <v>74</v>
      </c>
      <c r="T1795">
        <v>999</v>
      </c>
      <c r="U1795">
        <v>999</v>
      </c>
    </row>
    <row r="1796" spans="1:21" x14ac:dyDescent="0.35">
      <c r="A1796" t="s">
        <v>28</v>
      </c>
      <c r="B1796" s="1">
        <v>45205</v>
      </c>
      <c r="C1796" t="s">
        <v>29</v>
      </c>
      <c r="D1796">
        <v>24</v>
      </c>
      <c r="E1796">
        <v>6.8</v>
      </c>
      <c r="F1796">
        <v>10.9</v>
      </c>
      <c r="G1796">
        <v>3.5</v>
      </c>
      <c r="H1796">
        <v>2.2000000000000002</v>
      </c>
      <c r="I1796">
        <v>0</v>
      </c>
      <c r="J1796">
        <v>0</v>
      </c>
      <c r="K1796">
        <v>0</v>
      </c>
      <c r="L1796">
        <v>0</v>
      </c>
      <c r="M1796">
        <v>0</v>
      </c>
      <c r="N1796">
        <v>108308</v>
      </c>
      <c r="O1796">
        <v>278398</v>
      </c>
      <c r="P1796">
        <v>347307</v>
      </c>
      <c r="Q1796">
        <v>26</v>
      </c>
      <c r="R1796">
        <v>19</v>
      </c>
      <c r="S1796">
        <v>38</v>
      </c>
      <c r="T1796">
        <v>30</v>
      </c>
      <c r="U1796">
        <v>49</v>
      </c>
    </row>
    <row r="1797" spans="1:21" x14ac:dyDescent="0.35">
      <c r="A1797" t="s">
        <v>21</v>
      </c>
      <c r="B1797" s="1">
        <v>44674</v>
      </c>
      <c r="C1797" t="s">
        <v>27</v>
      </c>
      <c r="D1797">
        <v>0</v>
      </c>
      <c r="E1797">
        <v>0</v>
      </c>
      <c r="F1797">
        <v>0</v>
      </c>
      <c r="G1797">
        <v>0</v>
      </c>
      <c r="H1797">
        <v>0</v>
      </c>
      <c r="I1797">
        <v>0</v>
      </c>
      <c r="J1797">
        <v>0</v>
      </c>
      <c r="K1797">
        <v>0</v>
      </c>
      <c r="L1797">
        <v>0</v>
      </c>
      <c r="M1797">
        <v>0</v>
      </c>
      <c r="N1797">
        <v>37746</v>
      </c>
      <c r="O1797">
        <v>94929</v>
      </c>
      <c r="P1797">
        <v>32716</v>
      </c>
      <c r="Q1797">
        <v>0</v>
      </c>
      <c r="R1797">
        <v>0</v>
      </c>
      <c r="S1797">
        <v>0</v>
      </c>
      <c r="T1797">
        <v>12</v>
      </c>
      <c r="U1797">
        <v>17</v>
      </c>
    </row>
    <row r="1798" spans="1:21" x14ac:dyDescent="0.35">
      <c r="A1798" t="s">
        <v>28</v>
      </c>
      <c r="B1798" s="1">
        <v>44646</v>
      </c>
      <c r="C1798" t="s">
        <v>25</v>
      </c>
      <c r="D1798">
        <v>92.7</v>
      </c>
      <c r="E1798">
        <v>33.1</v>
      </c>
      <c r="F1798">
        <v>113.8</v>
      </c>
      <c r="G1798">
        <v>2.8</v>
      </c>
      <c r="H1798">
        <v>0.8</v>
      </c>
      <c r="I1798">
        <v>0</v>
      </c>
      <c r="J1798">
        <v>0</v>
      </c>
      <c r="K1798">
        <v>0</v>
      </c>
      <c r="L1798">
        <v>0</v>
      </c>
      <c r="M1798">
        <v>0</v>
      </c>
      <c r="N1798">
        <v>99220</v>
      </c>
      <c r="O1798">
        <v>220462</v>
      </c>
      <c r="P1798">
        <v>145029</v>
      </c>
      <c r="Q1798">
        <v>92</v>
      </c>
      <c r="R1798">
        <v>73</v>
      </c>
      <c r="S1798">
        <v>165</v>
      </c>
      <c r="T1798">
        <v>18</v>
      </c>
      <c r="U1798">
        <v>29</v>
      </c>
    </row>
    <row r="1799" spans="1:21" x14ac:dyDescent="0.35">
      <c r="A1799" t="s">
        <v>26</v>
      </c>
      <c r="B1799" s="1">
        <v>44871</v>
      </c>
      <c r="C1799" t="s">
        <v>30</v>
      </c>
      <c r="D1799">
        <v>30.1</v>
      </c>
      <c r="E1799">
        <v>104.3</v>
      </c>
      <c r="F1799">
        <v>54.9</v>
      </c>
      <c r="G1799">
        <v>0.3</v>
      </c>
      <c r="H1799">
        <v>0.5</v>
      </c>
      <c r="I1799">
        <v>0</v>
      </c>
      <c r="J1799">
        <v>0</v>
      </c>
      <c r="K1799">
        <v>0</v>
      </c>
      <c r="L1799">
        <v>0</v>
      </c>
      <c r="M1799">
        <v>0</v>
      </c>
      <c r="N1799">
        <v>26548</v>
      </c>
      <c r="O1799">
        <v>12467</v>
      </c>
      <c r="P1799">
        <v>45506</v>
      </c>
      <c r="Q1799">
        <v>8</v>
      </c>
      <c r="R1799">
        <v>13</v>
      </c>
      <c r="S1799">
        <v>25</v>
      </c>
      <c r="T1799">
        <v>80</v>
      </c>
      <c r="U1799">
        <v>200</v>
      </c>
    </row>
    <row r="1800" spans="1:21" x14ac:dyDescent="0.35">
      <c r="A1800" t="s">
        <v>28</v>
      </c>
      <c r="B1800" s="1">
        <v>45027</v>
      </c>
      <c r="C1800" t="s">
        <v>22</v>
      </c>
      <c r="D1800">
        <v>53.1</v>
      </c>
      <c r="E1800">
        <v>21.3</v>
      </c>
      <c r="F1800">
        <v>33</v>
      </c>
      <c r="G1800">
        <v>2.5</v>
      </c>
      <c r="H1800">
        <v>1.6</v>
      </c>
      <c r="I1800">
        <v>60.5</v>
      </c>
      <c r="J1800">
        <v>23.2</v>
      </c>
      <c r="K1800">
        <v>26.2</v>
      </c>
      <c r="L1800">
        <v>2.6</v>
      </c>
      <c r="M1800">
        <v>2.2999999999999998</v>
      </c>
      <c r="N1800">
        <v>512405</v>
      </c>
      <c r="O1800">
        <v>862552</v>
      </c>
      <c r="P1800">
        <v>1044756</v>
      </c>
      <c r="Q1800">
        <v>272</v>
      </c>
      <c r="R1800">
        <v>184</v>
      </c>
      <c r="S1800">
        <v>345</v>
      </c>
      <c r="T1800">
        <v>999</v>
      </c>
      <c r="U1800">
        <v>999</v>
      </c>
    </row>
    <row r="1801" spans="1:21" x14ac:dyDescent="0.35">
      <c r="A1801" t="s">
        <v>28</v>
      </c>
      <c r="B1801" s="1">
        <v>44737</v>
      </c>
      <c r="C1801" t="s">
        <v>24</v>
      </c>
      <c r="D1801">
        <v>67.3</v>
      </c>
      <c r="E1801">
        <v>93.3</v>
      </c>
      <c r="F1801">
        <v>76.5</v>
      </c>
      <c r="G1801">
        <v>0.7</v>
      </c>
      <c r="H1801">
        <v>0.9</v>
      </c>
      <c r="I1801">
        <v>0</v>
      </c>
      <c r="J1801">
        <v>0</v>
      </c>
      <c r="K1801">
        <v>0</v>
      </c>
      <c r="L1801">
        <v>0</v>
      </c>
      <c r="M1801">
        <v>0</v>
      </c>
      <c r="N1801">
        <v>99599</v>
      </c>
      <c r="O1801">
        <v>91151</v>
      </c>
      <c r="P1801">
        <v>5230</v>
      </c>
      <c r="Q1801">
        <v>67</v>
      </c>
      <c r="R1801">
        <v>85</v>
      </c>
      <c r="S1801">
        <v>4</v>
      </c>
      <c r="T1801">
        <v>5</v>
      </c>
      <c r="U1801">
        <v>11</v>
      </c>
    </row>
    <row r="1802" spans="1:21" x14ac:dyDescent="0.35">
      <c r="A1802" t="s">
        <v>21</v>
      </c>
      <c r="B1802" s="1">
        <v>44513</v>
      </c>
      <c r="C1802" t="s">
        <v>32</v>
      </c>
      <c r="D1802">
        <v>0</v>
      </c>
      <c r="E1802">
        <v>0</v>
      </c>
      <c r="F1802">
        <v>0</v>
      </c>
      <c r="G1802">
        <v>0</v>
      </c>
      <c r="H1802">
        <v>0</v>
      </c>
      <c r="I1802">
        <v>0</v>
      </c>
      <c r="J1802">
        <v>0</v>
      </c>
      <c r="K1802">
        <v>0</v>
      </c>
      <c r="L1802">
        <v>0</v>
      </c>
      <c r="M1802">
        <v>0</v>
      </c>
      <c r="N1802">
        <v>162642</v>
      </c>
      <c r="O1802">
        <v>0</v>
      </c>
      <c r="P1802">
        <v>0</v>
      </c>
      <c r="Q1802">
        <v>0</v>
      </c>
      <c r="R1802">
        <v>0</v>
      </c>
      <c r="S1802">
        <v>0</v>
      </c>
      <c r="T1802">
        <v>0</v>
      </c>
      <c r="U1802">
        <v>4</v>
      </c>
    </row>
    <row r="1803" spans="1:21" x14ac:dyDescent="0.35">
      <c r="A1803" t="s">
        <v>28</v>
      </c>
      <c r="B1803" s="1">
        <v>45199</v>
      </c>
      <c r="C1803" t="s">
        <v>32</v>
      </c>
      <c r="D1803">
        <v>27.7</v>
      </c>
      <c r="E1803">
        <v>1.8</v>
      </c>
      <c r="F1803">
        <v>0</v>
      </c>
      <c r="G1803">
        <v>15.4</v>
      </c>
      <c r="H1803">
        <v>0</v>
      </c>
      <c r="I1803">
        <v>0</v>
      </c>
      <c r="J1803">
        <v>0</v>
      </c>
      <c r="K1803">
        <v>0</v>
      </c>
      <c r="L1803">
        <v>0</v>
      </c>
      <c r="M1803">
        <v>0</v>
      </c>
      <c r="N1803">
        <v>162642</v>
      </c>
      <c r="O1803">
        <v>0</v>
      </c>
      <c r="P1803">
        <v>0</v>
      </c>
      <c r="Q1803">
        <v>45</v>
      </c>
      <c r="R1803">
        <v>3</v>
      </c>
      <c r="S1803">
        <v>0</v>
      </c>
      <c r="T1803">
        <v>0</v>
      </c>
      <c r="U1803">
        <v>4</v>
      </c>
    </row>
    <row r="1804" spans="1:21" x14ac:dyDescent="0.35">
      <c r="A1804" t="s">
        <v>21</v>
      </c>
      <c r="B1804" s="1">
        <v>44747</v>
      </c>
      <c r="C1804" t="s">
        <v>24</v>
      </c>
      <c r="D1804">
        <v>0</v>
      </c>
      <c r="E1804">
        <v>0</v>
      </c>
      <c r="F1804">
        <v>0</v>
      </c>
      <c r="G1804">
        <v>0</v>
      </c>
      <c r="H1804">
        <v>0</v>
      </c>
      <c r="I1804">
        <v>0</v>
      </c>
      <c r="J1804">
        <v>0</v>
      </c>
      <c r="K1804">
        <v>0</v>
      </c>
      <c r="L1804">
        <v>0</v>
      </c>
      <c r="M1804">
        <v>0</v>
      </c>
      <c r="N1804">
        <v>101762</v>
      </c>
      <c r="O1804">
        <v>93683</v>
      </c>
      <c r="P1804">
        <v>0</v>
      </c>
      <c r="Q1804">
        <v>0</v>
      </c>
      <c r="R1804">
        <v>0</v>
      </c>
      <c r="S1804">
        <v>0</v>
      </c>
      <c r="T1804">
        <v>5</v>
      </c>
      <c r="U1804">
        <v>11</v>
      </c>
    </row>
    <row r="1805" spans="1:21" x14ac:dyDescent="0.35">
      <c r="A1805" t="s">
        <v>26</v>
      </c>
      <c r="B1805" s="1">
        <v>44821</v>
      </c>
      <c r="C1805" t="s">
        <v>32</v>
      </c>
      <c r="D1805">
        <v>6.1</v>
      </c>
      <c r="E1805">
        <v>0</v>
      </c>
      <c r="F1805">
        <v>0</v>
      </c>
      <c r="G1805">
        <v>0</v>
      </c>
      <c r="H1805">
        <v>0</v>
      </c>
      <c r="I1805">
        <v>0</v>
      </c>
      <c r="J1805">
        <v>0</v>
      </c>
      <c r="K1805">
        <v>0</v>
      </c>
      <c r="L1805">
        <v>0</v>
      </c>
      <c r="M1805">
        <v>0</v>
      </c>
      <c r="N1805">
        <v>162642</v>
      </c>
      <c r="O1805">
        <v>0</v>
      </c>
      <c r="P1805">
        <v>0</v>
      </c>
      <c r="Q1805">
        <v>10</v>
      </c>
      <c r="R1805">
        <v>0</v>
      </c>
      <c r="S1805">
        <v>0</v>
      </c>
      <c r="T1805">
        <v>0</v>
      </c>
      <c r="U1805">
        <v>4</v>
      </c>
    </row>
    <row r="1806" spans="1:21" x14ac:dyDescent="0.35">
      <c r="A1806" t="s">
        <v>28</v>
      </c>
      <c r="B1806" s="1">
        <v>44262</v>
      </c>
      <c r="C1806" t="s">
        <v>25</v>
      </c>
      <c r="D1806">
        <v>20.5</v>
      </c>
      <c r="E1806">
        <v>6.9</v>
      </c>
      <c r="F1806">
        <v>0</v>
      </c>
      <c r="G1806">
        <v>3</v>
      </c>
      <c r="H1806">
        <v>0</v>
      </c>
      <c r="I1806">
        <v>0</v>
      </c>
      <c r="J1806">
        <v>0</v>
      </c>
      <c r="K1806">
        <v>0</v>
      </c>
      <c r="L1806">
        <v>0</v>
      </c>
      <c r="M1806">
        <v>0</v>
      </c>
      <c r="N1806">
        <v>224760</v>
      </c>
      <c r="O1806">
        <v>262359</v>
      </c>
      <c r="P1806">
        <v>0</v>
      </c>
      <c r="Q1806">
        <v>46</v>
      </c>
      <c r="R1806">
        <v>18</v>
      </c>
      <c r="S1806">
        <v>0</v>
      </c>
      <c r="T1806">
        <v>18</v>
      </c>
      <c r="U1806">
        <v>29</v>
      </c>
    </row>
    <row r="1807" spans="1:21" x14ac:dyDescent="0.35">
      <c r="A1807" t="s">
        <v>21</v>
      </c>
      <c r="B1807" s="1">
        <v>44520</v>
      </c>
      <c r="C1807" t="s">
        <v>32</v>
      </c>
      <c r="D1807">
        <v>0</v>
      </c>
      <c r="E1807">
        <v>0</v>
      </c>
      <c r="F1807">
        <v>0</v>
      </c>
      <c r="G1807">
        <v>0</v>
      </c>
      <c r="H1807">
        <v>0</v>
      </c>
      <c r="I1807">
        <v>0</v>
      </c>
      <c r="J1807">
        <v>0</v>
      </c>
      <c r="K1807">
        <v>0</v>
      </c>
      <c r="L1807">
        <v>0</v>
      </c>
      <c r="M1807">
        <v>0</v>
      </c>
      <c r="N1807">
        <v>162642</v>
      </c>
      <c r="O1807">
        <v>0</v>
      </c>
      <c r="P1807">
        <v>0</v>
      </c>
      <c r="Q1807">
        <v>0</v>
      </c>
      <c r="R1807">
        <v>0</v>
      </c>
      <c r="S1807">
        <v>0</v>
      </c>
      <c r="T1807">
        <v>0</v>
      </c>
      <c r="U1807">
        <v>4</v>
      </c>
    </row>
    <row r="1808" spans="1:21" x14ac:dyDescent="0.35">
      <c r="A1808" t="s">
        <v>28</v>
      </c>
      <c r="B1808" s="1">
        <v>45220</v>
      </c>
      <c r="C1808" t="s">
        <v>25</v>
      </c>
      <c r="D1808">
        <v>63.7</v>
      </c>
      <c r="E1808">
        <v>11.2</v>
      </c>
      <c r="F1808">
        <v>27.2</v>
      </c>
      <c r="G1808">
        <v>5.7</v>
      </c>
      <c r="H1808">
        <v>2.2999999999999998</v>
      </c>
      <c r="I1808">
        <v>0</v>
      </c>
      <c r="J1808">
        <v>0</v>
      </c>
      <c r="K1808">
        <v>0</v>
      </c>
      <c r="L1808">
        <v>0</v>
      </c>
      <c r="M1808">
        <v>0</v>
      </c>
      <c r="N1808">
        <v>70650</v>
      </c>
      <c r="O1808">
        <v>214710</v>
      </c>
      <c r="P1808">
        <v>162045</v>
      </c>
      <c r="Q1808">
        <v>45</v>
      </c>
      <c r="R1808">
        <v>24</v>
      </c>
      <c r="S1808">
        <v>44</v>
      </c>
      <c r="T1808">
        <v>18</v>
      </c>
      <c r="U1808">
        <v>29</v>
      </c>
    </row>
    <row r="1809" spans="1:21" x14ac:dyDescent="0.35">
      <c r="A1809" t="s">
        <v>26</v>
      </c>
      <c r="B1809" s="1">
        <v>44912</v>
      </c>
      <c r="C1809" t="s">
        <v>27</v>
      </c>
      <c r="D1809">
        <v>3</v>
      </c>
      <c r="E1809">
        <v>0</v>
      </c>
      <c r="F1809">
        <v>2.2000000000000002</v>
      </c>
      <c r="G1809">
        <v>0</v>
      </c>
      <c r="H1809">
        <v>1.4</v>
      </c>
      <c r="I1809">
        <v>0</v>
      </c>
      <c r="J1809">
        <v>0</v>
      </c>
      <c r="K1809">
        <v>0</v>
      </c>
      <c r="L1809">
        <v>0</v>
      </c>
      <c r="M1809">
        <v>0</v>
      </c>
      <c r="N1809">
        <v>33793</v>
      </c>
      <c r="O1809">
        <v>86155</v>
      </c>
      <c r="P1809">
        <v>44526</v>
      </c>
      <c r="Q1809">
        <v>1</v>
      </c>
      <c r="R1809">
        <v>0</v>
      </c>
      <c r="S1809">
        <v>1</v>
      </c>
      <c r="T1809">
        <v>12</v>
      </c>
      <c r="U1809">
        <v>17</v>
      </c>
    </row>
    <row r="1810" spans="1:21" x14ac:dyDescent="0.35">
      <c r="A1810" t="s">
        <v>21</v>
      </c>
      <c r="B1810" s="1">
        <v>44912</v>
      </c>
      <c r="C1810" t="s">
        <v>30</v>
      </c>
      <c r="D1810">
        <v>8</v>
      </c>
      <c r="E1810">
        <v>17.600000000000001</v>
      </c>
      <c r="F1810">
        <v>4.2</v>
      </c>
      <c r="G1810">
        <v>0.5</v>
      </c>
      <c r="H1810">
        <v>1.9</v>
      </c>
      <c r="I1810">
        <v>0</v>
      </c>
      <c r="J1810">
        <v>0</v>
      </c>
      <c r="K1810">
        <v>0</v>
      </c>
      <c r="L1810">
        <v>0</v>
      </c>
      <c r="M1810">
        <v>0</v>
      </c>
      <c r="N1810">
        <v>24877</v>
      </c>
      <c r="O1810">
        <v>11373</v>
      </c>
      <c r="P1810">
        <v>47108</v>
      </c>
      <c r="Q1810">
        <v>2</v>
      </c>
      <c r="R1810">
        <v>2</v>
      </c>
      <c r="S1810">
        <v>2</v>
      </c>
      <c r="T1810">
        <v>80</v>
      </c>
      <c r="U1810">
        <v>200</v>
      </c>
    </row>
    <row r="1811" spans="1:21" x14ac:dyDescent="0.35">
      <c r="A1811" t="s">
        <v>28</v>
      </c>
      <c r="B1811" s="1">
        <v>44599</v>
      </c>
      <c r="C1811" t="s">
        <v>31</v>
      </c>
      <c r="D1811">
        <v>210.8</v>
      </c>
      <c r="E1811">
        <v>177.6</v>
      </c>
      <c r="F1811">
        <v>191.1</v>
      </c>
      <c r="G1811">
        <v>1.2</v>
      </c>
      <c r="H1811">
        <v>1.1000000000000001</v>
      </c>
      <c r="I1811">
        <v>0</v>
      </c>
      <c r="J1811">
        <v>0</v>
      </c>
      <c r="K1811">
        <v>0</v>
      </c>
      <c r="L1811">
        <v>0</v>
      </c>
      <c r="M1811">
        <v>0</v>
      </c>
      <c r="N1811">
        <v>46481</v>
      </c>
      <c r="O1811">
        <v>46183</v>
      </c>
      <c r="P1811">
        <v>167465</v>
      </c>
      <c r="Q1811">
        <v>98</v>
      </c>
      <c r="R1811">
        <v>82</v>
      </c>
      <c r="S1811">
        <v>320</v>
      </c>
      <c r="T1811">
        <v>65</v>
      </c>
      <c r="U1811">
        <v>79</v>
      </c>
    </row>
    <row r="1812" spans="1:21" x14ac:dyDescent="0.35">
      <c r="A1812" t="s">
        <v>21</v>
      </c>
      <c r="B1812" s="1">
        <v>44527</v>
      </c>
      <c r="C1812" t="s">
        <v>32</v>
      </c>
      <c r="D1812">
        <v>0</v>
      </c>
      <c r="E1812">
        <v>0</v>
      </c>
      <c r="F1812">
        <v>0</v>
      </c>
      <c r="G1812">
        <v>0</v>
      </c>
      <c r="H1812">
        <v>0</v>
      </c>
      <c r="I1812">
        <v>0</v>
      </c>
      <c r="J1812">
        <v>0</v>
      </c>
      <c r="K1812">
        <v>0</v>
      </c>
      <c r="L1812">
        <v>0</v>
      </c>
      <c r="M1812">
        <v>0</v>
      </c>
      <c r="N1812">
        <v>162642</v>
      </c>
      <c r="O1812">
        <v>0</v>
      </c>
      <c r="P1812">
        <v>0</v>
      </c>
      <c r="Q1812">
        <v>0</v>
      </c>
      <c r="R1812">
        <v>0</v>
      </c>
      <c r="S1812">
        <v>0</v>
      </c>
      <c r="T1812">
        <v>0</v>
      </c>
      <c r="U1812">
        <v>4</v>
      </c>
    </row>
    <row r="1813" spans="1:21" x14ac:dyDescent="0.35">
      <c r="A1813" t="s">
        <v>26</v>
      </c>
      <c r="B1813" s="1">
        <v>45142</v>
      </c>
      <c r="C1813" t="s">
        <v>22</v>
      </c>
      <c r="D1813">
        <v>4.3</v>
      </c>
      <c r="E1813">
        <v>2.2999999999999998</v>
      </c>
      <c r="F1813">
        <v>4.7</v>
      </c>
      <c r="G1813">
        <v>1.9</v>
      </c>
      <c r="H1813">
        <v>0.9</v>
      </c>
      <c r="I1813">
        <v>6.2</v>
      </c>
      <c r="J1813">
        <v>3.1</v>
      </c>
      <c r="K1813">
        <v>3.2</v>
      </c>
      <c r="L1813">
        <v>2</v>
      </c>
      <c r="M1813">
        <v>1.9</v>
      </c>
      <c r="N1813">
        <v>540406</v>
      </c>
      <c r="O1813">
        <v>859347</v>
      </c>
      <c r="P1813">
        <v>1040563</v>
      </c>
      <c r="Q1813">
        <v>23</v>
      </c>
      <c r="R1813">
        <v>20</v>
      </c>
      <c r="S1813">
        <v>49</v>
      </c>
      <c r="T1813">
        <v>999</v>
      </c>
      <c r="U1813">
        <v>999</v>
      </c>
    </row>
    <row r="1814" spans="1:21" x14ac:dyDescent="0.35">
      <c r="A1814" t="s">
        <v>26</v>
      </c>
      <c r="B1814" s="1">
        <v>44975</v>
      </c>
      <c r="C1814" t="s">
        <v>23</v>
      </c>
      <c r="D1814">
        <v>20.6</v>
      </c>
      <c r="E1814">
        <v>4</v>
      </c>
      <c r="F1814">
        <v>4.9000000000000004</v>
      </c>
      <c r="G1814">
        <v>5.2</v>
      </c>
      <c r="H1814">
        <v>4.2</v>
      </c>
      <c r="I1814">
        <v>0</v>
      </c>
      <c r="J1814">
        <v>0</v>
      </c>
      <c r="K1814">
        <v>0</v>
      </c>
      <c r="L1814">
        <v>0</v>
      </c>
      <c r="M1814">
        <v>0</v>
      </c>
      <c r="N1814">
        <v>33956</v>
      </c>
      <c r="O1814">
        <v>125555</v>
      </c>
      <c r="P1814">
        <v>246862</v>
      </c>
      <c r="Q1814">
        <v>7</v>
      </c>
      <c r="R1814">
        <v>5</v>
      </c>
      <c r="S1814">
        <v>12</v>
      </c>
      <c r="T1814">
        <v>50</v>
      </c>
      <c r="U1814">
        <v>64</v>
      </c>
    </row>
    <row r="1815" spans="1:21" x14ac:dyDescent="0.35">
      <c r="A1815" t="s">
        <v>21</v>
      </c>
      <c r="B1815" s="1">
        <v>45192</v>
      </c>
      <c r="C1815" t="s">
        <v>30</v>
      </c>
      <c r="D1815">
        <v>8.1999999999999993</v>
      </c>
      <c r="E1815">
        <v>0</v>
      </c>
      <c r="F1815">
        <v>4.2</v>
      </c>
      <c r="G1815">
        <v>0</v>
      </c>
      <c r="H1815">
        <v>2</v>
      </c>
      <c r="I1815">
        <v>0</v>
      </c>
      <c r="J1815">
        <v>0</v>
      </c>
      <c r="K1815">
        <v>0</v>
      </c>
      <c r="L1815">
        <v>0</v>
      </c>
      <c r="M1815">
        <v>0</v>
      </c>
      <c r="N1815">
        <v>24430</v>
      </c>
      <c r="O1815">
        <v>11380</v>
      </c>
      <c r="P1815">
        <v>47134</v>
      </c>
      <c r="Q1815">
        <v>2</v>
      </c>
      <c r="R1815">
        <v>0</v>
      </c>
      <c r="S1815">
        <v>2</v>
      </c>
      <c r="T1815">
        <v>80</v>
      </c>
      <c r="U1815">
        <v>200</v>
      </c>
    </row>
    <row r="1816" spans="1:21" x14ac:dyDescent="0.35">
      <c r="A1816" t="s">
        <v>28</v>
      </c>
      <c r="B1816" s="1">
        <v>45185</v>
      </c>
      <c r="C1816" t="s">
        <v>24</v>
      </c>
      <c r="D1816">
        <v>6.7</v>
      </c>
      <c r="E1816">
        <v>15.7</v>
      </c>
      <c r="F1816">
        <v>23.5</v>
      </c>
      <c r="G1816">
        <v>0.4</v>
      </c>
      <c r="H1816">
        <v>0.3</v>
      </c>
      <c r="I1816">
        <v>0</v>
      </c>
      <c r="J1816">
        <v>0</v>
      </c>
      <c r="K1816">
        <v>0</v>
      </c>
      <c r="L1816">
        <v>0</v>
      </c>
      <c r="M1816">
        <v>0</v>
      </c>
      <c r="N1816">
        <v>89406</v>
      </c>
      <c r="O1816">
        <v>82669</v>
      </c>
      <c r="P1816">
        <v>21266</v>
      </c>
      <c r="Q1816">
        <v>6</v>
      </c>
      <c r="R1816">
        <v>13</v>
      </c>
      <c r="S1816">
        <v>5</v>
      </c>
      <c r="T1816">
        <v>5</v>
      </c>
      <c r="U1816">
        <v>11</v>
      </c>
    </row>
    <row r="1817" spans="1:21" x14ac:dyDescent="0.35">
      <c r="A1817" t="s">
        <v>21</v>
      </c>
      <c r="B1817" s="1">
        <v>44298</v>
      </c>
      <c r="C1817" t="s">
        <v>32</v>
      </c>
      <c r="D1817">
        <v>0</v>
      </c>
      <c r="E1817">
        <v>0</v>
      </c>
      <c r="F1817">
        <v>0</v>
      </c>
      <c r="G1817">
        <v>0</v>
      </c>
      <c r="H1817">
        <v>0</v>
      </c>
      <c r="I1817">
        <v>0</v>
      </c>
      <c r="J1817">
        <v>0</v>
      </c>
      <c r="K1817">
        <v>0</v>
      </c>
      <c r="L1817">
        <v>0</v>
      </c>
      <c r="M1817">
        <v>0</v>
      </c>
      <c r="N1817">
        <v>162642</v>
      </c>
      <c r="O1817">
        <v>0</v>
      </c>
      <c r="P1817">
        <v>0</v>
      </c>
      <c r="Q1817">
        <v>0</v>
      </c>
      <c r="R1817">
        <v>0</v>
      </c>
      <c r="S1817">
        <v>0</v>
      </c>
      <c r="T1817">
        <v>0</v>
      </c>
      <c r="U1817">
        <v>4</v>
      </c>
    </row>
    <row r="1818" spans="1:21" x14ac:dyDescent="0.35">
      <c r="A1818" t="s">
        <v>28</v>
      </c>
      <c r="B1818" s="1">
        <v>44322</v>
      </c>
      <c r="C1818" t="s">
        <v>25</v>
      </c>
      <c r="D1818">
        <v>45.1</v>
      </c>
      <c r="E1818">
        <v>6.2</v>
      </c>
      <c r="F1818">
        <v>0</v>
      </c>
      <c r="G1818">
        <v>7.3</v>
      </c>
      <c r="H1818">
        <v>0</v>
      </c>
      <c r="I1818">
        <v>0</v>
      </c>
      <c r="J1818">
        <v>0</v>
      </c>
      <c r="K1818">
        <v>0</v>
      </c>
      <c r="L1818">
        <v>0</v>
      </c>
      <c r="M1818">
        <v>0</v>
      </c>
      <c r="N1818">
        <v>241512</v>
      </c>
      <c r="O1818">
        <v>225206</v>
      </c>
      <c r="P1818">
        <v>0</v>
      </c>
      <c r="Q1818">
        <v>109</v>
      </c>
      <c r="R1818">
        <v>14</v>
      </c>
      <c r="S1818">
        <v>0</v>
      </c>
      <c r="T1818">
        <v>18</v>
      </c>
      <c r="U1818">
        <v>29</v>
      </c>
    </row>
    <row r="1819" spans="1:21" x14ac:dyDescent="0.35">
      <c r="A1819" t="s">
        <v>21</v>
      </c>
      <c r="B1819" s="1">
        <v>45082</v>
      </c>
      <c r="C1819" t="s">
        <v>24</v>
      </c>
      <c r="D1819">
        <v>0</v>
      </c>
      <c r="E1819">
        <v>0</v>
      </c>
      <c r="F1819">
        <v>0</v>
      </c>
      <c r="G1819">
        <v>0</v>
      </c>
      <c r="H1819">
        <v>0</v>
      </c>
      <c r="I1819">
        <v>0</v>
      </c>
      <c r="J1819">
        <v>0</v>
      </c>
      <c r="K1819">
        <v>0</v>
      </c>
      <c r="L1819">
        <v>0</v>
      </c>
      <c r="M1819">
        <v>0</v>
      </c>
      <c r="N1819">
        <v>90817</v>
      </c>
      <c r="O1819">
        <v>82677</v>
      </c>
      <c r="P1819">
        <v>21239</v>
      </c>
      <c r="Q1819">
        <v>0</v>
      </c>
      <c r="R1819">
        <v>0</v>
      </c>
      <c r="S1819">
        <v>0</v>
      </c>
      <c r="T1819">
        <v>5</v>
      </c>
      <c r="U1819">
        <v>11</v>
      </c>
    </row>
    <row r="1820" spans="1:21" x14ac:dyDescent="0.35">
      <c r="A1820" t="s">
        <v>21</v>
      </c>
      <c r="B1820" s="1">
        <v>44512</v>
      </c>
      <c r="C1820" t="s">
        <v>32</v>
      </c>
      <c r="D1820">
        <v>0</v>
      </c>
      <c r="E1820">
        <v>0</v>
      </c>
      <c r="F1820">
        <v>0</v>
      </c>
      <c r="G1820">
        <v>0</v>
      </c>
      <c r="H1820">
        <v>0</v>
      </c>
      <c r="I1820">
        <v>0</v>
      </c>
      <c r="J1820">
        <v>0</v>
      </c>
      <c r="K1820">
        <v>0</v>
      </c>
      <c r="L1820">
        <v>0</v>
      </c>
      <c r="M1820">
        <v>0</v>
      </c>
      <c r="N1820">
        <v>162642</v>
      </c>
      <c r="O1820">
        <v>0</v>
      </c>
      <c r="P1820">
        <v>0</v>
      </c>
      <c r="Q1820">
        <v>0</v>
      </c>
      <c r="R1820">
        <v>0</v>
      </c>
      <c r="S1820">
        <v>0</v>
      </c>
      <c r="T1820">
        <v>0</v>
      </c>
      <c r="U1820">
        <v>4</v>
      </c>
    </row>
    <row r="1821" spans="1:21" x14ac:dyDescent="0.35">
      <c r="A1821" t="s">
        <v>26</v>
      </c>
      <c r="B1821" s="1">
        <v>45142</v>
      </c>
      <c r="C1821" t="s">
        <v>24</v>
      </c>
      <c r="D1821">
        <v>0</v>
      </c>
      <c r="E1821">
        <v>2.4</v>
      </c>
      <c r="F1821">
        <v>0</v>
      </c>
      <c r="G1821">
        <v>0</v>
      </c>
      <c r="H1821">
        <v>0</v>
      </c>
      <c r="I1821">
        <v>0</v>
      </c>
      <c r="J1821">
        <v>0</v>
      </c>
      <c r="K1821">
        <v>0</v>
      </c>
      <c r="L1821">
        <v>0</v>
      </c>
      <c r="M1821">
        <v>0</v>
      </c>
      <c r="N1821">
        <v>91121</v>
      </c>
      <c r="O1821">
        <v>82526</v>
      </c>
      <c r="P1821">
        <v>21223</v>
      </c>
      <c r="Q1821">
        <v>0</v>
      </c>
      <c r="R1821">
        <v>2</v>
      </c>
      <c r="S1821">
        <v>0</v>
      </c>
      <c r="T1821">
        <v>5</v>
      </c>
      <c r="U1821">
        <v>11</v>
      </c>
    </row>
    <row r="1822" spans="1:21" x14ac:dyDescent="0.35">
      <c r="A1822" t="s">
        <v>26</v>
      </c>
      <c r="B1822" s="1">
        <v>44632</v>
      </c>
      <c r="C1822" t="s">
        <v>25</v>
      </c>
      <c r="D1822">
        <v>17.3</v>
      </c>
      <c r="E1822">
        <v>3.8</v>
      </c>
      <c r="F1822">
        <v>3.1</v>
      </c>
      <c r="G1822">
        <v>4.5999999999999996</v>
      </c>
      <c r="H1822">
        <v>5.6</v>
      </c>
      <c r="I1822">
        <v>0</v>
      </c>
      <c r="J1822">
        <v>0</v>
      </c>
      <c r="K1822">
        <v>0</v>
      </c>
      <c r="L1822">
        <v>0</v>
      </c>
      <c r="M1822">
        <v>0</v>
      </c>
      <c r="N1822">
        <v>81009</v>
      </c>
      <c r="O1822">
        <v>212601</v>
      </c>
      <c r="P1822">
        <v>161582</v>
      </c>
      <c r="Q1822">
        <v>14</v>
      </c>
      <c r="R1822">
        <v>8</v>
      </c>
      <c r="S1822">
        <v>5</v>
      </c>
      <c r="T1822">
        <v>18</v>
      </c>
      <c r="U1822">
        <v>29</v>
      </c>
    </row>
    <row r="1823" spans="1:21" x14ac:dyDescent="0.35">
      <c r="A1823" t="s">
        <v>28</v>
      </c>
      <c r="B1823" s="1">
        <v>44884</v>
      </c>
      <c r="C1823" t="s">
        <v>30</v>
      </c>
      <c r="D1823">
        <v>111.6</v>
      </c>
      <c r="E1823">
        <v>158.30000000000001</v>
      </c>
      <c r="F1823">
        <v>225.1</v>
      </c>
      <c r="G1823">
        <v>0.7</v>
      </c>
      <c r="H1823">
        <v>0.5</v>
      </c>
      <c r="I1823">
        <v>0</v>
      </c>
      <c r="J1823">
        <v>0</v>
      </c>
      <c r="K1823">
        <v>0</v>
      </c>
      <c r="L1823">
        <v>0</v>
      </c>
      <c r="M1823">
        <v>0</v>
      </c>
      <c r="N1823">
        <v>25083</v>
      </c>
      <c r="O1823">
        <v>11368</v>
      </c>
      <c r="P1823">
        <v>47093</v>
      </c>
      <c r="Q1823">
        <v>28</v>
      </c>
      <c r="R1823">
        <v>18</v>
      </c>
      <c r="S1823">
        <v>106</v>
      </c>
      <c r="T1823">
        <v>80</v>
      </c>
      <c r="U1823">
        <v>200</v>
      </c>
    </row>
    <row r="1824" spans="1:21" x14ac:dyDescent="0.35">
      <c r="A1824" t="s">
        <v>28</v>
      </c>
      <c r="B1824" s="1">
        <v>45136</v>
      </c>
      <c r="C1824" t="s">
        <v>27</v>
      </c>
      <c r="D1824">
        <v>15.6</v>
      </c>
      <c r="E1824">
        <v>5.8</v>
      </c>
      <c r="F1824">
        <v>4.5</v>
      </c>
      <c r="G1824">
        <v>2.7</v>
      </c>
      <c r="H1824">
        <v>3.5</v>
      </c>
      <c r="I1824">
        <v>0</v>
      </c>
      <c r="J1824">
        <v>0</v>
      </c>
      <c r="K1824">
        <v>0</v>
      </c>
      <c r="L1824">
        <v>0</v>
      </c>
      <c r="M1824">
        <v>0</v>
      </c>
      <c r="N1824">
        <v>32091</v>
      </c>
      <c r="O1824">
        <v>86577</v>
      </c>
      <c r="P1824">
        <v>44592</v>
      </c>
      <c r="Q1824">
        <v>5</v>
      </c>
      <c r="R1824">
        <v>5</v>
      </c>
      <c r="S1824">
        <v>2</v>
      </c>
      <c r="T1824">
        <v>12</v>
      </c>
      <c r="U1824">
        <v>17</v>
      </c>
    </row>
    <row r="1825" spans="1:21" x14ac:dyDescent="0.35">
      <c r="A1825" t="s">
        <v>26</v>
      </c>
      <c r="B1825" s="1">
        <v>44373</v>
      </c>
      <c r="C1825" t="s">
        <v>25</v>
      </c>
      <c r="D1825">
        <v>2.6</v>
      </c>
      <c r="E1825">
        <v>0</v>
      </c>
      <c r="F1825">
        <v>0</v>
      </c>
      <c r="G1825">
        <v>0</v>
      </c>
      <c r="H1825">
        <v>0</v>
      </c>
      <c r="I1825">
        <v>0</v>
      </c>
      <c r="J1825">
        <v>0</v>
      </c>
      <c r="K1825">
        <v>0</v>
      </c>
      <c r="L1825">
        <v>0</v>
      </c>
      <c r="M1825">
        <v>0</v>
      </c>
      <c r="N1825">
        <v>228136</v>
      </c>
      <c r="O1825">
        <v>254744</v>
      </c>
      <c r="P1825">
        <v>0</v>
      </c>
      <c r="Q1825">
        <v>6</v>
      </c>
      <c r="R1825">
        <v>0</v>
      </c>
      <c r="S1825">
        <v>0</v>
      </c>
      <c r="T1825">
        <v>18</v>
      </c>
      <c r="U1825">
        <v>29</v>
      </c>
    </row>
    <row r="1826" spans="1:21" x14ac:dyDescent="0.35">
      <c r="A1826" t="s">
        <v>26</v>
      </c>
      <c r="B1826" s="1">
        <v>44611</v>
      </c>
      <c r="C1826" t="s">
        <v>29</v>
      </c>
      <c r="D1826">
        <v>4.4000000000000004</v>
      </c>
      <c r="E1826">
        <v>3</v>
      </c>
      <c r="F1826">
        <v>1.3</v>
      </c>
      <c r="G1826">
        <v>1.5</v>
      </c>
      <c r="H1826">
        <v>3.4</v>
      </c>
      <c r="I1826">
        <v>0</v>
      </c>
      <c r="J1826">
        <v>0</v>
      </c>
      <c r="K1826">
        <v>0</v>
      </c>
      <c r="L1826">
        <v>0</v>
      </c>
      <c r="M1826">
        <v>0</v>
      </c>
      <c r="N1826">
        <v>137833</v>
      </c>
      <c r="O1826">
        <v>299049</v>
      </c>
      <c r="P1826">
        <v>303628</v>
      </c>
      <c r="Q1826">
        <v>6</v>
      </c>
      <c r="R1826">
        <v>9</v>
      </c>
      <c r="S1826">
        <v>4</v>
      </c>
      <c r="T1826">
        <v>30</v>
      </c>
      <c r="U1826">
        <v>49</v>
      </c>
    </row>
    <row r="1827" spans="1:21" x14ac:dyDescent="0.35">
      <c r="A1827" t="s">
        <v>21</v>
      </c>
      <c r="B1827" s="1">
        <v>44548</v>
      </c>
      <c r="C1827" t="s">
        <v>32</v>
      </c>
      <c r="D1827">
        <v>0</v>
      </c>
      <c r="E1827">
        <v>0</v>
      </c>
      <c r="F1827">
        <v>0</v>
      </c>
      <c r="G1827">
        <v>0</v>
      </c>
      <c r="H1827">
        <v>0</v>
      </c>
      <c r="I1827">
        <v>0</v>
      </c>
      <c r="J1827">
        <v>0</v>
      </c>
      <c r="K1827">
        <v>0</v>
      </c>
      <c r="L1827">
        <v>0</v>
      </c>
      <c r="M1827">
        <v>0</v>
      </c>
      <c r="N1827">
        <v>162642</v>
      </c>
      <c r="O1827">
        <v>0</v>
      </c>
      <c r="P1827">
        <v>0</v>
      </c>
      <c r="Q1827">
        <v>0</v>
      </c>
      <c r="R1827">
        <v>0</v>
      </c>
      <c r="S1827">
        <v>0</v>
      </c>
      <c r="T1827">
        <v>0</v>
      </c>
      <c r="U1827">
        <v>4</v>
      </c>
    </row>
    <row r="1828" spans="1:21" x14ac:dyDescent="0.35">
      <c r="A1828" t="s">
        <v>28</v>
      </c>
      <c r="B1828" s="1">
        <v>44897</v>
      </c>
      <c r="C1828" t="s">
        <v>31</v>
      </c>
      <c r="D1828">
        <v>127.4</v>
      </c>
      <c r="E1828">
        <v>90.2</v>
      </c>
      <c r="F1828">
        <v>69.400000000000006</v>
      </c>
      <c r="G1828">
        <v>1.4</v>
      </c>
      <c r="H1828">
        <v>1.8</v>
      </c>
      <c r="I1828">
        <v>0</v>
      </c>
      <c r="J1828">
        <v>0</v>
      </c>
      <c r="K1828">
        <v>0</v>
      </c>
      <c r="L1828">
        <v>0</v>
      </c>
      <c r="M1828">
        <v>0</v>
      </c>
      <c r="N1828">
        <v>49452</v>
      </c>
      <c r="O1828">
        <v>57654</v>
      </c>
      <c r="P1828">
        <v>151402</v>
      </c>
      <c r="Q1828">
        <v>63</v>
      </c>
      <c r="R1828">
        <v>52</v>
      </c>
      <c r="S1828">
        <v>105</v>
      </c>
      <c r="T1828">
        <v>65</v>
      </c>
      <c r="U1828">
        <v>79</v>
      </c>
    </row>
    <row r="1829" spans="1:21" x14ac:dyDescent="0.35">
      <c r="A1829" t="s">
        <v>28</v>
      </c>
      <c r="B1829" s="1">
        <v>45241</v>
      </c>
      <c r="C1829" t="s">
        <v>23</v>
      </c>
      <c r="D1829">
        <v>171.6</v>
      </c>
      <c r="E1829">
        <v>43.7</v>
      </c>
      <c r="F1829">
        <v>48.8</v>
      </c>
      <c r="G1829">
        <v>3.9</v>
      </c>
      <c r="H1829">
        <v>3.5</v>
      </c>
      <c r="I1829">
        <v>0</v>
      </c>
      <c r="J1829">
        <v>0</v>
      </c>
      <c r="K1829">
        <v>0</v>
      </c>
      <c r="L1829">
        <v>0</v>
      </c>
      <c r="M1829">
        <v>0</v>
      </c>
      <c r="N1829">
        <v>30308</v>
      </c>
      <c r="O1829">
        <v>125745</v>
      </c>
      <c r="P1829">
        <v>247813</v>
      </c>
      <c r="Q1829">
        <v>52</v>
      </c>
      <c r="R1829">
        <v>55</v>
      </c>
      <c r="S1829">
        <v>121</v>
      </c>
      <c r="T1829">
        <v>50</v>
      </c>
      <c r="U1829">
        <v>64</v>
      </c>
    </row>
    <row r="1830" spans="1:21" x14ac:dyDescent="0.35">
      <c r="A1830" t="s">
        <v>21</v>
      </c>
      <c r="B1830" s="1">
        <v>45232</v>
      </c>
      <c r="C1830" t="s">
        <v>30</v>
      </c>
      <c r="D1830">
        <v>8.1</v>
      </c>
      <c r="E1830">
        <v>17.600000000000001</v>
      </c>
      <c r="F1830">
        <v>0</v>
      </c>
      <c r="G1830">
        <v>0.5</v>
      </c>
      <c r="H1830">
        <v>0</v>
      </c>
      <c r="I1830">
        <v>0</v>
      </c>
      <c r="J1830">
        <v>0</v>
      </c>
      <c r="K1830">
        <v>0</v>
      </c>
      <c r="L1830">
        <v>0</v>
      </c>
      <c r="M1830">
        <v>0</v>
      </c>
      <c r="N1830">
        <v>24710</v>
      </c>
      <c r="O1830">
        <v>11376</v>
      </c>
      <c r="P1830">
        <v>47122</v>
      </c>
      <c r="Q1830">
        <v>2</v>
      </c>
      <c r="R1830">
        <v>2</v>
      </c>
      <c r="S1830">
        <v>0</v>
      </c>
      <c r="T1830">
        <v>80</v>
      </c>
      <c r="U1830">
        <v>200</v>
      </c>
    </row>
    <row r="1831" spans="1:21" x14ac:dyDescent="0.35">
      <c r="A1831" t="s">
        <v>26</v>
      </c>
      <c r="B1831" s="1">
        <v>44863</v>
      </c>
      <c r="C1831" t="s">
        <v>31</v>
      </c>
      <c r="D1831">
        <v>28.2</v>
      </c>
      <c r="E1831">
        <v>25.4</v>
      </c>
      <c r="F1831">
        <v>20.399999999999999</v>
      </c>
      <c r="G1831">
        <v>1.1000000000000001</v>
      </c>
      <c r="H1831">
        <v>1.4</v>
      </c>
      <c r="I1831">
        <v>0</v>
      </c>
      <c r="J1831">
        <v>0</v>
      </c>
      <c r="K1831">
        <v>0</v>
      </c>
      <c r="L1831">
        <v>0</v>
      </c>
      <c r="M1831">
        <v>0</v>
      </c>
      <c r="N1831">
        <v>42620</v>
      </c>
      <c r="O1831">
        <v>43357</v>
      </c>
      <c r="P1831">
        <v>171513</v>
      </c>
      <c r="Q1831">
        <v>12</v>
      </c>
      <c r="R1831">
        <v>11</v>
      </c>
      <c r="S1831">
        <v>35</v>
      </c>
      <c r="T1831">
        <v>65</v>
      </c>
      <c r="U1831">
        <v>79</v>
      </c>
    </row>
    <row r="1832" spans="1:21" x14ac:dyDescent="0.35">
      <c r="A1832" t="s">
        <v>26</v>
      </c>
      <c r="B1832" s="1">
        <v>44982</v>
      </c>
      <c r="C1832" t="s">
        <v>29</v>
      </c>
      <c r="D1832">
        <v>2.7</v>
      </c>
      <c r="E1832">
        <v>1.8</v>
      </c>
      <c r="F1832">
        <v>3.7</v>
      </c>
      <c r="G1832">
        <v>1.5</v>
      </c>
      <c r="H1832">
        <v>0.7</v>
      </c>
      <c r="I1832">
        <v>0</v>
      </c>
      <c r="J1832">
        <v>0</v>
      </c>
      <c r="K1832">
        <v>0</v>
      </c>
      <c r="L1832">
        <v>0</v>
      </c>
      <c r="M1832">
        <v>0</v>
      </c>
      <c r="N1832">
        <v>110797</v>
      </c>
      <c r="O1832">
        <v>277836</v>
      </c>
      <c r="P1832">
        <v>347256</v>
      </c>
      <c r="Q1832">
        <v>3</v>
      </c>
      <c r="R1832">
        <v>5</v>
      </c>
      <c r="S1832">
        <v>13</v>
      </c>
      <c r="T1832">
        <v>30</v>
      </c>
      <c r="U1832">
        <v>49</v>
      </c>
    </row>
    <row r="1833" spans="1:21" x14ac:dyDescent="0.35">
      <c r="A1833" t="s">
        <v>21</v>
      </c>
      <c r="B1833" s="1">
        <v>44765</v>
      </c>
      <c r="C1833" t="s">
        <v>29</v>
      </c>
      <c r="D1833">
        <v>0</v>
      </c>
      <c r="E1833">
        <v>0</v>
      </c>
      <c r="F1833">
        <v>0</v>
      </c>
      <c r="G1833">
        <v>0</v>
      </c>
      <c r="H1833">
        <v>0</v>
      </c>
      <c r="I1833">
        <v>0</v>
      </c>
      <c r="J1833">
        <v>0</v>
      </c>
      <c r="K1833">
        <v>0</v>
      </c>
      <c r="L1833">
        <v>0</v>
      </c>
      <c r="M1833">
        <v>0</v>
      </c>
      <c r="N1833">
        <v>126870</v>
      </c>
      <c r="O1833">
        <v>279406</v>
      </c>
      <c r="P1833">
        <v>341686</v>
      </c>
      <c r="Q1833">
        <v>0</v>
      </c>
      <c r="R1833">
        <v>0</v>
      </c>
      <c r="S1833">
        <v>0</v>
      </c>
      <c r="T1833">
        <v>30</v>
      </c>
      <c r="U1833">
        <v>49</v>
      </c>
    </row>
    <row r="1834" spans="1:21" x14ac:dyDescent="0.35">
      <c r="A1834" t="s">
        <v>21</v>
      </c>
      <c r="B1834" s="1">
        <v>44555</v>
      </c>
      <c r="C1834" t="s">
        <v>32</v>
      </c>
      <c r="D1834">
        <v>0</v>
      </c>
      <c r="E1834">
        <v>0</v>
      </c>
      <c r="F1834">
        <v>0</v>
      </c>
      <c r="G1834">
        <v>0</v>
      </c>
      <c r="H1834">
        <v>0</v>
      </c>
      <c r="I1834">
        <v>0</v>
      </c>
      <c r="J1834">
        <v>0</v>
      </c>
      <c r="K1834">
        <v>0</v>
      </c>
      <c r="L1834">
        <v>0</v>
      </c>
      <c r="M1834">
        <v>0</v>
      </c>
      <c r="N1834">
        <v>162642</v>
      </c>
      <c r="O1834">
        <v>0</v>
      </c>
      <c r="P1834">
        <v>0</v>
      </c>
      <c r="Q1834">
        <v>0</v>
      </c>
      <c r="R1834">
        <v>0</v>
      </c>
      <c r="S1834">
        <v>0</v>
      </c>
      <c r="T1834">
        <v>0</v>
      </c>
      <c r="U1834">
        <v>4</v>
      </c>
    </row>
    <row r="1835" spans="1:21" x14ac:dyDescent="0.35">
      <c r="A1835" t="s">
        <v>26</v>
      </c>
      <c r="B1835" s="1">
        <v>45241</v>
      </c>
      <c r="C1835" t="s">
        <v>23</v>
      </c>
      <c r="D1835">
        <v>26.4</v>
      </c>
      <c r="E1835">
        <v>3.2</v>
      </c>
      <c r="F1835">
        <v>4</v>
      </c>
      <c r="G1835">
        <v>8.1999999999999993</v>
      </c>
      <c r="H1835">
        <v>6.6</v>
      </c>
      <c r="I1835">
        <v>0</v>
      </c>
      <c r="J1835">
        <v>0</v>
      </c>
      <c r="K1835">
        <v>0</v>
      </c>
      <c r="L1835">
        <v>0</v>
      </c>
      <c r="M1835">
        <v>0</v>
      </c>
      <c r="N1835">
        <v>30308</v>
      </c>
      <c r="O1835">
        <v>125745</v>
      </c>
      <c r="P1835">
        <v>247813</v>
      </c>
      <c r="Q1835">
        <v>8</v>
      </c>
      <c r="R1835">
        <v>4</v>
      </c>
      <c r="S1835">
        <v>10</v>
      </c>
      <c r="T1835">
        <v>50</v>
      </c>
      <c r="U1835">
        <v>64</v>
      </c>
    </row>
    <row r="1836" spans="1:21" x14ac:dyDescent="0.35">
      <c r="A1836" t="s">
        <v>26</v>
      </c>
      <c r="B1836" s="1">
        <v>44720</v>
      </c>
      <c r="C1836" t="s">
        <v>29</v>
      </c>
      <c r="D1836">
        <v>17.399999999999999</v>
      </c>
      <c r="E1836">
        <v>4</v>
      </c>
      <c r="F1836">
        <v>4.4000000000000004</v>
      </c>
      <c r="G1836">
        <v>4.4000000000000004</v>
      </c>
      <c r="H1836">
        <v>4</v>
      </c>
      <c r="I1836">
        <v>0</v>
      </c>
      <c r="J1836">
        <v>0</v>
      </c>
      <c r="K1836">
        <v>0</v>
      </c>
      <c r="L1836">
        <v>0</v>
      </c>
      <c r="M1836">
        <v>0</v>
      </c>
      <c r="N1836">
        <v>126294</v>
      </c>
      <c r="O1836">
        <v>278159</v>
      </c>
      <c r="P1836">
        <v>343405</v>
      </c>
      <c r="Q1836">
        <v>22</v>
      </c>
      <c r="R1836">
        <v>11</v>
      </c>
      <c r="S1836">
        <v>15</v>
      </c>
      <c r="T1836">
        <v>30</v>
      </c>
      <c r="U1836">
        <v>49</v>
      </c>
    </row>
    <row r="1837" spans="1:21" x14ac:dyDescent="0.35">
      <c r="A1837" t="s">
        <v>26</v>
      </c>
      <c r="B1837" s="1">
        <v>45241</v>
      </c>
      <c r="C1837" t="s">
        <v>29</v>
      </c>
      <c r="D1837">
        <v>5</v>
      </c>
      <c r="E1837">
        <v>2.1</v>
      </c>
      <c r="F1837">
        <v>1.4</v>
      </c>
      <c r="G1837">
        <v>2.4</v>
      </c>
      <c r="H1837">
        <v>3.6</v>
      </c>
      <c r="I1837">
        <v>0</v>
      </c>
      <c r="J1837">
        <v>0</v>
      </c>
      <c r="K1837">
        <v>0</v>
      </c>
      <c r="L1837">
        <v>0</v>
      </c>
      <c r="M1837">
        <v>0</v>
      </c>
      <c r="N1837">
        <v>100910</v>
      </c>
      <c r="O1837">
        <v>279296</v>
      </c>
      <c r="P1837">
        <v>348677</v>
      </c>
      <c r="Q1837">
        <v>5</v>
      </c>
      <c r="R1837">
        <v>6</v>
      </c>
      <c r="S1837">
        <v>5</v>
      </c>
      <c r="T1837">
        <v>30</v>
      </c>
      <c r="U1837">
        <v>49</v>
      </c>
    </row>
    <row r="1838" spans="1:21" x14ac:dyDescent="0.35">
      <c r="A1838" t="s">
        <v>21</v>
      </c>
      <c r="B1838" s="1">
        <v>44562</v>
      </c>
      <c r="C1838" t="s">
        <v>32</v>
      </c>
      <c r="D1838">
        <v>0</v>
      </c>
      <c r="E1838">
        <v>0</v>
      </c>
      <c r="F1838">
        <v>0</v>
      </c>
      <c r="G1838">
        <v>0</v>
      </c>
      <c r="H1838">
        <v>0</v>
      </c>
      <c r="I1838">
        <v>0</v>
      </c>
      <c r="J1838">
        <v>0</v>
      </c>
      <c r="K1838">
        <v>0</v>
      </c>
      <c r="L1838">
        <v>0</v>
      </c>
      <c r="M1838">
        <v>0</v>
      </c>
      <c r="N1838">
        <v>162642</v>
      </c>
      <c r="O1838">
        <v>0</v>
      </c>
      <c r="P1838">
        <v>0</v>
      </c>
      <c r="Q1838">
        <v>0</v>
      </c>
      <c r="R1838">
        <v>0</v>
      </c>
      <c r="S1838">
        <v>0</v>
      </c>
      <c r="T1838">
        <v>0</v>
      </c>
      <c r="U1838">
        <v>4</v>
      </c>
    </row>
    <row r="1839" spans="1:21" x14ac:dyDescent="0.35">
      <c r="A1839" t="s">
        <v>21</v>
      </c>
      <c r="B1839" s="1">
        <v>44774</v>
      </c>
      <c r="C1839" t="s">
        <v>32</v>
      </c>
      <c r="D1839">
        <v>0</v>
      </c>
      <c r="E1839">
        <v>0</v>
      </c>
      <c r="F1839">
        <v>0</v>
      </c>
      <c r="G1839">
        <v>0</v>
      </c>
      <c r="H1839">
        <v>0</v>
      </c>
      <c r="I1839">
        <v>0</v>
      </c>
      <c r="J1839">
        <v>0</v>
      </c>
      <c r="K1839">
        <v>0</v>
      </c>
      <c r="L1839">
        <v>0</v>
      </c>
      <c r="M1839">
        <v>0</v>
      </c>
      <c r="N1839">
        <v>162642</v>
      </c>
      <c r="O1839">
        <v>0</v>
      </c>
      <c r="P1839">
        <v>0</v>
      </c>
      <c r="Q1839">
        <v>0</v>
      </c>
      <c r="R1839">
        <v>0</v>
      </c>
      <c r="S1839">
        <v>0</v>
      </c>
      <c r="T1839">
        <v>0</v>
      </c>
      <c r="U1839">
        <v>4</v>
      </c>
    </row>
    <row r="1840" spans="1:21" x14ac:dyDescent="0.35">
      <c r="A1840" t="s">
        <v>28</v>
      </c>
      <c r="B1840" s="1">
        <v>45192</v>
      </c>
      <c r="C1840" t="s">
        <v>22</v>
      </c>
      <c r="D1840">
        <v>58.8</v>
      </c>
      <c r="E1840">
        <v>23.8</v>
      </c>
      <c r="F1840">
        <v>47</v>
      </c>
      <c r="G1840">
        <v>2.5</v>
      </c>
      <c r="H1840">
        <v>1.3</v>
      </c>
      <c r="I1840">
        <v>69.900000000000006</v>
      </c>
      <c r="J1840">
        <v>26.3</v>
      </c>
      <c r="K1840">
        <v>35.799999999999997</v>
      </c>
      <c r="L1840">
        <v>2.7</v>
      </c>
      <c r="M1840">
        <v>2</v>
      </c>
      <c r="N1840">
        <v>525521</v>
      </c>
      <c r="O1840">
        <v>860278</v>
      </c>
      <c r="P1840">
        <v>1040840</v>
      </c>
      <c r="Q1840">
        <v>309</v>
      </c>
      <c r="R1840">
        <v>205</v>
      </c>
      <c r="S1840">
        <v>489</v>
      </c>
      <c r="T1840">
        <v>999</v>
      </c>
      <c r="U1840">
        <v>999</v>
      </c>
    </row>
    <row r="1841" spans="1:21" x14ac:dyDescent="0.35">
      <c r="A1841" t="s">
        <v>21</v>
      </c>
      <c r="B1841" s="1">
        <v>44576</v>
      </c>
      <c r="C1841" t="s">
        <v>32</v>
      </c>
      <c r="D1841">
        <v>0</v>
      </c>
      <c r="E1841">
        <v>0</v>
      </c>
      <c r="F1841">
        <v>0</v>
      </c>
      <c r="G1841">
        <v>0</v>
      </c>
      <c r="H1841">
        <v>0</v>
      </c>
      <c r="I1841">
        <v>0</v>
      </c>
      <c r="J1841">
        <v>0</v>
      </c>
      <c r="K1841">
        <v>0</v>
      </c>
      <c r="L1841">
        <v>0</v>
      </c>
      <c r="M1841">
        <v>0</v>
      </c>
      <c r="N1841">
        <v>162642</v>
      </c>
      <c r="O1841">
        <v>0</v>
      </c>
      <c r="P1841">
        <v>0</v>
      </c>
      <c r="Q1841">
        <v>0</v>
      </c>
      <c r="R1841">
        <v>0</v>
      </c>
      <c r="S1841">
        <v>0</v>
      </c>
      <c r="T1841">
        <v>0</v>
      </c>
      <c r="U1841">
        <v>4</v>
      </c>
    </row>
    <row r="1842" spans="1:21" x14ac:dyDescent="0.35">
      <c r="A1842" t="s">
        <v>21</v>
      </c>
      <c r="B1842" s="1">
        <v>44583</v>
      </c>
      <c r="C1842" t="s">
        <v>32</v>
      </c>
      <c r="D1842">
        <v>0</v>
      </c>
      <c r="E1842">
        <v>0</v>
      </c>
      <c r="F1842">
        <v>0</v>
      </c>
      <c r="G1842">
        <v>0</v>
      </c>
      <c r="H1842">
        <v>0</v>
      </c>
      <c r="I1842">
        <v>0</v>
      </c>
      <c r="J1842">
        <v>0</v>
      </c>
      <c r="K1842">
        <v>0</v>
      </c>
      <c r="L1842">
        <v>0</v>
      </c>
      <c r="M1842">
        <v>0</v>
      </c>
      <c r="N1842">
        <v>162642</v>
      </c>
      <c r="O1842">
        <v>0</v>
      </c>
      <c r="P1842">
        <v>0</v>
      </c>
      <c r="Q1842">
        <v>0</v>
      </c>
      <c r="R1842">
        <v>0</v>
      </c>
      <c r="S1842">
        <v>0</v>
      </c>
      <c r="T1842">
        <v>0</v>
      </c>
      <c r="U1842">
        <v>4</v>
      </c>
    </row>
    <row r="1843" spans="1:21" x14ac:dyDescent="0.35">
      <c r="A1843" t="s">
        <v>21</v>
      </c>
      <c r="B1843" s="1">
        <v>45129</v>
      </c>
      <c r="C1843" t="s">
        <v>32</v>
      </c>
      <c r="D1843">
        <v>0</v>
      </c>
      <c r="E1843">
        <v>0</v>
      </c>
      <c r="F1843">
        <v>0</v>
      </c>
      <c r="G1843">
        <v>0</v>
      </c>
      <c r="H1843">
        <v>0</v>
      </c>
      <c r="I1843">
        <v>0</v>
      </c>
      <c r="J1843">
        <v>0</v>
      </c>
      <c r="K1843">
        <v>0</v>
      </c>
      <c r="L1843">
        <v>0</v>
      </c>
      <c r="M1843">
        <v>0</v>
      </c>
      <c r="N1843">
        <v>162642</v>
      </c>
      <c r="O1843">
        <v>0</v>
      </c>
      <c r="P1843">
        <v>0</v>
      </c>
      <c r="Q1843">
        <v>0</v>
      </c>
      <c r="R1843">
        <v>0</v>
      </c>
      <c r="S1843">
        <v>0</v>
      </c>
      <c r="T1843">
        <v>0</v>
      </c>
      <c r="U1843">
        <v>4</v>
      </c>
    </row>
    <row r="1844" spans="1:21" x14ac:dyDescent="0.35">
      <c r="A1844" t="s">
        <v>21</v>
      </c>
      <c r="B1844" s="1">
        <v>44590</v>
      </c>
      <c r="C1844" t="s">
        <v>32</v>
      </c>
      <c r="D1844">
        <v>0</v>
      </c>
      <c r="E1844">
        <v>0</v>
      </c>
      <c r="F1844">
        <v>0</v>
      </c>
      <c r="G1844">
        <v>0</v>
      </c>
      <c r="H1844">
        <v>0</v>
      </c>
      <c r="I1844">
        <v>0</v>
      </c>
      <c r="J1844">
        <v>0</v>
      </c>
      <c r="K1844">
        <v>0</v>
      </c>
      <c r="L1844">
        <v>0</v>
      </c>
      <c r="M1844">
        <v>0</v>
      </c>
      <c r="N1844">
        <v>162642</v>
      </c>
      <c r="O1844">
        <v>0</v>
      </c>
      <c r="P1844">
        <v>0</v>
      </c>
      <c r="Q1844">
        <v>0</v>
      </c>
      <c r="R1844">
        <v>0</v>
      </c>
      <c r="S1844">
        <v>0</v>
      </c>
      <c r="T1844">
        <v>0</v>
      </c>
      <c r="U1844">
        <v>4</v>
      </c>
    </row>
    <row r="1845" spans="1:21" x14ac:dyDescent="0.35">
      <c r="A1845" t="s">
        <v>28</v>
      </c>
      <c r="B1845" s="1">
        <v>44338</v>
      </c>
      <c r="C1845" t="s">
        <v>30</v>
      </c>
      <c r="D1845">
        <v>54</v>
      </c>
      <c r="E1845">
        <v>21.2</v>
      </c>
      <c r="F1845">
        <v>0</v>
      </c>
      <c r="G1845">
        <v>2.5</v>
      </c>
      <c r="H1845">
        <v>0</v>
      </c>
      <c r="I1845">
        <v>0</v>
      </c>
      <c r="J1845">
        <v>0</v>
      </c>
      <c r="K1845">
        <v>0</v>
      </c>
      <c r="L1845">
        <v>0</v>
      </c>
      <c r="M1845">
        <v>0</v>
      </c>
      <c r="N1845">
        <v>35155</v>
      </c>
      <c r="O1845">
        <v>47103</v>
      </c>
      <c r="P1845">
        <v>0</v>
      </c>
      <c r="Q1845">
        <v>19</v>
      </c>
      <c r="R1845">
        <v>10</v>
      </c>
      <c r="S1845">
        <v>0</v>
      </c>
      <c r="T1845">
        <v>80</v>
      </c>
      <c r="U1845">
        <v>200</v>
      </c>
    </row>
    <row r="1846" spans="1:21" x14ac:dyDescent="0.35">
      <c r="A1846" t="s">
        <v>21</v>
      </c>
      <c r="B1846" s="1">
        <v>44683</v>
      </c>
      <c r="C1846" t="s">
        <v>32</v>
      </c>
      <c r="D1846">
        <v>0</v>
      </c>
      <c r="E1846">
        <v>0</v>
      </c>
      <c r="F1846">
        <v>0</v>
      </c>
      <c r="G1846">
        <v>0</v>
      </c>
      <c r="H1846">
        <v>0</v>
      </c>
      <c r="I1846">
        <v>0</v>
      </c>
      <c r="J1846">
        <v>0</v>
      </c>
      <c r="K1846">
        <v>0</v>
      </c>
      <c r="L1846">
        <v>0</v>
      </c>
      <c r="M1846">
        <v>0</v>
      </c>
      <c r="N1846">
        <v>162642</v>
      </c>
      <c r="O1846">
        <v>0</v>
      </c>
      <c r="P1846">
        <v>0</v>
      </c>
      <c r="Q1846">
        <v>0</v>
      </c>
      <c r="R1846">
        <v>0</v>
      </c>
      <c r="S1846">
        <v>0</v>
      </c>
      <c r="T1846">
        <v>0</v>
      </c>
      <c r="U1846">
        <v>4</v>
      </c>
    </row>
    <row r="1847" spans="1:21" x14ac:dyDescent="0.35">
      <c r="A1847" t="s">
        <v>26</v>
      </c>
      <c r="B1847" s="1">
        <v>44562</v>
      </c>
      <c r="C1847" t="s">
        <v>32</v>
      </c>
      <c r="D1847">
        <v>35</v>
      </c>
      <c r="E1847">
        <v>0</v>
      </c>
      <c r="F1847">
        <v>0</v>
      </c>
      <c r="G1847">
        <v>0</v>
      </c>
      <c r="H1847">
        <v>0</v>
      </c>
      <c r="I1847">
        <v>0</v>
      </c>
      <c r="J1847">
        <v>0</v>
      </c>
      <c r="K1847">
        <v>0</v>
      </c>
      <c r="L1847">
        <v>0</v>
      </c>
      <c r="M1847">
        <v>0</v>
      </c>
      <c r="N1847">
        <v>162642</v>
      </c>
      <c r="O1847">
        <v>0</v>
      </c>
      <c r="P1847">
        <v>0</v>
      </c>
      <c r="Q1847">
        <v>57</v>
      </c>
      <c r="R1847">
        <v>0</v>
      </c>
      <c r="S1847">
        <v>0</v>
      </c>
      <c r="T1847">
        <v>0</v>
      </c>
      <c r="U1847">
        <v>4</v>
      </c>
    </row>
    <row r="1848" spans="1:21" x14ac:dyDescent="0.35">
      <c r="A1848" t="s">
        <v>26</v>
      </c>
      <c r="B1848" s="1">
        <v>45185</v>
      </c>
      <c r="C1848" t="s">
        <v>32</v>
      </c>
      <c r="D1848">
        <v>3.1</v>
      </c>
      <c r="E1848">
        <v>0</v>
      </c>
      <c r="F1848">
        <v>0</v>
      </c>
      <c r="G1848">
        <v>0</v>
      </c>
      <c r="H1848">
        <v>0</v>
      </c>
      <c r="I1848">
        <v>0</v>
      </c>
      <c r="J1848">
        <v>0</v>
      </c>
      <c r="K1848">
        <v>0</v>
      </c>
      <c r="L1848">
        <v>0</v>
      </c>
      <c r="M1848">
        <v>0</v>
      </c>
      <c r="N1848">
        <v>162642</v>
      </c>
      <c r="O1848">
        <v>0</v>
      </c>
      <c r="P1848">
        <v>0</v>
      </c>
      <c r="Q1848">
        <v>5</v>
      </c>
      <c r="R1848">
        <v>0</v>
      </c>
      <c r="S1848">
        <v>0</v>
      </c>
      <c r="T1848">
        <v>0</v>
      </c>
      <c r="U1848">
        <v>4</v>
      </c>
    </row>
    <row r="1849" spans="1:21" x14ac:dyDescent="0.35">
      <c r="A1849" t="s">
        <v>21</v>
      </c>
      <c r="B1849" s="1">
        <v>44897</v>
      </c>
      <c r="C1849" t="s">
        <v>32</v>
      </c>
      <c r="D1849">
        <v>0</v>
      </c>
      <c r="E1849">
        <v>0</v>
      </c>
      <c r="F1849">
        <v>0</v>
      </c>
      <c r="G1849">
        <v>0</v>
      </c>
      <c r="H1849">
        <v>0</v>
      </c>
      <c r="I1849">
        <v>0</v>
      </c>
      <c r="J1849">
        <v>0</v>
      </c>
      <c r="K1849">
        <v>0</v>
      </c>
      <c r="L1849">
        <v>0</v>
      </c>
      <c r="M1849">
        <v>0</v>
      </c>
      <c r="N1849">
        <v>162642</v>
      </c>
      <c r="O1849">
        <v>0</v>
      </c>
      <c r="P1849">
        <v>0</v>
      </c>
      <c r="Q1849">
        <v>0</v>
      </c>
      <c r="R1849">
        <v>0</v>
      </c>
      <c r="S1849">
        <v>0</v>
      </c>
      <c r="T1849">
        <v>0</v>
      </c>
      <c r="U1849">
        <v>4</v>
      </c>
    </row>
    <row r="1850" spans="1:21" x14ac:dyDescent="0.35">
      <c r="A1850" t="s">
        <v>26</v>
      </c>
      <c r="B1850" s="1">
        <v>44408</v>
      </c>
      <c r="C1850" t="s">
        <v>29</v>
      </c>
      <c r="D1850">
        <v>14.3</v>
      </c>
      <c r="E1850">
        <v>1</v>
      </c>
      <c r="F1850">
        <v>0</v>
      </c>
      <c r="G1850">
        <v>14.3</v>
      </c>
      <c r="H1850">
        <v>0</v>
      </c>
      <c r="I1850">
        <v>0</v>
      </c>
      <c r="J1850">
        <v>0</v>
      </c>
      <c r="K1850">
        <v>0</v>
      </c>
      <c r="L1850">
        <v>0</v>
      </c>
      <c r="M1850">
        <v>0</v>
      </c>
      <c r="N1850">
        <v>266646</v>
      </c>
      <c r="O1850">
        <v>496916</v>
      </c>
      <c r="P1850">
        <v>0</v>
      </c>
      <c r="Q1850">
        <v>38</v>
      </c>
      <c r="R1850">
        <v>5</v>
      </c>
      <c r="S1850">
        <v>0</v>
      </c>
      <c r="T1850">
        <v>30</v>
      </c>
      <c r="U1850">
        <v>49</v>
      </c>
    </row>
    <row r="1851" spans="1:21" x14ac:dyDescent="0.35">
      <c r="A1851" t="s">
        <v>21</v>
      </c>
      <c r="B1851" s="1">
        <v>44548</v>
      </c>
      <c r="C1851" t="s">
        <v>27</v>
      </c>
      <c r="D1851">
        <v>0</v>
      </c>
      <c r="E1851">
        <v>0</v>
      </c>
      <c r="F1851">
        <v>0</v>
      </c>
      <c r="G1851">
        <v>0</v>
      </c>
      <c r="H1851">
        <v>0</v>
      </c>
      <c r="I1851">
        <v>0</v>
      </c>
      <c r="J1851">
        <v>0</v>
      </c>
      <c r="K1851">
        <v>0</v>
      </c>
      <c r="L1851">
        <v>0</v>
      </c>
      <c r="M1851">
        <v>0</v>
      </c>
      <c r="N1851">
        <v>56227</v>
      </c>
      <c r="O1851">
        <v>107530</v>
      </c>
      <c r="P1851">
        <v>554</v>
      </c>
      <c r="Q1851">
        <v>0</v>
      </c>
      <c r="R1851">
        <v>0</v>
      </c>
      <c r="S1851">
        <v>0</v>
      </c>
      <c r="T1851">
        <v>12</v>
      </c>
      <c r="U1851">
        <v>17</v>
      </c>
    </row>
    <row r="1852" spans="1:21" x14ac:dyDescent="0.35">
      <c r="A1852" t="s">
        <v>21</v>
      </c>
      <c r="B1852" s="1">
        <v>44611</v>
      </c>
      <c r="C1852" t="s">
        <v>32</v>
      </c>
      <c r="D1852">
        <v>0</v>
      </c>
      <c r="E1852">
        <v>0</v>
      </c>
      <c r="F1852">
        <v>0</v>
      </c>
      <c r="G1852">
        <v>0</v>
      </c>
      <c r="H1852">
        <v>0</v>
      </c>
      <c r="I1852">
        <v>0</v>
      </c>
      <c r="J1852">
        <v>0</v>
      </c>
      <c r="K1852">
        <v>0</v>
      </c>
      <c r="L1852">
        <v>0</v>
      </c>
      <c r="M1852">
        <v>0</v>
      </c>
      <c r="N1852">
        <v>162642</v>
      </c>
      <c r="O1852">
        <v>0</v>
      </c>
      <c r="P1852">
        <v>0</v>
      </c>
      <c r="Q1852">
        <v>0</v>
      </c>
      <c r="R1852">
        <v>0</v>
      </c>
      <c r="S1852">
        <v>0</v>
      </c>
      <c r="T1852">
        <v>0</v>
      </c>
      <c r="U1852">
        <v>4</v>
      </c>
    </row>
    <row r="1853" spans="1:21" x14ac:dyDescent="0.35">
      <c r="A1853" t="s">
        <v>21</v>
      </c>
      <c r="B1853" s="1">
        <v>44618</v>
      </c>
      <c r="C1853" t="s">
        <v>29</v>
      </c>
      <c r="D1853">
        <v>1.5</v>
      </c>
      <c r="E1853">
        <v>0</v>
      </c>
      <c r="F1853">
        <v>0</v>
      </c>
      <c r="G1853">
        <v>0</v>
      </c>
      <c r="H1853">
        <v>0</v>
      </c>
      <c r="I1853">
        <v>0</v>
      </c>
      <c r="J1853">
        <v>0</v>
      </c>
      <c r="K1853">
        <v>0</v>
      </c>
      <c r="L1853">
        <v>0</v>
      </c>
      <c r="M1853">
        <v>0</v>
      </c>
      <c r="N1853">
        <v>136458</v>
      </c>
      <c r="O1853">
        <v>296367</v>
      </c>
      <c r="P1853">
        <v>310294</v>
      </c>
      <c r="Q1853">
        <v>2</v>
      </c>
      <c r="R1853">
        <v>0</v>
      </c>
      <c r="S1853">
        <v>0</v>
      </c>
      <c r="T1853">
        <v>30</v>
      </c>
      <c r="U1853">
        <v>49</v>
      </c>
    </row>
    <row r="1854" spans="1:21" x14ac:dyDescent="0.35">
      <c r="A1854" t="s">
        <v>26</v>
      </c>
      <c r="B1854" s="1">
        <v>44499</v>
      </c>
      <c r="C1854" t="s">
        <v>25</v>
      </c>
      <c r="D1854">
        <v>4.8</v>
      </c>
      <c r="E1854">
        <v>0.6</v>
      </c>
      <c r="F1854">
        <v>0</v>
      </c>
      <c r="G1854">
        <v>8</v>
      </c>
      <c r="H1854">
        <v>0</v>
      </c>
      <c r="I1854">
        <v>0</v>
      </c>
      <c r="J1854">
        <v>0</v>
      </c>
      <c r="K1854">
        <v>0</v>
      </c>
      <c r="L1854">
        <v>0</v>
      </c>
      <c r="M1854">
        <v>0</v>
      </c>
      <c r="N1854">
        <v>165307</v>
      </c>
      <c r="O1854">
        <v>313568</v>
      </c>
      <c r="P1854">
        <v>7958</v>
      </c>
      <c r="Q1854">
        <v>8</v>
      </c>
      <c r="R1854">
        <v>2</v>
      </c>
      <c r="S1854">
        <v>0</v>
      </c>
      <c r="T1854">
        <v>18</v>
      </c>
      <c r="U1854">
        <v>29</v>
      </c>
    </row>
    <row r="1855" spans="1:21" x14ac:dyDescent="0.35">
      <c r="A1855" t="s">
        <v>28</v>
      </c>
      <c r="B1855" s="1">
        <v>44730</v>
      </c>
      <c r="C1855" t="s">
        <v>23</v>
      </c>
      <c r="D1855">
        <v>425.7</v>
      </c>
      <c r="E1855">
        <v>129.4</v>
      </c>
      <c r="F1855">
        <v>213.5</v>
      </c>
      <c r="G1855">
        <v>3.3</v>
      </c>
      <c r="H1855">
        <v>2</v>
      </c>
      <c r="I1855">
        <v>0</v>
      </c>
      <c r="J1855">
        <v>0</v>
      </c>
      <c r="K1855">
        <v>0</v>
      </c>
      <c r="L1855">
        <v>0</v>
      </c>
      <c r="M1855">
        <v>0</v>
      </c>
      <c r="N1855">
        <v>42287</v>
      </c>
      <c r="O1855">
        <v>130631</v>
      </c>
      <c r="P1855">
        <v>238855</v>
      </c>
      <c r="Q1855">
        <v>180</v>
      </c>
      <c r="R1855">
        <v>169</v>
      </c>
      <c r="S1855">
        <v>510</v>
      </c>
      <c r="T1855">
        <v>50</v>
      </c>
      <c r="U1855">
        <v>64</v>
      </c>
    </row>
    <row r="1856" spans="1:21" x14ac:dyDescent="0.35">
      <c r="A1856" t="s">
        <v>26</v>
      </c>
      <c r="B1856" s="1">
        <v>44667</v>
      </c>
      <c r="C1856" t="s">
        <v>23</v>
      </c>
      <c r="D1856">
        <v>9</v>
      </c>
      <c r="E1856">
        <v>2.2000000000000002</v>
      </c>
      <c r="F1856">
        <v>4.8</v>
      </c>
      <c r="G1856">
        <v>4.0999999999999996</v>
      </c>
      <c r="H1856">
        <v>1.9</v>
      </c>
      <c r="I1856">
        <v>0</v>
      </c>
      <c r="J1856">
        <v>0</v>
      </c>
      <c r="K1856">
        <v>0</v>
      </c>
      <c r="L1856">
        <v>0</v>
      </c>
      <c r="M1856">
        <v>0</v>
      </c>
      <c r="N1856">
        <v>44596</v>
      </c>
      <c r="O1856">
        <v>136888</v>
      </c>
      <c r="P1856">
        <v>229793</v>
      </c>
      <c r="Q1856">
        <v>4</v>
      </c>
      <c r="R1856">
        <v>3</v>
      </c>
      <c r="S1856">
        <v>11</v>
      </c>
      <c r="T1856">
        <v>50</v>
      </c>
      <c r="U1856">
        <v>64</v>
      </c>
    </row>
    <row r="1857" spans="1:21" x14ac:dyDescent="0.35">
      <c r="A1857" t="s">
        <v>21</v>
      </c>
      <c r="B1857" s="1">
        <v>44473</v>
      </c>
      <c r="C1857" t="s">
        <v>30</v>
      </c>
      <c r="D1857">
        <v>24.7</v>
      </c>
      <c r="E1857">
        <v>0</v>
      </c>
      <c r="F1857">
        <v>0</v>
      </c>
      <c r="G1857">
        <v>0</v>
      </c>
      <c r="H1857">
        <v>0</v>
      </c>
      <c r="I1857">
        <v>0</v>
      </c>
      <c r="J1857">
        <v>0</v>
      </c>
      <c r="K1857">
        <v>0</v>
      </c>
      <c r="L1857">
        <v>0</v>
      </c>
      <c r="M1857">
        <v>0</v>
      </c>
      <c r="N1857">
        <v>40425</v>
      </c>
      <c r="O1857">
        <v>30292</v>
      </c>
      <c r="P1857">
        <v>0</v>
      </c>
      <c r="Q1857">
        <v>10</v>
      </c>
      <c r="R1857">
        <v>0</v>
      </c>
      <c r="S1857">
        <v>0</v>
      </c>
      <c r="T1857">
        <v>80</v>
      </c>
      <c r="U1857">
        <v>200</v>
      </c>
    </row>
    <row r="1858" spans="1:21" x14ac:dyDescent="0.35">
      <c r="A1858" t="s">
        <v>26</v>
      </c>
      <c r="B1858" s="1">
        <v>44485</v>
      </c>
      <c r="C1858" t="s">
        <v>23</v>
      </c>
      <c r="D1858">
        <v>46.2</v>
      </c>
      <c r="E1858">
        <v>4.9000000000000004</v>
      </c>
      <c r="F1858">
        <v>0</v>
      </c>
      <c r="G1858">
        <v>9.4</v>
      </c>
      <c r="H1858">
        <v>0</v>
      </c>
      <c r="I1858">
        <v>0</v>
      </c>
      <c r="J1858">
        <v>0</v>
      </c>
      <c r="K1858">
        <v>0</v>
      </c>
      <c r="L1858">
        <v>0</v>
      </c>
      <c r="M1858">
        <v>0</v>
      </c>
      <c r="N1858">
        <v>75689</v>
      </c>
      <c r="O1858">
        <v>329389</v>
      </c>
      <c r="P1858">
        <v>0</v>
      </c>
      <c r="Q1858">
        <v>35</v>
      </c>
      <c r="R1858">
        <v>16</v>
      </c>
      <c r="S1858">
        <v>0</v>
      </c>
      <c r="T1858">
        <v>50</v>
      </c>
      <c r="U1858">
        <v>64</v>
      </c>
    </row>
    <row r="1859" spans="1:21" x14ac:dyDescent="0.35">
      <c r="A1859" t="s">
        <v>21</v>
      </c>
      <c r="B1859" s="1">
        <v>44618</v>
      </c>
      <c r="C1859" t="s">
        <v>32</v>
      </c>
      <c r="D1859">
        <v>0</v>
      </c>
      <c r="E1859">
        <v>0</v>
      </c>
      <c r="F1859">
        <v>0</v>
      </c>
      <c r="G1859">
        <v>0</v>
      </c>
      <c r="H1859">
        <v>0</v>
      </c>
      <c r="I1859">
        <v>0</v>
      </c>
      <c r="J1859">
        <v>0</v>
      </c>
      <c r="K1859">
        <v>0</v>
      </c>
      <c r="L1859">
        <v>0</v>
      </c>
      <c r="M1859">
        <v>0</v>
      </c>
      <c r="N1859">
        <v>162642</v>
      </c>
      <c r="O1859">
        <v>0</v>
      </c>
      <c r="P1859">
        <v>0</v>
      </c>
      <c r="Q1859">
        <v>0</v>
      </c>
      <c r="R1859">
        <v>0</v>
      </c>
      <c r="S1859">
        <v>0</v>
      </c>
      <c r="T1859">
        <v>0</v>
      </c>
      <c r="U1859">
        <v>4</v>
      </c>
    </row>
    <row r="1860" spans="1:21" x14ac:dyDescent="0.35">
      <c r="A1860" t="s">
        <v>28</v>
      </c>
      <c r="B1860" s="1">
        <v>44747</v>
      </c>
      <c r="C1860" t="s">
        <v>25</v>
      </c>
      <c r="D1860">
        <v>354.1</v>
      </c>
      <c r="E1860">
        <v>150.30000000000001</v>
      </c>
      <c r="F1860">
        <v>397.3</v>
      </c>
      <c r="G1860">
        <v>2.4</v>
      </c>
      <c r="H1860">
        <v>0.9</v>
      </c>
      <c r="I1860">
        <v>0</v>
      </c>
      <c r="J1860">
        <v>0</v>
      </c>
      <c r="K1860">
        <v>0</v>
      </c>
      <c r="L1860">
        <v>0</v>
      </c>
      <c r="M1860">
        <v>0</v>
      </c>
      <c r="N1860">
        <v>96593</v>
      </c>
      <c r="O1860">
        <v>217622</v>
      </c>
      <c r="P1860">
        <v>150759</v>
      </c>
      <c r="Q1860">
        <v>342</v>
      </c>
      <c r="R1860">
        <v>327</v>
      </c>
      <c r="S1860">
        <v>599</v>
      </c>
      <c r="T1860">
        <v>18</v>
      </c>
      <c r="U1860">
        <v>29</v>
      </c>
    </row>
    <row r="1861" spans="1:21" x14ac:dyDescent="0.35">
      <c r="A1861" t="s">
        <v>28</v>
      </c>
      <c r="B1861" s="1">
        <v>44786</v>
      </c>
      <c r="C1861" t="s">
        <v>29</v>
      </c>
      <c r="D1861">
        <v>289.7</v>
      </c>
      <c r="E1861">
        <v>131.5</v>
      </c>
      <c r="F1861">
        <v>202.5</v>
      </c>
      <c r="G1861">
        <v>2.2000000000000002</v>
      </c>
      <c r="H1861">
        <v>1.4</v>
      </c>
      <c r="I1861">
        <v>0</v>
      </c>
      <c r="J1861">
        <v>0</v>
      </c>
      <c r="K1861">
        <v>0</v>
      </c>
      <c r="L1861">
        <v>0</v>
      </c>
      <c r="M1861">
        <v>0</v>
      </c>
      <c r="N1861">
        <v>125984</v>
      </c>
      <c r="O1861">
        <v>277655</v>
      </c>
      <c r="P1861">
        <v>344132</v>
      </c>
      <c r="Q1861">
        <v>365</v>
      </c>
      <c r="R1861">
        <v>365</v>
      </c>
      <c r="S1861">
        <v>697</v>
      </c>
      <c r="T1861">
        <v>30</v>
      </c>
      <c r="U1861">
        <v>49</v>
      </c>
    </row>
    <row r="1862" spans="1:21" x14ac:dyDescent="0.35">
      <c r="A1862" t="s">
        <v>26</v>
      </c>
      <c r="B1862" s="1">
        <v>44408</v>
      </c>
      <c r="C1862" t="s">
        <v>31</v>
      </c>
      <c r="D1862">
        <v>13</v>
      </c>
      <c r="E1862">
        <v>4.2</v>
      </c>
      <c r="F1862">
        <v>0</v>
      </c>
      <c r="G1862">
        <v>3.1</v>
      </c>
      <c r="H1862">
        <v>0</v>
      </c>
      <c r="I1862">
        <v>0</v>
      </c>
      <c r="J1862">
        <v>0</v>
      </c>
      <c r="K1862">
        <v>0</v>
      </c>
      <c r="L1862">
        <v>0</v>
      </c>
      <c r="M1862">
        <v>0</v>
      </c>
      <c r="N1862">
        <v>69459</v>
      </c>
      <c r="O1862">
        <v>192009</v>
      </c>
      <c r="P1862">
        <v>0</v>
      </c>
      <c r="Q1862">
        <v>9</v>
      </c>
      <c r="R1862">
        <v>8</v>
      </c>
      <c r="S1862">
        <v>0</v>
      </c>
      <c r="T1862">
        <v>65</v>
      </c>
      <c r="U1862">
        <v>79</v>
      </c>
    </row>
    <row r="1863" spans="1:21" x14ac:dyDescent="0.35">
      <c r="A1863" t="s">
        <v>26</v>
      </c>
      <c r="B1863" s="1">
        <v>44863</v>
      </c>
      <c r="C1863" t="s">
        <v>22</v>
      </c>
      <c r="D1863">
        <v>9.6999999999999993</v>
      </c>
      <c r="E1863">
        <v>5.7</v>
      </c>
      <c r="F1863">
        <v>7.9</v>
      </c>
      <c r="G1863">
        <v>1.7</v>
      </c>
      <c r="H1863">
        <v>1.2</v>
      </c>
      <c r="I1863">
        <v>11.6</v>
      </c>
      <c r="J1863">
        <v>8.1</v>
      </c>
      <c r="K1863">
        <v>6</v>
      </c>
      <c r="L1863">
        <v>1.4</v>
      </c>
      <c r="M1863">
        <v>1.9</v>
      </c>
      <c r="N1863">
        <v>576831</v>
      </c>
      <c r="O1863">
        <v>846073</v>
      </c>
      <c r="P1863">
        <v>1039237</v>
      </c>
      <c r="Q1863">
        <v>56</v>
      </c>
      <c r="R1863">
        <v>48</v>
      </c>
      <c r="S1863">
        <v>82</v>
      </c>
      <c r="T1863">
        <v>999</v>
      </c>
      <c r="U1863">
        <v>999</v>
      </c>
    </row>
    <row r="1864" spans="1:21" x14ac:dyDescent="0.35">
      <c r="A1864" t="s">
        <v>28</v>
      </c>
      <c r="B1864" s="1">
        <v>44527</v>
      </c>
      <c r="C1864" t="s">
        <v>29</v>
      </c>
      <c r="D1864">
        <v>328.8</v>
      </c>
      <c r="E1864">
        <v>118.6</v>
      </c>
      <c r="F1864">
        <v>55.8</v>
      </c>
      <c r="G1864">
        <v>2.8</v>
      </c>
      <c r="H1864">
        <v>5.9</v>
      </c>
      <c r="I1864">
        <v>0</v>
      </c>
      <c r="J1864">
        <v>0</v>
      </c>
      <c r="K1864">
        <v>0</v>
      </c>
      <c r="L1864">
        <v>0</v>
      </c>
      <c r="M1864">
        <v>0</v>
      </c>
      <c r="N1864">
        <v>189760</v>
      </c>
      <c r="O1864">
        <v>487368</v>
      </c>
      <c r="P1864">
        <v>82444</v>
      </c>
      <c r="Q1864">
        <v>624</v>
      </c>
      <c r="R1864">
        <v>578</v>
      </c>
      <c r="S1864">
        <v>46</v>
      </c>
      <c r="T1864">
        <v>30</v>
      </c>
      <c r="U1864">
        <v>49</v>
      </c>
    </row>
    <row r="1865" spans="1:21" x14ac:dyDescent="0.35">
      <c r="A1865" t="s">
        <v>21</v>
      </c>
      <c r="B1865" s="1">
        <v>44385</v>
      </c>
      <c r="C1865" t="s">
        <v>31</v>
      </c>
      <c r="D1865">
        <v>4.4000000000000004</v>
      </c>
      <c r="E1865">
        <v>0.5</v>
      </c>
      <c r="F1865">
        <v>0</v>
      </c>
      <c r="G1865">
        <v>8.8000000000000007</v>
      </c>
      <c r="H1865">
        <v>0</v>
      </c>
      <c r="I1865">
        <v>0</v>
      </c>
      <c r="J1865">
        <v>0</v>
      </c>
      <c r="K1865">
        <v>0</v>
      </c>
      <c r="L1865">
        <v>0</v>
      </c>
      <c r="M1865">
        <v>0</v>
      </c>
      <c r="N1865">
        <v>68485</v>
      </c>
      <c r="O1865">
        <v>192863</v>
      </c>
      <c r="P1865">
        <v>0</v>
      </c>
      <c r="Q1865">
        <v>3</v>
      </c>
      <c r="R1865">
        <v>1</v>
      </c>
      <c r="S1865">
        <v>0</v>
      </c>
      <c r="T1865">
        <v>65</v>
      </c>
      <c r="U1865">
        <v>79</v>
      </c>
    </row>
    <row r="1866" spans="1:21" x14ac:dyDescent="0.35">
      <c r="A1866" t="s">
        <v>21</v>
      </c>
      <c r="B1866" s="1">
        <v>44571</v>
      </c>
      <c r="C1866" t="s">
        <v>31</v>
      </c>
      <c r="D1866">
        <v>2.2999999999999998</v>
      </c>
      <c r="E1866">
        <v>0</v>
      </c>
      <c r="F1866">
        <v>2.2999999999999998</v>
      </c>
      <c r="G1866">
        <v>0</v>
      </c>
      <c r="H1866">
        <v>1</v>
      </c>
      <c r="I1866">
        <v>0</v>
      </c>
      <c r="J1866">
        <v>0</v>
      </c>
      <c r="K1866">
        <v>0</v>
      </c>
      <c r="L1866">
        <v>0</v>
      </c>
      <c r="M1866">
        <v>0</v>
      </c>
      <c r="N1866">
        <v>44363</v>
      </c>
      <c r="O1866">
        <v>43409</v>
      </c>
      <c r="P1866">
        <v>171376</v>
      </c>
      <c r="Q1866">
        <v>1</v>
      </c>
      <c r="R1866">
        <v>0</v>
      </c>
      <c r="S1866">
        <v>4</v>
      </c>
      <c r="T1866">
        <v>65</v>
      </c>
      <c r="U1866">
        <v>79</v>
      </c>
    </row>
    <row r="1867" spans="1:21" x14ac:dyDescent="0.35">
      <c r="A1867" t="s">
        <v>21</v>
      </c>
      <c r="B1867" s="1">
        <v>44684</v>
      </c>
      <c r="C1867" t="s">
        <v>32</v>
      </c>
      <c r="D1867">
        <v>0</v>
      </c>
      <c r="E1867">
        <v>0</v>
      </c>
      <c r="F1867">
        <v>0</v>
      </c>
      <c r="G1867">
        <v>0</v>
      </c>
      <c r="H1867">
        <v>0</v>
      </c>
      <c r="I1867">
        <v>0</v>
      </c>
      <c r="J1867">
        <v>0</v>
      </c>
      <c r="K1867">
        <v>0</v>
      </c>
      <c r="L1867">
        <v>0</v>
      </c>
      <c r="M1867">
        <v>0</v>
      </c>
      <c r="N1867">
        <v>162642</v>
      </c>
      <c r="O1867">
        <v>0</v>
      </c>
      <c r="P1867">
        <v>0</v>
      </c>
      <c r="Q1867">
        <v>0</v>
      </c>
      <c r="R1867">
        <v>0</v>
      </c>
      <c r="S1867">
        <v>0</v>
      </c>
      <c r="T1867">
        <v>0</v>
      </c>
      <c r="U1867">
        <v>4</v>
      </c>
    </row>
    <row r="1868" spans="1:21" x14ac:dyDescent="0.35">
      <c r="A1868" t="s">
        <v>28</v>
      </c>
      <c r="B1868" s="1">
        <v>45136</v>
      </c>
      <c r="C1868" t="s">
        <v>31</v>
      </c>
      <c r="D1868">
        <v>28</v>
      </c>
      <c r="E1868">
        <v>18.399999999999999</v>
      </c>
      <c r="F1868">
        <v>31.4</v>
      </c>
      <c r="G1868">
        <v>1.5</v>
      </c>
      <c r="H1868">
        <v>0.9</v>
      </c>
      <c r="I1868">
        <v>0</v>
      </c>
      <c r="J1868">
        <v>0</v>
      </c>
      <c r="K1868">
        <v>0</v>
      </c>
      <c r="L1868">
        <v>0</v>
      </c>
      <c r="M1868">
        <v>0</v>
      </c>
      <c r="N1868">
        <v>39287</v>
      </c>
      <c r="O1868">
        <v>43420</v>
      </c>
      <c r="P1868">
        <v>171749</v>
      </c>
      <c r="Q1868">
        <v>11</v>
      </c>
      <c r="R1868">
        <v>8</v>
      </c>
      <c r="S1868">
        <v>54</v>
      </c>
      <c r="T1868">
        <v>65</v>
      </c>
      <c r="U1868">
        <v>79</v>
      </c>
    </row>
    <row r="1869" spans="1:21" x14ac:dyDescent="0.35">
      <c r="A1869" t="s">
        <v>21</v>
      </c>
      <c r="B1869" s="1">
        <v>44571</v>
      </c>
      <c r="C1869" t="s">
        <v>30</v>
      </c>
      <c r="D1869">
        <v>0</v>
      </c>
      <c r="E1869">
        <v>8.8000000000000007</v>
      </c>
      <c r="F1869">
        <v>8.5</v>
      </c>
      <c r="G1869">
        <v>0</v>
      </c>
      <c r="H1869">
        <v>0</v>
      </c>
      <c r="I1869">
        <v>0</v>
      </c>
      <c r="J1869">
        <v>0</v>
      </c>
      <c r="K1869">
        <v>0</v>
      </c>
      <c r="L1869">
        <v>0</v>
      </c>
      <c r="M1869">
        <v>0</v>
      </c>
      <c r="N1869">
        <v>25857</v>
      </c>
      <c r="O1869">
        <v>11380</v>
      </c>
      <c r="P1869">
        <v>47042</v>
      </c>
      <c r="Q1869">
        <v>0</v>
      </c>
      <c r="R1869">
        <v>1</v>
      </c>
      <c r="S1869">
        <v>4</v>
      </c>
      <c r="T1869">
        <v>80</v>
      </c>
      <c r="U1869">
        <v>200</v>
      </c>
    </row>
    <row r="1870" spans="1:21" x14ac:dyDescent="0.35">
      <c r="A1870" t="s">
        <v>28</v>
      </c>
      <c r="B1870" s="1">
        <v>44596</v>
      </c>
      <c r="C1870" t="s">
        <v>22</v>
      </c>
      <c r="D1870">
        <v>79</v>
      </c>
      <c r="E1870">
        <v>55.5</v>
      </c>
      <c r="F1870">
        <v>102.3</v>
      </c>
      <c r="G1870">
        <v>1.4</v>
      </c>
      <c r="H1870">
        <v>0.8</v>
      </c>
      <c r="I1870">
        <v>86.5</v>
      </c>
      <c r="J1870">
        <v>51.8</v>
      </c>
      <c r="K1870">
        <v>90.8</v>
      </c>
      <c r="L1870">
        <v>1.7</v>
      </c>
      <c r="M1870">
        <v>1</v>
      </c>
      <c r="N1870">
        <v>657870</v>
      </c>
      <c r="O1870">
        <v>901409</v>
      </c>
      <c r="P1870">
        <v>932489</v>
      </c>
      <c r="Q1870">
        <v>520</v>
      </c>
      <c r="R1870">
        <v>500</v>
      </c>
      <c r="S1870">
        <v>954</v>
      </c>
      <c r="T1870">
        <v>999</v>
      </c>
      <c r="U1870">
        <v>999</v>
      </c>
    </row>
    <row r="1871" spans="1:21" x14ac:dyDescent="0.35">
      <c r="A1871" t="s">
        <v>26</v>
      </c>
      <c r="B1871" s="1">
        <v>45082</v>
      </c>
      <c r="C1871" t="s">
        <v>24</v>
      </c>
      <c r="D1871">
        <v>0</v>
      </c>
      <c r="E1871">
        <v>0</v>
      </c>
      <c r="F1871">
        <v>0</v>
      </c>
      <c r="G1871">
        <v>0</v>
      </c>
      <c r="H1871">
        <v>0</v>
      </c>
      <c r="I1871">
        <v>0</v>
      </c>
      <c r="J1871">
        <v>0</v>
      </c>
      <c r="K1871">
        <v>0</v>
      </c>
      <c r="L1871">
        <v>0</v>
      </c>
      <c r="M1871">
        <v>0</v>
      </c>
      <c r="N1871">
        <v>90817</v>
      </c>
      <c r="O1871">
        <v>82677</v>
      </c>
      <c r="P1871">
        <v>21239</v>
      </c>
      <c r="Q1871">
        <v>0</v>
      </c>
      <c r="R1871">
        <v>0</v>
      </c>
      <c r="S1871">
        <v>0</v>
      </c>
      <c r="T1871">
        <v>5</v>
      </c>
      <c r="U1871">
        <v>11</v>
      </c>
    </row>
    <row r="1872" spans="1:21" x14ac:dyDescent="0.35">
      <c r="A1872" t="s">
        <v>26</v>
      </c>
      <c r="B1872" s="1">
        <v>44562</v>
      </c>
      <c r="C1872" t="s">
        <v>23</v>
      </c>
      <c r="D1872">
        <v>314.39999999999998</v>
      </c>
      <c r="E1872">
        <v>70.5</v>
      </c>
      <c r="F1872">
        <v>16.3</v>
      </c>
      <c r="G1872">
        <v>4.5</v>
      </c>
      <c r="H1872">
        <v>19.3</v>
      </c>
      <c r="I1872">
        <v>0</v>
      </c>
      <c r="J1872">
        <v>0</v>
      </c>
      <c r="K1872">
        <v>0</v>
      </c>
      <c r="L1872">
        <v>0</v>
      </c>
      <c r="M1872">
        <v>0</v>
      </c>
      <c r="N1872">
        <v>56937</v>
      </c>
      <c r="O1872">
        <v>206986</v>
      </c>
      <c r="P1872">
        <v>147279</v>
      </c>
      <c r="Q1872">
        <v>179</v>
      </c>
      <c r="R1872">
        <v>146</v>
      </c>
      <c r="S1872">
        <v>24</v>
      </c>
      <c r="T1872">
        <v>50</v>
      </c>
      <c r="U1872">
        <v>64</v>
      </c>
    </row>
    <row r="1873" spans="1:21" x14ac:dyDescent="0.35">
      <c r="A1873" t="s">
        <v>26</v>
      </c>
      <c r="B1873" s="1">
        <v>44394</v>
      </c>
      <c r="C1873" t="s">
        <v>27</v>
      </c>
      <c r="D1873">
        <v>2</v>
      </c>
      <c r="E1873">
        <v>0</v>
      </c>
      <c r="F1873">
        <v>0</v>
      </c>
      <c r="G1873">
        <v>0</v>
      </c>
      <c r="H1873">
        <v>0</v>
      </c>
      <c r="I1873">
        <v>0</v>
      </c>
      <c r="J1873">
        <v>0</v>
      </c>
      <c r="K1873">
        <v>0</v>
      </c>
      <c r="L1873">
        <v>0</v>
      </c>
      <c r="M1873">
        <v>0</v>
      </c>
      <c r="N1873">
        <v>102168</v>
      </c>
      <c r="O1873">
        <v>57846</v>
      </c>
      <c r="P1873">
        <v>0</v>
      </c>
      <c r="Q1873">
        <v>2</v>
      </c>
      <c r="R1873">
        <v>0</v>
      </c>
      <c r="S1873">
        <v>0</v>
      </c>
      <c r="T1873">
        <v>12</v>
      </c>
      <c r="U1873">
        <v>17</v>
      </c>
    </row>
    <row r="1874" spans="1:21" x14ac:dyDescent="0.35">
      <c r="A1874" t="s">
        <v>26</v>
      </c>
      <c r="B1874" s="1">
        <v>44436</v>
      </c>
      <c r="C1874" t="s">
        <v>31</v>
      </c>
      <c r="D1874">
        <v>65.3</v>
      </c>
      <c r="E1874">
        <v>9.1999999999999993</v>
      </c>
      <c r="F1874">
        <v>0</v>
      </c>
      <c r="G1874">
        <v>7.1</v>
      </c>
      <c r="H1874">
        <v>0</v>
      </c>
      <c r="I1874">
        <v>0</v>
      </c>
      <c r="J1874">
        <v>0</v>
      </c>
      <c r="K1874">
        <v>0</v>
      </c>
      <c r="L1874">
        <v>0</v>
      </c>
      <c r="M1874">
        <v>0</v>
      </c>
      <c r="N1874">
        <v>65885</v>
      </c>
      <c r="O1874">
        <v>194871</v>
      </c>
      <c r="P1874">
        <v>0</v>
      </c>
      <c r="Q1874">
        <v>43</v>
      </c>
      <c r="R1874">
        <v>18</v>
      </c>
      <c r="S1874">
        <v>0</v>
      </c>
      <c r="T1874">
        <v>65</v>
      </c>
      <c r="U1874">
        <v>79</v>
      </c>
    </row>
    <row r="1875" spans="1:21" x14ac:dyDescent="0.35">
      <c r="A1875" t="s">
        <v>21</v>
      </c>
      <c r="B1875" s="1">
        <v>44898</v>
      </c>
      <c r="C1875" t="s">
        <v>32</v>
      </c>
      <c r="D1875">
        <v>0</v>
      </c>
      <c r="E1875">
        <v>0</v>
      </c>
      <c r="F1875">
        <v>0</v>
      </c>
      <c r="G1875">
        <v>0</v>
      </c>
      <c r="H1875">
        <v>0</v>
      </c>
      <c r="I1875">
        <v>0</v>
      </c>
      <c r="J1875">
        <v>0</v>
      </c>
      <c r="K1875">
        <v>0</v>
      </c>
      <c r="L1875">
        <v>0</v>
      </c>
      <c r="M1875">
        <v>0</v>
      </c>
      <c r="N1875">
        <v>162642</v>
      </c>
      <c r="O1875">
        <v>0</v>
      </c>
      <c r="P1875">
        <v>0</v>
      </c>
      <c r="Q1875">
        <v>0</v>
      </c>
      <c r="R1875">
        <v>0</v>
      </c>
      <c r="S1875">
        <v>0</v>
      </c>
      <c r="T1875">
        <v>0</v>
      </c>
      <c r="U1875">
        <v>4</v>
      </c>
    </row>
    <row r="1876" spans="1:21" x14ac:dyDescent="0.35">
      <c r="A1876" t="s">
        <v>26</v>
      </c>
      <c r="B1876" s="1">
        <v>45066</v>
      </c>
      <c r="C1876" t="s">
        <v>30</v>
      </c>
      <c r="D1876">
        <v>20.399999999999999</v>
      </c>
      <c r="E1876">
        <v>0</v>
      </c>
      <c r="F1876">
        <v>10.6</v>
      </c>
      <c r="G1876">
        <v>0</v>
      </c>
      <c r="H1876">
        <v>1.9</v>
      </c>
      <c r="I1876">
        <v>0</v>
      </c>
      <c r="J1876">
        <v>0</v>
      </c>
      <c r="K1876">
        <v>0</v>
      </c>
      <c r="L1876">
        <v>0</v>
      </c>
      <c r="M1876">
        <v>0</v>
      </c>
      <c r="N1876">
        <v>24557</v>
      </c>
      <c r="O1876">
        <v>11384</v>
      </c>
      <c r="P1876">
        <v>47128</v>
      </c>
      <c r="Q1876">
        <v>5</v>
      </c>
      <c r="R1876">
        <v>0</v>
      </c>
      <c r="S1876">
        <v>5</v>
      </c>
      <c r="T1876">
        <v>80</v>
      </c>
      <c r="U1876">
        <v>200</v>
      </c>
    </row>
    <row r="1877" spans="1:21" x14ac:dyDescent="0.35">
      <c r="A1877" t="s">
        <v>21</v>
      </c>
      <c r="B1877" s="1">
        <v>44639</v>
      </c>
      <c r="C1877" t="s">
        <v>32</v>
      </c>
      <c r="D1877">
        <v>0</v>
      </c>
      <c r="E1877">
        <v>0</v>
      </c>
      <c r="F1877">
        <v>0</v>
      </c>
      <c r="G1877">
        <v>0</v>
      </c>
      <c r="H1877">
        <v>0</v>
      </c>
      <c r="I1877">
        <v>0</v>
      </c>
      <c r="J1877">
        <v>0</v>
      </c>
      <c r="K1877">
        <v>0</v>
      </c>
      <c r="L1877">
        <v>0</v>
      </c>
      <c r="M1877">
        <v>0</v>
      </c>
      <c r="N1877">
        <v>162642</v>
      </c>
      <c r="O1877">
        <v>0</v>
      </c>
      <c r="P1877">
        <v>0</v>
      </c>
      <c r="Q1877">
        <v>0</v>
      </c>
      <c r="R1877">
        <v>0</v>
      </c>
      <c r="S1877">
        <v>0</v>
      </c>
      <c r="T1877">
        <v>0</v>
      </c>
      <c r="U1877">
        <v>4</v>
      </c>
    </row>
    <row r="1878" spans="1:21" x14ac:dyDescent="0.35">
      <c r="A1878" t="s">
        <v>28</v>
      </c>
      <c r="B1878" s="1">
        <v>44966</v>
      </c>
      <c r="C1878" t="s">
        <v>29</v>
      </c>
      <c r="D1878">
        <v>66.400000000000006</v>
      </c>
      <c r="E1878">
        <v>29.1</v>
      </c>
      <c r="F1878">
        <v>42</v>
      </c>
      <c r="G1878">
        <v>2.2999999999999998</v>
      </c>
      <c r="H1878">
        <v>1.6</v>
      </c>
      <c r="I1878">
        <v>0</v>
      </c>
      <c r="J1878">
        <v>0</v>
      </c>
      <c r="K1878">
        <v>0</v>
      </c>
      <c r="L1878">
        <v>0</v>
      </c>
      <c r="M1878">
        <v>0</v>
      </c>
      <c r="N1878">
        <v>106946</v>
      </c>
      <c r="O1878">
        <v>278397</v>
      </c>
      <c r="P1878">
        <v>347321</v>
      </c>
      <c r="Q1878">
        <v>71</v>
      </c>
      <c r="R1878">
        <v>81</v>
      </c>
      <c r="S1878">
        <v>146</v>
      </c>
      <c r="T1878">
        <v>30</v>
      </c>
      <c r="U1878">
        <v>49</v>
      </c>
    </row>
    <row r="1879" spans="1:21" x14ac:dyDescent="0.35">
      <c r="A1879" t="s">
        <v>21</v>
      </c>
      <c r="B1879" s="1">
        <v>44298</v>
      </c>
      <c r="C1879" t="s">
        <v>23</v>
      </c>
      <c r="D1879">
        <v>10.9</v>
      </c>
      <c r="E1879">
        <v>0</v>
      </c>
      <c r="F1879">
        <v>0</v>
      </c>
      <c r="G1879">
        <v>0</v>
      </c>
      <c r="H1879">
        <v>0</v>
      </c>
      <c r="I1879">
        <v>0</v>
      </c>
      <c r="J1879">
        <v>0</v>
      </c>
      <c r="K1879">
        <v>0</v>
      </c>
      <c r="L1879">
        <v>0</v>
      </c>
      <c r="M1879">
        <v>0</v>
      </c>
      <c r="N1879">
        <v>64234</v>
      </c>
      <c r="O1879">
        <v>270486</v>
      </c>
      <c r="P1879">
        <v>79047</v>
      </c>
      <c r="Q1879">
        <v>7</v>
      </c>
      <c r="R1879">
        <v>0</v>
      </c>
      <c r="S1879">
        <v>0</v>
      </c>
      <c r="T1879">
        <v>50</v>
      </c>
      <c r="U1879">
        <v>64</v>
      </c>
    </row>
    <row r="1880" spans="1:21" x14ac:dyDescent="0.35">
      <c r="A1880" t="s">
        <v>28</v>
      </c>
      <c r="B1880" s="1">
        <v>44618</v>
      </c>
      <c r="C1880" t="s">
        <v>23</v>
      </c>
      <c r="D1880">
        <v>134.9</v>
      </c>
      <c r="E1880">
        <v>24.7</v>
      </c>
      <c r="F1880">
        <v>35.9</v>
      </c>
      <c r="G1880">
        <v>5.5</v>
      </c>
      <c r="H1880">
        <v>3.8</v>
      </c>
      <c r="I1880">
        <v>0</v>
      </c>
      <c r="J1880">
        <v>0</v>
      </c>
      <c r="K1880">
        <v>0</v>
      </c>
      <c r="L1880">
        <v>0</v>
      </c>
      <c r="M1880">
        <v>0</v>
      </c>
      <c r="N1880">
        <v>46700</v>
      </c>
      <c r="O1880">
        <v>145752</v>
      </c>
      <c r="P1880">
        <v>217214</v>
      </c>
      <c r="Q1880">
        <v>63</v>
      </c>
      <c r="R1880">
        <v>36</v>
      </c>
      <c r="S1880">
        <v>78</v>
      </c>
      <c r="T1880">
        <v>50</v>
      </c>
      <c r="U1880">
        <v>64</v>
      </c>
    </row>
    <row r="1881" spans="1:21" x14ac:dyDescent="0.35">
      <c r="A1881" t="s">
        <v>26</v>
      </c>
      <c r="B1881" s="1">
        <v>44683</v>
      </c>
      <c r="C1881" t="s">
        <v>24</v>
      </c>
      <c r="D1881">
        <v>0</v>
      </c>
      <c r="E1881">
        <v>0</v>
      </c>
      <c r="F1881">
        <v>0</v>
      </c>
      <c r="G1881">
        <v>0</v>
      </c>
      <c r="H1881">
        <v>0</v>
      </c>
      <c r="I1881">
        <v>0</v>
      </c>
      <c r="J1881">
        <v>0</v>
      </c>
      <c r="K1881">
        <v>0</v>
      </c>
      <c r="L1881">
        <v>0</v>
      </c>
      <c r="M1881">
        <v>0</v>
      </c>
      <c r="N1881">
        <v>112371</v>
      </c>
      <c r="O1881">
        <v>63443</v>
      </c>
      <c r="P1881">
        <v>0</v>
      </c>
      <c r="Q1881">
        <v>0</v>
      </c>
      <c r="R1881">
        <v>0</v>
      </c>
      <c r="S1881">
        <v>0</v>
      </c>
      <c r="T1881">
        <v>5</v>
      </c>
      <c r="U1881">
        <v>11</v>
      </c>
    </row>
    <row r="1882" spans="1:21" x14ac:dyDescent="0.35">
      <c r="A1882" t="s">
        <v>21</v>
      </c>
      <c r="B1882" s="1">
        <v>44646</v>
      </c>
      <c r="C1882" t="s">
        <v>32</v>
      </c>
      <c r="D1882">
        <v>0</v>
      </c>
      <c r="E1882">
        <v>0</v>
      </c>
      <c r="F1882">
        <v>0</v>
      </c>
      <c r="G1882">
        <v>0</v>
      </c>
      <c r="H1882">
        <v>0</v>
      </c>
      <c r="I1882">
        <v>0</v>
      </c>
      <c r="J1882">
        <v>0</v>
      </c>
      <c r="K1882">
        <v>0</v>
      </c>
      <c r="L1882">
        <v>0</v>
      </c>
      <c r="M1882">
        <v>0</v>
      </c>
      <c r="N1882">
        <v>162642</v>
      </c>
      <c r="O1882">
        <v>0</v>
      </c>
      <c r="P1882">
        <v>0</v>
      </c>
      <c r="Q1882">
        <v>0</v>
      </c>
      <c r="R1882">
        <v>0</v>
      </c>
      <c r="S1882">
        <v>0</v>
      </c>
      <c r="T1882">
        <v>0</v>
      </c>
      <c r="U1882">
        <v>4</v>
      </c>
    </row>
    <row r="1883" spans="1:21" x14ac:dyDescent="0.35">
      <c r="A1883" t="s">
        <v>28</v>
      </c>
      <c r="B1883" s="1">
        <v>44758</v>
      </c>
      <c r="C1883" t="s">
        <v>22</v>
      </c>
      <c r="D1883">
        <v>251.7</v>
      </c>
      <c r="E1883">
        <v>157.19999999999999</v>
      </c>
      <c r="F1883">
        <v>263.5</v>
      </c>
      <c r="G1883">
        <v>1.6</v>
      </c>
      <c r="H1883">
        <v>1</v>
      </c>
      <c r="I1883">
        <v>308.3</v>
      </c>
      <c r="J1883">
        <v>152.19999999999999</v>
      </c>
      <c r="K1883">
        <v>238.5</v>
      </c>
      <c r="L1883">
        <v>2</v>
      </c>
      <c r="M1883">
        <v>1.3</v>
      </c>
      <c r="N1883">
        <v>623694</v>
      </c>
      <c r="O1883">
        <v>859285</v>
      </c>
      <c r="P1883">
        <v>1001233</v>
      </c>
      <c r="Q1883">
        <v>1570</v>
      </c>
      <c r="R1883">
        <v>1351</v>
      </c>
      <c r="S1883">
        <v>2638</v>
      </c>
      <c r="T1883">
        <v>999</v>
      </c>
      <c r="U1883">
        <v>999</v>
      </c>
    </row>
    <row r="1884" spans="1:21" x14ac:dyDescent="0.35">
      <c r="A1884" t="s">
        <v>28</v>
      </c>
      <c r="B1884" s="1">
        <v>44639</v>
      </c>
      <c r="C1884" t="s">
        <v>27</v>
      </c>
      <c r="D1884">
        <v>69.900000000000006</v>
      </c>
      <c r="E1884">
        <v>25</v>
      </c>
      <c r="F1884">
        <v>30.4</v>
      </c>
      <c r="G1884">
        <v>2.8</v>
      </c>
      <c r="H1884">
        <v>2.2999999999999998</v>
      </c>
      <c r="I1884">
        <v>0</v>
      </c>
      <c r="J1884">
        <v>0</v>
      </c>
      <c r="K1884">
        <v>0</v>
      </c>
      <c r="L1884">
        <v>0</v>
      </c>
      <c r="M1884">
        <v>0</v>
      </c>
      <c r="N1884">
        <v>38626</v>
      </c>
      <c r="O1884">
        <v>96018</v>
      </c>
      <c r="P1884">
        <v>29614</v>
      </c>
      <c r="Q1884">
        <v>27</v>
      </c>
      <c r="R1884">
        <v>24</v>
      </c>
      <c r="S1884">
        <v>9</v>
      </c>
      <c r="T1884">
        <v>12</v>
      </c>
      <c r="U1884">
        <v>17</v>
      </c>
    </row>
    <row r="1885" spans="1:21" x14ac:dyDescent="0.35">
      <c r="A1885" t="s">
        <v>28</v>
      </c>
      <c r="B1885" s="1">
        <v>44657</v>
      </c>
      <c r="C1885" t="s">
        <v>27</v>
      </c>
      <c r="D1885">
        <v>414.2</v>
      </c>
      <c r="E1885">
        <v>212.6</v>
      </c>
      <c r="F1885">
        <v>347.9</v>
      </c>
      <c r="G1885">
        <v>1.9</v>
      </c>
      <c r="H1885">
        <v>1.2</v>
      </c>
      <c r="I1885">
        <v>0</v>
      </c>
      <c r="J1885">
        <v>0</v>
      </c>
      <c r="K1885">
        <v>0</v>
      </c>
      <c r="L1885">
        <v>0</v>
      </c>
      <c r="M1885">
        <v>0</v>
      </c>
      <c r="N1885">
        <v>36941</v>
      </c>
      <c r="O1885">
        <v>93128</v>
      </c>
      <c r="P1885">
        <v>35358</v>
      </c>
      <c r="Q1885">
        <v>153</v>
      </c>
      <c r="R1885">
        <v>198</v>
      </c>
      <c r="S1885">
        <v>123</v>
      </c>
      <c r="T1885">
        <v>12</v>
      </c>
      <c r="U1885">
        <v>17</v>
      </c>
    </row>
    <row r="1886" spans="1:21" x14ac:dyDescent="0.35">
      <c r="A1886" t="s">
        <v>21</v>
      </c>
      <c r="B1886" s="1">
        <v>45073</v>
      </c>
      <c r="C1886" t="s">
        <v>32</v>
      </c>
      <c r="D1886">
        <v>0</v>
      </c>
      <c r="E1886">
        <v>0</v>
      </c>
      <c r="F1886">
        <v>0</v>
      </c>
      <c r="G1886">
        <v>0</v>
      </c>
      <c r="H1886">
        <v>0</v>
      </c>
      <c r="I1886">
        <v>0</v>
      </c>
      <c r="J1886">
        <v>0</v>
      </c>
      <c r="K1886">
        <v>0</v>
      </c>
      <c r="L1886">
        <v>0</v>
      </c>
      <c r="M1886">
        <v>0</v>
      </c>
      <c r="N1886">
        <v>162642</v>
      </c>
      <c r="O1886">
        <v>0</v>
      </c>
      <c r="P1886">
        <v>0</v>
      </c>
      <c r="Q1886">
        <v>0</v>
      </c>
      <c r="R1886">
        <v>0</v>
      </c>
      <c r="S1886">
        <v>0</v>
      </c>
      <c r="T1886">
        <v>0</v>
      </c>
      <c r="U1886">
        <v>4</v>
      </c>
    </row>
    <row r="1887" spans="1:21" x14ac:dyDescent="0.35">
      <c r="A1887" t="s">
        <v>21</v>
      </c>
      <c r="B1887" s="1">
        <v>45233</v>
      </c>
      <c r="C1887" t="s">
        <v>23</v>
      </c>
      <c r="D1887">
        <v>0</v>
      </c>
      <c r="E1887">
        <v>1.6</v>
      </c>
      <c r="F1887">
        <v>0</v>
      </c>
      <c r="G1887">
        <v>0</v>
      </c>
      <c r="H1887">
        <v>0</v>
      </c>
      <c r="I1887">
        <v>0</v>
      </c>
      <c r="J1887">
        <v>0</v>
      </c>
      <c r="K1887">
        <v>0</v>
      </c>
      <c r="L1887">
        <v>0</v>
      </c>
      <c r="M1887">
        <v>0</v>
      </c>
      <c r="N1887">
        <v>33710</v>
      </c>
      <c r="O1887">
        <v>125621</v>
      </c>
      <c r="P1887">
        <v>246881</v>
      </c>
      <c r="Q1887">
        <v>0</v>
      </c>
      <c r="R1887">
        <v>2</v>
      </c>
      <c r="S1887">
        <v>0</v>
      </c>
      <c r="T1887">
        <v>50</v>
      </c>
      <c r="U1887">
        <v>64</v>
      </c>
    </row>
    <row r="1888" spans="1:21" x14ac:dyDescent="0.35">
      <c r="A1888" t="s">
        <v>28</v>
      </c>
      <c r="B1888" s="1">
        <v>44884</v>
      </c>
      <c r="C1888" t="s">
        <v>22</v>
      </c>
      <c r="D1888">
        <v>151.19999999999999</v>
      </c>
      <c r="E1888">
        <v>82.9</v>
      </c>
      <c r="F1888">
        <v>116.2</v>
      </c>
      <c r="G1888">
        <v>1.8</v>
      </c>
      <c r="H1888">
        <v>1.3</v>
      </c>
      <c r="I1888">
        <v>175</v>
      </c>
      <c r="J1888">
        <v>84.3</v>
      </c>
      <c r="K1888">
        <v>105.1</v>
      </c>
      <c r="L1888">
        <v>2.1</v>
      </c>
      <c r="M1888">
        <v>1.7</v>
      </c>
      <c r="N1888">
        <v>567313</v>
      </c>
      <c r="O1888">
        <v>849096</v>
      </c>
      <c r="P1888">
        <v>1039651</v>
      </c>
      <c r="Q1888">
        <v>858</v>
      </c>
      <c r="R1888">
        <v>704</v>
      </c>
      <c r="S1888">
        <v>1208</v>
      </c>
      <c r="T1888">
        <v>999</v>
      </c>
      <c r="U1888">
        <v>999</v>
      </c>
    </row>
    <row r="1889" spans="1:21" x14ac:dyDescent="0.35">
      <c r="A1889" t="s">
        <v>21</v>
      </c>
      <c r="B1889" s="1">
        <v>44596</v>
      </c>
      <c r="C1889" t="s">
        <v>32</v>
      </c>
      <c r="D1889">
        <v>0</v>
      </c>
      <c r="E1889">
        <v>0</v>
      </c>
      <c r="F1889">
        <v>0</v>
      </c>
      <c r="G1889">
        <v>0</v>
      </c>
      <c r="H1889">
        <v>0</v>
      </c>
      <c r="I1889">
        <v>0</v>
      </c>
      <c r="J1889">
        <v>0</v>
      </c>
      <c r="K1889">
        <v>0</v>
      </c>
      <c r="L1889">
        <v>0</v>
      </c>
      <c r="M1889">
        <v>0</v>
      </c>
      <c r="N1889">
        <v>162642</v>
      </c>
      <c r="O1889">
        <v>0</v>
      </c>
      <c r="P1889">
        <v>0</v>
      </c>
      <c r="Q1889">
        <v>0</v>
      </c>
      <c r="R1889">
        <v>0</v>
      </c>
      <c r="S1889">
        <v>0</v>
      </c>
      <c r="T1889">
        <v>0</v>
      </c>
      <c r="U1889">
        <v>4</v>
      </c>
    </row>
    <row r="1890" spans="1:21" x14ac:dyDescent="0.35">
      <c r="A1890" t="s">
        <v>21</v>
      </c>
      <c r="B1890" s="1">
        <v>44863</v>
      </c>
      <c r="C1890" t="s">
        <v>22</v>
      </c>
      <c r="D1890">
        <v>0</v>
      </c>
      <c r="E1890">
        <v>0.7</v>
      </c>
      <c r="F1890">
        <v>0.4</v>
      </c>
      <c r="G1890">
        <v>0</v>
      </c>
      <c r="H1890">
        <v>0</v>
      </c>
      <c r="I1890">
        <v>0</v>
      </c>
      <c r="J1890">
        <v>1.6</v>
      </c>
      <c r="K1890">
        <v>0.2</v>
      </c>
      <c r="L1890">
        <v>0</v>
      </c>
      <c r="M1890">
        <v>0</v>
      </c>
      <c r="N1890">
        <v>576831</v>
      </c>
      <c r="O1890">
        <v>846073</v>
      </c>
      <c r="P1890">
        <v>1039237</v>
      </c>
      <c r="Q1890">
        <v>0</v>
      </c>
      <c r="R1890">
        <v>6</v>
      </c>
      <c r="S1890">
        <v>4</v>
      </c>
      <c r="T1890">
        <v>999</v>
      </c>
      <c r="U1890">
        <v>999</v>
      </c>
    </row>
    <row r="1891" spans="1:21" x14ac:dyDescent="0.35">
      <c r="A1891" t="s">
        <v>26</v>
      </c>
      <c r="B1891" s="1">
        <v>44982</v>
      </c>
      <c r="C1891" t="s">
        <v>30</v>
      </c>
      <c r="D1891">
        <v>56.7</v>
      </c>
      <c r="E1891">
        <v>114.3</v>
      </c>
      <c r="F1891">
        <v>59.4</v>
      </c>
      <c r="G1891">
        <v>0.5</v>
      </c>
      <c r="H1891">
        <v>1</v>
      </c>
      <c r="I1891">
        <v>0</v>
      </c>
      <c r="J1891">
        <v>0</v>
      </c>
      <c r="K1891">
        <v>0</v>
      </c>
      <c r="L1891">
        <v>0</v>
      </c>
      <c r="M1891">
        <v>0</v>
      </c>
      <c r="N1891">
        <v>24695</v>
      </c>
      <c r="O1891">
        <v>11378</v>
      </c>
      <c r="P1891">
        <v>47124</v>
      </c>
      <c r="Q1891">
        <v>14</v>
      </c>
      <c r="R1891">
        <v>13</v>
      </c>
      <c r="S1891">
        <v>28</v>
      </c>
      <c r="T1891">
        <v>80</v>
      </c>
      <c r="U1891">
        <v>200</v>
      </c>
    </row>
    <row r="1892" spans="1:21" x14ac:dyDescent="0.35">
      <c r="A1892" t="s">
        <v>21</v>
      </c>
      <c r="B1892" s="1">
        <v>44632</v>
      </c>
      <c r="C1892" t="s">
        <v>31</v>
      </c>
      <c r="D1892">
        <v>4.8</v>
      </c>
      <c r="E1892">
        <v>0</v>
      </c>
      <c r="F1892">
        <v>0.6</v>
      </c>
      <c r="G1892">
        <v>0</v>
      </c>
      <c r="H1892">
        <v>8</v>
      </c>
      <c r="I1892">
        <v>0</v>
      </c>
      <c r="J1892">
        <v>0</v>
      </c>
      <c r="K1892">
        <v>0</v>
      </c>
      <c r="L1892">
        <v>0</v>
      </c>
      <c r="M1892">
        <v>0</v>
      </c>
      <c r="N1892">
        <v>41351</v>
      </c>
      <c r="O1892">
        <v>43349</v>
      </c>
      <c r="P1892">
        <v>171626</v>
      </c>
      <c r="Q1892">
        <v>2</v>
      </c>
      <c r="R1892">
        <v>0</v>
      </c>
      <c r="S1892">
        <v>1</v>
      </c>
      <c r="T1892">
        <v>65</v>
      </c>
      <c r="U1892">
        <v>79</v>
      </c>
    </row>
    <row r="1893" spans="1:21" x14ac:dyDescent="0.35">
      <c r="A1893" t="s">
        <v>21</v>
      </c>
      <c r="B1893" s="1">
        <v>45129</v>
      </c>
      <c r="C1893" t="s">
        <v>27</v>
      </c>
      <c r="D1893">
        <v>0</v>
      </c>
      <c r="E1893">
        <v>0</v>
      </c>
      <c r="F1893">
        <v>0</v>
      </c>
      <c r="G1893">
        <v>0</v>
      </c>
      <c r="H1893">
        <v>0</v>
      </c>
      <c r="I1893">
        <v>0</v>
      </c>
      <c r="J1893">
        <v>0</v>
      </c>
      <c r="K1893">
        <v>0</v>
      </c>
      <c r="L1893">
        <v>0</v>
      </c>
      <c r="M1893">
        <v>0</v>
      </c>
      <c r="N1893">
        <v>32134</v>
      </c>
      <c r="O1893">
        <v>86577</v>
      </c>
      <c r="P1893">
        <v>44590</v>
      </c>
      <c r="Q1893">
        <v>0</v>
      </c>
      <c r="R1893">
        <v>0</v>
      </c>
      <c r="S1893">
        <v>0</v>
      </c>
      <c r="T1893">
        <v>12</v>
      </c>
      <c r="U1893">
        <v>17</v>
      </c>
    </row>
    <row r="1894" spans="1:21" x14ac:dyDescent="0.35">
      <c r="A1894" t="s">
        <v>26</v>
      </c>
      <c r="B1894" s="1">
        <v>44385</v>
      </c>
      <c r="C1894" t="s">
        <v>22</v>
      </c>
      <c r="D1894">
        <v>11.3</v>
      </c>
      <c r="E1894">
        <v>2.2000000000000002</v>
      </c>
      <c r="F1894">
        <v>0</v>
      </c>
      <c r="G1894">
        <v>5.0999999999999996</v>
      </c>
      <c r="H1894">
        <v>0</v>
      </c>
      <c r="I1894">
        <v>15.4</v>
      </c>
      <c r="J1894">
        <v>1.7</v>
      </c>
      <c r="K1894">
        <v>0</v>
      </c>
      <c r="L1894">
        <v>9.1</v>
      </c>
      <c r="M1894">
        <v>0</v>
      </c>
      <c r="N1894">
        <v>1127960</v>
      </c>
      <c r="O1894">
        <v>1412725</v>
      </c>
      <c r="P1894">
        <v>0</v>
      </c>
      <c r="Q1894">
        <v>127</v>
      </c>
      <c r="R1894">
        <v>31</v>
      </c>
      <c r="S1894">
        <v>0</v>
      </c>
      <c r="T1894">
        <v>999</v>
      </c>
      <c r="U1894">
        <v>999</v>
      </c>
    </row>
    <row r="1895" spans="1:21" x14ac:dyDescent="0.35">
      <c r="A1895" t="s">
        <v>21</v>
      </c>
      <c r="B1895" s="1">
        <v>44808</v>
      </c>
      <c r="C1895" t="s">
        <v>32</v>
      </c>
      <c r="D1895">
        <v>0</v>
      </c>
      <c r="E1895">
        <v>0</v>
      </c>
      <c r="F1895">
        <v>0</v>
      </c>
      <c r="G1895">
        <v>0</v>
      </c>
      <c r="H1895">
        <v>0</v>
      </c>
      <c r="I1895">
        <v>0</v>
      </c>
      <c r="J1895">
        <v>0</v>
      </c>
      <c r="K1895">
        <v>0</v>
      </c>
      <c r="L1895">
        <v>0</v>
      </c>
      <c r="M1895">
        <v>0</v>
      </c>
      <c r="N1895">
        <v>162642</v>
      </c>
      <c r="O1895">
        <v>0</v>
      </c>
      <c r="P1895">
        <v>0</v>
      </c>
      <c r="Q1895">
        <v>0</v>
      </c>
      <c r="R1895">
        <v>0</v>
      </c>
      <c r="S1895">
        <v>0</v>
      </c>
      <c r="T1895">
        <v>0</v>
      </c>
      <c r="U1895">
        <v>4</v>
      </c>
    </row>
    <row r="1896" spans="1:21" x14ac:dyDescent="0.35">
      <c r="A1896" t="s">
        <v>21</v>
      </c>
      <c r="B1896" s="1">
        <v>45031</v>
      </c>
      <c r="C1896" t="s">
        <v>32</v>
      </c>
      <c r="D1896">
        <v>0</v>
      </c>
      <c r="E1896">
        <v>0</v>
      </c>
      <c r="F1896">
        <v>0</v>
      </c>
      <c r="G1896">
        <v>0</v>
      </c>
      <c r="H1896">
        <v>0</v>
      </c>
      <c r="I1896">
        <v>0</v>
      </c>
      <c r="J1896">
        <v>0</v>
      </c>
      <c r="K1896">
        <v>0</v>
      </c>
      <c r="L1896">
        <v>0</v>
      </c>
      <c r="M1896">
        <v>0</v>
      </c>
      <c r="N1896">
        <v>162642</v>
      </c>
      <c r="O1896">
        <v>0</v>
      </c>
      <c r="P1896">
        <v>0</v>
      </c>
      <c r="Q1896">
        <v>0</v>
      </c>
      <c r="R1896">
        <v>0</v>
      </c>
      <c r="S1896">
        <v>0</v>
      </c>
      <c r="T1896">
        <v>0</v>
      </c>
      <c r="U1896">
        <v>4</v>
      </c>
    </row>
    <row r="1897" spans="1:21" x14ac:dyDescent="0.35">
      <c r="A1897" t="s">
        <v>28</v>
      </c>
      <c r="B1897" s="1">
        <v>44237</v>
      </c>
      <c r="C1897" t="s">
        <v>27</v>
      </c>
      <c r="D1897">
        <v>261.5</v>
      </c>
      <c r="E1897">
        <v>19.2</v>
      </c>
      <c r="F1897">
        <v>0</v>
      </c>
      <c r="G1897">
        <v>13.6</v>
      </c>
      <c r="H1897">
        <v>0</v>
      </c>
      <c r="I1897">
        <v>0</v>
      </c>
      <c r="J1897">
        <v>0</v>
      </c>
      <c r="K1897">
        <v>0</v>
      </c>
      <c r="L1897">
        <v>0</v>
      </c>
      <c r="M1897">
        <v>0</v>
      </c>
      <c r="N1897">
        <v>68439</v>
      </c>
      <c r="O1897">
        <v>93584</v>
      </c>
      <c r="P1897">
        <v>0</v>
      </c>
      <c r="Q1897">
        <v>179</v>
      </c>
      <c r="R1897">
        <v>18</v>
      </c>
      <c r="S1897">
        <v>0</v>
      </c>
      <c r="T1897">
        <v>12</v>
      </c>
      <c r="U1897">
        <v>17</v>
      </c>
    </row>
    <row r="1898" spans="1:21" x14ac:dyDescent="0.35">
      <c r="A1898" t="s">
        <v>21</v>
      </c>
      <c r="B1898" s="1">
        <v>44758</v>
      </c>
      <c r="C1898" t="s">
        <v>27</v>
      </c>
      <c r="D1898">
        <v>0</v>
      </c>
      <c r="E1898">
        <v>0</v>
      </c>
      <c r="F1898">
        <v>0</v>
      </c>
      <c r="G1898">
        <v>0</v>
      </c>
      <c r="H1898">
        <v>0</v>
      </c>
      <c r="I1898">
        <v>0</v>
      </c>
      <c r="J1898">
        <v>0</v>
      </c>
      <c r="K1898">
        <v>0</v>
      </c>
      <c r="L1898">
        <v>0</v>
      </c>
      <c r="M1898">
        <v>0</v>
      </c>
      <c r="N1898">
        <v>36204</v>
      </c>
      <c r="O1898">
        <v>90674</v>
      </c>
      <c r="P1898">
        <v>38517</v>
      </c>
      <c r="Q1898">
        <v>0</v>
      </c>
      <c r="R1898">
        <v>0</v>
      </c>
      <c r="S1898">
        <v>0</v>
      </c>
      <c r="T1898">
        <v>12</v>
      </c>
      <c r="U1898">
        <v>17</v>
      </c>
    </row>
    <row r="1899" spans="1:21" x14ac:dyDescent="0.35">
      <c r="A1899" t="s">
        <v>26</v>
      </c>
      <c r="B1899" s="1">
        <v>44692</v>
      </c>
      <c r="C1899" t="s">
        <v>27</v>
      </c>
      <c r="D1899">
        <v>0</v>
      </c>
      <c r="E1899">
        <v>0</v>
      </c>
      <c r="F1899">
        <v>0</v>
      </c>
      <c r="G1899">
        <v>0</v>
      </c>
      <c r="H1899">
        <v>0</v>
      </c>
      <c r="I1899">
        <v>0</v>
      </c>
      <c r="J1899">
        <v>0</v>
      </c>
      <c r="K1899">
        <v>0</v>
      </c>
      <c r="L1899">
        <v>0</v>
      </c>
      <c r="M1899">
        <v>0</v>
      </c>
      <c r="N1899">
        <v>34344</v>
      </c>
      <c r="O1899">
        <v>85986</v>
      </c>
      <c r="P1899">
        <v>44495</v>
      </c>
      <c r="Q1899">
        <v>0</v>
      </c>
      <c r="R1899">
        <v>0</v>
      </c>
      <c r="S1899">
        <v>0</v>
      </c>
      <c r="T1899">
        <v>12</v>
      </c>
      <c r="U1899">
        <v>17</v>
      </c>
    </row>
    <row r="1900" spans="1:21" x14ac:dyDescent="0.35">
      <c r="A1900" t="s">
        <v>28</v>
      </c>
      <c r="B1900" s="1">
        <v>44413</v>
      </c>
      <c r="C1900" t="s">
        <v>29</v>
      </c>
      <c r="D1900">
        <v>236.6</v>
      </c>
      <c r="E1900">
        <v>14.3</v>
      </c>
      <c r="F1900">
        <v>0</v>
      </c>
      <c r="G1900">
        <v>16.5</v>
      </c>
      <c r="H1900">
        <v>0</v>
      </c>
      <c r="I1900">
        <v>0</v>
      </c>
      <c r="J1900">
        <v>0</v>
      </c>
      <c r="K1900">
        <v>0</v>
      </c>
      <c r="L1900">
        <v>0</v>
      </c>
      <c r="M1900">
        <v>0</v>
      </c>
      <c r="N1900">
        <v>350842</v>
      </c>
      <c r="O1900">
        <v>287155</v>
      </c>
      <c r="P1900">
        <v>0</v>
      </c>
      <c r="Q1900">
        <v>830</v>
      </c>
      <c r="R1900">
        <v>41</v>
      </c>
      <c r="S1900">
        <v>0</v>
      </c>
      <c r="T1900">
        <v>30</v>
      </c>
      <c r="U1900">
        <v>49</v>
      </c>
    </row>
    <row r="1901" spans="1:21" x14ac:dyDescent="0.35">
      <c r="A1901" t="s">
        <v>21</v>
      </c>
      <c r="B1901" s="1">
        <v>44667</v>
      </c>
      <c r="C1901" t="s">
        <v>32</v>
      </c>
      <c r="D1901">
        <v>0</v>
      </c>
      <c r="E1901">
        <v>0</v>
      </c>
      <c r="F1901">
        <v>0</v>
      </c>
      <c r="G1901">
        <v>0</v>
      </c>
      <c r="H1901">
        <v>0</v>
      </c>
      <c r="I1901">
        <v>0</v>
      </c>
      <c r="J1901">
        <v>0</v>
      </c>
      <c r="K1901">
        <v>0</v>
      </c>
      <c r="L1901">
        <v>0</v>
      </c>
      <c r="M1901">
        <v>0</v>
      </c>
      <c r="N1901">
        <v>162642</v>
      </c>
      <c r="O1901">
        <v>0</v>
      </c>
      <c r="P1901">
        <v>0</v>
      </c>
      <c r="Q1901">
        <v>0</v>
      </c>
      <c r="R1901">
        <v>0</v>
      </c>
      <c r="S1901">
        <v>0</v>
      </c>
      <c r="T1901">
        <v>0</v>
      </c>
      <c r="U1901">
        <v>4</v>
      </c>
    </row>
    <row r="1902" spans="1:21" x14ac:dyDescent="0.35">
      <c r="A1902" t="s">
        <v>28</v>
      </c>
      <c r="B1902" s="1">
        <v>44562</v>
      </c>
      <c r="C1902" t="s">
        <v>25</v>
      </c>
      <c r="D1902">
        <v>3158.2</v>
      </c>
      <c r="E1902">
        <v>1882.2</v>
      </c>
      <c r="F1902">
        <v>1388.9</v>
      </c>
      <c r="G1902">
        <v>1.7</v>
      </c>
      <c r="H1902">
        <v>2.2999999999999998</v>
      </c>
      <c r="I1902">
        <v>0</v>
      </c>
      <c r="J1902">
        <v>0</v>
      </c>
      <c r="K1902">
        <v>0</v>
      </c>
      <c r="L1902">
        <v>0</v>
      </c>
      <c r="M1902">
        <v>0</v>
      </c>
      <c r="N1902">
        <v>135521</v>
      </c>
      <c r="O1902">
        <v>266118</v>
      </c>
      <c r="P1902">
        <v>72360</v>
      </c>
      <c r="Q1902">
        <v>4280</v>
      </c>
      <c r="R1902">
        <v>5009</v>
      </c>
      <c r="S1902">
        <v>1005</v>
      </c>
      <c r="T1902">
        <v>18</v>
      </c>
      <c r="U1902">
        <v>29</v>
      </c>
    </row>
    <row r="1903" spans="1:21" x14ac:dyDescent="0.35">
      <c r="A1903" t="s">
        <v>28</v>
      </c>
      <c r="B1903" s="1">
        <v>45129</v>
      </c>
      <c r="C1903" t="s">
        <v>24</v>
      </c>
      <c r="D1903">
        <v>6.7</v>
      </c>
      <c r="E1903">
        <v>4.8</v>
      </c>
      <c r="F1903">
        <v>0</v>
      </c>
      <c r="G1903">
        <v>1.4</v>
      </c>
      <c r="H1903">
        <v>0</v>
      </c>
      <c r="I1903">
        <v>0</v>
      </c>
      <c r="J1903">
        <v>0</v>
      </c>
      <c r="K1903">
        <v>0</v>
      </c>
      <c r="L1903">
        <v>0</v>
      </c>
      <c r="M1903">
        <v>0</v>
      </c>
      <c r="N1903">
        <v>90050</v>
      </c>
      <c r="O1903">
        <v>82668</v>
      </c>
      <c r="P1903">
        <v>21259</v>
      </c>
      <c r="Q1903">
        <v>6</v>
      </c>
      <c r="R1903">
        <v>4</v>
      </c>
      <c r="S1903">
        <v>0</v>
      </c>
      <c r="T1903">
        <v>5</v>
      </c>
      <c r="U1903">
        <v>11</v>
      </c>
    </row>
    <row r="1904" spans="1:21" x14ac:dyDescent="0.35">
      <c r="A1904" t="s">
        <v>21</v>
      </c>
      <c r="B1904" s="1">
        <v>44358</v>
      </c>
      <c r="C1904" t="s">
        <v>23</v>
      </c>
      <c r="D1904">
        <v>5.6</v>
      </c>
      <c r="E1904">
        <v>0</v>
      </c>
      <c r="F1904">
        <v>0</v>
      </c>
      <c r="G1904">
        <v>0</v>
      </c>
      <c r="H1904">
        <v>0</v>
      </c>
      <c r="I1904">
        <v>0</v>
      </c>
      <c r="J1904">
        <v>0</v>
      </c>
      <c r="K1904">
        <v>0</v>
      </c>
      <c r="L1904">
        <v>0</v>
      </c>
      <c r="M1904">
        <v>0</v>
      </c>
      <c r="N1904">
        <v>70859</v>
      </c>
      <c r="O1904">
        <v>318525</v>
      </c>
      <c r="P1904">
        <v>25135</v>
      </c>
      <c r="Q1904">
        <v>4</v>
      </c>
      <c r="R1904">
        <v>0</v>
      </c>
      <c r="S1904">
        <v>0</v>
      </c>
      <c r="T1904">
        <v>50</v>
      </c>
      <c r="U1904">
        <v>64</v>
      </c>
    </row>
    <row r="1905" spans="1:21" x14ac:dyDescent="0.35">
      <c r="A1905" t="s">
        <v>28</v>
      </c>
      <c r="B1905" s="1">
        <v>44684</v>
      </c>
      <c r="C1905" t="s">
        <v>31</v>
      </c>
      <c r="D1905">
        <v>20.399999999999999</v>
      </c>
      <c r="E1905">
        <v>18.5</v>
      </c>
      <c r="F1905">
        <v>28.8</v>
      </c>
      <c r="G1905">
        <v>1.1000000000000001</v>
      </c>
      <c r="H1905">
        <v>0.7</v>
      </c>
      <c r="I1905">
        <v>0</v>
      </c>
      <c r="J1905">
        <v>0</v>
      </c>
      <c r="K1905">
        <v>0</v>
      </c>
      <c r="L1905">
        <v>0</v>
      </c>
      <c r="M1905">
        <v>0</v>
      </c>
      <c r="N1905">
        <v>48917</v>
      </c>
      <c r="O1905">
        <v>54022</v>
      </c>
      <c r="P1905">
        <v>156028</v>
      </c>
      <c r="Q1905">
        <v>10</v>
      </c>
      <c r="R1905">
        <v>10</v>
      </c>
      <c r="S1905">
        <v>45</v>
      </c>
      <c r="T1905">
        <v>65</v>
      </c>
      <c r="U1905">
        <v>79</v>
      </c>
    </row>
    <row r="1906" spans="1:21" x14ac:dyDescent="0.35">
      <c r="A1906" t="s">
        <v>28</v>
      </c>
      <c r="B1906" s="1">
        <v>44800</v>
      </c>
      <c r="C1906" t="s">
        <v>25</v>
      </c>
      <c r="D1906">
        <v>256.7</v>
      </c>
      <c r="E1906">
        <v>98.6</v>
      </c>
      <c r="F1906">
        <v>148.4</v>
      </c>
      <c r="G1906">
        <v>2.6</v>
      </c>
      <c r="H1906">
        <v>1.7</v>
      </c>
      <c r="I1906">
        <v>0</v>
      </c>
      <c r="J1906">
        <v>0</v>
      </c>
      <c r="K1906">
        <v>0</v>
      </c>
      <c r="L1906">
        <v>0</v>
      </c>
      <c r="M1906">
        <v>0</v>
      </c>
      <c r="N1906">
        <v>91147</v>
      </c>
      <c r="O1906">
        <v>211921</v>
      </c>
      <c r="P1906">
        <v>160373</v>
      </c>
      <c r="Q1906">
        <v>234</v>
      </c>
      <c r="R1906">
        <v>209</v>
      </c>
      <c r="S1906">
        <v>238</v>
      </c>
      <c r="T1906">
        <v>18</v>
      </c>
      <c r="U1906">
        <v>29</v>
      </c>
    </row>
    <row r="1907" spans="1:21" x14ac:dyDescent="0.35">
      <c r="A1907" t="s">
        <v>21</v>
      </c>
      <c r="B1907" s="1">
        <v>44674</v>
      </c>
      <c r="C1907" t="s">
        <v>32</v>
      </c>
      <c r="D1907">
        <v>0</v>
      </c>
      <c r="E1907">
        <v>0</v>
      </c>
      <c r="F1907">
        <v>0</v>
      </c>
      <c r="G1907">
        <v>0</v>
      </c>
      <c r="H1907">
        <v>0</v>
      </c>
      <c r="I1907">
        <v>0</v>
      </c>
      <c r="J1907">
        <v>0</v>
      </c>
      <c r="K1907">
        <v>0</v>
      </c>
      <c r="L1907">
        <v>0</v>
      </c>
      <c r="M1907">
        <v>0</v>
      </c>
      <c r="N1907">
        <v>162642</v>
      </c>
      <c r="O1907">
        <v>0</v>
      </c>
      <c r="P1907">
        <v>0</v>
      </c>
      <c r="Q1907">
        <v>0</v>
      </c>
      <c r="R1907">
        <v>0</v>
      </c>
      <c r="S1907">
        <v>0</v>
      </c>
      <c r="T1907">
        <v>0</v>
      </c>
      <c r="U1907">
        <v>4</v>
      </c>
    </row>
    <row r="1908" spans="1:21" x14ac:dyDescent="0.35">
      <c r="A1908" t="s">
        <v>21</v>
      </c>
      <c r="B1908" s="1">
        <v>44681</v>
      </c>
      <c r="C1908" t="s">
        <v>32</v>
      </c>
      <c r="D1908">
        <v>0</v>
      </c>
      <c r="E1908">
        <v>0</v>
      </c>
      <c r="F1908">
        <v>0</v>
      </c>
      <c r="G1908">
        <v>0</v>
      </c>
      <c r="H1908">
        <v>0</v>
      </c>
      <c r="I1908">
        <v>0</v>
      </c>
      <c r="J1908">
        <v>0</v>
      </c>
      <c r="K1908">
        <v>0</v>
      </c>
      <c r="L1908">
        <v>0</v>
      </c>
      <c r="M1908">
        <v>0</v>
      </c>
      <c r="N1908">
        <v>162642</v>
      </c>
      <c r="O1908">
        <v>0</v>
      </c>
      <c r="P1908">
        <v>0</v>
      </c>
      <c r="Q1908">
        <v>0</v>
      </c>
      <c r="R1908">
        <v>0</v>
      </c>
      <c r="S1908">
        <v>0</v>
      </c>
      <c r="T1908">
        <v>0</v>
      </c>
      <c r="U1908">
        <v>4</v>
      </c>
    </row>
    <row r="1909" spans="1:21" x14ac:dyDescent="0.35">
      <c r="A1909" t="s">
        <v>21</v>
      </c>
      <c r="B1909" s="1">
        <v>44747</v>
      </c>
      <c r="C1909" t="s">
        <v>32</v>
      </c>
      <c r="D1909">
        <v>0</v>
      </c>
      <c r="E1909">
        <v>0</v>
      </c>
      <c r="F1909">
        <v>0</v>
      </c>
      <c r="G1909">
        <v>0</v>
      </c>
      <c r="H1909">
        <v>0</v>
      </c>
      <c r="I1909">
        <v>0</v>
      </c>
      <c r="J1909">
        <v>0</v>
      </c>
      <c r="K1909">
        <v>0</v>
      </c>
      <c r="L1909">
        <v>0</v>
      </c>
      <c r="M1909">
        <v>0</v>
      </c>
      <c r="N1909">
        <v>162642</v>
      </c>
      <c r="O1909">
        <v>0</v>
      </c>
      <c r="P1909">
        <v>0</v>
      </c>
      <c r="Q1909">
        <v>0</v>
      </c>
      <c r="R1909">
        <v>0</v>
      </c>
      <c r="S1909">
        <v>0</v>
      </c>
      <c r="T1909">
        <v>0</v>
      </c>
      <c r="U1909">
        <v>4</v>
      </c>
    </row>
    <row r="1910" spans="1:21" x14ac:dyDescent="0.35">
      <c r="A1910" t="s">
        <v>28</v>
      </c>
      <c r="B1910" s="1">
        <v>44262</v>
      </c>
      <c r="C1910" t="s">
        <v>30</v>
      </c>
      <c r="D1910">
        <v>3</v>
      </c>
      <c r="E1910">
        <v>0</v>
      </c>
      <c r="F1910">
        <v>0</v>
      </c>
      <c r="G1910">
        <v>0</v>
      </c>
      <c r="H1910">
        <v>0</v>
      </c>
      <c r="I1910">
        <v>0</v>
      </c>
      <c r="J1910">
        <v>0</v>
      </c>
      <c r="K1910">
        <v>0</v>
      </c>
      <c r="L1910">
        <v>0</v>
      </c>
      <c r="M1910">
        <v>0</v>
      </c>
      <c r="N1910">
        <v>33360</v>
      </c>
      <c r="O1910">
        <v>51317</v>
      </c>
      <c r="P1910">
        <v>0</v>
      </c>
      <c r="Q1910">
        <v>1</v>
      </c>
      <c r="R1910">
        <v>0</v>
      </c>
      <c r="S1910">
        <v>0</v>
      </c>
      <c r="T1910">
        <v>80</v>
      </c>
      <c r="U1910">
        <v>200</v>
      </c>
    </row>
    <row r="1911" spans="1:21" x14ac:dyDescent="0.35">
      <c r="A1911" t="s">
        <v>21</v>
      </c>
      <c r="B1911" s="1">
        <v>44695</v>
      </c>
      <c r="C1911" t="s">
        <v>32</v>
      </c>
      <c r="D1911">
        <v>0</v>
      </c>
      <c r="E1911">
        <v>0</v>
      </c>
      <c r="F1911">
        <v>0</v>
      </c>
      <c r="G1911">
        <v>0</v>
      </c>
      <c r="H1911">
        <v>0</v>
      </c>
      <c r="I1911">
        <v>0</v>
      </c>
      <c r="J1911">
        <v>0</v>
      </c>
      <c r="K1911">
        <v>0</v>
      </c>
      <c r="L1911">
        <v>0</v>
      </c>
      <c r="M1911">
        <v>0</v>
      </c>
      <c r="N1911">
        <v>162642</v>
      </c>
      <c r="O1911">
        <v>0</v>
      </c>
      <c r="P1911">
        <v>0</v>
      </c>
      <c r="Q1911">
        <v>0</v>
      </c>
      <c r="R1911">
        <v>0</v>
      </c>
      <c r="S1911">
        <v>0</v>
      </c>
      <c r="T1911">
        <v>0</v>
      </c>
      <c r="U1911">
        <v>4</v>
      </c>
    </row>
    <row r="1912" spans="1:21" x14ac:dyDescent="0.35">
      <c r="A1912" t="s">
        <v>21</v>
      </c>
      <c r="B1912" s="1">
        <v>45268</v>
      </c>
      <c r="C1912" t="s">
        <v>32</v>
      </c>
      <c r="D1912">
        <v>0</v>
      </c>
      <c r="E1912">
        <v>0</v>
      </c>
      <c r="F1912">
        <v>0</v>
      </c>
      <c r="G1912">
        <v>0</v>
      </c>
      <c r="H1912">
        <v>0</v>
      </c>
      <c r="I1912">
        <v>0</v>
      </c>
      <c r="J1912">
        <v>0</v>
      </c>
      <c r="K1912">
        <v>0</v>
      </c>
      <c r="L1912">
        <v>0</v>
      </c>
      <c r="M1912">
        <v>0</v>
      </c>
      <c r="N1912">
        <v>162642</v>
      </c>
      <c r="O1912">
        <v>0</v>
      </c>
      <c r="P1912">
        <v>0</v>
      </c>
      <c r="Q1912">
        <v>0</v>
      </c>
      <c r="R1912">
        <v>0</v>
      </c>
      <c r="S1912">
        <v>0</v>
      </c>
      <c r="T1912">
        <v>0</v>
      </c>
      <c r="U1912">
        <v>4</v>
      </c>
    </row>
    <row r="1913" spans="1:21" x14ac:dyDescent="0.35">
      <c r="A1913" t="s">
        <v>28</v>
      </c>
      <c r="B1913" s="1">
        <v>45185</v>
      </c>
      <c r="C1913" t="s">
        <v>27</v>
      </c>
      <c r="D1913">
        <v>22.1</v>
      </c>
      <c r="E1913">
        <v>11.6</v>
      </c>
      <c r="F1913">
        <v>22.4</v>
      </c>
      <c r="G1913">
        <v>1.9</v>
      </c>
      <c r="H1913">
        <v>1</v>
      </c>
      <c r="I1913">
        <v>0</v>
      </c>
      <c r="J1913">
        <v>0</v>
      </c>
      <c r="K1913">
        <v>0</v>
      </c>
      <c r="L1913">
        <v>0</v>
      </c>
      <c r="M1913">
        <v>0</v>
      </c>
      <c r="N1913">
        <v>31696</v>
      </c>
      <c r="O1913">
        <v>86574</v>
      </c>
      <c r="P1913">
        <v>44597</v>
      </c>
      <c r="Q1913">
        <v>7</v>
      </c>
      <c r="R1913">
        <v>10</v>
      </c>
      <c r="S1913">
        <v>10</v>
      </c>
      <c r="T1913">
        <v>12</v>
      </c>
      <c r="U1913">
        <v>17</v>
      </c>
    </row>
    <row r="1914" spans="1:21" x14ac:dyDescent="0.35">
      <c r="A1914" t="s">
        <v>21</v>
      </c>
      <c r="B1914" s="1">
        <v>44702</v>
      </c>
      <c r="C1914" t="s">
        <v>32</v>
      </c>
      <c r="D1914">
        <v>0</v>
      </c>
      <c r="E1914">
        <v>0</v>
      </c>
      <c r="F1914">
        <v>0</v>
      </c>
      <c r="G1914">
        <v>0</v>
      </c>
      <c r="H1914">
        <v>0</v>
      </c>
      <c r="I1914">
        <v>0</v>
      </c>
      <c r="J1914">
        <v>0</v>
      </c>
      <c r="K1914">
        <v>0</v>
      </c>
      <c r="L1914">
        <v>0</v>
      </c>
      <c r="M1914">
        <v>0</v>
      </c>
      <c r="N1914">
        <v>162642</v>
      </c>
      <c r="O1914">
        <v>0</v>
      </c>
      <c r="P1914">
        <v>0</v>
      </c>
      <c r="Q1914">
        <v>0</v>
      </c>
      <c r="R1914">
        <v>0</v>
      </c>
      <c r="S1914">
        <v>0</v>
      </c>
      <c r="T1914">
        <v>0</v>
      </c>
      <c r="U1914">
        <v>4</v>
      </c>
    </row>
    <row r="1915" spans="1:21" x14ac:dyDescent="0.35">
      <c r="A1915" t="s">
        <v>28</v>
      </c>
      <c r="B1915" s="1">
        <v>44499</v>
      </c>
      <c r="C1915" t="s">
        <v>30</v>
      </c>
      <c r="D1915">
        <v>43.6</v>
      </c>
      <c r="E1915">
        <v>49.9</v>
      </c>
      <c r="F1915">
        <v>11.5</v>
      </c>
      <c r="G1915">
        <v>0.9</v>
      </c>
      <c r="H1915">
        <v>3.8</v>
      </c>
      <c r="I1915">
        <v>0</v>
      </c>
      <c r="J1915">
        <v>0</v>
      </c>
      <c r="K1915">
        <v>0</v>
      </c>
      <c r="L1915">
        <v>0</v>
      </c>
      <c r="M1915">
        <v>0</v>
      </c>
      <c r="N1915">
        <v>29835</v>
      </c>
      <c r="O1915">
        <v>46071</v>
      </c>
      <c r="P1915">
        <v>8679</v>
      </c>
      <c r="Q1915">
        <v>13</v>
      </c>
      <c r="R1915">
        <v>23</v>
      </c>
      <c r="S1915">
        <v>1</v>
      </c>
      <c r="T1915">
        <v>80</v>
      </c>
      <c r="U1915">
        <v>200</v>
      </c>
    </row>
    <row r="1916" spans="1:21" x14ac:dyDescent="0.35">
      <c r="A1916" t="s">
        <v>21</v>
      </c>
      <c r="B1916" s="1">
        <v>44709</v>
      </c>
      <c r="C1916" t="s">
        <v>32</v>
      </c>
      <c r="D1916">
        <v>0</v>
      </c>
      <c r="E1916">
        <v>0</v>
      </c>
      <c r="F1916">
        <v>0</v>
      </c>
      <c r="G1916">
        <v>0</v>
      </c>
      <c r="H1916">
        <v>0</v>
      </c>
      <c r="I1916">
        <v>0</v>
      </c>
      <c r="J1916">
        <v>0</v>
      </c>
      <c r="K1916">
        <v>0</v>
      </c>
      <c r="L1916">
        <v>0</v>
      </c>
      <c r="M1916">
        <v>0</v>
      </c>
      <c r="N1916">
        <v>162642</v>
      </c>
      <c r="O1916">
        <v>0</v>
      </c>
      <c r="P1916">
        <v>0</v>
      </c>
      <c r="Q1916">
        <v>0</v>
      </c>
      <c r="R1916">
        <v>0</v>
      </c>
      <c r="S1916">
        <v>0</v>
      </c>
      <c r="T1916">
        <v>0</v>
      </c>
      <c r="U1916">
        <v>4</v>
      </c>
    </row>
    <row r="1917" spans="1:21" x14ac:dyDescent="0.35">
      <c r="A1917" t="s">
        <v>21</v>
      </c>
      <c r="B1917" s="1">
        <v>44422</v>
      </c>
      <c r="C1917" t="s">
        <v>23</v>
      </c>
      <c r="D1917">
        <v>9.6</v>
      </c>
      <c r="E1917">
        <v>0</v>
      </c>
      <c r="F1917">
        <v>0</v>
      </c>
      <c r="G1917">
        <v>0</v>
      </c>
      <c r="H1917">
        <v>0</v>
      </c>
      <c r="I1917">
        <v>0</v>
      </c>
      <c r="J1917">
        <v>0</v>
      </c>
      <c r="K1917">
        <v>0</v>
      </c>
      <c r="L1917">
        <v>0</v>
      </c>
      <c r="M1917">
        <v>0</v>
      </c>
      <c r="N1917">
        <v>94229</v>
      </c>
      <c r="O1917">
        <v>318064</v>
      </c>
      <c r="P1917">
        <v>0</v>
      </c>
      <c r="Q1917">
        <v>9</v>
      </c>
      <c r="R1917">
        <v>0</v>
      </c>
      <c r="S1917">
        <v>0</v>
      </c>
      <c r="T1917">
        <v>50</v>
      </c>
      <c r="U1917">
        <v>64</v>
      </c>
    </row>
    <row r="1918" spans="1:21" x14ac:dyDescent="0.35">
      <c r="A1918" t="s">
        <v>21</v>
      </c>
      <c r="B1918" s="1">
        <v>44786</v>
      </c>
      <c r="C1918" t="s">
        <v>31</v>
      </c>
      <c r="D1918">
        <v>0</v>
      </c>
      <c r="E1918">
        <v>4.5</v>
      </c>
      <c r="F1918">
        <v>0</v>
      </c>
      <c r="G1918">
        <v>0</v>
      </c>
      <c r="H1918">
        <v>0</v>
      </c>
      <c r="I1918">
        <v>0</v>
      </c>
      <c r="J1918">
        <v>0</v>
      </c>
      <c r="K1918">
        <v>0</v>
      </c>
      <c r="L1918">
        <v>0</v>
      </c>
      <c r="M1918">
        <v>0</v>
      </c>
      <c r="N1918">
        <v>45801</v>
      </c>
      <c r="O1918">
        <v>44391</v>
      </c>
      <c r="P1918">
        <v>169993</v>
      </c>
      <c r="Q1918">
        <v>0</v>
      </c>
      <c r="R1918">
        <v>2</v>
      </c>
      <c r="S1918">
        <v>0</v>
      </c>
      <c r="T1918">
        <v>65</v>
      </c>
      <c r="U1918">
        <v>79</v>
      </c>
    </row>
    <row r="1919" spans="1:21" x14ac:dyDescent="0.35">
      <c r="A1919" t="s">
        <v>21</v>
      </c>
      <c r="B1919" s="1">
        <v>44657</v>
      </c>
      <c r="C1919" t="s">
        <v>32</v>
      </c>
      <c r="D1919">
        <v>0</v>
      </c>
      <c r="E1919">
        <v>0</v>
      </c>
      <c r="F1919">
        <v>0</v>
      </c>
      <c r="G1919">
        <v>0</v>
      </c>
      <c r="H1919">
        <v>0</v>
      </c>
      <c r="I1919">
        <v>0</v>
      </c>
      <c r="J1919">
        <v>0</v>
      </c>
      <c r="K1919">
        <v>0</v>
      </c>
      <c r="L1919">
        <v>0</v>
      </c>
      <c r="M1919">
        <v>0</v>
      </c>
      <c r="N1919">
        <v>162642</v>
      </c>
      <c r="O1919">
        <v>0</v>
      </c>
      <c r="P1919">
        <v>0</v>
      </c>
      <c r="Q1919">
        <v>0</v>
      </c>
      <c r="R1919">
        <v>0</v>
      </c>
      <c r="S1919">
        <v>0</v>
      </c>
      <c r="T1919">
        <v>0</v>
      </c>
      <c r="U1919">
        <v>4</v>
      </c>
    </row>
    <row r="1920" spans="1:21" x14ac:dyDescent="0.35">
      <c r="A1920" t="s">
        <v>26</v>
      </c>
      <c r="B1920" s="1">
        <v>44464</v>
      </c>
      <c r="C1920" t="s">
        <v>32</v>
      </c>
      <c r="D1920">
        <v>1.8</v>
      </c>
      <c r="E1920">
        <v>0</v>
      </c>
      <c r="F1920">
        <v>0</v>
      </c>
      <c r="G1920">
        <v>0</v>
      </c>
      <c r="H1920">
        <v>0</v>
      </c>
      <c r="I1920">
        <v>0</v>
      </c>
      <c r="J1920">
        <v>0</v>
      </c>
      <c r="K1920">
        <v>0</v>
      </c>
      <c r="L1920">
        <v>0</v>
      </c>
      <c r="M1920">
        <v>0</v>
      </c>
      <c r="N1920">
        <v>162642</v>
      </c>
      <c r="O1920">
        <v>0</v>
      </c>
      <c r="P1920">
        <v>0</v>
      </c>
      <c r="Q1920">
        <v>3</v>
      </c>
      <c r="R1920">
        <v>0</v>
      </c>
      <c r="S1920">
        <v>0</v>
      </c>
      <c r="T1920">
        <v>0</v>
      </c>
      <c r="U1920">
        <v>4</v>
      </c>
    </row>
    <row r="1921" spans="1:21" x14ac:dyDescent="0.35">
      <c r="A1921" t="s">
        <v>21</v>
      </c>
      <c r="B1921" s="1">
        <v>44871</v>
      </c>
      <c r="C1921" t="s">
        <v>32</v>
      </c>
      <c r="D1921">
        <v>0</v>
      </c>
      <c r="E1921">
        <v>0</v>
      </c>
      <c r="F1921">
        <v>0</v>
      </c>
      <c r="G1921">
        <v>0</v>
      </c>
      <c r="H1921">
        <v>0</v>
      </c>
      <c r="I1921">
        <v>0</v>
      </c>
      <c r="J1921">
        <v>0</v>
      </c>
      <c r="K1921">
        <v>0</v>
      </c>
      <c r="L1921">
        <v>0</v>
      </c>
      <c r="M1921">
        <v>0</v>
      </c>
      <c r="N1921">
        <v>162642</v>
      </c>
      <c r="O1921">
        <v>0</v>
      </c>
      <c r="P1921">
        <v>0</v>
      </c>
      <c r="Q1921">
        <v>0</v>
      </c>
      <c r="R1921">
        <v>0</v>
      </c>
      <c r="S1921">
        <v>0</v>
      </c>
      <c r="T1921">
        <v>0</v>
      </c>
      <c r="U1921">
        <v>4</v>
      </c>
    </row>
    <row r="1922" spans="1:21" x14ac:dyDescent="0.35">
      <c r="A1922" t="s">
        <v>28</v>
      </c>
      <c r="B1922" s="1">
        <v>44473</v>
      </c>
      <c r="C1922" t="s">
        <v>30</v>
      </c>
      <c r="D1922">
        <v>101.4</v>
      </c>
      <c r="E1922">
        <v>29.7</v>
      </c>
      <c r="F1922">
        <v>0</v>
      </c>
      <c r="G1922">
        <v>3.4</v>
      </c>
      <c r="H1922">
        <v>0</v>
      </c>
      <c r="I1922">
        <v>0</v>
      </c>
      <c r="J1922">
        <v>0</v>
      </c>
      <c r="K1922">
        <v>0</v>
      </c>
      <c r="L1922">
        <v>0</v>
      </c>
      <c r="M1922">
        <v>0</v>
      </c>
      <c r="N1922">
        <v>40425</v>
      </c>
      <c r="O1922">
        <v>30292</v>
      </c>
      <c r="P1922">
        <v>0</v>
      </c>
      <c r="Q1922">
        <v>41</v>
      </c>
      <c r="R1922">
        <v>9</v>
      </c>
      <c r="S1922">
        <v>0</v>
      </c>
      <c r="T1922">
        <v>80</v>
      </c>
      <c r="U1922">
        <v>200</v>
      </c>
    </row>
    <row r="1923" spans="1:21" x14ac:dyDescent="0.35">
      <c r="A1923" t="s">
        <v>28</v>
      </c>
      <c r="B1923" s="1">
        <v>44512</v>
      </c>
      <c r="C1923" t="s">
        <v>30</v>
      </c>
      <c r="D1923">
        <v>147.69999999999999</v>
      </c>
      <c r="E1923">
        <v>172.6</v>
      </c>
      <c r="F1923">
        <v>57.1</v>
      </c>
      <c r="G1923">
        <v>0.9</v>
      </c>
      <c r="H1923">
        <v>2.6</v>
      </c>
      <c r="I1923">
        <v>0</v>
      </c>
      <c r="J1923">
        <v>0</v>
      </c>
      <c r="K1923">
        <v>0</v>
      </c>
      <c r="L1923">
        <v>0</v>
      </c>
      <c r="M1923">
        <v>0</v>
      </c>
      <c r="N1923">
        <v>28442</v>
      </c>
      <c r="O1923">
        <v>27803</v>
      </c>
      <c r="P1923">
        <v>28010</v>
      </c>
      <c r="Q1923">
        <v>42</v>
      </c>
      <c r="R1923">
        <v>48</v>
      </c>
      <c r="S1923">
        <v>16</v>
      </c>
      <c r="T1923">
        <v>80</v>
      </c>
      <c r="U1923">
        <v>200</v>
      </c>
    </row>
    <row r="1924" spans="1:21" x14ac:dyDescent="0.35">
      <c r="A1924" t="s">
        <v>26</v>
      </c>
      <c r="B1924" s="1">
        <v>44683</v>
      </c>
      <c r="C1924" t="s">
        <v>30</v>
      </c>
      <c r="D1924">
        <v>54.8</v>
      </c>
      <c r="E1924">
        <v>156.1</v>
      </c>
      <c r="F1924">
        <v>29.5</v>
      </c>
      <c r="G1924">
        <v>0.4</v>
      </c>
      <c r="H1924">
        <v>1.9</v>
      </c>
      <c r="I1924">
        <v>0</v>
      </c>
      <c r="J1924">
        <v>0</v>
      </c>
      <c r="K1924">
        <v>0</v>
      </c>
      <c r="L1924">
        <v>0</v>
      </c>
      <c r="M1924">
        <v>0</v>
      </c>
      <c r="N1924">
        <v>27390</v>
      </c>
      <c r="O1924">
        <v>16013</v>
      </c>
      <c r="P1924">
        <v>40692</v>
      </c>
      <c r="Q1924">
        <v>15</v>
      </c>
      <c r="R1924">
        <v>25</v>
      </c>
      <c r="S1924">
        <v>12</v>
      </c>
      <c r="T1924">
        <v>80</v>
      </c>
      <c r="U1924">
        <v>200</v>
      </c>
    </row>
    <row r="1925" spans="1:21" x14ac:dyDescent="0.35">
      <c r="A1925" t="s">
        <v>21</v>
      </c>
      <c r="B1925" s="1">
        <v>44730</v>
      </c>
      <c r="C1925" t="s">
        <v>32</v>
      </c>
      <c r="D1925">
        <v>0</v>
      </c>
      <c r="E1925">
        <v>0</v>
      </c>
      <c r="F1925">
        <v>0</v>
      </c>
      <c r="G1925">
        <v>0</v>
      </c>
      <c r="H1925">
        <v>0</v>
      </c>
      <c r="I1925">
        <v>0</v>
      </c>
      <c r="J1925">
        <v>0</v>
      </c>
      <c r="K1925">
        <v>0</v>
      </c>
      <c r="L1925">
        <v>0</v>
      </c>
      <c r="M1925">
        <v>0</v>
      </c>
      <c r="N1925">
        <v>162642</v>
      </c>
      <c r="O1925">
        <v>0</v>
      </c>
      <c r="P1925">
        <v>0</v>
      </c>
      <c r="Q1925">
        <v>0</v>
      </c>
      <c r="R1925">
        <v>0</v>
      </c>
      <c r="S1925">
        <v>0</v>
      </c>
      <c r="T1925">
        <v>0</v>
      </c>
      <c r="U1925">
        <v>4</v>
      </c>
    </row>
    <row r="1926" spans="1:21" x14ac:dyDescent="0.35">
      <c r="A1926" t="s">
        <v>26</v>
      </c>
      <c r="B1926" s="1">
        <v>44310</v>
      </c>
      <c r="C1926" t="s">
        <v>30</v>
      </c>
      <c r="D1926">
        <v>68.400000000000006</v>
      </c>
      <c r="E1926">
        <v>7.7</v>
      </c>
      <c r="F1926">
        <v>0</v>
      </c>
      <c r="G1926">
        <v>8.9</v>
      </c>
      <c r="H1926">
        <v>0</v>
      </c>
      <c r="I1926">
        <v>0</v>
      </c>
      <c r="J1926">
        <v>0</v>
      </c>
      <c r="K1926">
        <v>0</v>
      </c>
      <c r="L1926">
        <v>0</v>
      </c>
      <c r="M1926">
        <v>0</v>
      </c>
      <c r="N1926">
        <v>38015</v>
      </c>
      <c r="O1926">
        <v>38918</v>
      </c>
      <c r="P1926">
        <v>0</v>
      </c>
      <c r="Q1926">
        <v>26</v>
      </c>
      <c r="R1926">
        <v>3</v>
      </c>
      <c r="S1926">
        <v>0</v>
      </c>
      <c r="T1926">
        <v>80</v>
      </c>
      <c r="U1926">
        <v>200</v>
      </c>
    </row>
    <row r="1927" spans="1:21" x14ac:dyDescent="0.35">
      <c r="A1927" t="s">
        <v>21</v>
      </c>
      <c r="B1927" s="1">
        <v>44737</v>
      </c>
      <c r="C1927" t="s">
        <v>32</v>
      </c>
      <c r="D1927">
        <v>0</v>
      </c>
      <c r="E1927">
        <v>0</v>
      </c>
      <c r="F1927">
        <v>0</v>
      </c>
      <c r="G1927">
        <v>0</v>
      </c>
      <c r="H1927">
        <v>0</v>
      </c>
      <c r="I1927">
        <v>0</v>
      </c>
      <c r="J1927">
        <v>0</v>
      </c>
      <c r="K1927">
        <v>0</v>
      </c>
      <c r="L1927">
        <v>0</v>
      </c>
      <c r="M1927">
        <v>0</v>
      </c>
      <c r="N1927">
        <v>162642</v>
      </c>
      <c r="O1927">
        <v>0</v>
      </c>
      <c r="P1927">
        <v>0</v>
      </c>
      <c r="Q1927">
        <v>0</v>
      </c>
      <c r="R1927">
        <v>0</v>
      </c>
      <c r="S1927">
        <v>0</v>
      </c>
      <c r="T1927">
        <v>0</v>
      </c>
      <c r="U1927">
        <v>4</v>
      </c>
    </row>
    <row r="1928" spans="1:21" x14ac:dyDescent="0.35">
      <c r="A1928" t="s">
        <v>26</v>
      </c>
      <c r="B1928" s="1">
        <v>44555</v>
      </c>
      <c r="C1928" t="s">
        <v>22</v>
      </c>
      <c r="D1928">
        <v>72.5</v>
      </c>
      <c r="E1928">
        <v>28.4</v>
      </c>
      <c r="F1928">
        <v>11.8</v>
      </c>
      <c r="G1928">
        <v>2.6</v>
      </c>
      <c r="H1928">
        <v>6.1</v>
      </c>
      <c r="I1928">
        <v>101.7</v>
      </c>
      <c r="J1928">
        <v>30.3</v>
      </c>
      <c r="K1928">
        <v>6.8</v>
      </c>
      <c r="L1928">
        <v>3.4</v>
      </c>
      <c r="M1928">
        <v>15</v>
      </c>
      <c r="N1928">
        <v>814632</v>
      </c>
      <c r="O1928">
        <v>1161444</v>
      </c>
      <c r="P1928">
        <v>517372</v>
      </c>
      <c r="Q1928">
        <v>591</v>
      </c>
      <c r="R1928">
        <v>330</v>
      </c>
      <c r="S1928">
        <v>61</v>
      </c>
      <c r="T1928">
        <v>999</v>
      </c>
      <c r="U1928">
        <v>999</v>
      </c>
    </row>
    <row r="1929" spans="1:21" x14ac:dyDescent="0.35">
      <c r="A1929" t="s">
        <v>26</v>
      </c>
      <c r="B1929" s="1">
        <v>44259</v>
      </c>
      <c r="C1929" t="s">
        <v>32</v>
      </c>
      <c r="D1929">
        <v>1.8</v>
      </c>
      <c r="E1929">
        <v>0</v>
      </c>
      <c r="F1929">
        <v>0</v>
      </c>
      <c r="G1929">
        <v>0</v>
      </c>
      <c r="H1929">
        <v>0</v>
      </c>
      <c r="I1929">
        <v>0</v>
      </c>
      <c r="J1929">
        <v>0</v>
      </c>
      <c r="K1929">
        <v>0</v>
      </c>
      <c r="L1929">
        <v>0</v>
      </c>
      <c r="M1929">
        <v>0</v>
      </c>
      <c r="N1929">
        <v>162642</v>
      </c>
      <c r="O1929">
        <v>0</v>
      </c>
      <c r="P1929">
        <v>0</v>
      </c>
      <c r="Q1929">
        <v>3</v>
      </c>
      <c r="R1929">
        <v>0</v>
      </c>
      <c r="S1929">
        <v>0</v>
      </c>
      <c r="T1929">
        <v>0</v>
      </c>
      <c r="U1929">
        <v>4</v>
      </c>
    </row>
    <row r="1930" spans="1:21" x14ac:dyDescent="0.35">
      <c r="A1930" t="s">
        <v>26</v>
      </c>
      <c r="B1930" s="1">
        <v>44259</v>
      </c>
      <c r="C1930" t="s">
        <v>24</v>
      </c>
      <c r="D1930">
        <v>0.5</v>
      </c>
      <c r="E1930">
        <v>0</v>
      </c>
      <c r="F1930">
        <v>0</v>
      </c>
      <c r="G1930">
        <v>0</v>
      </c>
      <c r="H1930">
        <v>0</v>
      </c>
      <c r="I1930">
        <v>0</v>
      </c>
      <c r="J1930">
        <v>0</v>
      </c>
      <c r="K1930">
        <v>0</v>
      </c>
      <c r="L1930">
        <v>0</v>
      </c>
      <c r="M1930">
        <v>0</v>
      </c>
      <c r="N1930">
        <v>210448</v>
      </c>
      <c r="O1930">
        <v>0</v>
      </c>
      <c r="P1930">
        <v>0</v>
      </c>
      <c r="Q1930">
        <v>1</v>
      </c>
      <c r="R1930">
        <v>0</v>
      </c>
      <c r="S1930">
        <v>0</v>
      </c>
      <c r="T1930">
        <v>5</v>
      </c>
      <c r="U1930">
        <v>11</v>
      </c>
    </row>
    <row r="1931" spans="1:21" x14ac:dyDescent="0.35">
      <c r="A1931" t="s">
        <v>26</v>
      </c>
      <c r="B1931" s="1">
        <v>44473</v>
      </c>
      <c r="C1931" t="s">
        <v>32</v>
      </c>
      <c r="D1931">
        <v>1.8</v>
      </c>
      <c r="E1931">
        <v>0</v>
      </c>
      <c r="F1931">
        <v>0</v>
      </c>
      <c r="G1931">
        <v>0</v>
      </c>
      <c r="H1931">
        <v>0</v>
      </c>
      <c r="I1931">
        <v>0</v>
      </c>
      <c r="J1931">
        <v>0</v>
      </c>
      <c r="K1931">
        <v>0</v>
      </c>
      <c r="L1931">
        <v>0</v>
      </c>
      <c r="M1931">
        <v>0</v>
      </c>
      <c r="N1931">
        <v>162642</v>
      </c>
      <c r="O1931">
        <v>0</v>
      </c>
      <c r="P1931">
        <v>0</v>
      </c>
      <c r="Q1931">
        <v>3</v>
      </c>
      <c r="R1931">
        <v>0</v>
      </c>
      <c r="S1931">
        <v>0</v>
      </c>
      <c r="T1931">
        <v>0</v>
      </c>
      <c r="U1931">
        <v>4</v>
      </c>
    </row>
    <row r="1932" spans="1:21" x14ac:dyDescent="0.35">
      <c r="A1932" t="s">
        <v>21</v>
      </c>
      <c r="B1932" s="1">
        <v>45122</v>
      </c>
      <c r="C1932" t="s">
        <v>31</v>
      </c>
      <c r="D1932">
        <v>0</v>
      </c>
      <c r="E1932">
        <v>0</v>
      </c>
      <c r="F1932">
        <v>0</v>
      </c>
      <c r="G1932">
        <v>0</v>
      </c>
      <c r="H1932">
        <v>0</v>
      </c>
      <c r="I1932">
        <v>0</v>
      </c>
      <c r="J1932">
        <v>0</v>
      </c>
      <c r="K1932">
        <v>0</v>
      </c>
      <c r="L1932">
        <v>0</v>
      </c>
      <c r="M1932">
        <v>0</v>
      </c>
      <c r="N1932">
        <v>39336</v>
      </c>
      <c r="O1932">
        <v>43424</v>
      </c>
      <c r="P1932">
        <v>171745</v>
      </c>
      <c r="Q1932">
        <v>0</v>
      </c>
      <c r="R1932">
        <v>0</v>
      </c>
      <c r="S1932">
        <v>0</v>
      </c>
      <c r="T1932">
        <v>65</v>
      </c>
      <c r="U1932">
        <v>79</v>
      </c>
    </row>
    <row r="1933" spans="1:21" x14ac:dyDescent="0.35">
      <c r="A1933" t="s">
        <v>26</v>
      </c>
      <c r="B1933" s="1">
        <v>44473</v>
      </c>
      <c r="C1933" t="s">
        <v>24</v>
      </c>
      <c r="D1933">
        <v>1.4</v>
      </c>
      <c r="E1933">
        <v>0</v>
      </c>
      <c r="F1933">
        <v>0</v>
      </c>
      <c r="G1933">
        <v>0</v>
      </c>
      <c r="H1933">
        <v>0</v>
      </c>
      <c r="I1933">
        <v>0</v>
      </c>
      <c r="J1933">
        <v>0</v>
      </c>
      <c r="K1933">
        <v>0</v>
      </c>
      <c r="L1933">
        <v>0</v>
      </c>
      <c r="M1933">
        <v>0</v>
      </c>
      <c r="N1933">
        <v>210448</v>
      </c>
      <c r="O1933">
        <v>0</v>
      </c>
      <c r="P1933">
        <v>0</v>
      </c>
      <c r="Q1933">
        <v>3</v>
      </c>
      <c r="R1933">
        <v>0</v>
      </c>
      <c r="S1933">
        <v>0</v>
      </c>
      <c r="T1933">
        <v>5</v>
      </c>
      <c r="U1933">
        <v>11</v>
      </c>
    </row>
    <row r="1934" spans="1:21" x14ac:dyDescent="0.35">
      <c r="A1934" t="s">
        <v>26</v>
      </c>
      <c r="B1934" s="1">
        <v>44303</v>
      </c>
      <c r="C1934" t="s">
        <v>32</v>
      </c>
      <c r="D1934">
        <v>1.2</v>
      </c>
      <c r="E1934">
        <v>0</v>
      </c>
      <c r="F1934">
        <v>0</v>
      </c>
      <c r="G1934">
        <v>0</v>
      </c>
      <c r="H1934">
        <v>0</v>
      </c>
      <c r="I1934">
        <v>0</v>
      </c>
      <c r="J1934">
        <v>0</v>
      </c>
      <c r="K1934">
        <v>0</v>
      </c>
      <c r="L1934">
        <v>0</v>
      </c>
      <c r="M1934">
        <v>0</v>
      </c>
      <c r="N1934">
        <v>162642</v>
      </c>
      <c r="O1934">
        <v>0</v>
      </c>
      <c r="P1934">
        <v>0</v>
      </c>
      <c r="Q1934">
        <v>2</v>
      </c>
      <c r="R1934">
        <v>0</v>
      </c>
      <c r="S1934">
        <v>0</v>
      </c>
      <c r="T1934">
        <v>0</v>
      </c>
      <c r="U1934">
        <v>4</v>
      </c>
    </row>
    <row r="1935" spans="1:21" x14ac:dyDescent="0.35">
      <c r="A1935" t="s">
        <v>26</v>
      </c>
      <c r="B1935" s="1">
        <v>44303</v>
      </c>
      <c r="C1935" t="s">
        <v>24</v>
      </c>
      <c r="D1935">
        <v>1</v>
      </c>
      <c r="E1935">
        <v>0</v>
      </c>
      <c r="F1935">
        <v>0</v>
      </c>
      <c r="G1935">
        <v>0</v>
      </c>
      <c r="H1935">
        <v>0</v>
      </c>
      <c r="I1935">
        <v>0</v>
      </c>
      <c r="J1935">
        <v>0</v>
      </c>
      <c r="K1935">
        <v>0</v>
      </c>
      <c r="L1935">
        <v>0</v>
      </c>
      <c r="M1935">
        <v>0</v>
      </c>
      <c r="N1935">
        <v>210448</v>
      </c>
      <c r="O1935">
        <v>0</v>
      </c>
      <c r="P1935">
        <v>0</v>
      </c>
      <c r="Q1935">
        <v>2</v>
      </c>
      <c r="R1935">
        <v>0</v>
      </c>
      <c r="S1935">
        <v>0</v>
      </c>
      <c r="T1935">
        <v>5</v>
      </c>
      <c r="U1935">
        <v>11</v>
      </c>
    </row>
    <row r="1936" spans="1:21" x14ac:dyDescent="0.35">
      <c r="A1936" t="s">
        <v>26</v>
      </c>
      <c r="B1936" s="1">
        <v>44310</v>
      </c>
      <c r="C1936" t="s">
        <v>32</v>
      </c>
      <c r="D1936">
        <v>2.5</v>
      </c>
      <c r="E1936">
        <v>0</v>
      </c>
      <c r="F1936">
        <v>0</v>
      </c>
      <c r="G1936">
        <v>0</v>
      </c>
      <c r="H1936">
        <v>0</v>
      </c>
      <c r="I1936">
        <v>0</v>
      </c>
      <c r="J1936">
        <v>0</v>
      </c>
      <c r="K1936">
        <v>0</v>
      </c>
      <c r="L1936">
        <v>0</v>
      </c>
      <c r="M1936">
        <v>0</v>
      </c>
      <c r="N1936">
        <v>162642</v>
      </c>
      <c r="O1936">
        <v>0</v>
      </c>
      <c r="P1936">
        <v>0</v>
      </c>
      <c r="Q1936">
        <v>4</v>
      </c>
      <c r="R1936">
        <v>0</v>
      </c>
      <c r="S1936">
        <v>0</v>
      </c>
      <c r="T1936">
        <v>0</v>
      </c>
      <c r="U1936">
        <v>4</v>
      </c>
    </row>
    <row r="1937" spans="1:21" x14ac:dyDescent="0.35">
      <c r="A1937" t="s">
        <v>28</v>
      </c>
      <c r="B1937" s="1">
        <v>44492</v>
      </c>
      <c r="C1937" t="s">
        <v>30</v>
      </c>
      <c r="D1937">
        <v>73.099999999999994</v>
      </c>
      <c r="E1937">
        <v>29.2</v>
      </c>
      <c r="F1937">
        <v>15</v>
      </c>
      <c r="G1937">
        <v>2.5</v>
      </c>
      <c r="H1937">
        <v>4.9000000000000004</v>
      </c>
      <c r="I1937">
        <v>0</v>
      </c>
      <c r="J1937">
        <v>0</v>
      </c>
      <c r="K1937">
        <v>0</v>
      </c>
      <c r="L1937">
        <v>0</v>
      </c>
      <c r="M1937">
        <v>0</v>
      </c>
      <c r="N1937">
        <v>30106</v>
      </c>
      <c r="O1937">
        <v>47937</v>
      </c>
      <c r="P1937">
        <v>6673</v>
      </c>
      <c r="Q1937">
        <v>22</v>
      </c>
      <c r="R1937">
        <v>14</v>
      </c>
      <c r="S1937">
        <v>1</v>
      </c>
      <c r="T1937">
        <v>80</v>
      </c>
      <c r="U1937">
        <v>200</v>
      </c>
    </row>
    <row r="1938" spans="1:21" x14ac:dyDescent="0.35">
      <c r="A1938" t="s">
        <v>26</v>
      </c>
      <c r="B1938" s="1">
        <v>44310</v>
      </c>
      <c r="C1938" t="s">
        <v>24</v>
      </c>
      <c r="D1938">
        <v>1.4</v>
      </c>
      <c r="E1938">
        <v>0</v>
      </c>
      <c r="F1938">
        <v>0</v>
      </c>
      <c r="G1938">
        <v>0</v>
      </c>
      <c r="H1938">
        <v>0</v>
      </c>
      <c r="I1938">
        <v>0</v>
      </c>
      <c r="J1938">
        <v>0</v>
      </c>
      <c r="K1938">
        <v>0</v>
      </c>
      <c r="L1938">
        <v>0</v>
      </c>
      <c r="M1938">
        <v>0</v>
      </c>
      <c r="N1938">
        <v>210448</v>
      </c>
      <c r="O1938">
        <v>0</v>
      </c>
      <c r="P1938">
        <v>0</v>
      </c>
      <c r="Q1938">
        <v>3</v>
      </c>
      <c r="R1938">
        <v>0</v>
      </c>
      <c r="S1938">
        <v>0</v>
      </c>
      <c r="T1938">
        <v>5</v>
      </c>
      <c r="U1938">
        <v>11</v>
      </c>
    </row>
    <row r="1939" spans="1:21" x14ac:dyDescent="0.35">
      <c r="A1939" t="s">
        <v>21</v>
      </c>
      <c r="B1939" s="1">
        <v>45059</v>
      </c>
      <c r="C1939" t="s">
        <v>32</v>
      </c>
      <c r="D1939">
        <v>0</v>
      </c>
      <c r="E1939">
        <v>0</v>
      </c>
      <c r="F1939">
        <v>0</v>
      </c>
      <c r="G1939">
        <v>0</v>
      </c>
      <c r="H1939">
        <v>0</v>
      </c>
      <c r="I1939">
        <v>0</v>
      </c>
      <c r="J1939">
        <v>0</v>
      </c>
      <c r="K1939">
        <v>0</v>
      </c>
      <c r="L1939">
        <v>0</v>
      </c>
      <c r="M1939">
        <v>0</v>
      </c>
      <c r="N1939">
        <v>162642</v>
      </c>
      <c r="O1939">
        <v>0</v>
      </c>
      <c r="P1939">
        <v>0</v>
      </c>
      <c r="Q1939">
        <v>0</v>
      </c>
      <c r="R1939">
        <v>0</v>
      </c>
      <c r="S1939">
        <v>0</v>
      </c>
      <c r="T1939">
        <v>0</v>
      </c>
      <c r="U1939">
        <v>4</v>
      </c>
    </row>
    <row r="1940" spans="1:21" x14ac:dyDescent="0.35">
      <c r="A1940" t="s">
        <v>26</v>
      </c>
      <c r="B1940" s="1">
        <v>44201</v>
      </c>
      <c r="C1940" t="s">
        <v>32</v>
      </c>
      <c r="D1940">
        <v>3.1</v>
      </c>
      <c r="E1940">
        <v>0</v>
      </c>
      <c r="F1940">
        <v>0</v>
      </c>
      <c r="G1940">
        <v>0</v>
      </c>
      <c r="H1940">
        <v>0</v>
      </c>
      <c r="I1940">
        <v>0</v>
      </c>
      <c r="J1940">
        <v>0</v>
      </c>
      <c r="K1940">
        <v>0</v>
      </c>
      <c r="L1940">
        <v>0</v>
      </c>
      <c r="M1940">
        <v>0</v>
      </c>
      <c r="N1940">
        <v>162642</v>
      </c>
      <c r="O1940">
        <v>0</v>
      </c>
      <c r="P1940">
        <v>0</v>
      </c>
      <c r="Q1940">
        <v>5</v>
      </c>
      <c r="R1940">
        <v>0</v>
      </c>
      <c r="S1940">
        <v>0</v>
      </c>
      <c r="T1940">
        <v>0</v>
      </c>
      <c r="U1940">
        <v>4</v>
      </c>
    </row>
    <row r="1941" spans="1:21" x14ac:dyDescent="0.35">
      <c r="A1941" t="s">
        <v>26</v>
      </c>
      <c r="B1941" s="1">
        <v>44201</v>
      </c>
      <c r="C1941" t="s">
        <v>24</v>
      </c>
      <c r="D1941">
        <v>1</v>
      </c>
      <c r="E1941">
        <v>0</v>
      </c>
      <c r="F1941">
        <v>0</v>
      </c>
      <c r="G1941">
        <v>0</v>
      </c>
      <c r="H1941">
        <v>0</v>
      </c>
      <c r="I1941">
        <v>0</v>
      </c>
      <c r="J1941">
        <v>0</v>
      </c>
      <c r="K1941">
        <v>0</v>
      </c>
      <c r="L1941">
        <v>0</v>
      </c>
      <c r="M1941">
        <v>0</v>
      </c>
      <c r="N1941">
        <v>210448</v>
      </c>
      <c r="O1941">
        <v>0</v>
      </c>
      <c r="P1941">
        <v>0</v>
      </c>
      <c r="Q1941">
        <v>2</v>
      </c>
      <c r="R1941">
        <v>0</v>
      </c>
      <c r="S1941">
        <v>0</v>
      </c>
      <c r="T1941">
        <v>5</v>
      </c>
      <c r="U1941">
        <v>11</v>
      </c>
    </row>
    <row r="1942" spans="1:21" x14ac:dyDescent="0.35">
      <c r="A1942" t="s">
        <v>26</v>
      </c>
      <c r="B1942" s="1">
        <v>44413</v>
      </c>
      <c r="C1942" t="s">
        <v>32</v>
      </c>
      <c r="D1942">
        <v>3.1</v>
      </c>
      <c r="E1942">
        <v>0</v>
      </c>
      <c r="F1942">
        <v>0</v>
      </c>
      <c r="G1942">
        <v>0</v>
      </c>
      <c r="H1942">
        <v>0</v>
      </c>
      <c r="I1942">
        <v>0</v>
      </c>
      <c r="J1942">
        <v>0</v>
      </c>
      <c r="K1942">
        <v>0</v>
      </c>
      <c r="L1942">
        <v>0</v>
      </c>
      <c r="M1942">
        <v>0</v>
      </c>
      <c r="N1942">
        <v>162642</v>
      </c>
      <c r="O1942">
        <v>0</v>
      </c>
      <c r="P1942">
        <v>0</v>
      </c>
      <c r="Q1942">
        <v>5</v>
      </c>
      <c r="R1942">
        <v>0</v>
      </c>
      <c r="S1942">
        <v>0</v>
      </c>
      <c r="T1942">
        <v>0</v>
      </c>
      <c r="U1942">
        <v>4</v>
      </c>
    </row>
    <row r="1943" spans="1:21" x14ac:dyDescent="0.35">
      <c r="A1943" t="s">
        <v>21</v>
      </c>
      <c r="B1943" s="1">
        <v>44898</v>
      </c>
      <c r="C1943" t="s">
        <v>23</v>
      </c>
      <c r="D1943">
        <v>0</v>
      </c>
      <c r="E1943">
        <v>1.4</v>
      </c>
      <c r="F1943">
        <v>0.4</v>
      </c>
      <c r="G1943">
        <v>0</v>
      </c>
      <c r="H1943">
        <v>0</v>
      </c>
      <c r="I1943">
        <v>0</v>
      </c>
      <c r="J1943">
        <v>0</v>
      </c>
      <c r="K1943">
        <v>0</v>
      </c>
      <c r="L1943">
        <v>0</v>
      </c>
      <c r="M1943">
        <v>0</v>
      </c>
      <c r="N1943">
        <v>46039</v>
      </c>
      <c r="O1943">
        <v>142268</v>
      </c>
      <c r="P1943">
        <v>222350</v>
      </c>
      <c r="Q1943">
        <v>0</v>
      </c>
      <c r="R1943">
        <v>2</v>
      </c>
      <c r="S1943">
        <v>1</v>
      </c>
      <c r="T1943">
        <v>50</v>
      </c>
      <c r="U1943">
        <v>64</v>
      </c>
    </row>
    <row r="1944" spans="1:21" x14ac:dyDescent="0.35">
      <c r="A1944" t="s">
        <v>26</v>
      </c>
      <c r="B1944" s="1">
        <v>44413</v>
      </c>
      <c r="C1944" t="s">
        <v>24</v>
      </c>
      <c r="D1944">
        <v>0.5</v>
      </c>
      <c r="E1944">
        <v>0</v>
      </c>
      <c r="F1944">
        <v>0</v>
      </c>
      <c r="G1944">
        <v>0</v>
      </c>
      <c r="H1944">
        <v>0</v>
      </c>
      <c r="I1944">
        <v>0</v>
      </c>
      <c r="J1944">
        <v>0</v>
      </c>
      <c r="K1944">
        <v>0</v>
      </c>
      <c r="L1944">
        <v>0</v>
      </c>
      <c r="M1944">
        <v>0</v>
      </c>
      <c r="N1944">
        <v>210448</v>
      </c>
      <c r="O1944">
        <v>0</v>
      </c>
      <c r="P1944">
        <v>0</v>
      </c>
      <c r="Q1944">
        <v>1</v>
      </c>
      <c r="R1944">
        <v>0</v>
      </c>
      <c r="S1944">
        <v>0</v>
      </c>
      <c r="T1944">
        <v>5</v>
      </c>
      <c r="U1944">
        <v>11</v>
      </c>
    </row>
    <row r="1945" spans="1:21" x14ac:dyDescent="0.35">
      <c r="A1945" t="s">
        <v>26</v>
      </c>
      <c r="B1945" s="1">
        <v>44331</v>
      </c>
      <c r="C1945" t="s">
        <v>32</v>
      </c>
      <c r="D1945">
        <v>0</v>
      </c>
      <c r="E1945">
        <v>0</v>
      </c>
      <c r="F1945">
        <v>0</v>
      </c>
      <c r="G1945">
        <v>0</v>
      </c>
      <c r="H1945">
        <v>0</v>
      </c>
      <c r="I1945">
        <v>0</v>
      </c>
      <c r="J1945">
        <v>0</v>
      </c>
      <c r="K1945">
        <v>0</v>
      </c>
      <c r="L1945">
        <v>0</v>
      </c>
      <c r="M1945">
        <v>0</v>
      </c>
      <c r="N1945">
        <v>162642</v>
      </c>
      <c r="O1945">
        <v>0</v>
      </c>
      <c r="P1945">
        <v>0</v>
      </c>
      <c r="Q1945">
        <v>0</v>
      </c>
      <c r="R1945">
        <v>0</v>
      </c>
      <c r="S1945">
        <v>0</v>
      </c>
      <c r="T1945">
        <v>0</v>
      </c>
      <c r="U1945">
        <v>4</v>
      </c>
    </row>
    <row r="1946" spans="1:21" x14ac:dyDescent="0.35">
      <c r="A1946" t="s">
        <v>26</v>
      </c>
      <c r="B1946" s="1">
        <v>45019</v>
      </c>
      <c r="C1946" t="s">
        <v>32</v>
      </c>
      <c r="D1946">
        <v>3.7</v>
      </c>
      <c r="E1946">
        <v>0</v>
      </c>
      <c r="F1946">
        <v>0</v>
      </c>
      <c r="G1946">
        <v>0</v>
      </c>
      <c r="H1946">
        <v>0</v>
      </c>
      <c r="I1946">
        <v>0</v>
      </c>
      <c r="J1946">
        <v>0</v>
      </c>
      <c r="K1946">
        <v>0</v>
      </c>
      <c r="L1946">
        <v>0</v>
      </c>
      <c r="M1946">
        <v>0</v>
      </c>
      <c r="N1946">
        <v>162642</v>
      </c>
      <c r="O1946">
        <v>0</v>
      </c>
      <c r="P1946">
        <v>0</v>
      </c>
      <c r="Q1946">
        <v>6</v>
      </c>
      <c r="R1946">
        <v>0</v>
      </c>
      <c r="S1946">
        <v>0</v>
      </c>
      <c r="T1946">
        <v>0</v>
      </c>
      <c r="U1946">
        <v>4</v>
      </c>
    </row>
    <row r="1947" spans="1:21" x14ac:dyDescent="0.35">
      <c r="A1947" t="s">
        <v>26</v>
      </c>
      <c r="B1947" s="1">
        <v>44331</v>
      </c>
      <c r="C1947" t="s">
        <v>24</v>
      </c>
      <c r="D1947">
        <v>1.4</v>
      </c>
      <c r="E1947">
        <v>0</v>
      </c>
      <c r="F1947">
        <v>0</v>
      </c>
      <c r="G1947">
        <v>0</v>
      </c>
      <c r="H1947">
        <v>0</v>
      </c>
      <c r="I1947">
        <v>0</v>
      </c>
      <c r="J1947">
        <v>0</v>
      </c>
      <c r="K1947">
        <v>0</v>
      </c>
      <c r="L1947">
        <v>0</v>
      </c>
      <c r="M1947">
        <v>0</v>
      </c>
      <c r="N1947">
        <v>210448</v>
      </c>
      <c r="O1947">
        <v>0</v>
      </c>
      <c r="P1947">
        <v>0</v>
      </c>
      <c r="Q1947">
        <v>3</v>
      </c>
      <c r="R1947">
        <v>0</v>
      </c>
      <c r="S1947">
        <v>0</v>
      </c>
      <c r="T1947">
        <v>5</v>
      </c>
      <c r="U1947">
        <v>11</v>
      </c>
    </row>
    <row r="1948" spans="1:21" x14ac:dyDescent="0.35">
      <c r="A1948" t="s">
        <v>26</v>
      </c>
      <c r="B1948" s="1">
        <v>44933</v>
      </c>
      <c r="C1948" t="s">
        <v>24</v>
      </c>
      <c r="D1948">
        <v>0</v>
      </c>
      <c r="E1948">
        <v>1.2</v>
      </c>
      <c r="F1948">
        <v>0</v>
      </c>
      <c r="G1948">
        <v>0</v>
      </c>
      <c r="H1948">
        <v>0</v>
      </c>
      <c r="I1948">
        <v>0</v>
      </c>
      <c r="J1948">
        <v>0</v>
      </c>
      <c r="K1948">
        <v>0</v>
      </c>
      <c r="L1948">
        <v>0</v>
      </c>
      <c r="M1948">
        <v>0</v>
      </c>
      <c r="N1948">
        <v>90262</v>
      </c>
      <c r="O1948">
        <v>82673</v>
      </c>
      <c r="P1948">
        <v>21253</v>
      </c>
      <c r="Q1948">
        <v>0</v>
      </c>
      <c r="R1948">
        <v>1</v>
      </c>
      <c r="S1948">
        <v>0</v>
      </c>
      <c r="T1948">
        <v>5</v>
      </c>
      <c r="U1948">
        <v>11</v>
      </c>
    </row>
    <row r="1949" spans="1:21" x14ac:dyDescent="0.35">
      <c r="A1949" t="s">
        <v>26</v>
      </c>
      <c r="B1949" s="1">
        <v>44811</v>
      </c>
      <c r="C1949" t="s">
        <v>29</v>
      </c>
      <c r="D1949">
        <v>10.199999999999999</v>
      </c>
      <c r="E1949">
        <v>5.3</v>
      </c>
      <c r="F1949">
        <v>2.9</v>
      </c>
      <c r="G1949">
        <v>1.9</v>
      </c>
      <c r="H1949">
        <v>3.5</v>
      </c>
      <c r="I1949">
        <v>0</v>
      </c>
      <c r="J1949">
        <v>0</v>
      </c>
      <c r="K1949">
        <v>0</v>
      </c>
      <c r="L1949">
        <v>0</v>
      </c>
      <c r="M1949">
        <v>0</v>
      </c>
      <c r="N1949">
        <v>127602</v>
      </c>
      <c r="O1949">
        <v>280376</v>
      </c>
      <c r="P1949">
        <v>340282</v>
      </c>
      <c r="Q1949">
        <v>13</v>
      </c>
      <c r="R1949">
        <v>15</v>
      </c>
      <c r="S1949">
        <v>10</v>
      </c>
      <c r="T1949">
        <v>30</v>
      </c>
      <c r="U1949">
        <v>49</v>
      </c>
    </row>
    <row r="1950" spans="1:21" x14ac:dyDescent="0.35">
      <c r="A1950" t="s">
        <v>21</v>
      </c>
      <c r="B1950" s="1">
        <v>44338</v>
      </c>
      <c r="C1950" t="s">
        <v>29</v>
      </c>
      <c r="D1950">
        <v>1.2</v>
      </c>
      <c r="E1950">
        <v>0</v>
      </c>
      <c r="F1950">
        <v>0</v>
      </c>
      <c r="G1950">
        <v>0</v>
      </c>
      <c r="H1950">
        <v>0</v>
      </c>
      <c r="I1950">
        <v>0</v>
      </c>
      <c r="J1950">
        <v>0</v>
      </c>
      <c r="K1950">
        <v>0</v>
      </c>
      <c r="L1950">
        <v>0</v>
      </c>
      <c r="M1950">
        <v>0</v>
      </c>
      <c r="N1950">
        <v>324620</v>
      </c>
      <c r="O1950">
        <v>366867</v>
      </c>
      <c r="P1950">
        <v>0</v>
      </c>
      <c r="Q1950">
        <v>4</v>
      </c>
      <c r="R1950">
        <v>0</v>
      </c>
      <c r="S1950">
        <v>0</v>
      </c>
      <c r="T1950">
        <v>30</v>
      </c>
      <c r="U1950">
        <v>49</v>
      </c>
    </row>
    <row r="1951" spans="1:21" x14ac:dyDescent="0.35">
      <c r="A1951" t="s">
        <v>26</v>
      </c>
      <c r="B1951" s="1">
        <v>44765</v>
      </c>
      <c r="C1951" t="s">
        <v>23</v>
      </c>
      <c r="D1951">
        <v>33.9</v>
      </c>
      <c r="E1951">
        <v>12.5</v>
      </c>
      <c r="F1951">
        <v>12.8</v>
      </c>
      <c r="G1951">
        <v>2.7</v>
      </c>
      <c r="H1951">
        <v>2.6</v>
      </c>
      <c r="I1951">
        <v>0</v>
      </c>
      <c r="J1951">
        <v>0</v>
      </c>
      <c r="K1951">
        <v>0</v>
      </c>
      <c r="L1951">
        <v>0</v>
      </c>
      <c r="M1951">
        <v>0</v>
      </c>
      <c r="N1951">
        <v>41269</v>
      </c>
      <c r="O1951">
        <v>128418</v>
      </c>
      <c r="P1951">
        <v>242018</v>
      </c>
      <c r="Q1951">
        <v>14</v>
      </c>
      <c r="R1951">
        <v>16</v>
      </c>
      <c r="S1951">
        <v>31</v>
      </c>
      <c r="T1951">
        <v>50</v>
      </c>
      <c r="U1951">
        <v>64</v>
      </c>
    </row>
    <row r="1952" spans="1:21" x14ac:dyDescent="0.35">
      <c r="A1952" t="s">
        <v>26</v>
      </c>
      <c r="B1952" s="1">
        <v>44338</v>
      </c>
      <c r="C1952" t="s">
        <v>32</v>
      </c>
      <c r="D1952">
        <v>1.2</v>
      </c>
      <c r="E1952">
        <v>0</v>
      </c>
      <c r="F1952">
        <v>0</v>
      </c>
      <c r="G1952">
        <v>0</v>
      </c>
      <c r="H1952">
        <v>0</v>
      </c>
      <c r="I1952">
        <v>0</v>
      </c>
      <c r="J1952">
        <v>0</v>
      </c>
      <c r="K1952">
        <v>0</v>
      </c>
      <c r="L1952">
        <v>0</v>
      </c>
      <c r="M1952">
        <v>0</v>
      </c>
      <c r="N1952">
        <v>162642</v>
      </c>
      <c r="O1952">
        <v>0</v>
      </c>
      <c r="P1952">
        <v>0</v>
      </c>
      <c r="Q1952">
        <v>2</v>
      </c>
      <c r="R1952">
        <v>0</v>
      </c>
      <c r="S1952">
        <v>0</v>
      </c>
      <c r="T1952">
        <v>0</v>
      </c>
      <c r="U1952">
        <v>4</v>
      </c>
    </row>
    <row r="1953" spans="1:21" x14ac:dyDescent="0.35">
      <c r="A1953" t="s">
        <v>26</v>
      </c>
      <c r="B1953" s="1">
        <v>44821</v>
      </c>
      <c r="C1953" t="s">
        <v>25</v>
      </c>
      <c r="D1953">
        <v>6.7</v>
      </c>
      <c r="E1953">
        <v>0</v>
      </c>
      <c r="F1953">
        <v>0.6</v>
      </c>
      <c r="G1953">
        <v>0</v>
      </c>
      <c r="H1953">
        <v>11.2</v>
      </c>
      <c r="I1953">
        <v>0</v>
      </c>
      <c r="J1953">
        <v>0</v>
      </c>
      <c r="K1953">
        <v>0</v>
      </c>
      <c r="L1953">
        <v>0</v>
      </c>
      <c r="M1953">
        <v>0</v>
      </c>
      <c r="N1953">
        <v>89805</v>
      </c>
      <c r="O1953">
        <v>211472</v>
      </c>
      <c r="P1953">
        <v>161406</v>
      </c>
      <c r="Q1953">
        <v>6</v>
      </c>
      <c r="R1953">
        <v>0</v>
      </c>
      <c r="S1953">
        <v>1</v>
      </c>
      <c r="T1953">
        <v>18</v>
      </c>
      <c r="U1953">
        <v>29</v>
      </c>
    </row>
    <row r="1954" spans="1:21" x14ac:dyDescent="0.35">
      <c r="A1954" t="s">
        <v>26</v>
      </c>
      <c r="B1954" s="1">
        <v>44639</v>
      </c>
      <c r="C1954" t="s">
        <v>25</v>
      </c>
      <c r="D1954">
        <v>7</v>
      </c>
      <c r="E1954">
        <v>1.4</v>
      </c>
      <c r="F1954">
        <v>0.7</v>
      </c>
      <c r="G1954">
        <v>5</v>
      </c>
      <c r="H1954">
        <v>10</v>
      </c>
      <c r="I1954">
        <v>0</v>
      </c>
      <c r="J1954">
        <v>0</v>
      </c>
      <c r="K1954">
        <v>0</v>
      </c>
      <c r="L1954">
        <v>0</v>
      </c>
      <c r="M1954">
        <v>0</v>
      </c>
      <c r="N1954">
        <v>99842</v>
      </c>
      <c r="O1954">
        <v>220707</v>
      </c>
      <c r="P1954">
        <v>143769</v>
      </c>
      <c r="Q1954">
        <v>7</v>
      </c>
      <c r="R1954">
        <v>3</v>
      </c>
      <c r="S1954">
        <v>1</v>
      </c>
      <c r="T1954">
        <v>18</v>
      </c>
      <c r="U1954">
        <v>29</v>
      </c>
    </row>
    <row r="1955" spans="1:21" x14ac:dyDescent="0.35">
      <c r="A1955" t="s">
        <v>26</v>
      </c>
      <c r="B1955" s="1">
        <v>44338</v>
      </c>
      <c r="C1955" t="s">
        <v>24</v>
      </c>
      <c r="D1955">
        <v>1.9</v>
      </c>
      <c r="E1955">
        <v>0</v>
      </c>
      <c r="F1955">
        <v>0</v>
      </c>
      <c r="G1955">
        <v>0</v>
      </c>
      <c r="H1955">
        <v>0</v>
      </c>
      <c r="I1955">
        <v>0</v>
      </c>
      <c r="J1955">
        <v>0</v>
      </c>
      <c r="K1955">
        <v>0</v>
      </c>
      <c r="L1955">
        <v>0</v>
      </c>
      <c r="M1955">
        <v>0</v>
      </c>
      <c r="N1955">
        <v>210448</v>
      </c>
      <c r="O1955">
        <v>0</v>
      </c>
      <c r="P1955">
        <v>0</v>
      </c>
      <c r="Q1955">
        <v>4</v>
      </c>
      <c r="R1955">
        <v>0</v>
      </c>
      <c r="S1955">
        <v>0</v>
      </c>
      <c r="T1955">
        <v>5</v>
      </c>
      <c r="U1955">
        <v>11</v>
      </c>
    </row>
    <row r="1956" spans="1:21" x14ac:dyDescent="0.35">
      <c r="A1956" t="s">
        <v>21</v>
      </c>
      <c r="B1956" s="1">
        <v>45045</v>
      </c>
      <c r="C1956" t="s">
        <v>23</v>
      </c>
      <c r="D1956">
        <v>3</v>
      </c>
      <c r="E1956">
        <v>0</v>
      </c>
      <c r="F1956">
        <v>0</v>
      </c>
      <c r="G1956">
        <v>0</v>
      </c>
      <c r="H1956">
        <v>0</v>
      </c>
      <c r="I1956">
        <v>0</v>
      </c>
      <c r="J1956">
        <v>0</v>
      </c>
      <c r="K1956">
        <v>0</v>
      </c>
      <c r="L1956">
        <v>0</v>
      </c>
      <c r="M1956">
        <v>0</v>
      </c>
      <c r="N1956">
        <v>33180</v>
      </c>
      <c r="O1956">
        <v>125733</v>
      </c>
      <c r="P1956">
        <v>246904</v>
      </c>
      <c r="Q1956">
        <v>1</v>
      </c>
      <c r="R1956">
        <v>0</v>
      </c>
      <c r="S1956">
        <v>0</v>
      </c>
      <c r="T1956">
        <v>50</v>
      </c>
      <c r="U1956">
        <v>64</v>
      </c>
    </row>
    <row r="1957" spans="1:21" x14ac:dyDescent="0.35">
      <c r="A1957" t="s">
        <v>26</v>
      </c>
      <c r="B1957" s="1">
        <v>44345</v>
      </c>
      <c r="C1957" t="s">
        <v>32</v>
      </c>
      <c r="D1957">
        <v>0.6</v>
      </c>
      <c r="E1957">
        <v>0</v>
      </c>
      <c r="F1957">
        <v>0</v>
      </c>
      <c r="G1957">
        <v>0</v>
      </c>
      <c r="H1957">
        <v>0</v>
      </c>
      <c r="I1957">
        <v>0</v>
      </c>
      <c r="J1957">
        <v>0</v>
      </c>
      <c r="K1957">
        <v>0</v>
      </c>
      <c r="L1957">
        <v>0</v>
      </c>
      <c r="M1957">
        <v>0</v>
      </c>
      <c r="N1957">
        <v>162642</v>
      </c>
      <c r="O1957">
        <v>0</v>
      </c>
      <c r="P1957">
        <v>0</v>
      </c>
      <c r="Q1957">
        <v>1</v>
      </c>
      <c r="R1957">
        <v>0</v>
      </c>
      <c r="S1957">
        <v>0</v>
      </c>
      <c r="T1957">
        <v>0</v>
      </c>
      <c r="U1957">
        <v>4</v>
      </c>
    </row>
    <row r="1958" spans="1:21" x14ac:dyDescent="0.35">
      <c r="A1958" t="s">
        <v>28</v>
      </c>
      <c r="B1958" s="1">
        <v>44774</v>
      </c>
      <c r="C1958" t="s">
        <v>30</v>
      </c>
      <c r="D1958">
        <v>1269.0999999999999</v>
      </c>
      <c r="E1958">
        <v>1641.7</v>
      </c>
      <c r="F1958">
        <v>688.4</v>
      </c>
      <c r="G1958">
        <v>0.8</v>
      </c>
      <c r="H1958">
        <v>1.8</v>
      </c>
      <c r="I1958">
        <v>0</v>
      </c>
      <c r="J1958">
        <v>0</v>
      </c>
      <c r="K1958">
        <v>0</v>
      </c>
      <c r="L1958">
        <v>0</v>
      </c>
      <c r="M1958">
        <v>0</v>
      </c>
      <c r="N1958">
        <v>27814</v>
      </c>
      <c r="O1958">
        <v>19309</v>
      </c>
      <c r="P1958">
        <v>37045</v>
      </c>
      <c r="Q1958">
        <v>353</v>
      </c>
      <c r="R1958">
        <v>317</v>
      </c>
      <c r="S1958">
        <v>255</v>
      </c>
      <c r="T1958">
        <v>80</v>
      </c>
      <c r="U1958">
        <v>200</v>
      </c>
    </row>
    <row r="1959" spans="1:21" x14ac:dyDescent="0.35">
      <c r="A1959" t="s">
        <v>26</v>
      </c>
      <c r="B1959" s="1">
        <v>44345</v>
      </c>
      <c r="C1959" t="s">
        <v>24</v>
      </c>
      <c r="D1959">
        <v>0</v>
      </c>
      <c r="E1959">
        <v>0</v>
      </c>
      <c r="F1959">
        <v>0</v>
      </c>
      <c r="G1959">
        <v>0</v>
      </c>
      <c r="H1959">
        <v>0</v>
      </c>
      <c r="I1959">
        <v>0</v>
      </c>
      <c r="J1959">
        <v>0</v>
      </c>
      <c r="K1959">
        <v>0</v>
      </c>
      <c r="L1959">
        <v>0</v>
      </c>
      <c r="M1959">
        <v>0</v>
      </c>
      <c r="N1959">
        <v>210448</v>
      </c>
      <c r="O1959">
        <v>0</v>
      </c>
      <c r="P1959">
        <v>0</v>
      </c>
      <c r="Q1959">
        <v>0</v>
      </c>
      <c r="R1959">
        <v>0</v>
      </c>
      <c r="S1959">
        <v>0</v>
      </c>
      <c r="T1959">
        <v>5</v>
      </c>
      <c r="U1959">
        <v>11</v>
      </c>
    </row>
    <row r="1960" spans="1:21" x14ac:dyDescent="0.35">
      <c r="A1960" t="s">
        <v>28</v>
      </c>
      <c r="B1960" s="1">
        <v>44422</v>
      </c>
      <c r="C1960" t="s">
        <v>31</v>
      </c>
      <c r="D1960">
        <v>119.7</v>
      </c>
      <c r="E1960">
        <v>56.3</v>
      </c>
      <c r="F1960">
        <v>0</v>
      </c>
      <c r="G1960">
        <v>2.1</v>
      </c>
      <c r="H1960">
        <v>0</v>
      </c>
      <c r="I1960">
        <v>0</v>
      </c>
      <c r="J1960">
        <v>0</v>
      </c>
      <c r="K1960">
        <v>0</v>
      </c>
      <c r="L1960">
        <v>0</v>
      </c>
      <c r="M1960">
        <v>0</v>
      </c>
      <c r="N1960">
        <v>67653</v>
      </c>
      <c r="O1960">
        <v>193586</v>
      </c>
      <c r="P1960">
        <v>0</v>
      </c>
      <c r="Q1960">
        <v>81</v>
      </c>
      <c r="R1960">
        <v>109</v>
      </c>
      <c r="S1960">
        <v>0</v>
      </c>
      <c r="T1960">
        <v>65</v>
      </c>
      <c r="U1960">
        <v>79</v>
      </c>
    </row>
    <row r="1961" spans="1:21" x14ac:dyDescent="0.35">
      <c r="A1961" t="s">
        <v>26</v>
      </c>
      <c r="B1961" s="1">
        <v>44322</v>
      </c>
      <c r="C1961" t="s">
        <v>32</v>
      </c>
      <c r="D1961">
        <v>2.5</v>
      </c>
      <c r="E1961">
        <v>0</v>
      </c>
      <c r="F1961">
        <v>0</v>
      </c>
      <c r="G1961">
        <v>0</v>
      </c>
      <c r="H1961">
        <v>0</v>
      </c>
      <c r="I1961">
        <v>0</v>
      </c>
      <c r="J1961">
        <v>0</v>
      </c>
      <c r="K1961">
        <v>0</v>
      </c>
      <c r="L1961">
        <v>0</v>
      </c>
      <c r="M1961">
        <v>0</v>
      </c>
      <c r="N1961">
        <v>162642</v>
      </c>
      <c r="O1961">
        <v>0</v>
      </c>
      <c r="P1961">
        <v>0</v>
      </c>
      <c r="Q1961">
        <v>4</v>
      </c>
      <c r="R1961">
        <v>0</v>
      </c>
      <c r="S1961">
        <v>0</v>
      </c>
      <c r="T1961">
        <v>0</v>
      </c>
      <c r="U1961">
        <v>4</v>
      </c>
    </row>
    <row r="1962" spans="1:21" x14ac:dyDescent="0.35">
      <c r="A1962" t="s">
        <v>28</v>
      </c>
      <c r="B1962" s="1">
        <v>44401</v>
      </c>
      <c r="C1962" t="s">
        <v>29</v>
      </c>
      <c r="D1962">
        <v>98.8</v>
      </c>
      <c r="E1962">
        <v>38.799999999999997</v>
      </c>
      <c r="F1962">
        <v>0</v>
      </c>
      <c r="G1962">
        <v>2.5</v>
      </c>
      <c r="H1962">
        <v>0</v>
      </c>
      <c r="I1962">
        <v>0</v>
      </c>
      <c r="J1962">
        <v>0</v>
      </c>
      <c r="K1962">
        <v>0</v>
      </c>
      <c r="L1962">
        <v>0</v>
      </c>
      <c r="M1962">
        <v>0</v>
      </c>
      <c r="N1962">
        <v>272185</v>
      </c>
      <c r="O1962">
        <v>492321</v>
      </c>
      <c r="P1962">
        <v>0</v>
      </c>
      <c r="Q1962">
        <v>269</v>
      </c>
      <c r="R1962">
        <v>191</v>
      </c>
      <c r="S1962">
        <v>0</v>
      </c>
      <c r="T1962">
        <v>30</v>
      </c>
      <c r="U1962">
        <v>49</v>
      </c>
    </row>
    <row r="1963" spans="1:21" x14ac:dyDescent="0.35">
      <c r="A1963" t="s">
        <v>26</v>
      </c>
      <c r="B1963" s="1">
        <v>44322</v>
      </c>
      <c r="C1963" t="s">
        <v>24</v>
      </c>
      <c r="D1963">
        <v>1.9</v>
      </c>
      <c r="E1963">
        <v>0</v>
      </c>
      <c r="F1963">
        <v>0</v>
      </c>
      <c r="G1963">
        <v>0</v>
      </c>
      <c r="H1963">
        <v>0</v>
      </c>
      <c r="I1963">
        <v>0</v>
      </c>
      <c r="J1963">
        <v>0</v>
      </c>
      <c r="K1963">
        <v>0</v>
      </c>
      <c r="L1963">
        <v>0</v>
      </c>
      <c r="M1963">
        <v>0</v>
      </c>
      <c r="N1963">
        <v>210448</v>
      </c>
      <c r="O1963">
        <v>0</v>
      </c>
      <c r="P1963">
        <v>0</v>
      </c>
      <c r="Q1963">
        <v>4</v>
      </c>
      <c r="R1963">
        <v>0</v>
      </c>
      <c r="S1963">
        <v>0</v>
      </c>
      <c r="T1963">
        <v>5</v>
      </c>
      <c r="U1963">
        <v>11</v>
      </c>
    </row>
    <row r="1964" spans="1:21" x14ac:dyDescent="0.35">
      <c r="A1964" t="s">
        <v>26</v>
      </c>
      <c r="B1964" s="1">
        <v>45073</v>
      </c>
      <c r="C1964" t="s">
        <v>31</v>
      </c>
      <c r="D1964">
        <v>5.0999999999999996</v>
      </c>
      <c r="E1964">
        <v>11.5</v>
      </c>
      <c r="F1964">
        <v>8.1999999999999993</v>
      </c>
      <c r="G1964">
        <v>0.4</v>
      </c>
      <c r="H1964">
        <v>0.6</v>
      </c>
      <c r="I1964">
        <v>0</v>
      </c>
      <c r="J1964">
        <v>0</v>
      </c>
      <c r="K1964">
        <v>0</v>
      </c>
      <c r="L1964">
        <v>0</v>
      </c>
      <c r="M1964">
        <v>0</v>
      </c>
      <c r="N1964">
        <v>39507</v>
      </c>
      <c r="O1964">
        <v>43436</v>
      </c>
      <c r="P1964">
        <v>171730</v>
      </c>
      <c r="Q1964">
        <v>2</v>
      </c>
      <c r="R1964">
        <v>5</v>
      </c>
      <c r="S1964">
        <v>14</v>
      </c>
      <c r="T1964">
        <v>65</v>
      </c>
      <c r="U1964">
        <v>79</v>
      </c>
    </row>
    <row r="1965" spans="1:21" x14ac:dyDescent="0.35">
      <c r="A1965" t="s">
        <v>28</v>
      </c>
      <c r="B1965" s="1">
        <v>45129</v>
      </c>
      <c r="C1965" t="s">
        <v>22</v>
      </c>
      <c r="D1965">
        <v>24.7</v>
      </c>
      <c r="E1965">
        <v>9.3000000000000007</v>
      </c>
      <c r="F1965">
        <v>16.600000000000001</v>
      </c>
      <c r="G1965">
        <v>2.7</v>
      </c>
      <c r="H1965">
        <v>1.5</v>
      </c>
      <c r="I1965">
        <v>29.9</v>
      </c>
      <c r="J1965">
        <v>9.6</v>
      </c>
      <c r="K1965">
        <v>12.5</v>
      </c>
      <c r="L1965">
        <v>3.1</v>
      </c>
      <c r="M1965">
        <v>2.4</v>
      </c>
      <c r="N1965">
        <v>530682</v>
      </c>
      <c r="O1965">
        <v>860314</v>
      </c>
      <c r="P1965">
        <v>1040764</v>
      </c>
      <c r="Q1965">
        <v>131</v>
      </c>
      <c r="R1965">
        <v>80</v>
      </c>
      <c r="S1965">
        <v>173</v>
      </c>
      <c r="T1965">
        <v>999</v>
      </c>
      <c r="U1965">
        <v>999</v>
      </c>
    </row>
    <row r="1966" spans="1:21" x14ac:dyDescent="0.35">
      <c r="A1966" t="s">
        <v>21</v>
      </c>
      <c r="B1966" s="1">
        <v>44548</v>
      </c>
      <c r="C1966" t="s">
        <v>30</v>
      </c>
      <c r="D1966">
        <v>38.9</v>
      </c>
      <c r="E1966">
        <v>24.1</v>
      </c>
      <c r="F1966">
        <v>3.2</v>
      </c>
      <c r="G1966">
        <v>1.6</v>
      </c>
      <c r="H1966">
        <v>12.2</v>
      </c>
      <c r="I1966">
        <v>0</v>
      </c>
      <c r="J1966">
        <v>0</v>
      </c>
      <c r="K1966">
        <v>0</v>
      </c>
      <c r="L1966">
        <v>0</v>
      </c>
      <c r="M1966">
        <v>0</v>
      </c>
      <c r="N1966">
        <v>28242</v>
      </c>
      <c r="O1966">
        <v>24945</v>
      </c>
      <c r="P1966">
        <v>31019</v>
      </c>
      <c r="Q1966">
        <v>11</v>
      </c>
      <c r="R1966">
        <v>6</v>
      </c>
      <c r="S1966">
        <v>1</v>
      </c>
      <c r="T1966">
        <v>80</v>
      </c>
      <c r="U1966">
        <v>200</v>
      </c>
    </row>
    <row r="1967" spans="1:21" x14ac:dyDescent="0.35">
      <c r="A1967" t="s">
        <v>26</v>
      </c>
      <c r="B1967" s="1">
        <v>44808</v>
      </c>
      <c r="C1967" t="s">
        <v>29</v>
      </c>
      <c r="D1967">
        <v>4.5</v>
      </c>
      <c r="E1967">
        <v>1</v>
      </c>
      <c r="F1967">
        <v>2.4</v>
      </c>
      <c r="G1967">
        <v>4.5</v>
      </c>
      <c r="H1967">
        <v>1.9</v>
      </c>
      <c r="I1967">
        <v>0</v>
      </c>
      <c r="J1967">
        <v>0</v>
      </c>
      <c r="K1967">
        <v>0</v>
      </c>
      <c r="L1967">
        <v>0</v>
      </c>
      <c r="M1967">
        <v>0</v>
      </c>
      <c r="N1967">
        <v>132219</v>
      </c>
      <c r="O1967">
        <v>289629</v>
      </c>
      <c r="P1967">
        <v>326607</v>
      </c>
      <c r="Q1967">
        <v>6</v>
      </c>
      <c r="R1967">
        <v>3</v>
      </c>
      <c r="S1967">
        <v>8</v>
      </c>
      <c r="T1967">
        <v>30</v>
      </c>
      <c r="U1967">
        <v>49</v>
      </c>
    </row>
    <row r="1968" spans="1:21" x14ac:dyDescent="0.35">
      <c r="A1968" t="s">
        <v>26</v>
      </c>
      <c r="B1968" s="1">
        <v>44536</v>
      </c>
      <c r="C1968" t="s">
        <v>32</v>
      </c>
      <c r="D1968">
        <v>1.2</v>
      </c>
      <c r="E1968">
        <v>0</v>
      </c>
      <c r="F1968">
        <v>0</v>
      </c>
      <c r="G1968">
        <v>0</v>
      </c>
      <c r="H1968">
        <v>0</v>
      </c>
      <c r="I1968">
        <v>0</v>
      </c>
      <c r="J1968">
        <v>0</v>
      </c>
      <c r="K1968">
        <v>0</v>
      </c>
      <c r="L1968">
        <v>0</v>
      </c>
      <c r="M1968">
        <v>0</v>
      </c>
      <c r="N1968">
        <v>162642</v>
      </c>
      <c r="O1968">
        <v>0</v>
      </c>
      <c r="P1968">
        <v>0</v>
      </c>
      <c r="Q1968">
        <v>2</v>
      </c>
      <c r="R1968">
        <v>0</v>
      </c>
      <c r="S1968">
        <v>0</v>
      </c>
      <c r="T1968">
        <v>0</v>
      </c>
      <c r="U1968">
        <v>4</v>
      </c>
    </row>
    <row r="1969" spans="1:21" x14ac:dyDescent="0.35">
      <c r="A1969" t="s">
        <v>21</v>
      </c>
      <c r="B1969" s="1">
        <v>44856</v>
      </c>
      <c r="C1969" t="s">
        <v>27</v>
      </c>
      <c r="D1969">
        <v>0</v>
      </c>
      <c r="E1969">
        <v>0</v>
      </c>
      <c r="F1969">
        <v>0</v>
      </c>
      <c r="G1969">
        <v>0</v>
      </c>
      <c r="H1969">
        <v>0</v>
      </c>
      <c r="I1969">
        <v>0</v>
      </c>
      <c r="J1969">
        <v>0</v>
      </c>
      <c r="K1969">
        <v>0</v>
      </c>
      <c r="L1969">
        <v>0</v>
      </c>
      <c r="M1969">
        <v>0</v>
      </c>
      <c r="N1969">
        <v>34553</v>
      </c>
      <c r="O1969">
        <v>85923</v>
      </c>
      <c r="P1969">
        <v>44472</v>
      </c>
      <c r="Q1969">
        <v>0</v>
      </c>
      <c r="R1969">
        <v>0</v>
      </c>
      <c r="S1969">
        <v>0</v>
      </c>
      <c r="T1969">
        <v>12</v>
      </c>
      <c r="U1969">
        <v>17</v>
      </c>
    </row>
    <row r="1970" spans="1:21" x14ac:dyDescent="0.35">
      <c r="A1970" t="s">
        <v>28</v>
      </c>
      <c r="B1970" s="1">
        <v>44338</v>
      </c>
      <c r="C1970" t="s">
        <v>27</v>
      </c>
      <c r="D1970">
        <v>100.3</v>
      </c>
      <c r="E1970">
        <v>0</v>
      </c>
      <c r="F1970">
        <v>0</v>
      </c>
      <c r="G1970">
        <v>0</v>
      </c>
      <c r="H1970">
        <v>0</v>
      </c>
      <c r="I1970">
        <v>0</v>
      </c>
      <c r="J1970">
        <v>0</v>
      </c>
      <c r="K1970">
        <v>0</v>
      </c>
      <c r="L1970">
        <v>0</v>
      </c>
      <c r="M1970">
        <v>0</v>
      </c>
      <c r="N1970">
        <v>136624</v>
      </c>
      <c r="O1970">
        <v>0</v>
      </c>
      <c r="P1970">
        <v>0</v>
      </c>
      <c r="Q1970">
        <v>137</v>
      </c>
      <c r="R1970">
        <v>0</v>
      </c>
      <c r="S1970">
        <v>0</v>
      </c>
      <c r="T1970">
        <v>12</v>
      </c>
      <c r="U1970">
        <v>17</v>
      </c>
    </row>
    <row r="1971" spans="1:21" x14ac:dyDescent="0.35">
      <c r="A1971" t="s">
        <v>26</v>
      </c>
      <c r="B1971" s="1">
        <v>44536</v>
      </c>
      <c r="C1971" t="s">
        <v>24</v>
      </c>
      <c r="D1971">
        <v>0</v>
      </c>
      <c r="E1971">
        <v>0</v>
      </c>
      <c r="F1971">
        <v>0</v>
      </c>
      <c r="G1971">
        <v>0</v>
      </c>
      <c r="H1971">
        <v>0</v>
      </c>
      <c r="I1971">
        <v>0</v>
      </c>
      <c r="J1971">
        <v>0</v>
      </c>
      <c r="K1971">
        <v>0</v>
      </c>
      <c r="L1971">
        <v>0</v>
      </c>
      <c r="M1971">
        <v>0</v>
      </c>
      <c r="N1971">
        <v>210448</v>
      </c>
      <c r="O1971">
        <v>0</v>
      </c>
      <c r="P1971">
        <v>0</v>
      </c>
      <c r="Q1971">
        <v>0</v>
      </c>
      <c r="R1971">
        <v>0</v>
      </c>
      <c r="S1971">
        <v>0</v>
      </c>
      <c r="T1971">
        <v>5</v>
      </c>
      <c r="U1971">
        <v>11</v>
      </c>
    </row>
    <row r="1972" spans="1:21" x14ac:dyDescent="0.35">
      <c r="A1972" t="s">
        <v>28</v>
      </c>
      <c r="B1972" s="1">
        <v>45248</v>
      </c>
      <c r="C1972" t="s">
        <v>22</v>
      </c>
      <c r="D1972">
        <v>72.599999999999994</v>
      </c>
      <c r="E1972">
        <v>28.7</v>
      </c>
      <c r="F1972">
        <v>55.4</v>
      </c>
      <c r="G1972">
        <v>2.5</v>
      </c>
      <c r="H1972">
        <v>1.3</v>
      </c>
      <c r="I1972">
        <v>88.7</v>
      </c>
      <c r="J1972">
        <v>32</v>
      </c>
      <c r="K1972">
        <v>42.7</v>
      </c>
      <c r="L1972">
        <v>2.8</v>
      </c>
      <c r="M1972">
        <v>2.1</v>
      </c>
      <c r="N1972">
        <v>507068</v>
      </c>
      <c r="O1972">
        <v>862707</v>
      </c>
      <c r="P1972">
        <v>1047121</v>
      </c>
      <c r="Q1972">
        <v>368</v>
      </c>
      <c r="R1972">
        <v>248</v>
      </c>
      <c r="S1972">
        <v>580</v>
      </c>
      <c r="T1972">
        <v>999</v>
      </c>
      <c r="U1972">
        <v>999</v>
      </c>
    </row>
    <row r="1973" spans="1:21" x14ac:dyDescent="0.35">
      <c r="A1973" t="s">
        <v>28</v>
      </c>
      <c r="B1973" s="1">
        <v>44926</v>
      </c>
      <c r="C1973" t="s">
        <v>29</v>
      </c>
      <c r="D1973">
        <v>173.3</v>
      </c>
      <c r="E1973">
        <v>82.2</v>
      </c>
      <c r="F1973">
        <v>114.9</v>
      </c>
      <c r="G1973">
        <v>2.1</v>
      </c>
      <c r="H1973">
        <v>1.5</v>
      </c>
      <c r="I1973">
        <v>0</v>
      </c>
      <c r="J1973">
        <v>0</v>
      </c>
      <c r="K1973">
        <v>0</v>
      </c>
      <c r="L1973">
        <v>0</v>
      </c>
      <c r="M1973">
        <v>0</v>
      </c>
      <c r="N1973">
        <v>113126</v>
      </c>
      <c r="O1973">
        <v>277262</v>
      </c>
      <c r="P1973">
        <v>347197</v>
      </c>
      <c r="Q1973">
        <v>196</v>
      </c>
      <c r="R1973">
        <v>228</v>
      </c>
      <c r="S1973">
        <v>399</v>
      </c>
      <c r="T1973">
        <v>30</v>
      </c>
      <c r="U1973">
        <v>49</v>
      </c>
    </row>
    <row r="1974" spans="1:21" x14ac:dyDescent="0.35">
      <c r="A1974" t="s">
        <v>28</v>
      </c>
      <c r="B1974" s="1">
        <v>44906</v>
      </c>
      <c r="C1974" t="s">
        <v>22</v>
      </c>
      <c r="D1974">
        <v>152.9</v>
      </c>
      <c r="E1974">
        <v>85.7</v>
      </c>
      <c r="F1974">
        <v>111.2</v>
      </c>
      <c r="G1974">
        <v>1.8</v>
      </c>
      <c r="H1974">
        <v>1.4</v>
      </c>
      <c r="I1974">
        <v>173.2</v>
      </c>
      <c r="J1974">
        <v>87</v>
      </c>
      <c r="K1974">
        <v>100.9</v>
      </c>
      <c r="L1974">
        <v>2</v>
      </c>
      <c r="M1974">
        <v>1.7</v>
      </c>
      <c r="N1974">
        <v>570386</v>
      </c>
      <c r="O1974">
        <v>848167</v>
      </c>
      <c r="P1974">
        <v>1039564</v>
      </c>
      <c r="Q1974">
        <v>872</v>
      </c>
      <c r="R1974">
        <v>727</v>
      </c>
      <c r="S1974">
        <v>1156</v>
      </c>
      <c r="T1974">
        <v>999</v>
      </c>
      <c r="U1974">
        <v>999</v>
      </c>
    </row>
    <row r="1975" spans="1:21" x14ac:dyDescent="0.35">
      <c r="A1975" t="s">
        <v>26</v>
      </c>
      <c r="B1975" s="1">
        <v>44366</v>
      </c>
      <c r="C1975" t="s">
        <v>32</v>
      </c>
      <c r="D1975">
        <v>0.6</v>
      </c>
      <c r="E1975">
        <v>0</v>
      </c>
      <c r="F1975">
        <v>0</v>
      </c>
      <c r="G1975">
        <v>0</v>
      </c>
      <c r="H1975">
        <v>0</v>
      </c>
      <c r="I1975">
        <v>0</v>
      </c>
      <c r="J1975">
        <v>0</v>
      </c>
      <c r="K1975">
        <v>0</v>
      </c>
      <c r="L1975">
        <v>0</v>
      </c>
      <c r="M1975">
        <v>0</v>
      </c>
      <c r="N1975">
        <v>162642</v>
      </c>
      <c r="O1975">
        <v>0</v>
      </c>
      <c r="P1975">
        <v>0</v>
      </c>
      <c r="Q1975">
        <v>1</v>
      </c>
      <c r="R1975">
        <v>0</v>
      </c>
      <c r="S1975">
        <v>0</v>
      </c>
      <c r="T1975">
        <v>0</v>
      </c>
      <c r="U1975">
        <v>4</v>
      </c>
    </row>
    <row r="1976" spans="1:21" x14ac:dyDescent="0.35">
      <c r="A1976" t="s">
        <v>21</v>
      </c>
      <c r="B1976" s="1">
        <v>45038</v>
      </c>
      <c r="C1976" t="s">
        <v>27</v>
      </c>
      <c r="D1976">
        <v>0</v>
      </c>
      <c r="E1976">
        <v>0</v>
      </c>
      <c r="F1976">
        <v>0</v>
      </c>
      <c r="G1976">
        <v>0</v>
      </c>
      <c r="H1976">
        <v>0</v>
      </c>
      <c r="I1976">
        <v>0</v>
      </c>
      <c r="J1976">
        <v>0</v>
      </c>
      <c r="K1976">
        <v>0</v>
      </c>
      <c r="L1976">
        <v>0</v>
      </c>
      <c r="M1976">
        <v>0</v>
      </c>
      <c r="N1976">
        <v>32777</v>
      </c>
      <c r="O1976">
        <v>86544</v>
      </c>
      <c r="P1976">
        <v>44574</v>
      </c>
      <c r="Q1976">
        <v>0</v>
      </c>
      <c r="R1976">
        <v>0</v>
      </c>
      <c r="S1976">
        <v>0</v>
      </c>
      <c r="T1976">
        <v>12</v>
      </c>
      <c r="U1976">
        <v>17</v>
      </c>
    </row>
    <row r="1977" spans="1:21" x14ac:dyDescent="0.35">
      <c r="A1977" t="s">
        <v>26</v>
      </c>
      <c r="B1977" s="1">
        <v>44366</v>
      </c>
      <c r="C1977" t="s">
        <v>24</v>
      </c>
      <c r="D1977">
        <v>0</v>
      </c>
      <c r="E1977">
        <v>0</v>
      </c>
      <c r="F1977">
        <v>0</v>
      </c>
      <c r="G1977">
        <v>0</v>
      </c>
      <c r="H1977">
        <v>0</v>
      </c>
      <c r="I1977">
        <v>0</v>
      </c>
      <c r="J1977">
        <v>0</v>
      </c>
      <c r="K1977">
        <v>0</v>
      </c>
      <c r="L1977">
        <v>0</v>
      </c>
      <c r="M1977">
        <v>0</v>
      </c>
      <c r="N1977">
        <v>210448</v>
      </c>
      <c r="O1977">
        <v>0</v>
      </c>
      <c r="P1977">
        <v>0</v>
      </c>
      <c r="Q1977">
        <v>0</v>
      </c>
      <c r="R1977">
        <v>0</v>
      </c>
      <c r="S1977">
        <v>0</v>
      </c>
      <c r="T1977">
        <v>5</v>
      </c>
      <c r="U1977">
        <v>11</v>
      </c>
    </row>
    <row r="1978" spans="1:21" x14ac:dyDescent="0.35">
      <c r="A1978" t="s">
        <v>26</v>
      </c>
      <c r="B1978" s="1">
        <v>44808</v>
      </c>
      <c r="C1978" t="s">
        <v>24</v>
      </c>
      <c r="D1978">
        <v>0</v>
      </c>
      <c r="E1978">
        <v>0</v>
      </c>
      <c r="F1978">
        <v>0</v>
      </c>
      <c r="G1978">
        <v>0</v>
      </c>
      <c r="H1978">
        <v>0</v>
      </c>
      <c r="I1978">
        <v>0</v>
      </c>
      <c r="J1978">
        <v>0</v>
      </c>
      <c r="K1978">
        <v>0</v>
      </c>
      <c r="L1978">
        <v>0</v>
      </c>
      <c r="M1978">
        <v>0</v>
      </c>
      <c r="N1978">
        <v>103071</v>
      </c>
      <c r="O1978">
        <v>91818</v>
      </c>
      <c r="P1978">
        <v>0</v>
      </c>
      <c r="Q1978">
        <v>0</v>
      </c>
      <c r="R1978">
        <v>0</v>
      </c>
      <c r="S1978">
        <v>0</v>
      </c>
      <c r="T1978">
        <v>5</v>
      </c>
      <c r="U1978">
        <v>11</v>
      </c>
    </row>
    <row r="1979" spans="1:21" x14ac:dyDescent="0.35">
      <c r="A1979" t="s">
        <v>21</v>
      </c>
      <c r="B1979" s="1">
        <v>45145</v>
      </c>
      <c r="C1979" t="s">
        <v>29</v>
      </c>
      <c r="D1979">
        <v>0</v>
      </c>
      <c r="E1979">
        <v>0</v>
      </c>
      <c r="F1979">
        <v>0</v>
      </c>
      <c r="G1979">
        <v>0</v>
      </c>
      <c r="H1979">
        <v>0</v>
      </c>
      <c r="I1979">
        <v>0</v>
      </c>
      <c r="J1979">
        <v>0</v>
      </c>
      <c r="K1979">
        <v>0</v>
      </c>
      <c r="L1979">
        <v>0</v>
      </c>
      <c r="M1979">
        <v>0</v>
      </c>
      <c r="N1979">
        <v>107855</v>
      </c>
      <c r="O1979">
        <v>278403</v>
      </c>
      <c r="P1979">
        <v>347309</v>
      </c>
      <c r="Q1979">
        <v>0</v>
      </c>
      <c r="R1979">
        <v>0</v>
      </c>
      <c r="S1979">
        <v>0</v>
      </c>
      <c r="T1979">
        <v>30</v>
      </c>
      <c r="U1979">
        <v>49</v>
      </c>
    </row>
    <row r="1980" spans="1:21" x14ac:dyDescent="0.35">
      <c r="A1980" t="s">
        <v>28</v>
      </c>
      <c r="B1980" s="1">
        <v>44954</v>
      </c>
      <c r="C1980" t="s">
        <v>27</v>
      </c>
      <c r="D1980">
        <v>185.6</v>
      </c>
      <c r="E1980">
        <v>98.5</v>
      </c>
      <c r="F1980">
        <v>87.5</v>
      </c>
      <c r="G1980">
        <v>1.9</v>
      </c>
      <c r="H1980">
        <v>2.1</v>
      </c>
      <c r="I1980">
        <v>0</v>
      </c>
      <c r="J1980">
        <v>0</v>
      </c>
      <c r="K1980">
        <v>0</v>
      </c>
      <c r="L1980">
        <v>0</v>
      </c>
      <c r="M1980">
        <v>0</v>
      </c>
      <c r="N1980">
        <v>33411</v>
      </c>
      <c r="O1980">
        <v>86292</v>
      </c>
      <c r="P1980">
        <v>44551</v>
      </c>
      <c r="Q1980">
        <v>62</v>
      </c>
      <c r="R1980">
        <v>85</v>
      </c>
      <c r="S1980">
        <v>39</v>
      </c>
      <c r="T1980">
        <v>12</v>
      </c>
      <c r="U1980">
        <v>17</v>
      </c>
    </row>
    <row r="1981" spans="1:21" x14ac:dyDescent="0.35">
      <c r="A1981" t="s">
        <v>26</v>
      </c>
      <c r="B1981" s="1">
        <v>44373</v>
      </c>
      <c r="C1981" t="s">
        <v>32</v>
      </c>
      <c r="D1981">
        <v>0.6</v>
      </c>
      <c r="E1981">
        <v>0</v>
      </c>
      <c r="F1981">
        <v>0</v>
      </c>
      <c r="G1981">
        <v>0</v>
      </c>
      <c r="H1981">
        <v>0</v>
      </c>
      <c r="I1981">
        <v>0</v>
      </c>
      <c r="J1981">
        <v>0</v>
      </c>
      <c r="K1981">
        <v>0</v>
      </c>
      <c r="L1981">
        <v>0</v>
      </c>
      <c r="M1981">
        <v>0</v>
      </c>
      <c r="N1981">
        <v>162642</v>
      </c>
      <c r="O1981">
        <v>0</v>
      </c>
      <c r="P1981">
        <v>0</v>
      </c>
      <c r="Q1981">
        <v>1</v>
      </c>
      <c r="R1981">
        <v>0</v>
      </c>
      <c r="S1981">
        <v>0</v>
      </c>
      <c r="T1981">
        <v>0</v>
      </c>
      <c r="U1981">
        <v>4</v>
      </c>
    </row>
    <row r="1982" spans="1:21" x14ac:dyDescent="0.35">
      <c r="A1982" t="s">
        <v>26</v>
      </c>
      <c r="B1982" s="1">
        <v>44930</v>
      </c>
      <c r="C1982" t="s">
        <v>27</v>
      </c>
      <c r="D1982">
        <v>3</v>
      </c>
      <c r="E1982">
        <v>1.2</v>
      </c>
      <c r="F1982">
        <v>2.2000000000000002</v>
      </c>
      <c r="G1982">
        <v>2.5</v>
      </c>
      <c r="H1982">
        <v>1.4</v>
      </c>
      <c r="I1982">
        <v>0</v>
      </c>
      <c r="J1982">
        <v>0</v>
      </c>
      <c r="K1982">
        <v>0</v>
      </c>
      <c r="L1982">
        <v>0</v>
      </c>
      <c r="M1982">
        <v>0</v>
      </c>
      <c r="N1982">
        <v>32922</v>
      </c>
      <c r="O1982">
        <v>86490</v>
      </c>
      <c r="P1982">
        <v>44568</v>
      </c>
      <c r="Q1982">
        <v>1</v>
      </c>
      <c r="R1982">
        <v>1</v>
      </c>
      <c r="S1982">
        <v>1</v>
      </c>
      <c r="T1982">
        <v>12</v>
      </c>
      <c r="U1982">
        <v>17</v>
      </c>
    </row>
    <row r="1983" spans="1:21" x14ac:dyDescent="0.35">
      <c r="A1983" t="s">
        <v>28</v>
      </c>
      <c r="B1983" s="1">
        <v>45045</v>
      </c>
      <c r="C1983" t="s">
        <v>29</v>
      </c>
      <c r="D1983">
        <v>65.900000000000006</v>
      </c>
      <c r="E1983">
        <v>20.5</v>
      </c>
      <c r="F1983">
        <v>29.9</v>
      </c>
      <c r="G1983">
        <v>3.2</v>
      </c>
      <c r="H1983">
        <v>2.2000000000000002</v>
      </c>
      <c r="I1983">
        <v>0</v>
      </c>
      <c r="J1983">
        <v>0</v>
      </c>
      <c r="K1983">
        <v>0</v>
      </c>
      <c r="L1983">
        <v>0</v>
      </c>
      <c r="M1983">
        <v>0</v>
      </c>
      <c r="N1983">
        <v>109218</v>
      </c>
      <c r="O1983">
        <v>278370</v>
      </c>
      <c r="P1983">
        <v>347292</v>
      </c>
      <c r="Q1983">
        <v>72</v>
      </c>
      <c r="R1983">
        <v>57</v>
      </c>
      <c r="S1983">
        <v>104</v>
      </c>
      <c r="T1983">
        <v>30</v>
      </c>
      <c r="U1983">
        <v>49</v>
      </c>
    </row>
    <row r="1984" spans="1:21" x14ac:dyDescent="0.35">
      <c r="A1984" t="s">
        <v>26</v>
      </c>
      <c r="B1984" s="1">
        <v>44373</v>
      </c>
      <c r="C1984" t="s">
        <v>24</v>
      </c>
      <c r="D1984">
        <v>0.5</v>
      </c>
      <c r="E1984">
        <v>0</v>
      </c>
      <c r="F1984">
        <v>0</v>
      </c>
      <c r="G1984">
        <v>0</v>
      </c>
      <c r="H1984">
        <v>0</v>
      </c>
      <c r="I1984">
        <v>0</v>
      </c>
      <c r="J1984">
        <v>0</v>
      </c>
      <c r="K1984">
        <v>0</v>
      </c>
      <c r="L1984">
        <v>0</v>
      </c>
      <c r="M1984">
        <v>0</v>
      </c>
      <c r="N1984">
        <v>210448</v>
      </c>
      <c r="O1984">
        <v>0</v>
      </c>
      <c r="P1984">
        <v>0</v>
      </c>
      <c r="Q1984">
        <v>1</v>
      </c>
      <c r="R1984">
        <v>0</v>
      </c>
      <c r="S1984">
        <v>0</v>
      </c>
      <c r="T1984">
        <v>5</v>
      </c>
      <c r="U1984">
        <v>11</v>
      </c>
    </row>
    <row r="1985" spans="1:21" x14ac:dyDescent="0.35">
      <c r="A1985" t="s">
        <v>28</v>
      </c>
      <c r="B1985" s="1">
        <v>44912</v>
      </c>
      <c r="C1985" t="s">
        <v>22</v>
      </c>
      <c r="D1985">
        <v>232.8</v>
      </c>
      <c r="E1985">
        <v>139.1</v>
      </c>
      <c r="F1985">
        <v>187.3</v>
      </c>
      <c r="G1985">
        <v>1.7</v>
      </c>
      <c r="H1985">
        <v>1.2</v>
      </c>
      <c r="I1985">
        <v>265.89999999999998</v>
      </c>
      <c r="J1985">
        <v>145.5</v>
      </c>
      <c r="K1985">
        <v>176.3</v>
      </c>
      <c r="L1985">
        <v>1.8</v>
      </c>
      <c r="M1985">
        <v>1.5</v>
      </c>
      <c r="N1985">
        <v>558425</v>
      </c>
      <c r="O1985">
        <v>852606</v>
      </c>
      <c r="P1985">
        <v>1039974</v>
      </c>
      <c r="Q1985">
        <v>1300</v>
      </c>
      <c r="R1985">
        <v>1186</v>
      </c>
      <c r="S1985">
        <v>1948</v>
      </c>
      <c r="T1985">
        <v>999</v>
      </c>
      <c r="U1985">
        <v>999</v>
      </c>
    </row>
    <row r="1986" spans="1:21" x14ac:dyDescent="0.35">
      <c r="A1986" t="s">
        <v>28</v>
      </c>
      <c r="B1986" s="1">
        <v>44891</v>
      </c>
      <c r="C1986" t="s">
        <v>24</v>
      </c>
      <c r="D1986">
        <v>49.4</v>
      </c>
      <c r="E1986">
        <v>38.299999999999997</v>
      </c>
      <c r="F1986">
        <v>42.7</v>
      </c>
      <c r="G1986">
        <v>1.3</v>
      </c>
      <c r="H1986">
        <v>1.2</v>
      </c>
      <c r="I1986">
        <v>0</v>
      </c>
      <c r="J1986">
        <v>0</v>
      </c>
      <c r="K1986">
        <v>0</v>
      </c>
      <c r="L1986">
        <v>0</v>
      </c>
      <c r="M1986">
        <v>0</v>
      </c>
      <c r="N1986">
        <v>93076</v>
      </c>
      <c r="O1986">
        <v>81025</v>
      </c>
      <c r="P1986">
        <v>21098</v>
      </c>
      <c r="Q1986">
        <v>46</v>
      </c>
      <c r="R1986">
        <v>31</v>
      </c>
      <c r="S1986">
        <v>9</v>
      </c>
      <c r="T1986">
        <v>5</v>
      </c>
      <c r="U1986">
        <v>11</v>
      </c>
    </row>
    <row r="1987" spans="1:21" x14ac:dyDescent="0.35">
      <c r="A1987" t="s">
        <v>26</v>
      </c>
      <c r="B1987" s="1">
        <v>44262</v>
      </c>
      <c r="C1987" t="s">
        <v>32</v>
      </c>
      <c r="D1987">
        <v>0</v>
      </c>
      <c r="E1987">
        <v>0</v>
      </c>
      <c r="F1987">
        <v>0</v>
      </c>
      <c r="G1987">
        <v>0</v>
      </c>
      <c r="H1987">
        <v>0</v>
      </c>
      <c r="I1987">
        <v>0</v>
      </c>
      <c r="J1987">
        <v>0</v>
      </c>
      <c r="K1987">
        <v>0</v>
      </c>
      <c r="L1987">
        <v>0</v>
      </c>
      <c r="M1987">
        <v>0</v>
      </c>
      <c r="N1987">
        <v>162642</v>
      </c>
      <c r="O1987">
        <v>0</v>
      </c>
      <c r="P1987">
        <v>0</v>
      </c>
      <c r="Q1987">
        <v>0</v>
      </c>
      <c r="R1987">
        <v>0</v>
      </c>
      <c r="S1987">
        <v>0</v>
      </c>
      <c r="T1987">
        <v>0</v>
      </c>
      <c r="U1987">
        <v>4</v>
      </c>
    </row>
    <row r="1988" spans="1:21" x14ac:dyDescent="0.35">
      <c r="A1988" t="s">
        <v>26</v>
      </c>
      <c r="B1988" s="1">
        <v>44262</v>
      </c>
      <c r="C1988" t="s">
        <v>24</v>
      </c>
      <c r="D1988">
        <v>0.5</v>
      </c>
      <c r="E1988">
        <v>0</v>
      </c>
      <c r="F1988">
        <v>0</v>
      </c>
      <c r="G1988">
        <v>0</v>
      </c>
      <c r="H1988">
        <v>0</v>
      </c>
      <c r="I1988">
        <v>0</v>
      </c>
      <c r="J1988">
        <v>0</v>
      </c>
      <c r="K1988">
        <v>0</v>
      </c>
      <c r="L1988">
        <v>0</v>
      </c>
      <c r="M1988">
        <v>0</v>
      </c>
      <c r="N1988">
        <v>210448</v>
      </c>
      <c r="O1988">
        <v>0</v>
      </c>
      <c r="P1988">
        <v>0</v>
      </c>
      <c r="Q1988">
        <v>1</v>
      </c>
      <c r="R1988">
        <v>0</v>
      </c>
      <c r="S1988">
        <v>0</v>
      </c>
      <c r="T1988">
        <v>5</v>
      </c>
      <c r="U1988">
        <v>11</v>
      </c>
    </row>
    <row r="1989" spans="1:21" x14ac:dyDescent="0.35">
      <c r="A1989" t="s">
        <v>28</v>
      </c>
      <c r="B1989" s="1">
        <v>45241</v>
      </c>
      <c r="C1989" t="s">
        <v>24</v>
      </c>
      <c r="D1989">
        <v>21.5</v>
      </c>
      <c r="E1989">
        <v>19.5</v>
      </c>
      <c r="F1989">
        <v>31.8</v>
      </c>
      <c r="G1989">
        <v>1.1000000000000001</v>
      </c>
      <c r="H1989">
        <v>0.7</v>
      </c>
      <c r="I1989">
        <v>0</v>
      </c>
      <c r="J1989">
        <v>0</v>
      </c>
      <c r="K1989">
        <v>0</v>
      </c>
      <c r="L1989">
        <v>0</v>
      </c>
      <c r="M1989">
        <v>0</v>
      </c>
      <c r="N1989">
        <v>88571</v>
      </c>
      <c r="O1989">
        <v>82151</v>
      </c>
      <c r="P1989">
        <v>21989</v>
      </c>
      <c r="Q1989">
        <v>19</v>
      </c>
      <c r="R1989">
        <v>16</v>
      </c>
      <c r="S1989">
        <v>7</v>
      </c>
      <c r="T1989">
        <v>5</v>
      </c>
      <c r="U1989">
        <v>11</v>
      </c>
    </row>
    <row r="1990" spans="1:21" x14ac:dyDescent="0.35">
      <c r="A1990" t="s">
        <v>26</v>
      </c>
      <c r="B1990" s="1">
        <v>44906</v>
      </c>
      <c r="C1990" t="s">
        <v>27</v>
      </c>
      <c r="D1990">
        <v>0</v>
      </c>
      <c r="E1990">
        <v>1.2</v>
      </c>
      <c r="F1990">
        <v>2.2000000000000002</v>
      </c>
      <c r="G1990">
        <v>0</v>
      </c>
      <c r="H1990">
        <v>0</v>
      </c>
      <c r="I1990">
        <v>0</v>
      </c>
      <c r="J1990">
        <v>0</v>
      </c>
      <c r="K1990">
        <v>0</v>
      </c>
      <c r="L1990">
        <v>0</v>
      </c>
      <c r="M1990">
        <v>0</v>
      </c>
      <c r="N1990">
        <v>34246</v>
      </c>
      <c r="O1990">
        <v>86007</v>
      </c>
      <c r="P1990">
        <v>44506</v>
      </c>
      <c r="Q1990">
        <v>0</v>
      </c>
      <c r="R1990">
        <v>1</v>
      </c>
      <c r="S1990">
        <v>1</v>
      </c>
      <c r="T1990">
        <v>12</v>
      </c>
      <c r="U1990">
        <v>17</v>
      </c>
    </row>
    <row r="1991" spans="1:21" x14ac:dyDescent="0.35">
      <c r="A1991" t="s">
        <v>28</v>
      </c>
      <c r="B1991" s="1">
        <v>45248</v>
      </c>
      <c r="C1991" t="s">
        <v>31</v>
      </c>
      <c r="D1991">
        <v>85.6</v>
      </c>
      <c r="E1991">
        <v>81.5</v>
      </c>
      <c r="F1991">
        <v>96.2</v>
      </c>
      <c r="G1991">
        <v>1.1000000000000001</v>
      </c>
      <c r="H1991">
        <v>0.9</v>
      </c>
      <c r="I1991">
        <v>0</v>
      </c>
      <c r="J1991">
        <v>0</v>
      </c>
      <c r="K1991">
        <v>0</v>
      </c>
      <c r="L1991">
        <v>0</v>
      </c>
      <c r="M1991">
        <v>0</v>
      </c>
      <c r="N1991">
        <v>37394</v>
      </c>
      <c r="O1991">
        <v>44197</v>
      </c>
      <c r="P1991">
        <v>172519</v>
      </c>
      <c r="Q1991">
        <v>32</v>
      </c>
      <c r="R1991">
        <v>36</v>
      </c>
      <c r="S1991">
        <v>166</v>
      </c>
      <c r="T1991">
        <v>65</v>
      </c>
      <c r="U1991">
        <v>79</v>
      </c>
    </row>
    <row r="1992" spans="1:21" x14ac:dyDescent="0.35">
      <c r="A1992" t="s">
        <v>26</v>
      </c>
      <c r="B1992" s="1">
        <v>44476</v>
      </c>
      <c r="C1992" t="s">
        <v>32</v>
      </c>
      <c r="D1992">
        <v>2.5</v>
      </c>
      <c r="E1992">
        <v>0</v>
      </c>
      <c r="F1992">
        <v>0</v>
      </c>
      <c r="G1992">
        <v>0</v>
      </c>
      <c r="H1992">
        <v>0</v>
      </c>
      <c r="I1992">
        <v>0</v>
      </c>
      <c r="J1992">
        <v>0</v>
      </c>
      <c r="K1992">
        <v>0</v>
      </c>
      <c r="L1992">
        <v>0</v>
      </c>
      <c r="M1992">
        <v>0</v>
      </c>
      <c r="N1992">
        <v>162642</v>
      </c>
      <c r="O1992">
        <v>0</v>
      </c>
      <c r="P1992">
        <v>0</v>
      </c>
      <c r="Q1992">
        <v>4</v>
      </c>
      <c r="R1992">
        <v>0</v>
      </c>
      <c r="S1992">
        <v>0</v>
      </c>
      <c r="T1992">
        <v>0</v>
      </c>
      <c r="U1992">
        <v>4</v>
      </c>
    </row>
    <row r="1993" spans="1:21" x14ac:dyDescent="0.35">
      <c r="A1993" t="s">
        <v>28</v>
      </c>
      <c r="B1993" s="1">
        <v>44702</v>
      </c>
      <c r="C1993" t="s">
        <v>22</v>
      </c>
      <c r="D1993">
        <v>304.7</v>
      </c>
      <c r="E1993">
        <v>223.1</v>
      </c>
      <c r="F1993">
        <v>353.4</v>
      </c>
      <c r="G1993">
        <v>1.4</v>
      </c>
      <c r="H1993">
        <v>0.9</v>
      </c>
      <c r="I1993">
        <v>341.8</v>
      </c>
      <c r="J1993">
        <v>209</v>
      </c>
      <c r="K1993">
        <v>383.3</v>
      </c>
      <c r="L1993">
        <v>1.6</v>
      </c>
      <c r="M1993">
        <v>0.9</v>
      </c>
      <c r="N1993">
        <v>644984</v>
      </c>
      <c r="O1993">
        <v>883996</v>
      </c>
      <c r="P1993">
        <v>965236</v>
      </c>
      <c r="Q1993">
        <v>1965</v>
      </c>
      <c r="R1993">
        <v>1972</v>
      </c>
      <c r="S1993">
        <v>3411</v>
      </c>
      <c r="T1993">
        <v>999</v>
      </c>
      <c r="U1993">
        <v>999</v>
      </c>
    </row>
    <row r="1994" spans="1:21" x14ac:dyDescent="0.35">
      <c r="A1994" t="s">
        <v>26</v>
      </c>
      <c r="B1994" s="1">
        <v>44692</v>
      </c>
      <c r="C1994" t="s">
        <v>22</v>
      </c>
      <c r="D1994">
        <v>15.3</v>
      </c>
      <c r="E1994">
        <v>5.2</v>
      </c>
      <c r="F1994">
        <v>7.7</v>
      </c>
      <c r="G1994">
        <v>2.9</v>
      </c>
      <c r="H1994">
        <v>2</v>
      </c>
      <c r="I1994">
        <v>20.8</v>
      </c>
      <c r="J1994">
        <v>7.8</v>
      </c>
      <c r="K1994">
        <v>5.3</v>
      </c>
      <c r="L1994">
        <v>2.7</v>
      </c>
      <c r="M1994">
        <v>3.9</v>
      </c>
      <c r="N1994">
        <v>573510</v>
      </c>
      <c r="O1994">
        <v>847144</v>
      </c>
      <c r="P1994">
        <v>1039435</v>
      </c>
      <c r="Q1994">
        <v>88</v>
      </c>
      <c r="R1994">
        <v>44</v>
      </c>
      <c r="S1994">
        <v>80</v>
      </c>
      <c r="T1994">
        <v>999</v>
      </c>
      <c r="U1994">
        <v>999</v>
      </c>
    </row>
    <row r="1995" spans="1:21" x14ac:dyDescent="0.35">
      <c r="A1995" t="s">
        <v>21</v>
      </c>
      <c r="B1995" s="1">
        <v>45066</v>
      </c>
      <c r="C1995" t="s">
        <v>22</v>
      </c>
      <c r="D1995">
        <v>0.4</v>
      </c>
      <c r="E1995">
        <v>0</v>
      </c>
      <c r="F1995">
        <v>0.1</v>
      </c>
      <c r="G1995">
        <v>0</v>
      </c>
      <c r="H1995">
        <v>4</v>
      </c>
      <c r="I1995">
        <v>0.3</v>
      </c>
      <c r="J1995">
        <v>0</v>
      </c>
      <c r="K1995">
        <v>0.1</v>
      </c>
      <c r="L1995">
        <v>0</v>
      </c>
      <c r="M1995">
        <v>3.9</v>
      </c>
      <c r="N1995">
        <v>535909</v>
      </c>
      <c r="O1995">
        <v>860356</v>
      </c>
      <c r="P1995">
        <v>1040655</v>
      </c>
      <c r="Q1995">
        <v>2</v>
      </c>
      <c r="R1995">
        <v>0</v>
      </c>
      <c r="S1995">
        <v>1</v>
      </c>
      <c r="T1995">
        <v>999</v>
      </c>
      <c r="U1995">
        <v>999</v>
      </c>
    </row>
    <row r="1996" spans="1:21" x14ac:dyDescent="0.35">
      <c r="A1996" t="s">
        <v>26</v>
      </c>
      <c r="B1996" s="1">
        <v>44476</v>
      </c>
      <c r="C1996" t="s">
        <v>24</v>
      </c>
      <c r="D1996">
        <v>0</v>
      </c>
      <c r="E1996">
        <v>0</v>
      </c>
      <c r="F1996">
        <v>0</v>
      </c>
      <c r="G1996">
        <v>0</v>
      </c>
      <c r="H1996">
        <v>0</v>
      </c>
      <c r="I1996">
        <v>0</v>
      </c>
      <c r="J1996">
        <v>0</v>
      </c>
      <c r="K1996">
        <v>0</v>
      </c>
      <c r="L1996">
        <v>0</v>
      </c>
      <c r="M1996">
        <v>0</v>
      </c>
      <c r="N1996">
        <v>210448</v>
      </c>
      <c r="O1996">
        <v>0</v>
      </c>
      <c r="P1996">
        <v>0</v>
      </c>
      <c r="Q1996">
        <v>0</v>
      </c>
      <c r="R1996">
        <v>0</v>
      </c>
      <c r="S1996">
        <v>0</v>
      </c>
      <c r="T1996">
        <v>5</v>
      </c>
      <c r="U1996">
        <v>11</v>
      </c>
    </row>
    <row r="1997" spans="1:21" x14ac:dyDescent="0.35">
      <c r="A1997" t="s">
        <v>26</v>
      </c>
      <c r="B1997" s="1">
        <v>44639</v>
      </c>
      <c r="C1997" t="s">
        <v>22</v>
      </c>
      <c r="D1997">
        <v>5.0999999999999996</v>
      </c>
      <c r="E1997">
        <v>2.4</v>
      </c>
      <c r="F1997">
        <v>2</v>
      </c>
      <c r="G1997">
        <v>2.1</v>
      </c>
      <c r="H1997">
        <v>2.6</v>
      </c>
      <c r="I1997">
        <v>6.8</v>
      </c>
      <c r="J1997">
        <v>2.9</v>
      </c>
      <c r="K1997">
        <v>1.3</v>
      </c>
      <c r="L1997">
        <v>2.2999999999999998</v>
      </c>
      <c r="M1997">
        <v>5.2</v>
      </c>
      <c r="N1997">
        <v>662148</v>
      </c>
      <c r="O1997">
        <v>905646</v>
      </c>
      <c r="P1997">
        <v>919703</v>
      </c>
      <c r="Q1997">
        <v>34</v>
      </c>
      <c r="R1997">
        <v>22</v>
      </c>
      <c r="S1997">
        <v>18</v>
      </c>
      <c r="T1997">
        <v>999</v>
      </c>
      <c r="U1997">
        <v>999</v>
      </c>
    </row>
    <row r="1998" spans="1:21" x14ac:dyDescent="0.35">
      <c r="A1998" t="s">
        <v>26</v>
      </c>
      <c r="B1998" s="1">
        <v>45038</v>
      </c>
      <c r="C1998" t="s">
        <v>24</v>
      </c>
      <c r="D1998">
        <v>0</v>
      </c>
      <c r="E1998">
        <v>0</v>
      </c>
      <c r="F1998">
        <v>4.7</v>
      </c>
      <c r="G1998">
        <v>0</v>
      </c>
      <c r="H1998">
        <v>0</v>
      </c>
      <c r="I1998">
        <v>0</v>
      </c>
      <c r="J1998">
        <v>0</v>
      </c>
      <c r="K1998">
        <v>0</v>
      </c>
      <c r="L1998">
        <v>0</v>
      </c>
      <c r="M1998">
        <v>0</v>
      </c>
      <c r="N1998">
        <v>90975</v>
      </c>
      <c r="O1998">
        <v>82623</v>
      </c>
      <c r="P1998">
        <v>21231</v>
      </c>
      <c r="Q1998">
        <v>0</v>
      </c>
      <c r="R1998">
        <v>0</v>
      </c>
      <c r="S1998">
        <v>1</v>
      </c>
      <c r="T1998">
        <v>5</v>
      </c>
      <c r="U1998">
        <v>11</v>
      </c>
    </row>
    <row r="1999" spans="1:21" x14ac:dyDescent="0.35">
      <c r="A1999" t="s">
        <v>21</v>
      </c>
      <c r="B1999" s="1">
        <v>44720</v>
      </c>
      <c r="C1999" t="s">
        <v>24</v>
      </c>
      <c r="D1999">
        <v>0</v>
      </c>
      <c r="E1999">
        <v>0</v>
      </c>
      <c r="F1999">
        <v>0</v>
      </c>
      <c r="G1999">
        <v>0</v>
      </c>
      <c r="H1999">
        <v>0</v>
      </c>
      <c r="I1999">
        <v>0</v>
      </c>
      <c r="J1999">
        <v>0</v>
      </c>
      <c r="K1999">
        <v>0</v>
      </c>
      <c r="L1999">
        <v>0</v>
      </c>
      <c r="M1999">
        <v>0</v>
      </c>
      <c r="N1999">
        <v>97222</v>
      </c>
      <c r="O1999">
        <v>86190</v>
      </c>
      <c r="P1999">
        <v>11845</v>
      </c>
      <c r="Q1999">
        <v>0</v>
      </c>
      <c r="R1999">
        <v>0</v>
      </c>
      <c r="S1999">
        <v>0</v>
      </c>
      <c r="T1999">
        <v>5</v>
      </c>
      <c r="U1999">
        <v>11</v>
      </c>
    </row>
    <row r="2000" spans="1:21" x14ac:dyDescent="0.35">
      <c r="A2000" t="s">
        <v>26</v>
      </c>
      <c r="B2000" s="1">
        <v>44394</v>
      </c>
      <c r="C2000" t="s">
        <v>32</v>
      </c>
      <c r="D2000">
        <v>1.2</v>
      </c>
      <c r="E2000">
        <v>0</v>
      </c>
      <c r="F2000">
        <v>0</v>
      </c>
      <c r="G2000">
        <v>0</v>
      </c>
      <c r="H2000">
        <v>0</v>
      </c>
      <c r="I2000">
        <v>0</v>
      </c>
      <c r="J2000">
        <v>0</v>
      </c>
      <c r="K2000">
        <v>0</v>
      </c>
      <c r="L2000">
        <v>0</v>
      </c>
      <c r="M2000">
        <v>0</v>
      </c>
      <c r="N2000">
        <v>162642</v>
      </c>
      <c r="O2000">
        <v>0</v>
      </c>
      <c r="P2000">
        <v>0</v>
      </c>
      <c r="Q2000">
        <v>2</v>
      </c>
      <c r="R2000">
        <v>0</v>
      </c>
      <c r="S2000">
        <v>0</v>
      </c>
      <c r="T2000">
        <v>0</v>
      </c>
      <c r="U2000">
        <v>4</v>
      </c>
    </row>
    <row r="2001" spans="1:21" x14ac:dyDescent="0.35">
      <c r="A2001" t="s">
        <v>26</v>
      </c>
      <c r="B2001" s="1">
        <v>44849</v>
      </c>
      <c r="C2001" t="s">
        <v>31</v>
      </c>
      <c r="D2001">
        <v>27.6</v>
      </c>
      <c r="E2001">
        <v>39.200000000000003</v>
      </c>
      <c r="F2001">
        <v>22.2</v>
      </c>
      <c r="G2001">
        <v>0.7</v>
      </c>
      <c r="H2001">
        <v>1.2</v>
      </c>
      <c r="I2001">
        <v>0</v>
      </c>
      <c r="J2001">
        <v>0</v>
      </c>
      <c r="K2001">
        <v>0</v>
      </c>
      <c r="L2001">
        <v>0</v>
      </c>
      <c r="M2001">
        <v>0</v>
      </c>
      <c r="N2001">
        <v>43523</v>
      </c>
      <c r="O2001">
        <v>43397</v>
      </c>
      <c r="P2001">
        <v>171429</v>
      </c>
      <c r="Q2001">
        <v>12</v>
      </c>
      <c r="R2001">
        <v>17</v>
      </c>
      <c r="S2001">
        <v>38</v>
      </c>
      <c r="T2001">
        <v>65</v>
      </c>
      <c r="U2001">
        <v>79</v>
      </c>
    </row>
    <row r="2002" spans="1:21" x14ac:dyDescent="0.35">
      <c r="A2002" t="s">
        <v>26</v>
      </c>
      <c r="B2002" s="1">
        <v>44884</v>
      </c>
      <c r="C2002" t="s">
        <v>27</v>
      </c>
      <c r="D2002">
        <v>0</v>
      </c>
      <c r="E2002">
        <v>0</v>
      </c>
      <c r="F2002">
        <v>0</v>
      </c>
      <c r="G2002">
        <v>0</v>
      </c>
      <c r="H2002">
        <v>0</v>
      </c>
      <c r="I2002">
        <v>0</v>
      </c>
      <c r="J2002">
        <v>0</v>
      </c>
      <c r="K2002">
        <v>0</v>
      </c>
      <c r="L2002">
        <v>0</v>
      </c>
      <c r="M2002">
        <v>0</v>
      </c>
      <c r="N2002">
        <v>34157</v>
      </c>
      <c r="O2002">
        <v>86027</v>
      </c>
      <c r="P2002">
        <v>44509</v>
      </c>
      <c r="Q2002">
        <v>0</v>
      </c>
      <c r="R2002">
        <v>0</v>
      </c>
      <c r="S2002">
        <v>0</v>
      </c>
      <c r="T2002">
        <v>12</v>
      </c>
      <c r="U2002">
        <v>17</v>
      </c>
    </row>
    <row r="2003" spans="1:21" x14ac:dyDescent="0.35">
      <c r="A2003" t="s">
        <v>26</v>
      </c>
      <c r="B2003" s="1">
        <v>44394</v>
      </c>
      <c r="C2003" t="s">
        <v>24</v>
      </c>
      <c r="D2003">
        <v>0</v>
      </c>
      <c r="E2003">
        <v>0</v>
      </c>
      <c r="F2003">
        <v>0</v>
      </c>
      <c r="G2003">
        <v>0</v>
      </c>
      <c r="H2003">
        <v>0</v>
      </c>
      <c r="I2003">
        <v>0</v>
      </c>
      <c r="J2003">
        <v>0</v>
      </c>
      <c r="K2003">
        <v>0</v>
      </c>
      <c r="L2003">
        <v>0</v>
      </c>
      <c r="M2003">
        <v>0</v>
      </c>
      <c r="N2003">
        <v>210448</v>
      </c>
      <c r="O2003">
        <v>0</v>
      </c>
      <c r="P2003">
        <v>0</v>
      </c>
      <c r="Q2003">
        <v>0</v>
      </c>
      <c r="R2003">
        <v>0</v>
      </c>
      <c r="S2003">
        <v>0</v>
      </c>
      <c r="T2003">
        <v>5</v>
      </c>
      <c r="U2003">
        <v>11</v>
      </c>
    </row>
    <row r="2004" spans="1:21" x14ac:dyDescent="0.35">
      <c r="A2004" t="s">
        <v>26</v>
      </c>
      <c r="B2004" s="1">
        <v>45213</v>
      </c>
      <c r="C2004" t="s">
        <v>32</v>
      </c>
      <c r="D2004">
        <v>1.2</v>
      </c>
      <c r="E2004">
        <v>0</v>
      </c>
      <c r="F2004">
        <v>0</v>
      </c>
      <c r="G2004">
        <v>0</v>
      </c>
      <c r="H2004">
        <v>0</v>
      </c>
      <c r="I2004">
        <v>0</v>
      </c>
      <c r="J2004">
        <v>0</v>
      </c>
      <c r="K2004">
        <v>0</v>
      </c>
      <c r="L2004">
        <v>0</v>
      </c>
      <c r="M2004">
        <v>0</v>
      </c>
      <c r="N2004">
        <v>162642</v>
      </c>
      <c r="O2004">
        <v>0</v>
      </c>
      <c r="P2004">
        <v>0</v>
      </c>
      <c r="Q2004">
        <v>2</v>
      </c>
      <c r="R2004">
        <v>0</v>
      </c>
      <c r="S2004">
        <v>0</v>
      </c>
      <c r="T2004">
        <v>0</v>
      </c>
      <c r="U2004">
        <v>4</v>
      </c>
    </row>
    <row r="2005" spans="1:21" x14ac:dyDescent="0.35">
      <c r="A2005" t="s">
        <v>26</v>
      </c>
      <c r="B2005" s="1">
        <v>44401</v>
      </c>
      <c r="C2005" t="s">
        <v>32</v>
      </c>
      <c r="D2005">
        <v>0</v>
      </c>
      <c r="E2005">
        <v>0</v>
      </c>
      <c r="F2005">
        <v>0</v>
      </c>
      <c r="G2005">
        <v>0</v>
      </c>
      <c r="H2005">
        <v>0</v>
      </c>
      <c r="I2005">
        <v>0</v>
      </c>
      <c r="J2005">
        <v>0</v>
      </c>
      <c r="K2005">
        <v>0</v>
      </c>
      <c r="L2005">
        <v>0</v>
      </c>
      <c r="M2005">
        <v>0</v>
      </c>
      <c r="N2005">
        <v>162642</v>
      </c>
      <c r="O2005">
        <v>0</v>
      </c>
      <c r="P2005">
        <v>0</v>
      </c>
      <c r="Q2005">
        <v>0</v>
      </c>
      <c r="R2005">
        <v>0</v>
      </c>
      <c r="S2005">
        <v>0</v>
      </c>
      <c r="T2005">
        <v>0</v>
      </c>
      <c r="U2005">
        <v>4</v>
      </c>
    </row>
    <row r="2006" spans="1:21" x14ac:dyDescent="0.35">
      <c r="A2006" t="s">
        <v>21</v>
      </c>
      <c r="B2006" s="1">
        <v>44940</v>
      </c>
      <c r="C2006" t="s">
        <v>23</v>
      </c>
      <c r="D2006">
        <v>2.9</v>
      </c>
      <c r="E2006">
        <v>0</v>
      </c>
      <c r="F2006">
        <v>0</v>
      </c>
      <c r="G2006">
        <v>0</v>
      </c>
      <c r="H2006">
        <v>0</v>
      </c>
      <c r="I2006">
        <v>0</v>
      </c>
      <c r="J2006">
        <v>0</v>
      </c>
      <c r="K2006">
        <v>0</v>
      </c>
      <c r="L2006">
        <v>0</v>
      </c>
      <c r="M2006">
        <v>0</v>
      </c>
      <c r="N2006">
        <v>34510</v>
      </c>
      <c r="O2006">
        <v>125451</v>
      </c>
      <c r="P2006">
        <v>246827</v>
      </c>
      <c r="Q2006">
        <v>1</v>
      </c>
      <c r="R2006">
        <v>0</v>
      </c>
      <c r="S2006">
        <v>0</v>
      </c>
      <c r="T2006">
        <v>50</v>
      </c>
      <c r="U2006">
        <v>64</v>
      </c>
    </row>
    <row r="2007" spans="1:21" x14ac:dyDescent="0.35">
      <c r="A2007" t="s">
        <v>28</v>
      </c>
      <c r="B2007" s="1">
        <v>44527</v>
      </c>
      <c r="C2007" t="s">
        <v>30</v>
      </c>
      <c r="D2007">
        <v>149</v>
      </c>
      <c r="E2007">
        <v>108</v>
      </c>
      <c r="F2007">
        <v>18.100000000000001</v>
      </c>
      <c r="G2007">
        <v>1.4</v>
      </c>
      <c r="H2007">
        <v>8.1999999999999993</v>
      </c>
      <c r="I2007">
        <v>0</v>
      </c>
      <c r="J2007">
        <v>0</v>
      </c>
      <c r="K2007">
        <v>0</v>
      </c>
      <c r="L2007">
        <v>0</v>
      </c>
      <c r="M2007">
        <v>0</v>
      </c>
      <c r="N2007">
        <v>28858</v>
      </c>
      <c r="O2007">
        <v>33319</v>
      </c>
      <c r="P2007">
        <v>22158</v>
      </c>
      <c r="Q2007">
        <v>43</v>
      </c>
      <c r="R2007">
        <v>36</v>
      </c>
      <c r="S2007">
        <v>4</v>
      </c>
      <c r="T2007">
        <v>80</v>
      </c>
      <c r="U2007">
        <v>200</v>
      </c>
    </row>
    <row r="2008" spans="1:21" x14ac:dyDescent="0.35">
      <c r="A2008" t="s">
        <v>28</v>
      </c>
      <c r="B2008" s="1">
        <v>45073</v>
      </c>
      <c r="C2008" t="s">
        <v>22</v>
      </c>
      <c r="D2008">
        <v>23.9</v>
      </c>
      <c r="E2008">
        <v>10.8</v>
      </c>
      <c r="F2008">
        <v>18.8</v>
      </c>
      <c r="G2008">
        <v>2.2000000000000002</v>
      </c>
      <c r="H2008">
        <v>1.3</v>
      </c>
      <c r="I2008">
        <v>25.7</v>
      </c>
      <c r="J2008">
        <v>10.4</v>
      </c>
      <c r="K2008">
        <v>15.6</v>
      </c>
      <c r="L2008">
        <v>2.5</v>
      </c>
      <c r="M2008">
        <v>1.6</v>
      </c>
      <c r="N2008">
        <v>535220</v>
      </c>
      <c r="O2008">
        <v>860357</v>
      </c>
      <c r="P2008">
        <v>1040665</v>
      </c>
      <c r="Q2008">
        <v>128</v>
      </c>
      <c r="R2008">
        <v>93</v>
      </c>
      <c r="S2008">
        <v>196</v>
      </c>
      <c r="T2008">
        <v>999</v>
      </c>
      <c r="U2008">
        <v>999</v>
      </c>
    </row>
    <row r="2009" spans="1:21" x14ac:dyDescent="0.35">
      <c r="A2009" t="s">
        <v>26</v>
      </c>
      <c r="B2009" s="1">
        <v>44401</v>
      </c>
      <c r="C2009" t="s">
        <v>24</v>
      </c>
      <c r="D2009">
        <v>0.5</v>
      </c>
      <c r="E2009">
        <v>0</v>
      </c>
      <c r="F2009">
        <v>0</v>
      </c>
      <c r="G2009">
        <v>0</v>
      </c>
      <c r="H2009">
        <v>0</v>
      </c>
      <c r="I2009">
        <v>0</v>
      </c>
      <c r="J2009">
        <v>0</v>
      </c>
      <c r="K2009">
        <v>0</v>
      </c>
      <c r="L2009">
        <v>0</v>
      </c>
      <c r="M2009">
        <v>0</v>
      </c>
      <c r="N2009">
        <v>210448</v>
      </c>
      <c r="O2009">
        <v>0</v>
      </c>
      <c r="P2009">
        <v>0</v>
      </c>
      <c r="Q2009">
        <v>1</v>
      </c>
      <c r="R2009">
        <v>0</v>
      </c>
      <c r="S2009">
        <v>0</v>
      </c>
      <c r="T2009">
        <v>5</v>
      </c>
      <c r="U2009">
        <v>11</v>
      </c>
    </row>
    <row r="2010" spans="1:21" x14ac:dyDescent="0.35">
      <c r="A2010" t="s">
        <v>21</v>
      </c>
      <c r="B2010" s="1">
        <v>44947</v>
      </c>
      <c r="C2010" t="s">
        <v>23</v>
      </c>
      <c r="D2010">
        <v>0</v>
      </c>
      <c r="E2010">
        <v>0</v>
      </c>
      <c r="F2010">
        <v>0</v>
      </c>
      <c r="G2010">
        <v>0</v>
      </c>
      <c r="H2010">
        <v>0</v>
      </c>
      <c r="I2010">
        <v>0</v>
      </c>
      <c r="J2010">
        <v>0</v>
      </c>
      <c r="K2010">
        <v>0</v>
      </c>
      <c r="L2010">
        <v>0</v>
      </c>
      <c r="M2010">
        <v>0</v>
      </c>
      <c r="N2010">
        <v>34398</v>
      </c>
      <c r="O2010">
        <v>125483</v>
      </c>
      <c r="P2010">
        <v>246834</v>
      </c>
      <c r="Q2010">
        <v>0</v>
      </c>
      <c r="R2010">
        <v>0</v>
      </c>
      <c r="S2010">
        <v>0</v>
      </c>
      <c r="T2010">
        <v>50</v>
      </c>
      <c r="U2010">
        <v>64</v>
      </c>
    </row>
    <row r="2011" spans="1:21" x14ac:dyDescent="0.35">
      <c r="A2011" t="s">
        <v>26</v>
      </c>
      <c r="B2011" s="1">
        <v>45018</v>
      </c>
      <c r="C2011" t="s">
        <v>29</v>
      </c>
      <c r="D2011">
        <v>8.1</v>
      </c>
      <c r="E2011">
        <v>2.5</v>
      </c>
      <c r="F2011">
        <v>2</v>
      </c>
      <c r="G2011">
        <v>3.2</v>
      </c>
      <c r="H2011">
        <v>4</v>
      </c>
      <c r="I2011">
        <v>0</v>
      </c>
      <c r="J2011">
        <v>0</v>
      </c>
      <c r="K2011">
        <v>0</v>
      </c>
      <c r="L2011">
        <v>0</v>
      </c>
      <c r="M2011">
        <v>0</v>
      </c>
      <c r="N2011">
        <v>111518</v>
      </c>
      <c r="O2011">
        <v>277594</v>
      </c>
      <c r="P2011">
        <v>347241</v>
      </c>
      <c r="Q2011">
        <v>9</v>
      </c>
      <c r="R2011">
        <v>7</v>
      </c>
      <c r="S2011">
        <v>7</v>
      </c>
      <c r="T2011">
        <v>30</v>
      </c>
      <c r="U2011">
        <v>49</v>
      </c>
    </row>
    <row r="2012" spans="1:21" x14ac:dyDescent="0.35">
      <c r="A2012" t="s">
        <v>28</v>
      </c>
      <c r="B2012" s="1">
        <v>44912</v>
      </c>
      <c r="C2012" t="s">
        <v>30</v>
      </c>
      <c r="D2012">
        <v>209</v>
      </c>
      <c r="E2012">
        <v>474.8</v>
      </c>
      <c r="F2012">
        <v>337.5</v>
      </c>
      <c r="G2012">
        <v>0.4</v>
      </c>
      <c r="H2012">
        <v>0.6</v>
      </c>
      <c r="I2012">
        <v>0</v>
      </c>
      <c r="J2012">
        <v>0</v>
      </c>
      <c r="K2012">
        <v>0</v>
      </c>
      <c r="L2012">
        <v>0</v>
      </c>
      <c r="M2012">
        <v>0</v>
      </c>
      <c r="N2012">
        <v>24877</v>
      </c>
      <c r="O2012">
        <v>11373</v>
      </c>
      <c r="P2012">
        <v>47108</v>
      </c>
      <c r="Q2012">
        <v>52</v>
      </c>
      <c r="R2012">
        <v>54</v>
      </c>
      <c r="S2012">
        <v>159</v>
      </c>
      <c r="T2012">
        <v>80</v>
      </c>
      <c r="U2012">
        <v>200</v>
      </c>
    </row>
    <row r="2013" spans="1:21" x14ac:dyDescent="0.35">
      <c r="A2013" t="s">
        <v>28</v>
      </c>
      <c r="B2013" s="1">
        <v>44747</v>
      </c>
      <c r="C2013" t="s">
        <v>30</v>
      </c>
      <c r="D2013">
        <v>82.1</v>
      </c>
      <c r="E2013">
        <v>174</v>
      </c>
      <c r="F2013">
        <v>182.6</v>
      </c>
      <c r="G2013">
        <v>0.5</v>
      </c>
      <c r="H2013">
        <v>0.4</v>
      </c>
      <c r="I2013">
        <v>0</v>
      </c>
      <c r="J2013">
        <v>0</v>
      </c>
      <c r="K2013">
        <v>0</v>
      </c>
      <c r="L2013">
        <v>0</v>
      </c>
      <c r="M2013">
        <v>0</v>
      </c>
      <c r="N2013">
        <v>26811</v>
      </c>
      <c r="O2013">
        <v>13219</v>
      </c>
      <c r="P2013">
        <v>44353</v>
      </c>
      <c r="Q2013">
        <v>22</v>
      </c>
      <c r="R2013">
        <v>23</v>
      </c>
      <c r="S2013">
        <v>81</v>
      </c>
      <c r="T2013">
        <v>80</v>
      </c>
      <c r="U2013">
        <v>200</v>
      </c>
    </row>
    <row r="2014" spans="1:21" x14ac:dyDescent="0.35">
      <c r="A2014" t="s">
        <v>26</v>
      </c>
      <c r="B2014" s="1">
        <v>44408</v>
      </c>
      <c r="C2014" t="s">
        <v>32</v>
      </c>
      <c r="D2014">
        <v>1.2</v>
      </c>
      <c r="E2014">
        <v>0</v>
      </c>
      <c r="F2014">
        <v>0</v>
      </c>
      <c r="G2014">
        <v>0</v>
      </c>
      <c r="H2014">
        <v>0</v>
      </c>
      <c r="I2014">
        <v>0</v>
      </c>
      <c r="J2014">
        <v>0</v>
      </c>
      <c r="K2014">
        <v>0</v>
      </c>
      <c r="L2014">
        <v>0</v>
      </c>
      <c r="M2014">
        <v>0</v>
      </c>
      <c r="N2014">
        <v>162642</v>
      </c>
      <c r="O2014">
        <v>0</v>
      </c>
      <c r="P2014">
        <v>0</v>
      </c>
      <c r="Q2014">
        <v>2</v>
      </c>
      <c r="R2014">
        <v>0</v>
      </c>
      <c r="S2014">
        <v>0</v>
      </c>
      <c r="T2014">
        <v>0</v>
      </c>
      <c r="U2014">
        <v>4</v>
      </c>
    </row>
    <row r="2015" spans="1:21" x14ac:dyDescent="0.35">
      <c r="A2015" t="s">
        <v>21</v>
      </c>
      <c r="B2015" s="1">
        <v>45220</v>
      </c>
      <c r="C2015" t="s">
        <v>29</v>
      </c>
      <c r="D2015">
        <v>0</v>
      </c>
      <c r="E2015">
        <v>0</v>
      </c>
      <c r="F2015">
        <v>0</v>
      </c>
      <c r="G2015">
        <v>0</v>
      </c>
      <c r="H2015">
        <v>0</v>
      </c>
      <c r="I2015">
        <v>0</v>
      </c>
      <c r="J2015">
        <v>0</v>
      </c>
      <c r="K2015">
        <v>0</v>
      </c>
      <c r="L2015">
        <v>0</v>
      </c>
      <c r="M2015">
        <v>0</v>
      </c>
      <c r="N2015">
        <v>103249</v>
      </c>
      <c r="O2015">
        <v>278946</v>
      </c>
      <c r="P2015">
        <v>347858</v>
      </c>
      <c r="Q2015">
        <v>0</v>
      </c>
      <c r="R2015">
        <v>0</v>
      </c>
      <c r="S2015">
        <v>0</v>
      </c>
      <c r="T2015">
        <v>30</v>
      </c>
      <c r="U2015">
        <v>49</v>
      </c>
    </row>
    <row r="2016" spans="1:21" x14ac:dyDescent="0.35">
      <c r="A2016" t="s">
        <v>26</v>
      </c>
      <c r="B2016" s="1">
        <v>45108</v>
      </c>
      <c r="C2016" t="s">
        <v>23</v>
      </c>
      <c r="D2016">
        <v>46.2</v>
      </c>
      <c r="E2016">
        <v>8</v>
      </c>
      <c r="F2016">
        <v>11.3</v>
      </c>
      <c r="G2016">
        <v>5.8</v>
      </c>
      <c r="H2016">
        <v>4.0999999999999996</v>
      </c>
      <c r="I2016">
        <v>0</v>
      </c>
      <c r="J2016">
        <v>0</v>
      </c>
      <c r="K2016">
        <v>0</v>
      </c>
      <c r="L2016">
        <v>0</v>
      </c>
      <c r="M2016">
        <v>0</v>
      </c>
      <c r="N2016">
        <v>34669</v>
      </c>
      <c r="O2016">
        <v>125434</v>
      </c>
      <c r="P2016">
        <v>246821</v>
      </c>
      <c r="Q2016">
        <v>16</v>
      </c>
      <c r="R2016">
        <v>10</v>
      </c>
      <c r="S2016">
        <v>28</v>
      </c>
      <c r="T2016">
        <v>50</v>
      </c>
      <c r="U2016">
        <v>64</v>
      </c>
    </row>
    <row r="2017" spans="1:21" x14ac:dyDescent="0.35">
      <c r="A2017" t="s">
        <v>21</v>
      </c>
      <c r="B2017" s="1">
        <v>44473</v>
      </c>
      <c r="C2017" t="s">
        <v>22</v>
      </c>
      <c r="D2017">
        <v>1.9</v>
      </c>
      <c r="E2017">
        <v>0.3</v>
      </c>
      <c r="F2017">
        <v>0</v>
      </c>
      <c r="G2017">
        <v>6.3</v>
      </c>
      <c r="H2017">
        <v>0</v>
      </c>
      <c r="I2017">
        <v>2.5</v>
      </c>
      <c r="J2017">
        <v>0.1</v>
      </c>
      <c r="K2017">
        <v>0</v>
      </c>
      <c r="L2017">
        <v>30.4</v>
      </c>
      <c r="M2017">
        <v>0</v>
      </c>
      <c r="N2017">
        <v>1707958</v>
      </c>
      <c r="O2017">
        <v>396727</v>
      </c>
      <c r="P2017">
        <v>0</v>
      </c>
      <c r="Q2017">
        <v>32</v>
      </c>
      <c r="R2017">
        <v>1</v>
      </c>
      <c r="S2017">
        <v>0</v>
      </c>
      <c r="T2017">
        <v>999</v>
      </c>
      <c r="U2017">
        <v>999</v>
      </c>
    </row>
    <row r="2018" spans="1:21" x14ac:dyDescent="0.35">
      <c r="A2018" t="s">
        <v>26</v>
      </c>
      <c r="B2018" s="1">
        <v>44408</v>
      </c>
      <c r="C2018" t="s">
        <v>24</v>
      </c>
      <c r="D2018">
        <v>0</v>
      </c>
      <c r="E2018">
        <v>0</v>
      </c>
      <c r="F2018">
        <v>0</v>
      </c>
      <c r="G2018">
        <v>0</v>
      </c>
      <c r="H2018">
        <v>0</v>
      </c>
      <c r="I2018">
        <v>0</v>
      </c>
      <c r="J2018">
        <v>0</v>
      </c>
      <c r="K2018">
        <v>0</v>
      </c>
      <c r="L2018">
        <v>0</v>
      </c>
      <c r="M2018">
        <v>0</v>
      </c>
      <c r="N2018">
        <v>210448</v>
      </c>
      <c r="O2018">
        <v>0</v>
      </c>
      <c r="P2018">
        <v>0</v>
      </c>
      <c r="Q2018">
        <v>0</v>
      </c>
      <c r="R2018">
        <v>0</v>
      </c>
      <c r="S2018">
        <v>0</v>
      </c>
      <c r="T2018">
        <v>5</v>
      </c>
      <c r="U2018">
        <v>11</v>
      </c>
    </row>
    <row r="2019" spans="1:21" x14ac:dyDescent="0.35">
      <c r="A2019" t="s">
        <v>21</v>
      </c>
      <c r="B2019" s="1">
        <v>45220</v>
      </c>
      <c r="C2019" t="s">
        <v>31</v>
      </c>
      <c r="D2019">
        <v>0</v>
      </c>
      <c r="E2019">
        <v>0</v>
      </c>
      <c r="F2019">
        <v>0.6</v>
      </c>
      <c r="G2019">
        <v>0</v>
      </c>
      <c r="H2019">
        <v>0</v>
      </c>
      <c r="I2019">
        <v>0</v>
      </c>
      <c r="J2019">
        <v>0</v>
      </c>
      <c r="K2019">
        <v>0</v>
      </c>
      <c r="L2019">
        <v>0</v>
      </c>
      <c r="M2019">
        <v>0</v>
      </c>
      <c r="N2019">
        <v>38192</v>
      </c>
      <c r="O2019">
        <v>43745</v>
      </c>
      <c r="P2019">
        <v>172021</v>
      </c>
      <c r="Q2019">
        <v>0</v>
      </c>
      <c r="R2019">
        <v>0</v>
      </c>
      <c r="S2019">
        <v>1</v>
      </c>
      <c r="T2019">
        <v>65</v>
      </c>
      <c r="U2019">
        <v>79</v>
      </c>
    </row>
    <row r="2020" spans="1:21" x14ac:dyDescent="0.35">
      <c r="A2020" t="s">
        <v>26</v>
      </c>
      <c r="B2020" s="1">
        <v>45157</v>
      </c>
      <c r="C2020" t="s">
        <v>30</v>
      </c>
      <c r="D2020">
        <v>20.399999999999999</v>
      </c>
      <c r="E2020">
        <v>17.600000000000001</v>
      </c>
      <c r="F2020">
        <v>29.7</v>
      </c>
      <c r="G2020">
        <v>1.2</v>
      </c>
      <c r="H2020">
        <v>0.7</v>
      </c>
      <c r="I2020">
        <v>0</v>
      </c>
      <c r="J2020">
        <v>0</v>
      </c>
      <c r="K2020">
        <v>0</v>
      </c>
      <c r="L2020">
        <v>0</v>
      </c>
      <c r="M2020">
        <v>0</v>
      </c>
      <c r="N2020">
        <v>24470</v>
      </c>
      <c r="O2020">
        <v>11380</v>
      </c>
      <c r="P2020">
        <v>47133</v>
      </c>
      <c r="Q2020">
        <v>5</v>
      </c>
      <c r="R2020">
        <v>2</v>
      </c>
      <c r="S2020">
        <v>14</v>
      </c>
      <c r="T2020">
        <v>80</v>
      </c>
      <c r="U2020">
        <v>200</v>
      </c>
    </row>
    <row r="2021" spans="1:21" x14ac:dyDescent="0.35">
      <c r="A2021" t="s">
        <v>28</v>
      </c>
      <c r="B2021" s="1">
        <v>44571</v>
      </c>
      <c r="C2021" t="s">
        <v>23</v>
      </c>
      <c r="D2021">
        <v>217.9</v>
      </c>
      <c r="E2021">
        <v>69.5</v>
      </c>
      <c r="F2021">
        <v>96.9</v>
      </c>
      <c r="G2021">
        <v>3.1</v>
      </c>
      <c r="H2021">
        <v>2.2000000000000002</v>
      </c>
      <c r="I2021">
        <v>0</v>
      </c>
      <c r="J2021">
        <v>0</v>
      </c>
      <c r="K2021">
        <v>0</v>
      </c>
      <c r="L2021">
        <v>0</v>
      </c>
      <c r="M2021">
        <v>0</v>
      </c>
      <c r="N2021">
        <v>39014</v>
      </c>
      <c r="O2021">
        <v>125154</v>
      </c>
      <c r="P2021">
        <v>246575</v>
      </c>
      <c r="Q2021">
        <v>85</v>
      </c>
      <c r="R2021">
        <v>87</v>
      </c>
      <c r="S2021">
        <v>239</v>
      </c>
      <c r="T2021">
        <v>50</v>
      </c>
      <c r="U2021">
        <v>64</v>
      </c>
    </row>
    <row r="2022" spans="1:21" x14ac:dyDescent="0.35">
      <c r="A2022" t="s">
        <v>28</v>
      </c>
      <c r="B2022" s="1">
        <v>44856</v>
      </c>
      <c r="C2022" t="s">
        <v>22</v>
      </c>
      <c r="D2022">
        <v>125.3</v>
      </c>
      <c r="E2022">
        <v>68.5</v>
      </c>
      <c r="F2022">
        <v>99.7</v>
      </c>
      <c r="G2022">
        <v>1.8</v>
      </c>
      <c r="H2022">
        <v>1.3</v>
      </c>
      <c r="I2022">
        <v>157.19999999999999</v>
      </c>
      <c r="J2022">
        <v>71.099999999999994</v>
      </c>
      <c r="K2022">
        <v>87.1</v>
      </c>
      <c r="L2022">
        <v>2.2000000000000002</v>
      </c>
      <c r="M2022">
        <v>1.8</v>
      </c>
      <c r="N2022">
        <v>580379</v>
      </c>
      <c r="O2022">
        <v>845220</v>
      </c>
      <c r="P2022">
        <v>1038858</v>
      </c>
      <c r="Q2022">
        <v>727</v>
      </c>
      <c r="R2022">
        <v>579</v>
      </c>
      <c r="S2022">
        <v>1036</v>
      </c>
      <c r="T2022">
        <v>999</v>
      </c>
      <c r="U2022">
        <v>999</v>
      </c>
    </row>
    <row r="2023" spans="1:21" x14ac:dyDescent="0.35">
      <c r="A2023" t="s">
        <v>26</v>
      </c>
      <c r="B2023" s="1">
        <v>44385</v>
      </c>
      <c r="C2023" t="s">
        <v>32</v>
      </c>
      <c r="D2023">
        <v>1.8</v>
      </c>
      <c r="E2023">
        <v>0</v>
      </c>
      <c r="F2023">
        <v>0</v>
      </c>
      <c r="G2023">
        <v>0</v>
      </c>
      <c r="H2023">
        <v>0</v>
      </c>
      <c r="I2023">
        <v>0</v>
      </c>
      <c r="J2023">
        <v>0</v>
      </c>
      <c r="K2023">
        <v>0</v>
      </c>
      <c r="L2023">
        <v>0</v>
      </c>
      <c r="M2023">
        <v>0</v>
      </c>
      <c r="N2023">
        <v>162642</v>
      </c>
      <c r="O2023">
        <v>0</v>
      </c>
      <c r="P2023">
        <v>0</v>
      </c>
      <c r="Q2023">
        <v>3</v>
      </c>
      <c r="R2023">
        <v>0</v>
      </c>
      <c r="S2023">
        <v>0</v>
      </c>
      <c r="T2023">
        <v>0</v>
      </c>
      <c r="U2023">
        <v>4</v>
      </c>
    </row>
    <row r="2024" spans="1:21" x14ac:dyDescent="0.35">
      <c r="A2024" t="s">
        <v>21</v>
      </c>
      <c r="B2024" s="1">
        <v>45220</v>
      </c>
      <c r="C2024" t="s">
        <v>24</v>
      </c>
      <c r="D2024">
        <v>0</v>
      </c>
      <c r="E2024">
        <v>0</v>
      </c>
      <c r="F2024">
        <v>0</v>
      </c>
      <c r="G2024">
        <v>0</v>
      </c>
      <c r="H2024">
        <v>0</v>
      </c>
      <c r="I2024">
        <v>0</v>
      </c>
      <c r="J2024">
        <v>0</v>
      </c>
      <c r="K2024">
        <v>0</v>
      </c>
      <c r="L2024">
        <v>0</v>
      </c>
      <c r="M2024">
        <v>0</v>
      </c>
      <c r="N2024">
        <v>89096</v>
      </c>
      <c r="O2024">
        <v>82596</v>
      </c>
      <c r="P2024">
        <v>21371</v>
      </c>
      <c r="Q2024">
        <v>0</v>
      </c>
      <c r="R2024">
        <v>0</v>
      </c>
      <c r="S2024">
        <v>0</v>
      </c>
      <c r="T2024">
        <v>5</v>
      </c>
      <c r="U2024">
        <v>11</v>
      </c>
    </row>
    <row r="2025" spans="1:21" x14ac:dyDescent="0.35">
      <c r="A2025" t="s">
        <v>26</v>
      </c>
      <c r="B2025" s="1">
        <v>44457</v>
      </c>
      <c r="C2025" t="s">
        <v>25</v>
      </c>
      <c r="D2025">
        <v>5.5</v>
      </c>
      <c r="E2025">
        <v>1</v>
      </c>
      <c r="F2025">
        <v>0</v>
      </c>
      <c r="G2025">
        <v>5.5</v>
      </c>
      <c r="H2025">
        <v>0</v>
      </c>
      <c r="I2025">
        <v>0</v>
      </c>
      <c r="J2025">
        <v>0</v>
      </c>
      <c r="K2025">
        <v>0</v>
      </c>
      <c r="L2025">
        <v>0</v>
      </c>
      <c r="M2025">
        <v>0</v>
      </c>
      <c r="N2025">
        <v>181678</v>
      </c>
      <c r="O2025">
        <v>301822</v>
      </c>
      <c r="P2025">
        <v>0</v>
      </c>
      <c r="Q2025">
        <v>10</v>
      </c>
      <c r="R2025">
        <v>3</v>
      </c>
      <c r="S2025">
        <v>0</v>
      </c>
      <c r="T2025">
        <v>18</v>
      </c>
      <c r="U2025">
        <v>29</v>
      </c>
    </row>
    <row r="2026" spans="1:21" x14ac:dyDescent="0.35">
      <c r="A2026" t="s">
        <v>28</v>
      </c>
      <c r="B2026" s="1">
        <v>45010</v>
      </c>
      <c r="C2026" t="s">
        <v>23</v>
      </c>
      <c r="D2026">
        <v>134.1</v>
      </c>
      <c r="E2026">
        <v>50.1</v>
      </c>
      <c r="F2026">
        <v>62.8</v>
      </c>
      <c r="G2026">
        <v>2.7</v>
      </c>
      <c r="H2026">
        <v>2.1</v>
      </c>
      <c r="I2026">
        <v>0</v>
      </c>
      <c r="J2026">
        <v>0</v>
      </c>
      <c r="K2026">
        <v>0</v>
      </c>
      <c r="L2026">
        <v>0</v>
      </c>
      <c r="M2026">
        <v>0</v>
      </c>
      <c r="N2026">
        <v>33548</v>
      </c>
      <c r="O2026">
        <v>125665</v>
      </c>
      <c r="P2026">
        <v>246890</v>
      </c>
      <c r="Q2026">
        <v>45</v>
      </c>
      <c r="R2026">
        <v>63</v>
      </c>
      <c r="S2026">
        <v>155</v>
      </c>
      <c r="T2026">
        <v>50</v>
      </c>
      <c r="U2026">
        <v>64</v>
      </c>
    </row>
    <row r="2027" spans="1:21" x14ac:dyDescent="0.35">
      <c r="A2027" t="s">
        <v>26</v>
      </c>
      <c r="B2027" s="1">
        <v>44385</v>
      </c>
      <c r="C2027" t="s">
        <v>24</v>
      </c>
      <c r="D2027">
        <v>0.5</v>
      </c>
      <c r="E2027">
        <v>0</v>
      </c>
      <c r="F2027">
        <v>0</v>
      </c>
      <c r="G2027">
        <v>0</v>
      </c>
      <c r="H2027">
        <v>0</v>
      </c>
      <c r="I2027">
        <v>0</v>
      </c>
      <c r="J2027">
        <v>0</v>
      </c>
      <c r="K2027">
        <v>0</v>
      </c>
      <c r="L2027">
        <v>0</v>
      </c>
      <c r="M2027">
        <v>0</v>
      </c>
      <c r="N2027">
        <v>210448</v>
      </c>
      <c r="O2027">
        <v>0</v>
      </c>
      <c r="P2027">
        <v>0</v>
      </c>
      <c r="Q2027">
        <v>1</v>
      </c>
      <c r="R2027">
        <v>0</v>
      </c>
      <c r="S2027">
        <v>0</v>
      </c>
      <c r="T2027">
        <v>5</v>
      </c>
      <c r="U2027">
        <v>11</v>
      </c>
    </row>
    <row r="2028" spans="1:21" x14ac:dyDescent="0.35">
      <c r="A2028" t="s">
        <v>26</v>
      </c>
      <c r="B2028" s="1">
        <v>44422</v>
      </c>
      <c r="C2028" t="s">
        <v>32</v>
      </c>
      <c r="D2028">
        <v>1.2</v>
      </c>
      <c r="E2028">
        <v>0</v>
      </c>
      <c r="F2028">
        <v>0</v>
      </c>
      <c r="G2028">
        <v>0</v>
      </c>
      <c r="H2028">
        <v>0</v>
      </c>
      <c r="I2028">
        <v>0</v>
      </c>
      <c r="J2028">
        <v>0</v>
      </c>
      <c r="K2028">
        <v>0</v>
      </c>
      <c r="L2028">
        <v>0</v>
      </c>
      <c r="M2028">
        <v>0</v>
      </c>
      <c r="N2028">
        <v>162642</v>
      </c>
      <c r="O2028">
        <v>0</v>
      </c>
      <c r="P2028">
        <v>0</v>
      </c>
      <c r="Q2028">
        <v>2</v>
      </c>
      <c r="R2028">
        <v>0</v>
      </c>
      <c r="S2028">
        <v>0</v>
      </c>
      <c r="T2028">
        <v>0</v>
      </c>
      <c r="U2028">
        <v>4</v>
      </c>
    </row>
    <row r="2029" spans="1:21" x14ac:dyDescent="0.35">
      <c r="A2029" t="s">
        <v>26</v>
      </c>
      <c r="B2029" s="1">
        <v>44422</v>
      </c>
      <c r="C2029" t="s">
        <v>24</v>
      </c>
      <c r="D2029">
        <v>0.5</v>
      </c>
      <c r="E2029">
        <v>0</v>
      </c>
      <c r="F2029">
        <v>0</v>
      </c>
      <c r="G2029">
        <v>0</v>
      </c>
      <c r="H2029">
        <v>0</v>
      </c>
      <c r="I2029">
        <v>0</v>
      </c>
      <c r="J2029">
        <v>0</v>
      </c>
      <c r="K2029">
        <v>0</v>
      </c>
      <c r="L2029">
        <v>0</v>
      </c>
      <c r="M2029">
        <v>0</v>
      </c>
      <c r="N2029">
        <v>210448</v>
      </c>
      <c r="O2029">
        <v>0</v>
      </c>
      <c r="P2029">
        <v>0</v>
      </c>
      <c r="Q2029">
        <v>1</v>
      </c>
      <c r="R2029">
        <v>0</v>
      </c>
      <c r="S2029">
        <v>0</v>
      </c>
      <c r="T2029">
        <v>5</v>
      </c>
      <c r="U2029">
        <v>11</v>
      </c>
    </row>
    <row r="2030" spans="1:21" x14ac:dyDescent="0.35">
      <c r="A2030" t="s">
        <v>26</v>
      </c>
      <c r="B2030" s="1">
        <v>45101</v>
      </c>
      <c r="C2030" t="s">
        <v>31</v>
      </c>
      <c r="D2030">
        <v>5.0999999999999996</v>
      </c>
      <c r="E2030">
        <v>0</v>
      </c>
      <c r="F2030">
        <v>6.4</v>
      </c>
      <c r="G2030">
        <v>0</v>
      </c>
      <c r="H2030">
        <v>0.8</v>
      </c>
      <c r="I2030">
        <v>0</v>
      </c>
      <c r="J2030">
        <v>0</v>
      </c>
      <c r="K2030">
        <v>0</v>
      </c>
      <c r="L2030">
        <v>0</v>
      </c>
      <c r="M2030">
        <v>0</v>
      </c>
      <c r="N2030">
        <v>39394</v>
      </c>
      <c r="O2030">
        <v>43428</v>
      </c>
      <c r="P2030">
        <v>171739</v>
      </c>
      <c r="Q2030">
        <v>2</v>
      </c>
      <c r="R2030">
        <v>0</v>
      </c>
      <c r="S2030">
        <v>11</v>
      </c>
      <c r="T2030">
        <v>65</v>
      </c>
      <c r="U2030">
        <v>79</v>
      </c>
    </row>
    <row r="2031" spans="1:21" x14ac:dyDescent="0.35">
      <c r="A2031" t="s">
        <v>21</v>
      </c>
      <c r="B2031" s="1">
        <v>44681</v>
      </c>
      <c r="C2031" t="s">
        <v>27</v>
      </c>
      <c r="D2031">
        <v>0</v>
      </c>
      <c r="E2031">
        <v>0</v>
      </c>
      <c r="F2031">
        <v>0</v>
      </c>
      <c r="G2031">
        <v>0</v>
      </c>
      <c r="H2031">
        <v>0</v>
      </c>
      <c r="I2031">
        <v>0</v>
      </c>
      <c r="J2031">
        <v>0</v>
      </c>
      <c r="K2031">
        <v>0</v>
      </c>
      <c r="L2031">
        <v>0</v>
      </c>
      <c r="M2031">
        <v>0</v>
      </c>
      <c r="N2031">
        <v>37619</v>
      </c>
      <c r="O2031">
        <v>94445</v>
      </c>
      <c r="P2031">
        <v>33365</v>
      </c>
      <c r="Q2031">
        <v>0</v>
      </c>
      <c r="R2031">
        <v>0</v>
      </c>
      <c r="S2031">
        <v>0</v>
      </c>
      <c r="T2031">
        <v>12</v>
      </c>
      <c r="U2031">
        <v>17</v>
      </c>
    </row>
    <row r="2032" spans="1:21" x14ac:dyDescent="0.35">
      <c r="A2032" t="s">
        <v>26</v>
      </c>
      <c r="B2032" s="1">
        <v>44513</v>
      </c>
      <c r="C2032" t="s">
        <v>25</v>
      </c>
      <c r="D2032">
        <v>5.6</v>
      </c>
      <c r="E2032">
        <v>1</v>
      </c>
      <c r="F2032">
        <v>0</v>
      </c>
      <c r="G2032">
        <v>5.6</v>
      </c>
      <c r="H2032">
        <v>0</v>
      </c>
      <c r="I2032">
        <v>0</v>
      </c>
      <c r="J2032">
        <v>0</v>
      </c>
      <c r="K2032">
        <v>0</v>
      </c>
      <c r="L2032">
        <v>0</v>
      </c>
      <c r="M2032">
        <v>0</v>
      </c>
      <c r="N2032">
        <v>160183</v>
      </c>
      <c r="O2032">
        <v>311808</v>
      </c>
      <c r="P2032">
        <v>14313</v>
      </c>
      <c r="Q2032">
        <v>9</v>
      </c>
      <c r="R2032">
        <v>3</v>
      </c>
      <c r="S2032">
        <v>0</v>
      </c>
      <c r="T2032">
        <v>18</v>
      </c>
      <c r="U2032">
        <v>29</v>
      </c>
    </row>
    <row r="2033" spans="1:21" x14ac:dyDescent="0.35">
      <c r="A2033" t="s">
        <v>26</v>
      </c>
      <c r="B2033" s="1">
        <v>44429</v>
      </c>
      <c r="C2033" t="s">
        <v>32</v>
      </c>
      <c r="D2033">
        <v>0.6</v>
      </c>
      <c r="E2033">
        <v>0</v>
      </c>
      <c r="F2033">
        <v>0</v>
      </c>
      <c r="G2033">
        <v>0</v>
      </c>
      <c r="H2033">
        <v>0</v>
      </c>
      <c r="I2033">
        <v>0</v>
      </c>
      <c r="J2033">
        <v>0</v>
      </c>
      <c r="K2033">
        <v>0</v>
      </c>
      <c r="L2033">
        <v>0</v>
      </c>
      <c r="M2033">
        <v>0</v>
      </c>
      <c r="N2033">
        <v>162642</v>
      </c>
      <c r="O2033">
        <v>0</v>
      </c>
      <c r="P2033">
        <v>0</v>
      </c>
      <c r="Q2033">
        <v>1</v>
      </c>
      <c r="R2033">
        <v>0</v>
      </c>
      <c r="S2033">
        <v>0</v>
      </c>
      <c r="T2033">
        <v>0</v>
      </c>
      <c r="U2033">
        <v>4</v>
      </c>
    </row>
    <row r="2034" spans="1:21" x14ac:dyDescent="0.35">
      <c r="A2034" t="s">
        <v>21</v>
      </c>
      <c r="B2034" s="1">
        <v>44338</v>
      </c>
      <c r="C2034" t="s">
        <v>25</v>
      </c>
      <c r="D2034">
        <v>0.4</v>
      </c>
      <c r="E2034">
        <v>0</v>
      </c>
      <c r="F2034">
        <v>0</v>
      </c>
      <c r="G2034">
        <v>0</v>
      </c>
      <c r="H2034">
        <v>0</v>
      </c>
      <c r="I2034">
        <v>0</v>
      </c>
      <c r="J2034">
        <v>0</v>
      </c>
      <c r="K2034">
        <v>0</v>
      </c>
      <c r="L2034">
        <v>0</v>
      </c>
      <c r="M2034">
        <v>0</v>
      </c>
      <c r="N2034">
        <v>254347</v>
      </c>
      <c r="O2034">
        <v>182708</v>
      </c>
      <c r="P2034">
        <v>0</v>
      </c>
      <c r="Q2034">
        <v>1</v>
      </c>
      <c r="R2034">
        <v>0</v>
      </c>
      <c r="S2034">
        <v>0</v>
      </c>
      <c r="T2034">
        <v>18</v>
      </c>
      <c r="U2034">
        <v>29</v>
      </c>
    </row>
    <row r="2035" spans="1:21" x14ac:dyDescent="0.35">
      <c r="A2035" t="s">
        <v>21</v>
      </c>
      <c r="B2035" s="1">
        <v>44527</v>
      </c>
      <c r="C2035" t="s">
        <v>29</v>
      </c>
      <c r="D2035">
        <v>2.1</v>
      </c>
      <c r="E2035">
        <v>0.4</v>
      </c>
      <c r="F2035">
        <v>0</v>
      </c>
      <c r="G2035">
        <v>5.2</v>
      </c>
      <c r="H2035">
        <v>0</v>
      </c>
      <c r="I2035">
        <v>0</v>
      </c>
      <c r="J2035">
        <v>0</v>
      </c>
      <c r="K2035">
        <v>0</v>
      </c>
      <c r="L2035">
        <v>0</v>
      </c>
      <c r="M2035">
        <v>0</v>
      </c>
      <c r="N2035">
        <v>189760</v>
      </c>
      <c r="O2035">
        <v>487368</v>
      </c>
      <c r="P2035">
        <v>82444</v>
      </c>
      <c r="Q2035">
        <v>4</v>
      </c>
      <c r="R2035">
        <v>2</v>
      </c>
      <c r="S2035">
        <v>0</v>
      </c>
      <c r="T2035">
        <v>30</v>
      </c>
      <c r="U2035">
        <v>49</v>
      </c>
    </row>
    <row r="2036" spans="1:21" x14ac:dyDescent="0.35">
      <c r="A2036" t="s">
        <v>26</v>
      </c>
      <c r="B2036" s="1">
        <v>44429</v>
      </c>
      <c r="C2036" t="s">
        <v>24</v>
      </c>
      <c r="D2036">
        <v>0.5</v>
      </c>
      <c r="E2036">
        <v>0</v>
      </c>
      <c r="F2036">
        <v>0</v>
      </c>
      <c r="G2036">
        <v>0</v>
      </c>
      <c r="H2036">
        <v>0</v>
      </c>
      <c r="I2036">
        <v>0</v>
      </c>
      <c r="J2036">
        <v>0</v>
      </c>
      <c r="K2036">
        <v>0</v>
      </c>
      <c r="L2036">
        <v>0</v>
      </c>
      <c r="M2036">
        <v>0</v>
      </c>
      <c r="N2036">
        <v>210448</v>
      </c>
      <c r="O2036">
        <v>0</v>
      </c>
      <c r="P2036">
        <v>0</v>
      </c>
      <c r="Q2036">
        <v>1</v>
      </c>
      <c r="R2036">
        <v>0</v>
      </c>
      <c r="S2036">
        <v>0</v>
      </c>
      <c r="T2036">
        <v>5</v>
      </c>
      <c r="U2036">
        <v>11</v>
      </c>
    </row>
    <row r="2037" spans="1:21" x14ac:dyDescent="0.35">
      <c r="A2037" t="s">
        <v>28</v>
      </c>
      <c r="B2037" s="1">
        <v>44765</v>
      </c>
      <c r="C2037" t="s">
        <v>30</v>
      </c>
      <c r="D2037">
        <v>155.6</v>
      </c>
      <c r="E2037">
        <v>385.1</v>
      </c>
      <c r="F2037">
        <v>246.5</v>
      </c>
      <c r="G2037">
        <v>0.4</v>
      </c>
      <c r="H2037">
        <v>0.6</v>
      </c>
      <c r="I2037">
        <v>0</v>
      </c>
      <c r="J2037">
        <v>0</v>
      </c>
      <c r="K2037">
        <v>0</v>
      </c>
      <c r="L2037">
        <v>0</v>
      </c>
      <c r="M2037">
        <v>0</v>
      </c>
      <c r="N2037">
        <v>26357</v>
      </c>
      <c r="O2037">
        <v>11946</v>
      </c>
      <c r="P2037">
        <v>46252</v>
      </c>
      <c r="Q2037">
        <v>41</v>
      </c>
      <c r="R2037">
        <v>46</v>
      </c>
      <c r="S2037">
        <v>114</v>
      </c>
      <c r="T2037">
        <v>80</v>
      </c>
      <c r="U2037">
        <v>200</v>
      </c>
    </row>
    <row r="2038" spans="1:21" x14ac:dyDescent="0.35">
      <c r="A2038" t="s">
        <v>21</v>
      </c>
      <c r="B2038" s="1">
        <v>44947</v>
      </c>
      <c r="C2038" t="s">
        <v>32</v>
      </c>
      <c r="D2038">
        <v>0</v>
      </c>
      <c r="E2038">
        <v>0</v>
      </c>
      <c r="F2038">
        <v>0</v>
      </c>
      <c r="G2038">
        <v>0</v>
      </c>
      <c r="H2038">
        <v>0</v>
      </c>
      <c r="I2038">
        <v>0</v>
      </c>
      <c r="J2038">
        <v>0</v>
      </c>
      <c r="K2038">
        <v>0</v>
      </c>
      <c r="L2038">
        <v>0</v>
      </c>
      <c r="M2038">
        <v>0</v>
      </c>
      <c r="N2038">
        <v>162642</v>
      </c>
      <c r="O2038">
        <v>0</v>
      </c>
      <c r="P2038">
        <v>0</v>
      </c>
      <c r="Q2038">
        <v>0</v>
      </c>
      <c r="R2038">
        <v>0</v>
      </c>
      <c r="S2038">
        <v>0</v>
      </c>
      <c r="T2038">
        <v>0</v>
      </c>
      <c r="U2038">
        <v>4</v>
      </c>
    </row>
    <row r="2039" spans="1:21" x14ac:dyDescent="0.35">
      <c r="A2039" t="s">
        <v>28</v>
      </c>
      <c r="B2039" s="1">
        <v>44436</v>
      </c>
      <c r="C2039" t="s">
        <v>25</v>
      </c>
      <c r="D2039">
        <v>301.8</v>
      </c>
      <c r="E2039">
        <v>89.1</v>
      </c>
      <c r="F2039">
        <v>0</v>
      </c>
      <c r="G2039">
        <v>3.4</v>
      </c>
      <c r="H2039">
        <v>0</v>
      </c>
      <c r="I2039">
        <v>0</v>
      </c>
      <c r="J2039">
        <v>0</v>
      </c>
      <c r="K2039">
        <v>0</v>
      </c>
      <c r="L2039">
        <v>0</v>
      </c>
      <c r="M2039">
        <v>0</v>
      </c>
      <c r="N2039">
        <v>193516</v>
      </c>
      <c r="O2039">
        <v>291685</v>
      </c>
      <c r="P2039">
        <v>0</v>
      </c>
      <c r="Q2039">
        <v>584</v>
      </c>
      <c r="R2039">
        <v>260</v>
      </c>
      <c r="S2039">
        <v>0</v>
      </c>
      <c r="T2039">
        <v>18</v>
      </c>
      <c r="U2039">
        <v>29</v>
      </c>
    </row>
    <row r="2040" spans="1:21" x14ac:dyDescent="0.35">
      <c r="A2040" t="s">
        <v>26</v>
      </c>
      <c r="B2040" s="1">
        <v>44436</v>
      </c>
      <c r="C2040" t="s">
        <v>32</v>
      </c>
      <c r="D2040">
        <v>1.2</v>
      </c>
      <c r="E2040">
        <v>0</v>
      </c>
      <c r="F2040">
        <v>0</v>
      </c>
      <c r="G2040">
        <v>0</v>
      </c>
      <c r="H2040">
        <v>0</v>
      </c>
      <c r="I2040">
        <v>0</v>
      </c>
      <c r="J2040">
        <v>0</v>
      </c>
      <c r="K2040">
        <v>0</v>
      </c>
      <c r="L2040">
        <v>0</v>
      </c>
      <c r="M2040">
        <v>0</v>
      </c>
      <c r="N2040">
        <v>162642</v>
      </c>
      <c r="O2040">
        <v>0</v>
      </c>
      <c r="P2040">
        <v>0</v>
      </c>
      <c r="Q2040">
        <v>2</v>
      </c>
      <c r="R2040">
        <v>0</v>
      </c>
      <c r="S2040">
        <v>0</v>
      </c>
      <c r="T2040">
        <v>0</v>
      </c>
      <c r="U2040">
        <v>4</v>
      </c>
    </row>
    <row r="2041" spans="1:21" x14ac:dyDescent="0.35">
      <c r="A2041" t="s">
        <v>21</v>
      </c>
      <c r="B2041" s="1">
        <v>44730</v>
      </c>
      <c r="C2041" t="s">
        <v>30</v>
      </c>
      <c r="D2041">
        <v>0</v>
      </c>
      <c r="E2041">
        <v>0</v>
      </c>
      <c r="F2041">
        <v>4.4000000000000004</v>
      </c>
      <c r="G2041">
        <v>0</v>
      </c>
      <c r="H2041">
        <v>0</v>
      </c>
      <c r="I2041">
        <v>0</v>
      </c>
      <c r="J2041">
        <v>0</v>
      </c>
      <c r="K2041">
        <v>0</v>
      </c>
      <c r="L2041">
        <v>0</v>
      </c>
      <c r="M2041">
        <v>0</v>
      </c>
      <c r="N2041">
        <v>26513</v>
      </c>
      <c r="O2041">
        <v>12369</v>
      </c>
      <c r="P2041">
        <v>45641</v>
      </c>
      <c r="Q2041">
        <v>0</v>
      </c>
      <c r="R2041">
        <v>0</v>
      </c>
      <c r="S2041">
        <v>2</v>
      </c>
      <c r="T2041">
        <v>80</v>
      </c>
      <c r="U2041">
        <v>200</v>
      </c>
    </row>
    <row r="2042" spans="1:21" x14ac:dyDescent="0.35">
      <c r="A2042" t="s">
        <v>26</v>
      </c>
      <c r="B2042" s="1">
        <v>44548</v>
      </c>
      <c r="C2042" t="s">
        <v>22</v>
      </c>
      <c r="D2042">
        <v>51.6</v>
      </c>
      <c r="E2042">
        <v>14.3</v>
      </c>
      <c r="F2042">
        <v>6.3</v>
      </c>
      <c r="G2042">
        <v>3.6</v>
      </c>
      <c r="H2042">
        <v>8.1999999999999993</v>
      </c>
      <c r="I2042">
        <v>72.599999999999994</v>
      </c>
      <c r="J2042">
        <v>14.3</v>
      </c>
      <c r="K2042">
        <v>3.4</v>
      </c>
      <c r="L2042">
        <v>5.0999999999999996</v>
      </c>
      <c r="M2042">
        <v>21.2</v>
      </c>
      <c r="N2042">
        <v>829865</v>
      </c>
      <c r="O2042">
        <v>1210623</v>
      </c>
      <c r="P2042">
        <v>447192</v>
      </c>
      <c r="Q2042">
        <v>428</v>
      </c>
      <c r="R2042">
        <v>173</v>
      </c>
      <c r="S2042">
        <v>28</v>
      </c>
      <c r="T2042">
        <v>999</v>
      </c>
      <c r="U2042">
        <v>999</v>
      </c>
    </row>
    <row r="2043" spans="1:21" x14ac:dyDescent="0.35">
      <c r="A2043" t="s">
        <v>26</v>
      </c>
      <c r="B2043" s="1">
        <v>44366</v>
      </c>
      <c r="C2043" t="s">
        <v>23</v>
      </c>
      <c r="D2043">
        <v>10.5</v>
      </c>
      <c r="E2043">
        <v>0</v>
      </c>
      <c r="F2043">
        <v>0</v>
      </c>
      <c r="G2043">
        <v>0</v>
      </c>
      <c r="H2043">
        <v>0</v>
      </c>
      <c r="I2043">
        <v>0</v>
      </c>
      <c r="J2043">
        <v>0</v>
      </c>
      <c r="K2043">
        <v>0</v>
      </c>
      <c r="L2043">
        <v>0</v>
      </c>
      <c r="M2043">
        <v>0</v>
      </c>
      <c r="N2043">
        <v>114456</v>
      </c>
      <c r="O2043">
        <v>287354</v>
      </c>
      <c r="P2043">
        <v>0</v>
      </c>
      <c r="Q2043">
        <v>12</v>
      </c>
      <c r="R2043">
        <v>0</v>
      </c>
      <c r="S2043">
        <v>0</v>
      </c>
      <c r="T2043">
        <v>50</v>
      </c>
      <c r="U2043">
        <v>64</v>
      </c>
    </row>
    <row r="2044" spans="1:21" x14ac:dyDescent="0.35">
      <c r="A2044" t="s">
        <v>26</v>
      </c>
      <c r="B2044" s="1">
        <v>44772</v>
      </c>
      <c r="C2044" t="s">
        <v>25</v>
      </c>
      <c r="D2044">
        <v>11.9</v>
      </c>
      <c r="E2044">
        <v>3.8</v>
      </c>
      <c r="F2044">
        <v>3.2</v>
      </c>
      <c r="G2044">
        <v>3.1</v>
      </c>
      <c r="H2044">
        <v>3.7</v>
      </c>
      <c r="I2044">
        <v>0</v>
      </c>
      <c r="J2044">
        <v>0</v>
      </c>
      <c r="K2044">
        <v>0</v>
      </c>
      <c r="L2044">
        <v>0</v>
      </c>
      <c r="M2044">
        <v>0</v>
      </c>
      <c r="N2044">
        <v>92439</v>
      </c>
      <c r="O2044">
        <v>213184</v>
      </c>
      <c r="P2044">
        <v>158188</v>
      </c>
      <c r="Q2044">
        <v>11</v>
      </c>
      <c r="R2044">
        <v>8</v>
      </c>
      <c r="S2044">
        <v>5</v>
      </c>
      <c r="T2044">
        <v>18</v>
      </c>
      <c r="U2044">
        <v>29</v>
      </c>
    </row>
    <row r="2045" spans="1:21" x14ac:dyDescent="0.35">
      <c r="A2045" t="s">
        <v>26</v>
      </c>
      <c r="B2045" s="1">
        <v>44295</v>
      </c>
      <c r="C2045" t="s">
        <v>32</v>
      </c>
      <c r="D2045">
        <v>4.3</v>
      </c>
      <c r="E2045">
        <v>0</v>
      </c>
      <c r="F2045">
        <v>0</v>
      </c>
      <c r="G2045">
        <v>0</v>
      </c>
      <c r="H2045">
        <v>0</v>
      </c>
      <c r="I2045">
        <v>0</v>
      </c>
      <c r="J2045">
        <v>0</v>
      </c>
      <c r="K2045">
        <v>0</v>
      </c>
      <c r="L2045">
        <v>0</v>
      </c>
      <c r="M2045">
        <v>0</v>
      </c>
      <c r="N2045">
        <v>162642</v>
      </c>
      <c r="O2045">
        <v>0</v>
      </c>
      <c r="P2045">
        <v>0</v>
      </c>
      <c r="Q2045">
        <v>7</v>
      </c>
      <c r="R2045">
        <v>0</v>
      </c>
      <c r="S2045">
        <v>0</v>
      </c>
      <c r="T2045">
        <v>0</v>
      </c>
      <c r="U2045">
        <v>4</v>
      </c>
    </row>
    <row r="2046" spans="1:21" x14ac:dyDescent="0.35">
      <c r="A2046" t="s">
        <v>26</v>
      </c>
      <c r="B2046" s="1">
        <v>44295</v>
      </c>
      <c r="C2046" t="s">
        <v>24</v>
      </c>
      <c r="D2046">
        <v>0.5</v>
      </c>
      <c r="E2046">
        <v>0</v>
      </c>
      <c r="F2046">
        <v>0</v>
      </c>
      <c r="G2046">
        <v>0</v>
      </c>
      <c r="H2046">
        <v>0</v>
      </c>
      <c r="I2046">
        <v>0</v>
      </c>
      <c r="J2046">
        <v>0</v>
      </c>
      <c r="K2046">
        <v>0</v>
      </c>
      <c r="L2046">
        <v>0</v>
      </c>
      <c r="M2046">
        <v>0</v>
      </c>
      <c r="N2046">
        <v>210448</v>
      </c>
      <c r="O2046">
        <v>0</v>
      </c>
      <c r="P2046">
        <v>0</v>
      </c>
      <c r="Q2046">
        <v>1</v>
      </c>
      <c r="R2046">
        <v>0</v>
      </c>
      <c r="S2046">
        <v>0</v>
      </c>
      <c r="T2046">
        <v>5</v>
      </c>
      <c r="U2046">
        <v>11</v>
      </c>
    </row>
    <row r="2047" spans="1:21" x14ac:dyDescent="0.35">
      <c r="A2047" t="s">
        <v>28</v>
      </c>
      <c r="B2047" s="1">
        <v>45178</v>
      </c>
      <c r="C2047" t="s">
        <v>30</v>
      </c>
      <c r="D2047">
        <v>69.5</v>
      </c>
      <c r="E2047">
        <v>70.3</v>
      </c>
      <c r="F2047">
        <v>123.1</v>
      </c>
      <c r="G2047">
        <v>1</v>
      </c>
      <c r="H2047">
        <v>0.6</v>
      </c>
      <c r="I2047">
        <v>0</v>
      </c>
      <c r="J2047">
        <v>0</v>
      </c>
      <c r="K2047">
        <v>0</v>
      </c>
      <c r="L2047">
        <v>0</v>
      </c>
      <c r="M2047">
        <v>0</v>
      </c>
      <c r="N2047">
        <v>24452</v>
      </c>
      <c r="O2047">
        <v>11380</v>
      </c>
      <c r="P2047">
        <v>47133</v>
      </c>
      <c r="Q2047">
        <v>17</v>
      </c>
      <c r="R2047">
        <v>8</v>
      </c>
      <c r="S2047">
        <v>58</v>
      </c>
      <c r="T2047">
        <v>80</v>
      </c>
      <c r="U2047">
        <v>200</v>
      </c>
    </row>
    <row r="2048" spans="1:21" x14ac:dyDescent="0.35">
      <c r="A2048" t="s">
        <v>26</v>
      </c>
      <c r="B2048" s="1">
        <v>44509</v>
      </c>
      <c r="C2048" t="s">
        <v>32</v>
      </c>
      <c r="D2048">
        <v>1.8</v>
      </c>
      <c r="E2048">
        <v>0</v>
      </c>
      <c r="F2048">
        <v>0</v>
      </c>
      <c r="G2048">
        <v>0</v>
      </c>
      <c r="H2048">
        <v>0</v>
      </c>
      <c r="I2048">
        <v>0</v>
      </c>
      <c r="J2048">
        <v>0</v>
      </c>
      <c r="K2048">
        <v>0</v>
      </c>
      <c r="L2048">
        <v>0</v>
      </c>
      <c r="M2048">
        <v>0</v>
      </c>
      <c r="N2048">
        <v>162642</v>
      </c>
      <c r="O2048">
        <v>0</v>
      </c>
      <c r="P2048">
        <v>0</v>
      </c>
      <c r="Q2048">
        <v>3</v>
      </c>
      <c r="R2048">
        <v>0</v>
      </c>
      <c r="S2048">
        <v>0</v>
      </c>
      <c r="T2048">
        <v>0</v>
      </c>
      <c r="U2048">
        <v>4</v>
      </c>
    </row>
    <row r="2049" spans="1:21" x14ac:dyDescent="0.35">
      <c r="A2049" t="s">
        <v>26</v>
      </c>
      <c r="B2049" s="1">
        <v>44509</v>
      </c>
      <c r="C2049" t="s">
        <v>24</v>
      </c>
      <c r="D2049">
        <v>0</v>
      </c>
      <c r="E2049">
        <v>0</v>
      </c>
      <c r="F2049">
        <v>0</v>
      </c>
      <c r="G2049">
        <v>0</v>
      </c>
      <c r="H2049">
        <v>0</v>
      </c>
      <c r="I2049">
        <v>0</v>
      </c>
      <c r="J2049">
        <v>0</v>
      </c>
      <c r="K2049">
        <v>0</v>
      </c>
      <c r="L2049">
        <v>0</v>
      </c>
      <c r="M2049">
        <v>0</v>
      </c>
      <c r="N2049">
        <v>210448</v>
      </c>
      <c r="O2049">
        <v>0</v>
      </c>
      <c r="P2049">
        <v>0</v>
      </c>
      <c r="Q2049">
        <v>0</v>
      </c>
      <c r="R2049">
        <v>0</v>
      </c>
      <c r="S2049">
        <v>0</v>
      </c>
      <c r="T2049">
        <v>5</v>
      </c>
      <c r="U2049">
        <v>11</v>
      </c>
    </row>
    <row r="2050" spans="1:21" x14ac:dyDescent="0.35">
      <c r="A2050" t="s">
        <v>26</v>
      </c>
      <c r="B2050" s="1">
        <v>44457</v>
      </c>
      <c r="C2050" t="s">
        <v>32</v>
      </c>
      <c r="D2050">
        <v>1.2</v>
      </c>
      <c r="E2050">
        <v>0</v>
      </c>
      <c r="F2050">
        <v>0</v>
      </c>
      <c r="G2050">
        <v>0</v>
      </c>
      <c r="H2050">
        <v>0</v>
      </c>
      <c r="I2050">
        <v>0</v>
      </c>
      <c r="J2050">
        <v>0</v>
      </c>
      <c r="K2050">
        <v>0</v>
      </c>
      <c r="L2050">
        <v>0</v>
      </c>
      <c r="M2050">
        <v>0</v>
      </c>
      <c r="N2050">
        <v>162642</v>
      </c>
      <c r="O2050">
        <v>0</v>
      </c>
      <c r="P2050">
        <v>0</v>
      </c>
      <c r="Q2050">
        <v>2</v>
      </c>
      <c r="R2050">
        <v>0</v>
      </c>
      <c r="S2050">
        <v>0</v>
      </c>
      <c r="T2050">
        <v>0</v>
      </c>
      <c r="U2050">
        <v>4</v>
      </c>
    </row>
    <row r="2051" spans="1:21" x14ac:dyDescent="0.35">
      <c r="A2051" t="s">
        <v>28</v>
      </c>
      <c r="B2051" s="1">
        <v>44259</v>
      </c>
      <c r="C2051" t="s">
        <v>27</v>
      </c>
      <c r="D2051">
        <v>137.6</v>
      </c>
      <c r="E2051">
        <v>0</v>
      </c>
      <c r="F2051">
        <v>0</v>
      </c>
      <c r="G2051">
        <v>0</v>
      </c>
      <c r="H2051">
        <v>0</v>
      </c>
      <c r="I2051">
        <v>0</v>
      </c>
      <c r="J2051">
        <v>0</v>
      </c>
      <c r="K2051">
        <v>0</v>
      </c>
      <c r="L2051">
        <v>0</v>
      </c>
      <c r="M2051">
        <v>0</v>
      </c>
      <c r="N2051">
        <v>178794</v>
      </c>
      <c r="O2051">
        <v>0</v>
      </c>
      <c r="P2051">
        <v>0</v>
      </c>
      <c r="Q2051">
        <v>246</v>
      </c>
      <c r="R2051">
        <v>0</v>
      </c>
      <c r="S2051">
        <v>0</v>
      </c>
      <c r="T2051">
        <v>12</v>
      </c>
      <c r="U2051">
        <v>17</v>
      </c>
    </row>
    <row r="2052" spans="1:21" x14ac:dyDescent="0.35">
      <c r="A2052" t="s">
        <v>26</v>
      </c>
      <c r="B2052" s="1">
        <v>44457</v>
      </c>
      <c r="C2052" t="s">
        <v>24</v>
      </c>
      <c r="D2052">
        <v>1.4</v>
      </c>
      <c r="E2052">
        <v>0</v>
      </c>
      <c r="F2052">
        <v>0</v>
      </c>
      <c r="G2052">
        <v>0</v>
      </c>
      <c r="H2052">
        <v>0</v>
      </c>
      <c r="I2052">
        <v>0</v>
      </c>
      <c r="J2052">
        <v>0</v>
      </c>
      <c r="K2052">
        <v>0</v>
      </c>
      <c r="L2052">
        <v>0</v>
      </c>
      <c r="M2052">
        <v>0</v>
      </c>
      <c r="N2052">
        <v>210448</v>
      </c>
      <c r="O2052">
        <v>0</v>
      </c>
      <c r="P2052">
        <v>0</v>
      </c>
      <c r="Q2052">
        <v>3</v>
      </c>
      <c r="R2052">
        <v>0</v>
      </c>
      <c r="S2052">
        <v>0</v>
      </c>
      <c r="T2052">
        <v>5</v>
      </c>
      <c r="U2052">
        <v>11</v>
      </c>
    </row>
    <row r="2053" spans="1:21" x14ac:dyDescent="0.35">
      <c r="A2053" t="s">
        <v>28</v>
      </c>
      <c r="B2053" s="1">
        <v>45192</v>
      </c>
      <c r="C2053" t="s">
        <v>24</v>
      </c>
      <c r="D2053">
        <v>12.3</v>
      </c>
      <c r="E2053">
        <v>12.1</v>
      </c>
      <c r="F2053">
        <v>0</v>
      </c>
      <c r="G2053">
        <v>1</v>
      </c>
      <c r="H2053">
        <v>0</v>
      </c>
      <c r="I2053">
        <v>0</v>
      </c>
      <c r="J2053">
        <v>0</v>
      </c>
      <c r="K2053">
        <v>0</v>
      </c>
      <c r="L2053">
        <v>0</v>
      </c>
      <c r="M2053">
        <v>0</v>
      </c>
      <c r="N2053">
        <v>89403</v>
      </c>
      <c r="O2053">
        <v>82669</v>
      </c>
      <c r="P2053">
        <v>21266</v>
      </c>
      <c r="Q2053">
        <v>11</v>
      </c>
      <c r="R2053">
        <v>10</v>
      </c>
      <c r="S2053">
        <v>0</v>
      </c>
      <c r="T2053">
        <v>5</v>
      </c>
      <c r="U2053">
        <v>11</v>
      </c>
    </row>
    <row r="2054" spans="1:21" x14ac:dyDescent="0.35">
      <c r="A2054" t="s">
        <v>26</v>
      </c>
      <c r="B2054" s="1">
        <v>44464</v>
      </c>
      <c r="C2054" t="s">
        <v>24</v>
      </c>
      <c r="D2054">
        <v>0.5</v>
      </c>
      <c r="E2054">
        <v>0</v>
      </c>
      <c r="F2054">
        <v>0</v>
      </c>
      <c r="G2054">
        <v>0</v>
      </c>
      <c r="H2054">
        <v>0</v>
      </c>
      <c r="I2054">
        <v>0</v>
      </c>
      <c r="J2054">
        <v>0</v>
      </c>
      <c r="K2054">
        <v>0</v>
      </c>
      <c r="L2054">
        <v>0</v>
      </c>
      <c r="M2054">
        <v>0</v>
      </c>
      <c r="N2054">
        <v>210448</v>
      </c>
      <c r="O2054">
        <v>0</v>
      </c>
      <c r="P2054">
        <v>0</v>
      </c>
      <c r="Q2054">
        <v>1</v>
      </c>
      <c r="R2054">
        <v>0</v>
      </c>
      <c r="S2054">
        <v>0</v>
      </c>
      <c r="T2054">
        <v>5</v>
      </c>
      <c r="U2054">
        <v>11</v>
      </c>
    </row>
    <row r="2055" spans="1:21" x14ac:dyDescent="0.35">
      <c r="A2055" t="s">
        <v>26</v>
      </c>
      <c r="B2055" s="1">
        <v>44338</v>
      </c>
      <c r="C2055" t="s">
        <v>30</v>
      </c>
      <c r="D2055">
        <v>34.1</v>
      </c>
      <c r="E2055">
        <v>4.2</v>
      </c>
      <c r="F2055">
        <v>0</v>
      </c>
      <c r="G2055">
        <v>8.1</v>
      </c>
      <c r="H2055">
        <v>0</v>
      </c>
      <c r="I2055">
        <v>0</v>
      </c>
      <c r="J2055">
        <v>0</v>
      </c>
      <c r="K2055">
        <v>0</v>
      </c>
      <c r="L2055">
        <v>0</v>
      </c>
      <c r="M2055">
        <v>0</v>
      </c>
      <c r="N2055">
        <v>35155</v>
      </c>
      <c r="O2055">
        <v>47103</v>
      </c>
      <c r="P2055">
        <v>0</v>
      </c>
      <c r="Q2055">
        <v>12</v>
      </c>
      <c r="R2055">
        <v>2</v>
      </c>
      <c r="S2055">
        <v>0</v>
      </c>
      <c r="T2055">
        <v>80</v>
      </c>
      <c r="U2055">
        <v>200</v>
      </c>
    </row>
    <row r="2056" spans="1:21" x14ac:dyDescent="0.35">
      <c r="A2056" t="s">
        <v>26</v>
      </c>
      <c r="B2056" s="1">
        <v>44237</v>
      </c>
      <c r="C2056" t="s">
        <v>32</v>
      </c>
      <c r="D2056">
        <v>0.6</v>
      </c>
      <c r="E2056">
        <v>0</v>
      </c>
      <c r="F2056">
        <v>0</v>
      </c>
      <c r="G2056">
        <v>0</v>
      </c>
      <c r="H2056">
        <v>0</v>
      </c>
      <c r="I2056">
        <v>0</v>
      </c>
      <c r="J2056">
        <v>0</v>
      </c>
      <c r="K2056">
        <v>0</v>
      </c>
      <c r="L2056">
        <v>0</v>
      </c>
      <c r="M2056">
        <v>0</v>
      </c>
      <c r="N2056">
        <v>162642</v>
      </c>
      <c r="O2056">
        <v>0</v>
      </c>
      <c r="P2056">
        <v>0</v>
      </c>
      <c r="Q2056">
        <v>1</v>
      </c>
      <c r="R2056">
        <v>0</v>
      </c>
      <c r="S2056">
        <v>0</v>
      </c>
      <c r="T2056">
        <v>0</v>
      </c>
      <c r="U2056">
        <v>4</v>
      </c>
    </row>
    <row r="2057" spans="1:21" x14ac:dyDescent="0.35">
      <c r="A2057" t="s">
        <v>26</v>
      </c>
      <c r="B2057" s="1">
        <v>44237</v>
      </c>
      <c r="C2057" t="s">
        <v>24</v>
      </c>
      <c r="D2057">
        <v>0</v>
      </c>
      <c r="E2057">
        <v>0</v>
      </c>
      <c r="F2057">
        <v>0</v>
      </c>
      <c r="G2057">
        <v>0</v>
      </c>
      <c r="H2057">
        <v>0</v>
      </c>
      <c r="I2057">
        <v>0</v>
      </c>
      <c r="J2057">
        <v>0</v>
      </c>
      <c r="K2057">
        <v>0</v>
      </c>
      <c r="L2057">
        <v>0</v>
      </c>
      <c r="M2057">
        <v>0</v>
      </c>
      <c r="N2057">
        <v>210448</v>
      </c>
      <c r="O2057">
        <v>0</v>
      </c>
      <c r="P2057">
        <v>0</v>
      </c>
      <c r="Q2057">
        <v>0</v>
      </c>
      <c r="R2057">
        <v>0</v>
      </c>
      <c r="S2057">
        <v>0</v>
      </c>
      <c r="T2057">
        <v>5</v>
      </c>
      <c r="U2057">
        <v>11</v>
      </c>
    </row>
    <row r="2058" spans="1:21" x14ac:dyDescent="0.35">
      <c r="A2058" t="s">
        <v>26</v>
      </c>
      <c r="B2058" s="1">
        <v>44449</v>
      </c>
      <c r="C2058" t="s">
        <v>32</v>
      </c>
      <c r="D2058">
        <v>2.5</v>
      </c>
      <c r="E2058">
        <v>0</v>
      </c>
      <c r="F2058">
        <v>0</v>
      </c>
      <c r="G2058">
        <v>0</v>
      </c>
      <c r="H2058">
        <v>0</v>
      </c>
      <c r="I2058">
        <v>0</v>
      </c>
      <c r="J2058">
        <v>0</v>
      </c>
      <c r="K2058">
        <v>0</v>
      </c>
      <c r="L2058">
        <v>0</v>
      </c>
      <c r="M2058">
        <v>0</v>
      </c>
      <c r="N2058">
        <v>162642</v>
      </c>
      <c r="O2058">
        <v>0</v>
      </c>
      <c r="P2058">
        <v>0</v>
      </c>
      <c r="Q2058">
        <v>4</v>
      </c>
      <c r="R2058">
        <v>0</v>
      </c>
      <c r="S2058">
        <v>0</v>
      </c>
      <c r="T2058">
        <v>0</v>
      </c>
      <c r="U2058">
        <v>4</v>
      </c>
    </row>
    <row r="2059" spans="1:21" x14ac:dyDescent="0.35">
      <c r="A2059" t="s">
        <v>26</v>
      </c>
      <c r="B2059" s="1">
        <v>44449</v>
      </c>
      <c r="C2059" t="s">
        <v>24</v>
      </c>
      <c r="D2059">
        <v>0.5</v>
      </c>
      <c r="E2059">
        <v>0</v>
      </c>
      <c r="F2059">
        <v>0</v>
      </c>
      <c r="G2059">
        <v>0</v>
      </c>
      <c r="H2059">
        <v>0</v>
      </c>
      <c r="I2059">
        <v>0</v>
      </c>
      <c r="J2059">
        <v>0</v>
      </c>
      <c r="K2059">
        <v>0</v>
      </c>
      <c r="L2059">
        <v>0</v>
      </c>
      <c r="M2059">
        <v>0</v>
      </c>
      <c r="N2059">
        <v>210448</v>
      </c>
      <c r="O2059">
        <v>0</v>
      </c>
      <c r="P2059">
        <v>0</v>
      </c>
      <c r="Q2059">
        <v>1</v>
      </c>
      <c r="R2059">
        <v>0</v>
      </c>
      <c r="S2059">
        <v>0</v>
      </c>
      <c r="T2059">
        <v>5</v>
      </c>
      <c r="U2059">
        <v>11</v>
      </c>
    </row>
    <row r="2060" spans="1:21" x14ac:dyDescent="0.35">
      <c r="A2060" t="s">
        <v>26</v>
      </c>
      <c r="B2060" s="1">
        <v>44485</v>
      </c>
      <c r="C2060" t="s">
        <v>32</v>
      </c>
      <c r="D2060">
        <v>0</v>
      </c>
      <c r="E2060">
        <v>0</v>
      </c>
      <c r="F2060">
        <v>0</v>
      </c>
      <c r="G2060">
        <v>0</v>
      </c>
      <c r="H2060">
        <v>0</v>
      </c>
      <c r="I2060">
        <v>0</v>
      </c>
      <c r="J2060">
        <v>0</v>
      </c>
      <c r="K2060">
        <v>0</v>
      </c>
      <c r="L2060">
        <v>0</v>
      </c>
      <c r="M2060">
        <v>0</v>
      </c>
      <c r="N2060">
        <v>162642</v>
      </c>
      <c r="O2060">
        <v>0</v>
      </c>
      <c r="P2060">
        <v>0</v>
      </c>
      <c r="Q2060">
        <v>0</v>
      </c>
      <c r="R2060">
        <v>0</v>
      </c>
      <c r="S2060">
        <v>0</v>
      </c>
      <c r="T2060">
        <v>0</v>
      </c>
      <c r="U2060">
        <v>4</v>
      </c>
    </row>
    <row r="2061" spans="1:21" x14ac:dyDescent="0.35">
      <c r="A2061" t="s">
        <v>26</v>
      </c>
      <c r="B2061" s="1">
        <v>44485</v>
      </c>
      <c r="C2061" t="s">
        <v>24</v>
      </c>
      <c r="D2061">
        <v>0</v>
      </c>
      <c r="E2061">
        <v>0</v>
      </c>
      <c r="F2061">
        <v>0</v>
      </c>
      <c r="G2061">
        <v>0</v>
      </c>
      <c r="H2061">
        <v>0</v>
      </c>
      <c r="I2061">
        <v>0</v>
      </c>
      <c r="J2061">
        <v>0</v>
      </c>
      <c r="K2061">
        <v>0</v>
      </c>
      <c r="L2061">
        <v>0</v>
      </c>
      <c r="M2061">
        <v>0</v>
      </c>
      <c r="N2061">
        <v>210448</v>
      </c>
      <c r="O2061">
        <v>0</v>
      </c>
      <c r="P2061">
        <v>0</v>
      </c>
      <c r="Q2061">
        <v>0</v>
      </c>
      <c r="R2061">
        <v>0</v>
      </c>
      <c r="S2061">
        <v>0</v>
      </c>
      <c r="T2061">
        <v>5</v>
      </c>
      <c r="U2061">
        <v>11</v>
      </c>
    </row>
    <row r="2062" spans="1:21" x14ac:dyDescent="0.35">
      <c r="A2062" t="s">
        <v>26</v>
      </c>
      <c r="B2062" s="1">
        <v>44492</v>
      </c>
      <c r="C2062" t="s">
        <v>32</v>
      </c>
      <c r="D2062">
        <v>0</v>
      </c>
      <c r="E2062">
        <v>0</v>
      </c>
      <c r="F2062">
        <v>0</v>
      </c>
      <c r="G2062">
        <v>0</v>
      </c>
      <c r="H2062">
        <v>0</v>
      </c>
      <c r="I2062">
        <v>0</v>
      </c>
      <c r="J2062">
        <v>0</v>
      </c>
      <c r="K2062">
        <v>0</v>
      </c>
      <c r="L2062">
        <v>0</v>
      </c>
      <c r="M2062">
        <v>0</v>
      </c>
      <c r="N2062">
        <v>162642</v>
      </c>
      <c r="O2062">
        <v>0</v>
      </c>
      <c r="P2062">
        <v>0</v>
      </c>
      <c r="Q2062">
        <v>0</v>
      </c>
      <c r="R2062">
        <v>0</v>
      </c>
      <c r="S2062">
        <v>0</v>
      </c>
      <c r="T2062">
        <v>0</v>
      </c>
      <c r="U2062">
        <v>4</v>
      </c>
    </row>
    <row r="2063" spans="1:21" x14ac:dyDescent="0.35">
      <c r="A2063" t="s">
        <v>26</v>
      </c>
      <c r="B2063" s="1">
        <v>44492</v>
      </c>
      <c r="C2063" t="s">
        <v>24</v>
      </c>
      <c r="D2063">
        <v>0</v>
      </c>
      <c r="E2063">
        <v>0</v>
      </c>
      <c r="F2063">
        <v>0</v>
      </c>
      <c r="G2063">
        <v>0</v>
      </c>
      <c r="H2063">
        <v>0</v>
      </c>
      <c r="I2063">
        <v>0</v>
      </c>
      <c r="J2063">
        <v>0</v>
      </c>
      <c r="K2063">
        <v>0</v>
      </c>
      <c r="L2063">
        <v>0</v>
      </c>
      <c r="M2063">
        <v>0</v>
      </c>
      <c r="N2063">
        <v>210448</v>
      </c>
      <c r="O2063">
        <v>0</v>
      </c>
      <c r="P2063">
        <v>0</v>
      </c>
      <c r="Q2063">
        <v>0</v>
      </c>
      <c r="R2063">
        <v>0</v>
      </c>
      <c r="S2063">
        <v>0</v>
      </c>
      <c r="T2063">
        <v>5</v>
      </c>
      <c r="U2063">
        <v>11</v>
      </c>
    </row>
    <row r="2064" spans="1:21" x14ac:dyDescent="0.35">
      <c r="A2064" t="s">
        <v>26</v>
      </c>
      <c r="B2064" s="1">
        <v>44499</v>
      </c>
      <c r="C2064" t="s">
        <v>32</v>
      </c>
      <c r="D2064">
        <v>0</v>
      </c>
      <c r="E2064">
        <v>0</v>
      </c>
      <c r="F2064">
        <v>0</v>
      </c>
      <c r="G2064">
        <v>0</v>
      </c>
      <c r="H2064">
        <v>0</v>
      </c>
      <c r="I2064">
        <v>0</v>
      </c>
      <c r="J2064">
        <v>0</v>
      </c>
      <c r="K2064">
        <v>0</v>
      </c>
      <c r="L2064">
        <v>0</v>
      </c>
      <c r="M2064">
        <v>0</v>
      </c>
      <c r="N2064">
        <v>162642</v>
      </c>
      <c r="O2064">
        <v>0</v>
      </c>
      <c r="P2064">
        <v>0</v>
      </c>
      <c r="Q2064">
        <v>0</v>
      </c>
      <c r="R2064">
        <v>0</v>
      </c>
      <c r="S2064">
        <v>0</v>
      </c>
      <c r="T2064">
        <v>0</v>
      </c>
      <c r="U2064">
        <v>4</v>
      </c>
    </row>
    <row r="2065" spans="1:21" x14ac:dyDescent="0.35">
      <c r="A2065" t="s">
        <v>26</v>
      </c>
      <c r="B2065" s="1">
        <v>44499</v>
      </c>
      <c r="C2065" t="s">
        <v>24</v>
      </c>
      <c r="D2065">
        <v>0.5</v>
      </c>
      <c r="E2065">
        <v>0</v>
      </c>
      <c r="F2065">
        <v>0</v>
      </c>
      <c r="G2065">
        <v>0</v>
      </c>
      <c r="H2065">
        <v>0</v>
      </c>
      <c r="I2065">
        <v>0</v>
      </c>
      <c r="J2065">
        <v>0</v>
      </c>
      <c r="K2065">
        <v>0</v>
      </c>
      <c r="L2065">
        <v>0</v>
      </c>
      <c r="M2065">
        <v>0</v>
      </c>
      <c r="N2065">
        <v>210448</v>
      </c>
      <c r="O2065">
        <v>0</v>
      </c>
      <c r="P2065">
        <v>0</v>
      </c>
      <c r="Q2065">
        <v>1</v>
      </c>
      <c r="R2065">
        <v>0</v>
      </c>
      <c r="S2065">
        <v>0</v>
      </c>
      <c r="T2065">
        <v>5</v>
      </c>
      <c r="U2065">
        <v>11</v>
      </c>
    </row>
    <row r="2066" spans="1:21" x14ac:dyDescent="0.35">
      <c r="A2066" t="s">
        <v>28</v>
      </c>
      <c r="B2066" s="1">
        <v>44811</v>
      </c>
      <c r="C2066" t="s">
        <v>23</v>
      </c>
      <c r="D2066">
        <v>433.7</v>
      </c>
      <c r="E2066">
        <v>144.69999999999999</v>
      </c>
      <c r="F2066">
        <v>264.5</v>
      </c>
      <c r="G2066">
        <v>3</v>
      </c>
      <c r="H2066">
        <v>1.6</v>
      </c>
      <c r="I2066">
        <v>0</v>
      </c>
      <c r="J2066">
        <v>0</v>
      </c>
      <c r="K2066">
        <v>0</v>
      </c>
      <c r="L2066">
        <v>0</v>
      </c>
      <c r="M2066">
        <v>0</v>
      </c>
      <c r="N2066">
        <v>41738</v>
      </c>
      <c r="O2066">
        <v>129197</v>
      </c>
      <c r="P2066">
        <v>240866</v>
      </c>
      <c r="Q2066">
        <v>181</v>
      </c>
      <c r="R2066">
        <v>187</v>
      </c>
      <c r="S2066">
        <v>637</v>
      </c>
      <c r="T2066">
        <v>50</v>
      </c>
      <c r="U2066">
        <v>64</v>
      </c>
    </row>
    <row r="2067" spans="1:21" x14ac:dyDescent="0.35">
      <c r="A2067" t="s">
        <v>26</v>
      </c>
      <c r="B2067" s="1">
        <v>44358</v>
      </c>
      <c r="C2067" t="s">
        <v>32</v>
      </c>
      <c r="D2067">
        <v>0</v>
      </c>
      <c r="E2067">
        <v>0</v>
      </c>
      <c r="F2067">
        <v>0</v>
      </c>
      <c r="G2067">
        <v>0</v>
      </c>
      <c r="H2067">
        <v>0</v>
      </c>
      <c r="I2067">
        <v>0</v>
      </c>
      <c r="J2067">
        <v>0</v>
      </c>
      <c r="K2067">
        <v>0</v>
      </c>
      <c r="L2067">
        <v>0</v>
      </c>
      <c r="M2067">
        <v>0</v>
      </c>
      <c r="N2067">
        <v>162642</v>
      </c>
      <c r="O2067">
        <v>0</v>
      </c>
      <c r="P2067">
        <v>0</v>
      </c>
      <c r="Q2067">
        <v>0</v>
      </c>
      <c r="R2067">
        <v>0</v>
      </c>
      <c r="S2067">
        <v>0</v>
      </c>
      <c r="T2067">
        <v>0</v>
      </c>
      <c r="U2067">
        <v>4</v>
      </c>
    </row>
    <row r="2068" spans="1:21" x14ac:dyDescent="0.35">
      <c r="A2068" t="s">
        <v>28</v>
      </c>
      <c r="B2068" s="1">
        <v>45117</v>
      </c>
      <c r="C2068" t="s">
        <v>32</v>
      </c>
      <c r="D2068">
        <v>25.2</v>
      </c>
      <c r="E2068">
        <v>2.5</v>
      </c>
      <c r="F2068">
        <v>0</v>
      </c>
      <c r="G2068">
        <v>10.1</v>
      </c>
      <c r="H2068">
        <v>0</v>
      </c>
      <c r="I2068">
        <v>0</v>
      </c>
      <c r="J2068">
        <v>0</v>
      </c>
      <c r="K2068">
        <v>0</v>
      </c>
      <c r="L2068">
        <v>0</v>
      </c>
      <c r="M2068">
        <v>0</v>
      </c>
      <c r="N2068">
        <v>162642</v>
      </c>
      <c r="O2068">
        <v>0</v>
      </c>
      <c r="P2068">
        <v>0</v>
      </c>
      <c r="Q2068">
        <v>41</v>
      </c>
      <c r="R2068">
        <v>4</v>
      </c>
      <c r="S2068">
        <v>0</v>
      </c>
      <c r="T2068">
        <v>0</v>
      </c>
      <c r="U2068">
        <v>4</v>
      </c>
    </row>
    <row r="2069" spans="1:21" x14ac:dyDescent="0.35">
      <c r="A2069" t="s">
        <v>26</v>
      </c>
      <c r="B2069" s="1">
        <v>45101</v>
      </c>
      <c r="C2069" t="s">
        <v>23</v>
      </c>
      <c r="D2069">
        <v>3.1</v>
      </c>
      <c r="E2069">
        <v>0</v>
      </c>
      <c r="F2069">
        <v>0.8</v>
      </c>
      <c r="G2069">
        <v>0</v>
      </c>
      <c r="H2069">
        <v>3.9</v>
      </c>
      <c r="I2069">
        <v>0</v>
      </c>
      <c r="J2069">
        <v>0</v>
      </c>
      <c r="K2069">
        <v>0</v>
      </c>
      <c r="L2069">
        <v>0</v>
      </c>
      <c r="M2069">
        <v>0</v>
      </c>
      <c r="N2069">
        <v>32713</v>
      </c>
      <c r="O2069">
        <v>125736</v>
      </c>
      <c r="P2069">
        <v>246925</v>
      </c>
      <c r="Q2069">
        <v>1</v>
      </c>
      <c r="R2069">
        <v>0</v>
      </c>
      <c r="S2069">
        <v>2</v>
      </c>
      <c r="T2069">
        <v>50</v>
      </c>
      <c r="U2069">
        <v>64</v>
      </c>
    </row>
    <row r="2070" spans="1:21" x14ac:dyDescent="0.35">
      <c r="A2070" t="s">
        <v>26</v>
      </c>
      <c r="B2070" s="1">
        <v>44298</v>
      </c>
      <c r="C2070" t="s">
        <v>30</v>
      </c>
      <c r="D2070">
        <v>139.69999999999999</v>
      </c>
      <c r="E2070">
        <v>67.2</v>
      </c>
      <c r="F2070">
        <v>15.4</v>
      </c>
      <c r="G2070">
        <v>2.1</v>
      </c>
      <c r="H2070">
        <v>9.1</v>
      </c>
      <c r="I2070">
        <v>0</v>
      </c>
      <c r="J2070">
        <v>0</v>
      </c>
      <c r="K2070">
        <v>0</v>
      </c>
      <c r="L2070">
        <v>0</v>
      </c>
      <c r="M2070">
        <v>0</v>
      </c>
      <c r="N2070">
        <v>28623</v>
      </c>
      <c r="O2070">
        <v>29758</v>
      </c>
      <c r="P2070">
        <v>25961</v>
      </c>
      <c r="Q2070">
        <v>40</v>
      </c>
      <c r="R2070">
        <v>20</v>
      </c>
      <c r="S2070">
        <v>4</v>
      </c>
      <c r="T2070">
        <v>80</v>
      </c>
      <c r="U2070">
        <v>200</v>
      </c>
    </row>
    <row r="2071" spans="1:21" x14ac:dyDescent="0.35">
      <c r="A2071" t="s">
        <v>28</v>
      </c>
      <c r="B2071" s="1">
        <v>44571</v>
      </c>
      <c r="C2071" t="s">
        <v>29</v>
      </c>
      <c r="D2071">
        <v>127.9</v>
      </c>
      <c r="E2071">
        <v>50.4</v>
      </c>
      <c r="F2071">
        <v>90.2</v>
      </c>
      <c r="G2071">
        <v>2.5</v>
      </c>
      <c r="H2071">
        <v>1.4</v>
      </c>
      <c r="I2071">
        <v>0</v>
      </c>
      <c r="J2071">
        <v>0</v>
      </c>
      <c r="K2071">
        <v>0</v>
      </c>
      <c r="L2071">
        <v>0</v>
      </c>
      <c r="M2071">
        <v>0</v>
      </c>
      <c r="N2071">
        <v>122014</v>
      </c>
      <c r="O2071">
        <v>276030</v>
      </c>
      <c r="P2071">
        <v>346933</v>
      </c>
      <c r="Q2071">
        <v>156</v>
      </c>
      <c r="R2071">
        <v>139</v>
      </c>
      <c r="S2071">
        <v>313</v>
      </c>
      <c r="T2071">
        <v>30</v>
      </c>
      <c r="U2071">
        <v>49</v>
      </c>
    </row>
    <row r="2072" spans="1:21" x14ac:dyDescent="0.35">
      <c r="A2072" t="s">
        <v>26</v>
      </c>
      <c r="B2072" s="1">
        <v>44520</v>
      </c>
      <c r="C2072" t="s">
        <v>32</v>
      </c>
      <c r="D2072">
        <v>0.6</v>
      </c>
      <c r="E2072">
        <v>0</v>
      </c>
      <c r="F2072">
        <v>0</v>
      </c>
      <c r="G2072">
        <v>0</v>
      </c>
      <c r="H2072">
        <v>0</v>
      </c>
      <c r="I2072">
        <v>0</v>
      </c>
      <c r="J2072">
        <v>0</v>
      </c>
      <c r="K2072">
        <v>0</v>
      </c>
      <c r="L2072">
        <v>0</v>
      </c>
      <c r="M2072">
        <v>0</v>
      </c>
      <c r="N2072">
        <v>162642</v>
      </c>
      <c r="O2072">
        <v>0</v>
      </c>
      <c r="P2072">
        <v>0</v>
      </c>
      <c r="Q2072">
        <v>1</v>
      </c>
      <c r="R2072">
        <v>0</v>
      </c>
      <c r="S2072">
        <v>0</v>
      </c>
      <c r="T2072">
        <v>0</v>
      </c>
      <c r="U2072">
        <v>4</v>
      </c>
    </row>
    <row r="2073" spans="1:21" x14ac:dyDescent="0.35">
      <c r="A2073" t="s">
        <v>26</v>
      </c>
      <c r="B2073" s="1">
        <v>44527</v>
      </c>
      <c r="C2073" t="s">
        <v>32</v>
      </c>
      <c r="D2073">
        <v>0.6</v>
      </c>
      <c r="E2073">
        <v>0</v>
      </c>
      <c r="F2073">
        <v>0</v>
      </c>
      <c r="G2073">
        <v>0</v>
      </c>
      <c r="H2073">
        <v>0</v>
      </c>
      <c r="I2073">
        <v>0</v>
      </c>
      <c r="J2073">
        <v>0</v>
      </c>
      <c r="K2073">
        <v>0</v>
      </c>
      <c r="L2073">
        <v>0</v>
      </c>
      <c r="M2073">
        <v>0</v>
      </c>
      <c r="N2073">
        <v>162642</v>
      </c>
      <c r="O2073">
        <v>0</v>
      </c>
      <c r="P2073">
        <v>0</v>
      </c>
      <c r="Q2073">
        <v>1</v>
      </c>
      <c r="R2073">
        <v>0</v>
      </c>
      <c r="S2073">
        <v>0</v>
      </c>
      <c r="T2073">
        <v>0</v>
      </c>
      <c r="U2073">
        <v>4</v>
      </c>
    </row>
    <row r="2074" spans="1:21" x14ac:dyDescent="0.35">
      <c r="A2074" t="s">
        <v>26</v>
      </c>
      <c r="B2074" s="1">
        <v>44596</v>
      </c>
      <c r="C2074" t="s">
        <v>27</v>
      </c>
      <c r="D2074">
        <v>0</v>
      </c>
      <c r="E2074">
        <v>1</v>
      </c>
      <c r="F2074">
        <v>0</v>
      </c>
      <c r="G2074">
        <v>0</v>
      </c>
      <c r="H2074">
        <v>0</v>
      </c>
      <c r="I2074">
        <v>0</v>
      </c>
      <c r="J2074">
        <v>0</v>
      </c>
      <c r="K2074">
        <v>0</v>
      </c>
      <c r="L2074">
        <v>0</v>
      </c>
      <c r="M2074">
        <v>0</v>
      </c>
      <c r="N2074">
        <v>38227</v>
      </c>
      <c r="O2074">
        <v>95562</v>
      </c>
      <c r="P2074">
        <v>31203</v>
      </c>
      <c r="Q2074">
        <v>0</v>
      </c>
      <c r="R2074">
        <v>1</v>
      </c>
      <c r="S2074">
        <v>0</v>
      </c>
      <c r="T2074">
        <v>12</v>
      </c>
      <c r="U2074">
        <v>17</v>
      </c>
    </row>
    <row r="2075" spans="1:21" x14ac:dyDescent="0.35">
      <c r="A2075" t="s">
        <v>21</v>
      </c>
      <c r="B2075" s="1">
        <v>44259</v>
      </c>
      <c r="C2075" t="s">
        <v>23</v>
      </c>
      <c r="D2075">
        <v>3.8</v>
      </c>
      <c r="E2075">
        <v>0</v>
      </c>
      <c r="F2075">
        <v>0</v>
      </c>
      <c r="G2075">
        <v>0</v>
      </c>
      <c r="H2075">
        <v>0</v>
      </c>
      <c r="I2075">
        <v>0</v>
      </c>
      <c r="J2075">
        <v>0</v>
      </c>
      <c r="K2075">
        <v>0</v>
      </c>
      <c r="L2075">
        <v>0</v>
      </c>
      <c r="M2075">
        <v>0</v>
      </c>
      <c r="N2075">
        <v>234356</v>
      </c>
      <c r="O2075">
        <v>66383</v>
      </c>
      <c r="P2075">
        <v>0</v>
      </c>
      <c r="Q2075">
        <v>9</v>
      </c>
      <c r="R2075">
        <v>0</v>
      </c>
      <c r="S2075">
        <v>0</v>
      </c>
      <c r="T2075">
        <v>50</v>
      </c>
      <c r="U2075">
        <v>64</v>
      </c>
    </row>
    <row r="2076" spans="1:21" x14ac:dyDescent="0.35">
      <c r="A2076" t="s">
        <v>26</v>
      </c>
      <c r="B2076" s="1">
        <v>44298</v>
      </c>
      <c r="C2076" t="s">
        <v>32</v>
      </c>
      <c r="D2076">
        <v>2.5</v>
      </c>
      <c r="E2076">
        <v>0</v>
      </c>
      <c r="F2076">
        <v>0</v>
      </c>
      <c r="G2076">
        <v>0</v>
      </c>
      <c r="H2076">
        <v>0</v>
      </c>
      <c r="I2076">
        <v>0</v>
      </c>
      <c r="J2076">
        <v>0</v>
      </c>
      <c r="K2076">
        <v>0</v>
      </c>
      <c r="L2076">
        <v>0</v>
      </c>
      <c r="M2076">
        <v>0</v>
      </c>
      <c r="N2076">
        <v>162642</v>
      </c>
      <c r="O2076">
        <v>0</v>
      </c>
      <c r="P2076">
        <v>0</v>
      </c>
      <c r="Q2076">
        <v>4</v>
      </c>
      <c r="R2076">
        <v>0</v>
      </c>
      <c r="S2076">
        <v>0</v>
      </c>
      <c r="T2076">
        <v>0</v>
      </c>
      <c r="U2076">
        <v>4</v>
      </c>
    </row>
    <row r="2077" spans="1:21" x14ac:dyDescent="0.35">
      <c r="A2077" t="s">
        <v>28</v>
      </c>
      <c r="B2077" s="1">
        <v>44358</v>
      </c>
      <c r="C2077" t="s">
        <v>29</v>
      </c>
      <c r="D2077">
        <v>240.6</v>
      </c>
      <c r="E2077">
        <v>95.5</v>
      </c>
      <c r="F2077">
        <v>25.1</v>
      </c>
      <c r="G2077">
        <v>2.5</v>
      </c>
      <c r="H2077">
        <v>9.6</v>
      </c>
      <c r="I2077">
        <v>0</v>
      </c>
      <c r="J2077">
        <v>0</v>
      </c>
      <c r="K2077">
        <v>0</v>
      </c>
      <c r="L2077">
        <v>0</v>
      </c>
      <c r="M2077">
        <v>0</v>
      </c>
      <c r="N2077">
        <v>199928</v>
      </c>
      <c r="O2077">
        <v>527699</v>
      </c>
      <c r="P2077">
        <v>31898</v>
      </c>
      <c r="Q2077">
        <v>481</v>
      </c>
      <c r="R2077">
        <v>504</v>
      </c>
      <c r="S2077">
        <v>8</v>
      </c>
      <c r="T2077">
        <v>30</v>
      </c>
      <c r="U2077">
        <v>49</v>
      </c>
    </row>
    <row r="2078" spans="1:21" x14ac:dyDescent="0.35">
      <c r="A2078" t="s">
        <v>28</v>
      </c>
      <c r="B2078" s="1">
        <v>44457</v>
      </c>
      <c r="C2078" t="s">
        <v>24</v>
      </c>
      <c r="D2078">
        <v>154.4</v>
      </c>
      <c r="E2078">
        <v>0</v>
      </c>
      <c r="F2078">
        <v>0</v>
      </c>
      <c r="G2078">
        <v>0</v>
      </c>
      <c r="H2078">
        <v>0</v>
      </c>
      <c r="I2078">
        <v>0</v>
      </c>
      <c r="J2078">
        <v>0</v>
      </c>
      <c r="K2078">
        <v>0</v>
      </c>
      <c r="L2078">
        <v>0</v>
      </c>
      <c r="M2078">
        <v>0</v>
      </c>
      <c r="N2078">
        <v>210448</v>
      </c>
      <c r="O2078">
        <v>0</v>
      </c>
      <c r="P2078">
        <v>0</v>
      </c>
      <c r="Q2078">
        <v>325</v>
      </c>
      <c r="R2078">
        <v>0</v>
      </c>
      <c r="S2078">
        <v>0</v>
      </c>
      <c r="T2078">
        <v>5</v>
      </c>
      <c r="U2078">
        <v>11</v>
      </c>
    </row>
    <row r="2079" spans="1:21" x14ac:dyDescent="0.35">
      <c r="A2079" t="s">
        <v>26</v>
      </c>
      <c r="B2079" s="1">
        <v>44772</v>
      </c>
      <c r="C2079" t="s">
        <v>30</v>
      </c>
      <c r="D2079">
        <v>72.2</v>
      </c>
      <c r="E2079">
        <v>84.3</v>
      </c>
      <c r="F2079">
        <v>77.599999999999994</v>
      </c>
      <c r="G2079">
        <v>0.9</v>
      </c>
      <c r="H2079">
        <v>0.9</v>
      </c>
      <c r="I2079">
        <v>0</v>
      </c>
      <c r="J2079">
        <v>0</v>
      </c>
      <c r="K2079">
        <v>0</v>
      </c>
      <c r="L2079">
        <v>0</v>
      </c>
      <c r="M2079">
        <v>0</v>
      </c>
      <c r="N2079">
        <v>26322</v>
      </c>
      <c r="O2079">
        <v>11862</v>
      </c>
      <c r="P2079">
        <v>46378</v>
      </c>
      <c r="Q2079">
        <v>19</v>
      </c>
      <c r="R2079">
        <v>10</v>
      </c>
      <c r="S2079">
        <v>36</v>
      </c>
      <c r="T2079">
        <v>80</v>
      </c>
      <c r="U2079">
        <v>200</v>
      </c>
    </row>
    <row r="2080" spans="1:21" x14ac:dyDescent="0.35">
      <c r="A2080" t="s">
        <v>28</v>
      </c>
      <c r="B2080" s="1">
        <v>45241</v>
      </c>
      <c r="C2080" t="s">
        <v>30</v>
      </c>
      <c r="D2080">
        <v>87.4</v>
      </c>
      <c r="E2080">
        <v>155.1</v>
      </c>
      <c r="F2080">
        <v>135.30000000000001</v>
      </c>
      <c r="G2080">
        <v>0.6</v>
      </c>
      <c r="H2080">
        <v>0.6</v>
      </c>
      <c r="I2080">
        <v>0</v>
      </c>
      <c r="J2080">
        <v>0</v>
      </c>
      <c r="K2080">
        <v>0</v>
      </c>
      <c r="L2080">
        <v>0</v>
      </c>
      <c r="M2080">
        <v>0</v>
      </c>
      <c r="N2080">
        <v>24027</v>
      </c>
      <c r="O2080">
        <v>11603</v>
      </c>
      <c r="P2080">
        <v>47294</v>
      </c>
      <c r="Q2080">
        <v>21</v>
      </c>
      <c r="R2080">
        <v>18</v>
      </c>
      <c r="S2080">
        <v>64</v>
      </c>
      <c r="T2080">
        <v>80</v>
      </c>
      <c r="U2080">
        <v>200</v>
      </c>
    </row>
    <row r="2081" spans="1:21" x14ac:dyDescent="0.35">
      <c r="A2081" t="s">
        <v>21</v>
      </c>
      <c r="B2081" s="1">
        <v>45205</v>
      </c>
      <c r="C2081" t="s">
        <v>23</v>
      </c>
      <c r="D2081">
        <v>3</v>
      </c>
      <c r="E2081">
        <v>0</v>
      </c>
      <c r="F2081">
        <v>0</v>
      </c>
      <c r="G2081">
        <v>0</v>
      </c>
      <c r="H2081">
        <v>0</v>
      </c>
      <c r="I2081">
        <v>0</v>
      </c>
      <c r="J2081">
        <v>0</v>
      </c>
      <c r="K2081">
        <v>0</v>
      </c>
      <c r="L2081">
        <v>0</v>
      </c>
      <c r="M2081">
        <v>0</v>
      </c>
      <c r="N2081">
        <v>32808</v>
      </c>
      <c r="O2081">
        <v>125744</v>
      </c>
      <c r="P2081">
        <v>246916</v>
      </c>
      <c r="Q2081">
        <v>1</v>
      </c>
      <c r="R2081">
        <v>0</v>
      </c>
      <c r="S2081">
        <v>0</v>
      </c>
      <c r="T2081">
        <v>50</v>
      </c>
      <c r="U2081">
        <v>64</v>
      </c>
    </row>
    <row r="2082" spans="1:21" x14ac:dyDescent="0.35">
      <c r="A2082" t="s">
        <v>26</v>
      </c>
      <c r="B2082" s="1">
        <v>44331</v>
      </c>
      <c r="C2082" t="s">
        <v>30</v>
      </c>
      <c r="D2082">
        <v>53.2</v>
      </c>
      <c r="E2082">
        <v>4.4000000000000004</v>
      </c>
      <c r="F2082">
        <v>0</v>
      </c>
      <c r="G2082">
        <v>12.1</v>
      </c>
      <c r="H2082">
        <v>0</v>
      </c>
      <c r="I2082">
        <v>0</v>
      </c>
      <c r="J2082">
        <v>0</v>
      </c>
      <c r="K2082">
        <v>0</v>
      </c>
      <c r="L2082">
        <v>0</v>
      </c>
      <c r="M2082">
        <v>0</v>
      </c>
      <c r="N2082">
        <v>35729</v>
      </c>
      <c r="O2082">
        <v>45820</v>
      </c>
      <c r="P2082">
        <v>0</v>
      </c>
      <c r="Q2082">
        <v>19</v>
      </c>
      <c r="R2082">
        <v>2</v>
      </c>
      <c r="S2082">
        <v>0</v>
      </c>
      <c r="T2082">
        <v>80</v>
      </c>
      <c r="U2082">
        <v>200</v>
      </c>
    </row>
    <row r="2083" spans="1:21" x14ac:dyDescent="0.35">
      <c r="A2083" t="s">
        <v>21</v>
      </c>
      <c r="B2083" s="1">
        <v>45233</v>
      </c>
      <c r="C2083" t="s">
        <v>25</v>
      </c>
      <c r="D2083">
        <v>0</v>
      </c>
      <c r="E2083">
        <v>0</v>
      </c>
      <c r="F2083">
        <v>0</v>
      </c>
      <c r="G2083">
        <v>0</v>
      </c>
      <c r="H2083">
        <v>0</v>
      </c>
      <c r="I2083">
        <v>0</v>
      </c>
      <c r="J2083">
        <v>0</v>
      </c>
      <c r="K2083">
        <v>0</v>
      </c>
      <c r="L2083">
        <v>0</v>
      </c>
      <c r="M2083">
        <v>0</v>
      </c>
      <c r="N2083">
        <v>76587</v>
      </c>
      <c r="O2083">
        <v>213618</v>
      </c>
      <c r="P2083">
        <v>161667</v>
      </c>
      <c r="Q2083">
        <v>0</v>
      </c>
      <c r="R2083">
        <v>0</v>
      </c>
      <c r="S2083">
        <v>0</v>
      </c>
      <c r="T2083">
        <v>18</v>
      </c>
      <c r="U2083">
        <v>29</v>
      </c>
    </row>
    <row r="2084" spans="1:21" x14ac:dyDescent="0.35">
      <c r="A2084" t="s">
        <v>28</v>
      </c>
      <c r="B2084" s="1">
        <v>44674</v>
      </c>
      <c r="C2084" t="s">
        <v>27</v>
      </c>
      <c r="D2084">
        <v>177.5</v>
      </c>
      <c r="E2084">
        <v>95.9</v>
      </c>
      <c r="F2084">
        <v>165.1</v>
      </c>
      <c r="G2084">
        <v>1.9</v>
      </c>
      <c r="H2084">
        <v>1.1000000000000001</v>
      </c>
      <c r="I2084">
        <v>0</v>
      </c>
      <c r="J2084">
        <v>0</v>
      </c>
      <c r="K2084">
        <v>0</v>
      </c>
      <c r="L2084">
        <v>0</v>
      </c>
      <c r="M2084">
        <v>0</v>
      </c>
      <c r="N2084">
        <v>37746</v>
      </c>
      <c r="O2084">
        <v>94929</v>
      </c>
      <c r="P2084">
        <v>32716</v>
      </c>
      <c r="Q2084">
        <v>67</v>
      </c>
      <c r="R2084">
        <v>91</v>
      </c>
      <c r="S2084">
        <v>54</v>
      </c>
      <c r="T2084">
        <v>12</v>
      </c>
      <c r="U2084">
        <v>17</v>
      </c>
    </row>
    <row r="2085" spans="1:21" x14ac:dyDescent="0.35">
      <c r="A2085" t="s">
        <v>28</v>
      </c>
      <c r="B2085" s="1">
        <v>45233</v>
      </c>
      <c r="C2085" t="s">
        <v>30</v>
      </c>
      <c r="D2085">
        <v>77</v>
      </c>
      <c r="E2085">
        <v>131.80000000000001</v>
      </c>
      <c r="F2085">
        <v>129.4</v>
      </c>
      <c r="G2085">
        <v>0.6</v>
      </c>
      <c r="H2085">
        <v>0.6</v>
      </c>
      <c r="I2085">
        <v>0</v>
      </c>
      <c r="J2085">
        <v>0</v>
      </c>
      <c r="K2085">
        <v>0</v>
      </c>
      <c r="L2085">
        <v>0</v>
      </c>
      <c r="M2085">
        <v>0</v>
      </c>
      <c r="N2085">
        <v>24673</v>
      </c>
      <c r="O2085">
        <v>11378</v>
      </c>
      <c r="P2085">
        <v>47126</v>
      </c>
      <c r="Q2085">
        <v>19</v>
      </c>
      <c r="R2085">
        <v>15</v>
      </c>
      <c r="S2085">
        <v>61</v>
      </c>
      <c r="T2085">
        <v>80</v>
      </c>
      <c r="U2085">
        <v>200</v>
      </c>
    </row>
    <row r="2086" spans="1:21" x14ac:dyDescent="0.35">
      <c r="A2086" t="s">
        <v>21</v>
      </c>
      <c r="B2086" s="1">
        <v>44201</v>
      </c>
      <c r="C2086" t="s">
        <v>25</v>
      </c>
      <c r="D2086">
        <v>0</v>
      </c>
      <c r="E2086">
        <v>0</v>
      </c>
      <c r="F2086">
        <v>0</v>
      </c>
      <c r="G2086">
        <v>0</v>
      </c>
      <c r="H2086">
        <v>0</v>
      </c>
      <c r="I2086">
        <v>0</v>
      </c>
      <c r="J2086">
        <v>0</v>
      </c>
      <c r="K2086">
        <v>0</v>
      </c>
      <c r="L2086">
        <v>0</v>
      </c>
      <c r="M2086">
        <v>0</v>
      </c>
      <c r="N2086">
        <v>284798</v>
      </c>
      <c r="O2086">
        <v>107854</v>
      </c>
      <c r="P2086">
        <v>0</v>
      </c>
      <c r="Q2086">
        <v>0</v>
      </c>
      <c r="R2086">
        <v>0</v>
      </c>
      <c r="S2086">
        <v>0</v>
      </c>
      <c r="T2086">
        <v>18</v>
      </c>
      <c r="U2086">
        <v>29</v>
      </c>
    </row>
    <row r="2087" spans="1:21" x14ac:dyDescent="0.35">
      <c r="A2087" t="s">
        <v>26</v>
      </c>
      <c r="B2087" s="1">
        <v>44464</v>
      </c>
      <c r="C2087" t="s">
        <v>31</v>
      </c>
      <c r="D2087">
        <v>39.5</v>
      </c>
      <c r="E2087">
        <v>9.3000000000000007</v>
      </c>
      <c r="F2087">
        <v>0</v>
      </c>
      <c r="G2087">
        <v>4.2</v>
      </c>
      <c r="H2087">
        <v>0</v>
      </c>
      <c r="I2087">
        <v>0</v>
      </c>
      <c r="J2087">
        <v>0</v>
      </c>
      <c r="K2087">
        <v>0</v>
      </c>
      <c r="L2087">
        <v>0</v>
      </c>
      <c r="M2087">
        <v>0</v>
      </c>
      <c r="N2087">
        <v>63251</v>
      </c>
      <c r="O2087">
        <v>193577</v>
      </c>
      <c r="P2087">
        <v>0</v>
      </c>
      <c r="Q2087">
        <v>25</v>
      </c>
      <c r="R2087">
        <v>18</v>
      </c>
      <c r="S2087">
        <v>0</v>
      </c>
      <c r="T2087">
        <v>65</v>
      </c>
      <c r="U2087">
        <v>79</v>
      </c>
    </row>
    <row r="2088" spans="1:21" x14ac:dyDescent="0.35">
      <c r="A2088" t="s">
        <v>28</v>
      </c>
      <c r="B2088" s="1">
        <v>45199</v>
      </c>
      <c r="C2088" t="s">
        <v>24</v>
      </c>
      <c r="D2088">
        <v>10.1</v>
      </c>
      <c r="E2088">
        <v>9.6999999999999993</v>
      </c>
      <c r="F2088">
        <v>9.4</v>
      </c>
      <c r="G2088">
        <v>1</v>
      </c>
      <c r="H2088">
        <v>1.1000000000000001</v>
      </c>
      <c r="I2088">
        <v>0</v>
      </c>
      <c r="J2088">
        <v>0</v>
      </c>
      <c r="K2088">
        <v>0</v>
      </c>
      <c r="L2088">
        <v>0</v>
      </c>
      <c r="M2088">
        <v>0</v>
      </c>
      <c r="N2088">
        <v>89396</v>
      </c>
      <c r="O2088">
        <v>82669</v>
      </c>
      <c r="P2088">
        <v>21266</v>
      </c>
      <c r="Q2088">
        <v>9</v>
      </c>
      <c r="R2088">
        <v>8</v>
      </c>
      <c r="S2088">
        <v>2</v>
      </c>
      <c r="T2088">
        <v>5</v>
      </c>
      <c r="U2088">
        <v>11</v>
      </c>
    </row>
    <row r="2089" spans="1:21" x14ac:dyDescent="0.35">
      <c r="A2089" t="s">
        <v>26</v>
      </c>
      <c r="B2089" s="1">
        <v>44590</v>
      </c>
      <c r="C2089" t="s">
        <v>31</v>
      </c>
      <c r="D2089">
        <v>97.9</v>
      </c>
      <c r="E2089">
        <v>68.7</v>
      </c>
      <c r="F2089">
        <v>21.3</v>
      </c>
      <c r="G2089">
        <v>1.4</v>
      </c>
      <c r="H2089">
        <v>4.5999999999999996</v>
      </c>
      <c r="I2089">
        <v>0</v>
      </c>
      <c r="J2089">
        <v>0</v>
      </c>
      <c r="K2089">
        <v>0</v>
      </c>
      <c r="L2089">
        <v>0</v>
      </c>
      <c r="M2089">
        <v>0</v>
      </c>
      <c r="N2089">
        <v>50056</v>
      </c>
      <c r="O2089">
        <v>62587</v>
      </c>
      <c r="P2089">
        <v>145762</v>
      </c>
      <c r="Q2089">
        <v>49</v>
      </c>
      <c r="R2089">
        <v>43</v>
      </c>
      <c r="S2089">
        <v>31</v>
      </c>
      <c r="T2089">
        <v>65</v>
      </c>
      <c r="U2089">
        <v>79</v>
      </c>
    </row>
    <row r="2090" spans="1:21" x14ac:dyDescent="0.35">
      <c r="A2090" t="s">
        <v>21</v>
      </c>
      <c r="B2090" s="1">
        <v>44747</v>
      </c>
      <c r="C2090" t="s">
        <v>27</v>
      </c>
      <c r="D2090">
        <v>0</v>
      </c>
      <c r="E2090">
        <v>0</v>
      </c>
      <c r="F2090">
        <v>0</v>
      </c>
      <c r="G2090">
        <v>0</v>
      </c>
      <c r="H2090">
        <v>0</v>
      </c>
      <c r="I2090">
        <v>0</v>
      </c>
      <c r="J2090">
        <v>0</v>
      </c>
      <c r="K2090">
        <v>0</v>
      </c>
      <c r="L2090">
        <v>0</v>
      </c>
      <c r="M2090">
        <v>0</v>
      </c>
      <c r="N2090">
        <v>37479</v>
      </c>
      <c r="O2090">
        <v>94246</v>
      </c>
      <c r="P2090">
        <v>33698</v>
      </c>
      <c r="Q2090">
        <v>0</v>
      </c>
      <c r="R2090">
        <v>0</v>
      </c>
      <c r="S2090">
        <v>0</v>
      </c>
      <c r="T2090">
        <v>12</v>
      </c>
      <c r="U2090">
        <v>17</v>
      </c>
    </row>
    <row r="2091" spans="1:21" x14ac:dyDescent="0.35">
      <c r="A2091" t="s">
        <v>26</v>
      </c>
      <c r="B2091" s="1">
        <v>44536</v>
      </c>
      <c r="C2091" t="s">
        <v>31</v>
      </c>
      <c r="D2091">
        <v>17.2</v>
      </c>
      <c r="E2091">
        <v>2.7</v>
      </c>
      <c r="F2091">
        <v>0</v>
      </c>
      <c r="G2091">
        <v>6.4</v>
      </c>
      <c r="H2091">
        <v>0</v>
      </c>
      <c r="I2091">
        <v>0</v>
      </c>
      <c r="J2091">
        <v>0</v>
      </c>
      <c r="K2091">
        <v>0</v>
      </c>
      <c r="L2091">
        <v>0</v>
      </c>
      <c r="M2091">
        <v>0</v>
      </c>
      <c r="N2091">
        <v>75414</v>
      </c>
      <c r="O2091">
        <v>181840</v>
      </c>
      <c r="P2091">
        <v>0</v>
      </c>
      <c r="Q2091">
        <v>13</v>
      </c>
      <c r="R2091">
        <v>5</v>
      </c>
      <c r="S2091">
        <v>0</v>
      </c>
      <c r="T2091">
        <v>65</v>
      </c>
      <c r="U2091">
        <v>79</v>
      </c>
    </row>
    <row r="2092" spans="1:21" x14ac:dyDescent="0.35">
      <c r="A2092" t="s">
        <v>21</v>
      </c>
      <c r="B2092" s="1">
        <v>44808</v>
      </c>
      <c r="C2092" t="s">
        <v>23</v>
      </c>
      <c r="D2092">
        <v>0</v>
      </c>
      <c r="E2092">
        <v>0.7</v>
      </c>
      <c r="F2092">
        <v>0.4</v>
      </c>
      <c r="G2092">
        <v>0</v>
      </c>
      <c r="H2092">
        <v>0</v>
      </c>
      <c r="I2092">
        <v>0</v>
      </c>
      <c r="J2092">
        <v>0</v>
      </c>
      <c r="K2092">
        <v>0</v>
      </c>
      <c r="L2092">
        <v>0</v>
      </c>
      <c r="M2092">
        <v>0</v>
      </c>
      <c r="N2092">
        <v>44900</v>
      </c>
      <c r="O2092">
        <v>137887</v>
      </c>
      <c r="P2092">
        <v>228401</v>
      </c>
      <c r="Q2092">
        <v>0</v>
      </c>
      <c r="R2092">
        <v>1</v>
      </c>
      <c r="S2092">
        <v>1</v>
      </c>
      <c r="T2092">
        <v>50</v>
      </c>
      <c r="U2092">
        <v>64</v>
      </c>
    </row>
    <row r="2093" spans="1:21" x14ac:dyDescent="0.35">
      <c r="A2093" t="s">
        <v>26</v>
      </c>
      <c r="B2093" s="1">
        <v>44548</v>
      </c>
      <c r="C2093" t="s">
        <v>32</v>
      </c>
      <c r="D2093">
        <v>12.3</v>
      </c>
      <c r="E2093">
        <v>0</v>
      </c>
      <c r="F2093">
        <v>0</v>
      </c>
      <c r="G2093">
        <v>0</v>
      </c>
      <c r="H2093">
        <v>0</v>
      </c>
      <c r="I2093">
        <v>0</v>
      </c>
      <c r="J2093">
        <v>0</v>
      </c>
      <c r="K2093">
        <v>0</v>
      </c>
      <c r="L2093">
        <v>0</v>
      </c>
      <c r="M2093">
        <v>0</v>
      </c>
      <c r="N2093">
        <v>162642</v>
      </c>
      <c r="O2093">
        <v>0</v>
      </c>
      <c r="P2093">
        <v>0</v>
      </c>
      <c r="Q2093">
        <v>20</v>
      </c>
      <c r="R2093">
        <v>0</v>
      </c>
      <c r="S2093">
        <v>0</v>
      </c>
      <c r="T2093">
        <v>0</v>
      </c>
      <c r="U2093">
        <v>4</v>
      </c>
    </row>
    <row r="2094" spans="1:21" x14ac:dyDescent="0.35">
      <c r="A2094" t="s">
        <v>21</v>
      </c>
      <c r="B2094" s="1">
        <v>44527</v>
      </c>
      <c r="C2094" t="s">
        <v>25</v>
      </c>
      <c r="D2094">
        <v>0.6</v>
      </c>
      <c r="E2094">
        <v>0</v>
      </c>
      <c r="F2094">
        <v>0</v>
      </c>
      <c r="G2094">
        <v>0</v>
      </c>
      <c r="H2094">
        <v>0</v>
      </c>
      <c r="I2094">
        <v>0</v>
      </c>
      <c r="J2094">
        <v>0</v>
      </c>
      <c r="K2094">
        <v>0</v>
      </c>
      <c r="L2094">
        <v>0</v>
      </c>
      <c r="M2094">
        <v>0</v>
      </c>
      <c r="N2094">
        <v>154874</v>
      </c>
      <c r="O2094">
        <v>305350</v>
      </c>
      <c r="P2094">
        <v>24726</v>
      </c>
      <c r="Q2094">
        <v>1</v>
      </c>
      <c r="R2094">
        <v>0</v>
      </c>
      <c r="S2094">
        <v>0</v>
      </c>
      <c r="T2094">
        <v>18</v>
      </c>
      <c r="U2094">
        <v>29</v>
      </c>
    </row>
    <row r="2095" spans="1:21" x14ac:dyDescent="0.35">
      <c r="A2095" t="s">
        <v>21</v>
      </c>
      <c r="B2095" s="1">
        <v>44385</v>
      </c>
      <c r="C2095" t="s">
        <v>30</v>
      </c>
      <c r="D2095">
        <v>6.2</v>
      </c>
      <c r="E2095">
        <v>3.8</v>
      </c>
      <c r="F2095">
        <v>0</v>
      </c>
      <c r="G2095">
        <v>1.6</v>
      </c>
      <c r="H2095">
        <v>0</v>
      </c>
      <c r="I2095">
        <v>0</v>
      </c>
      <c r="J2095">
        <v>0</v>
      </c>
      <c r="K2095">
        <v>0</v>
      </c>
      <c r="L2095">
        <v>0</v>
      </c>
      <c r="M2095">
        <v>0</v>
      </c>
      <c r="N2095">
        <v>32284</v>
      </c>
      <c r="O2095">
        <v>52589</v>
      </c>
      <c r="P2095">
        <v>0</v>
      </c>
      <c r="Q2095">
        <v>2</v>
      </c>
      <c r="R2095">
        <v>2</v>
      </c>
      <c r="S2095">
        <v>0</v>
      </c>
      <c r="T2095">
        <v>80</v>
      </c>
      <c r="U2095">
        <v>200</v>
      </c>
    </row>
    <row r="2096" spans="1:21" x14ac:dyDescent="0.35">
      <c r="A2096" t="s">
        <v>21</v>
      </c>
      <c r="B2096" s="1">
        <v>44821</v>
      </c>
      <c r="C2096" t="s">
        <v>27</v>
      </c>
      <c r="D2096">
        <v>0</v>
      </c>
      <c r="E2096">
        <v>0</v>
      </c>
      <c r="F2096">
        <v>0</v>
      </c>
      <c r="G2096">
        <v>0</v>
      </c>
      <c r="H2096">
        <v>0</v>
      </c>
      <c r="I2096">
        <v>0</v>
      </c>
      <c r="J2096">
        <v>0</v>
      </c>
      <c r="K2096">
        <v>0</v>
      </c>
      <c r="L2096">
        <v>0</v>
      </c>
      <c r="M2096">
        <v>0</v>
      </c>
      <c r="N2096">
        <v>35094</v>
      </c>
      <c r="O2096">
        <v>85762</v>
      </c>
      <c r="P2096">
        <v>44338</v>
      </c>
      <c r="Q2096">
        <v>0</v>
      </c>
      <c r="R2096">
        <v>0</v>
      </c>
      <c r="S2096">
        <v>0</v>
      </c>
      <c r="T2096">
        <v>12</v>
      </c>
      <c r="U2096">
        <v>17</v>
      </c>
    </row>
    <row r="2097" spans="1:21" x14ac:dyDescent="0.35">
      <c r="A2097" t="s">
        <v>21</v>
      </c>
      <c r="B2097" s="1">
        <v>45003</v>
      </c>
      <c r="C2097" t="s">
        <v>27</v>
      </c>
      <c r="D2097">
        <v>0</v>
      </c>
      <c r="E2097">
        <v>0</v>
      </c>
      <c r="F2097">
        <v>0</v>
      </c>
      <c r="G2097">
        <v>0</v>
      </c>
      <c r="H2097">
        <v>0</v>
      </c>
      <c r="I2097">
        <v>0</v>
      </c>
      <c r="J2097">
        <v>0</v>
      </c>
      <c r="K2097">
        <v>0</v>
      </c>
      <c r="L2097">
        <v>0</v>
      </c>
      <c r="M2097">
        <v>0</v>
      </c>
      <c r="N2097">
        <v>33016</v>
      </c>
      <c r="O2097">
        <v>86456</v>
      </c>
      <c r="P2097">
        <v>44563</v>
      </c>
      <c r="Q2097">
        <v>0</v>
      </c>
      <c r="R2097">
        <v>0</v>
      </c>
      <c r="S2097">
        <v>0</v>
      </c>
      <c r="T2097">
        <v>12</v>
      </c>
      <c r="U2097">
        <v>17</v>
      </c>
    </row>
    <row r="2098" spans="1:21" x14ac:dyDescent="0.35">
      <c r="A2098" t="s">
        <v>26</v>
      </c>
      <c r="B2098" s="1">
        <v>44793</v>
      </c>
      <c r="C2098" t="s">
        <v>27</v>
      </c>
      <c r="D2098">
        <v>2.8</v>
      </c>
      <c r="E2098">
        <v>0</v>
      </c>
      <c r="F2098">
        <v>0</v>
      </c>
      <c r="G2098">
        <v>0</v>
      </c>
      <c r="H2098">
        <v>0</v>
      </c>
      <c r="I2098">
        <v>0</v>
      </c>
      <c r="J2098">
        <v>0</v>
      </c>
      <c r="K2098">
        <v>0</v>
      </c>
      <c r="L2098">
        <v>0</v>
      </c>
      <c r="M2098">
        <v>0</v>
      </c>
      <c r="N2098">
        <v>35466</v>
      </c>
      <c r="O2098">
        <v>87908</v>
      </c>
      <c r="P2098">
        <v>41807</v>
      </c>
      <c r="Q2098">
        <v>1</v>
      </c>
      <c r="R2098">
        <v>0</v>
      </c>
      <c r="S2098">
        <v>0</v>
      </c>
      <c r="T2098">
        <v>12</v>
      </c>
      <c r="U2098">
        <v>17</v>
      </c>
    </row>
    <row r="2099" spans="1:21" x14ac:dyDescent="0.35">
      <c r="A2099" t="s">
        <v>26</v>
      </c>
      <c r="B2099" s="1">
        <v>44555</v>
      </c>
      <c r="C2099" t="s">
        <v>32</v>
      </c>
      <c r="D2099">
        <v>17.2</v>
      </c>
      <c r="E2099">
        <v>0</v>
      </c>
      <c r="F2099">
        <v>0</v>
      </c>
      <c r="G2099">
        <v>0</v>
      </c>
      <c r="H2099">
        <v>0</v>
      </c>
      <c r="I2099">
        <v>0</v>
      </c>
      <c r="J2099">
        <v>0</v>
      </c>
      <c r="K2099">
        <v>0</v>
      </c>
      <c r="L2099">
        <v>0</v>
      </c>
      <c r="M2099">
        <v>0</v>
      </c>
      <c r="N2099">
        <v>162642</v>
      </c>
      <c r="O2099">
        <v>0</v>
      </c>
      <c r="P2099">
        <v>0</v>
      </c>
      <c r="Q2099">
        <v>28</v>
      </c>
      <c r="R2099">
        <v>0</v>
      </c>
      <c r="S2099">
        <v>0</v>
      </c>
      <c r="T2099">
        <v>0</v>
      </c>
      <c r="U2099">
        <v>4</v>
      </c>
    </row>
    <row r="2100" spans="1:21" x14ac:dyDescent="0.35">
      <c r="A2100" t="s">
        <v>28</v>
      </c>
      <c r="B2100" s="1">
        <v>45082</v>
      </c>
      <c r="C2100" t="s">
        <v>27</v>
      </c>
      <c r="D2100">
        <v>79.5</v>
      </c>
      <c r="E2100">
        <v>19.600000000000001</v>
      </c>
      <c r="F2100">
        <v>24.7</v>
      </c>
      <c r="G2100">
        <v>4.0999999999999996</v>
      </c>
      <c r="H2100">
        <v>3.2</v>
      </c>
      <c r="I2100">
        <v>0</v>
      </c>
      <c r="J2100">
        <v>0</v>
      </c>
      <c r="K2100">
        <v>0</v>
      </c>
      <c r="L2100">
        <v>0</v>
      </c>
      <c r="M2100">
        <v>0</v>
      </c>
      <c r="N2100">
        <v>32685</v>
      </c>
      <c r="O2100">
        <v>86582</v>
      </c>
      <c r="P2100">
        <v>44575</v>
      </c>
      <c r="Q2100">
        <v>26</v>
      </c>
      <c r="R2100">
        <v>17</v>
      </c>
      <c r="S2100">
        <v>11</v>
      </c>
      <c r="T2100">
        <v>12</v>
      </c>
      <c r="U2100">
        <v>17</v>
      </c>
    </row>
    <row r="2101" spans="1:21" x14ac:dyDescent="0.35">
      <c r="A2101" t="s">
        <v>28</v>
      </c>
      <c r="B2101" s="1">
        <v>44772</v>
      </c>
      <c r="C2101" t="s">
        <v>31</v>
      </c>
      <c r="D2101">
        <v>241.5</v>
      </c>
      <c r="E2101">
        <v>191</v>
      </c>
      <c r="F2101">
        <v>238.3</v>
      </c>
      <c r="G2101">
        <v>1.3</v>
      </c>
      <c r="H2101">
        <v>1</v>
      </c>
      <c r="I2101">
        <v>0</v>
      </c>
      <c r="J2101">
        <v>0</v>
      </c>
      <c r="K2101">
        <v>0</v>
      </c>
      <c r="L2101">
        <v>0</v>
      </c>
      <c r="M2101">
        <v>0</v>
      </c>
      <c r="N2101">
        <v>45965</v>
      </c>
      <c r="O2101">
        <v>45025</v>
      </c>
      <c r="P2101">
        <v>169088</v>
      </c>
      <c r="Q2101">
        <v>111</v>
      </c>
      <c r="R2101">
        <v>86</v>
      </c>
      <c r="S2101">
        <v>403</v>
      </c>
      <c r="T2101">
        <v>65</v>
      </c>
      <c r="U2101">
        <v>79</v>
      </c>
    </row>
    <row r="2102" spans="1:21" x14ac:dyDescent="0.35">
      <c r="A2102" t="s">
        <v>28</v>
      </c>
      <c r="B2102" s="1">
        <v>44747</v>
      </c>
      <c r="C2102" t="s">
        <v>22</v>
      </c>
      <c r="D2102">
        <v>264.5</v>
      </c>
      <c r="E2102">
        <v>199.6</v>
      </c>
      <c r="F2102">
        <v>339.7</v>
      </c>
      <c r="G2102">
        <v>1.3</v>
      </c>
      <c r="H2102">
        <v>0.8</v>
      </c>
      <c r="I2102">
        <v>293.10000000000002</v>
      </c>
      <c r="J2102">
        <v>185.2</v>
      </c>
      <c r="K2102">
        <v>299.7</v>
      </c>
      <c r="L2102">
        <v>1.6</v>
      </c>
      <c r="M2102">
        <v>1</v>
      </c>
      <c r="N2102">
        <v>648754</v>
      </c>
      <c r="O2102">
        <v>888946</v>
      </c>
      <c r="P2102">
        <v>956808</v>
      </c>
      <c r="Q2102">
        <v>1716</v>
      </c>
      <c r="R2102">
        <v>1774</v>
      </c>
      <c r="S2102">
        <v>3250</v>
      </c>
      <c r="T2102">
        <v>999</v>
      </c>
      <c r="U2102">
        <v>999</v>
      </c>
    </row>
    <row r="2103" spans="1:21" x14ac:dyDescent="0.35">
      <c r="A2103" t="s">
        <v>26</v>
      </c>
      <c r="B2103" s="1">
        <v>44811</v>
      </c>
      <c r="C2103" t="s">
        <v>30</v>
      </c>
      <c r="D2103">
        <v>53</v>
      </c>
      <c r="E2103">
        <v>140.6</v>
      </c>
      <c r="F2103">
        <v>63</v>
      </c>
      <c r="G2103">
        <v>0.4</v>
      </c>
      <c r="H2103">
        <v>0.8</v>
      </c>
      <c r="I2103">
        <v>0</v>
      </c>
      <c r="J2103">
        <v>0</v>
      </c>
      <c r="K2103">
        <v>0</v>
      </c>
      <c r="L2103">
        <v>0</v>
      </c>
      <c r="M2103">
        <v>0</v>
      </c>
      <c r="N2103">
        <v>26425</v>
      </c>
      <c r="O2103">
        <v>12088</v>
      </c>
      <c r="P2103">
        <v>46042</v>
      </c>
      <c r="Q2103">
        <v>14</v>
      </c>
      <c r="R2103">
        <v>17</v>
      </c>
      <c r="S2103">
        <v>29</v>
      </c>
      <c r="T2103">
        <v>80</v>
      </c>
      <c r="U2103">
        <v>200</v>
      </c>
    </row>
    <row r="2104" spans="1:21" x14ac:dyDescent="0.35">
      <c r="A2104" t="s">
        <v>21</v>
      </c>
      <c r="B2104" s="1">
        <v>44373</v>
      </c>
      <c r="C2104" t="s">
        <v>22</v>
      </c>
      <c r="D2104">
        <v>0.4</v>
      </c>
      <c r="E2104">
        <v>0.2</v>
      </c>
      <c r="F2104">
        <v>0</v>
      </c>
      <c r="G2104">
        <v>2</v>
      </c>
      <c r="H2104">
        <v>0</v>
      </c>
      <c r="I2104">
        <v>0.6</v>
      </c>
      <c r="J2104">
        <v>0.1</v>
      </c>
      <c r="K2104">
        <v>0</v>
      </c>
      <c r="L2104">
        <v>6.5</v>
      </c>
      <c r="M2104">
        <v>0</v>
      </c>
      <c r="N2104">
        <v>1221600</v>
      </c>
      <c r="O2104">
        <v>1290050</v>
      </c>
      <c r="P2104">
        <v>0</v>
      </c>
      <c r="Q2104">
        <v>5</v>
      </c>
      <c r="R2104">
        <v>2</v>
      </c>
      <c r="S2104">
        <v>0</v>
      </c>
      <c r="T2104">
        <v>999</v>
      </c>
      <c r="U2104">
        <v>999</v>
      </c>
    </row>
    <row r="2105" spans="1:21" x14ac:dyDescent="0.35">
      <c r="A2105" t="s">
        <v>28</v>
      </c>
      <c r="B2105" s="1">
        <v>44969</v>
      </c>
      <c r="C2105" t="s">
        <v>32</v>
      </c>
      <c r="D2105">
        <v>73.8</v>
      </c>
      <c r="E2105">
        <v>2.5</v>
      </c>
      <c r="F2105">
        <v>0</v>
      </c>
      <c r="G2105">
        <v>29.5</v>
      </c>
      <c r="H2105">
        <v>0</v>
      </c>
      <c r="I2105">
        <v>0</v>
      </c>
      <c r="J2105">
        <v>0</v>
      </c>
      <c r="K2105">
        <v>0</v>
      </c>
      <c r="L2105">
        <v>0</v>
      </c>
      <c r="M2105">
        <v>0</v>
      </c>
      <c r="N2105">
        <v>162642</v>
      </c>
      <c r="O2105">
        <v>0</v>
      </c>
      <c r="P2105">
        <v>0</v>
      </c>
      <c r="Q2105">
        <v>120</v>
      </c>
      <c r="R2105">
        <v>4</v>
      </c>
      <c r="S2105">
        <v>0</v>
      </c>
      <c r="T2105">
        <v>0</v>
      </c>
      <c r="U2105">
        <v>4</v>
      </c>
    </row>
    <row r="2106" spans="1:21" x14ac:dyDescent="0.35">
      <c r="A2106" t="s">
        <v>28</v>
      </c>
      <c r="B2106" s="1">
        <v>44930</v>
      </c>
      <c r="C2106" t="s">
        <v>31</v>
      </c>
      <c r="D2106">
        <v>77.7</v>
      </c>
      <c r="E2106">
        <v>71.400000000000006</v>
      </c>
      <c r="F2106">
        <v>74.5</v>
      </c>
      <c r="G2106">
        <v>1.1000000000000001</v>
      </c>
      <c r="H2106">
        <v>1</v>
      </c>
      <c r="I2106">
        <v>0</v>
      </c>
      <c r="J2106">
        <v>0</v>
      </c>
      <c r="K2106">
        <v>0</v>
      </c>
      <c r="L2106">
        <v>0</v>
      </c>
      <c r="M2106">
        <v>0</v>
      </c>
      <c r="N2106">
        <v>39878</v>
      </c>
      <c r="O2106">
        <v>43429</v>
      </c>
      <c r="P2106">
        <v>171712</v>
      </c>
      <c r="Q2106">
        <v>31</v>
      </c>
      <c r="R2106">
        <v>31</v>
      </c>
      <c r="S2106">
        <v>128</v>
      </c>
      <c r="T2106">
        <v>65</v>
      </c>
      <c r="U2106">
        <v>79</v>
      </c>
    </row>
    <row r="2107" spans="1:21" x14ac:dyDescent="0.35">
      <c r="A2107" t="s">
        <v>28</v>
      </c>
      <c r="B2107" s="1">
        <v>45205</v>
      </c>
      <c r="C2107" t="s">
        <v>25</v>
      </c>
      <c r="D2107">
        <v>13.4</v>
      </c>
      <c r="E2107">
        <v>4.7</v>
      </c>
      <c r="F2107">
        <v>3.1</v>
      </c>
      <c r="G2107">
        <v>2.9</v>
      </c>
      <c r="H2107">
        <v>4.3</v>
      </c>
      <c r="I2107">
        <v>0</v>
      </c>
      <c r="J2107">
        <v>0</v>
      </c>
      <c r="K2107">
        <v>0</v>
      </c>
      <c r="L2107">
        <v>0</v>
      </c>
      <c r="M2107">
        <v>0</v>
      </c>
      <c r="N2107">
        <v>74610</v>
      </c>
      <c r="O2107">
        <v>214134</v>
      </c>
      <c r="P2107">
        <v>161697</v>
      </c>
      <c r="Q2107">
        <v>10</v>
      </c>
      <c r="R2107">
        <v>10</v>
      </c>
      <c r="S2107">
        <v>5</v>
      </c>
      <c r="T2107">
        <v>18</v>
      </c>
      <c r="U2107">
        <v>29</v>
      </c>
    </row>
    <row r="2108" spans="1:21" x14ac:dyDescent="0.35">
      <c r="A2108" t="s">
        <v>26</v>
      </c>
      <c r="B2108" s="1">
        <v>44338</v>
      </c>
      <c r="C2108" t="s">
        <v>23</v>
      </c>
      <c r="D2108">
        <v>55.7</v>
      </c>
      <c r="E2108">
        <v>0.4</v>
      </c>
      <c r="F2108">
        <v>0</v>
      </c>
      <c r="G2108">
        <v>139.19999999999999</v>
      </c>
      <c r="H2108">
        <v>0</v>
      </c>
      <c r="I2108">
        <v>0</v>
      </c>
      <c r="J2108">
        <v>0</v>
      </c>
      <c r="K2108">
        <v>0</v>
      </c>
      <c r="L2108">
        <v>0</v>
      </c>
      <c r="M2108">
        <v>0</v>
      </c>
      <c r="N2108">
        <v>131081</v>
      </c>
      <c r="O2108">
        <v>237808</v>
      </c>
      <c r="P2108">
        <v>0</v>
      </c>
      <c r="Q2108">
        <v>73</v>
      </c>
      <c r="R2108">
        <v>1</v>
      </c>
      <c r="S2108">
        <v>0</v>
      </c>
      <c r="T2108">
        <v>50</v>
      </c>
      <c r="U2108">
        <v>64</v>
      </c>
    </row>
    <row r="2109" spans="1:21" x14ac:dyDescent="0.35">
      <c r="A2109" t="s">
        <v>26</v>
      </c>
      <c r="B2109" s="1">
        <v>45108</v>
      </c>
      <c r="C2109" t="s">
        <v>30</v>
      </c>
      <c r="D2109">
        <v>96.8</v>
      </c>
      <c r="E2109">
        <v>149.5</v>
      </c>
      <c r="F2109">
        <v>91.3</v>
      </c>
      <c r="G2109">
        <v>0.6</v>
      </c>
      <c r="H2109">
        <v>1.1000000000000001</v>
      </c>
      <c r="I2109">
        <v>0</v>
      </c>
      <c r="J2109">
        <v>0</v>
      </c>
      <c r="K2109">
        <v>0</v>
      </c>
      <c r="L2109">
        <v>0</v>
      </c>
      <c r="M2109">
        <v>0</v>
      </c>
      <c r="N2109">
        <v>24805</v>
      </c>
      <c r="O2109">
        <v>11369</v>
      </c>
      <c r="P2109">
        <v>47117</v>
      </c>
      <c r="Q2109">
        <v>24</v>
      </c>
      <c r="R2109">
        <v>17</v>
      </c>
      <c r="S2109">
        <v>43</v>
      </c>
      <c r="T2109">
        <v>80</v>
      </c>
      <c r="U2109">
        <v>200</v>
      </c>
    </row>
    <row r="2110" spans="1:21" x14ac:dyDescent="0.35">
      <c r="A2110" t="s">
        <v>21</v>
      </c>
      <c r="B2110" s="1">
        <v>45117</v>
      </c>
      <c r="C2110" t="s">
        <v>23</v>
      </c>
      <c r="D2110">
        <v>0</v>
      </c>
      <c r="E2110">
        <v>0</v>
      </c>
      <c r="F2110">
        <v>0.4</v>
      </c>
      <c r="G2110">
        <v>0</v>
      </c>
      <c r="H2110">
        <v>0</v>
      </c>
      <c r="I2110">
        <v>0</v>
      </c>
      <c r="J2110">
        <v>0</v>
      </c>
      <c r="K2110">
        <v>0</v>
      </c>
      <c r="L2110">
        <v>0</v>
      </c>
      <c r="M2110">
        <v>0</v>
      </c>
      <c r="N2110">
        <v>31672</v>
      </c>
      <c r="O2110">
        <v>125732</v>
      </c>
      <c r="P2110">
        <v>247019</v>
      </c>
      <c r="Q2110">
        <v>0</v>
      </c>
      <c r="R2110">
        <v>0</v>
      </c>
      <c r="S2110">
        <v>1</v>
      </c>
      <c r="T2110">
        <v>50</v>
      </c>
      <c r="U2110">
        <v>64</v>
      </c>
    </row>
    <row r="2111" spans="1:21" x14ac:dyDescent="0.35">
      <c r="A2111" t="s">
        <v>21</v>
      </c>
      <c r="B2111" s="1">
        <v>44828</v>
      </c>
      <c r="C2111" t="s">
        <v>31</v>
      </c>
      <c r="D2111">
        <v>0</v>
      </c>
      <c r="E2111">
        <v>0</v>
      </c>
      <c r="F2111">
        <v>0.6</v>
      </c>
      <c r="G2111">
        <v>0</v>
      </c>
      <c r="H2111">
        <v>0</v>
      </c>
      <c r="I2111">
        <v>0</v>
      </c>
      <c r="J2111">
        <v>0</v>
      </c>
      <c r="K2111">
        <v>0</v>
      </c>
      <c r="L2111">
        <v>0</v>
      </c>
      <c r="M2111">
        <v>0</v>
      </c>
      <c r="N2111">
        <v>44762</v>
      </c>
      <c r="O2111">
        <v>43407</v>
      </c>
      <c r="P2111">
        <v>171353</v>
      </c>
      <c r="Q2111">
        <v>0</v>
      </c>
      <c r="R2111">
        <v>0</v>
      </c>
      <c r="S2111">
        <v>1</v>
      </c>
      <c r="T2111">
        <v>65</v>
      </c>
      <c r="U2111">
        <v>79</v>
      </c>
    </row>
    <row r="2112" spans="1:21" x14ac:dyDescent="0.35">
      <c r="A2112" t="s">
        <v>21</v>
      </c>
      <c r="B2112" s="1">
        <v>45082</v>
      </c>
      <c r="C2112" t="s">
        <v>27</v>
      </c>
      <c r="D2112">
        <v>0</v>
      </c>
      <c r="E2112">
        <v>0</v>
      </c>
      <c r="F2112">
        <v>0</v>
      </c>
      <c r="G2112">
        <v>0</v>
      </c>
      <c r="H2112">
        <v>0</v>
      </c>
      <c r="I2112">
        <v>0</v>
      </c>
      <c r="J2112">
        <v>0</v>
      </c>
      <c r="K2112">
        <v>0</v>
      </c>
      <c r="L2112">
        <v>0</v>
      </c>
      <c r="M2112">
        <v>0</v>
      </c>
      <c r="N2112">
        <v>32685</v>
      </c>
      <c r="O2112">
        <v>86582</v>
      </c>
      <c r="P2112">
        <v>44575</v>
      </c>
      <c r="Q2112">
        <v>0</v>
      </c>
      <c r="R2112">
        <v>0</v>
      </c>
      <c r="S2112">
        <v>0</v>
      </c>
      <c r="T2112">
        <v>12</v>
      </c>
      <c r="U2112">
        <v>17</v>
      </c>
    </row>
    <row r="2113" spans="1:21" x14ac:dyDescent="0.35">
      <c r="A2113" t="s">
        <v>28</v>
      </c>
      <c r="B2113" s="1">
        <v>45108</v>
      </c>
      <c r="C2113" t="s">
        <v>30</v>
      </c>
      <c r="D2113">
        <v>137.1</v>
      </c>
      <c r="E2113">
        <v>246.3</v>
      </c>
      <c r="F2113">
        <v>208</v>
      </c>
      <c r="G2113">
        <v>0.6</v>
      </c>
      <c r="H2113">
        <v>0.7</v>
      </c>
      <c r="I2113">
        <v>0</v>
      </c>
      <c r="J2113">
        <v>0</v>
      </c>
      <c r="K2113">
        <v>0</v>
      </c>
      <c r="L2113">
        <v>0</v>
      </c>
      <c r="M2113">
        <v>0</v>
      </c>
      <c r="N2113">
        <v>24805</v>
      </c>
      <c r="O2113">
        <v>11369</v>
      </c>
      <c r="P2113">
        <v>47117</v>
      </c>
      <c r="Q2113">
        <v>34</v>
      </c>
      <c r="R2113">
        <v>28</v>
      </c>
      <c r="S2113">
        <v>98</v>
      </c>
      <c r="T2113">
        <v>80</v>
      </c>
      <c r="U2113">
        <v>200</v>
      </c>
    </row>
    <row r="2114" spans="1:21" x14ac:dyDescent="0.35">
      <c r="A2114" t="s">
        <v>21</v>
      </c>
      <c r="B2114" s="1">
        <v>44720</v>
      </c>
      <c r="C2114" t="s">
        <v>25</v>
      </c>
      <c r="D2114">
        <v>0</v>
      </c>
      <c r="E2114">
        <v>0</v>
      </c>
      <c r="F2114">
        <v>0</v>
      </c>
      <c r="G2114">
        <v>0</v>
      </c>
      <c r="H2114">
        <v>0</v>
      </c>
      <c r="I2114">
        <v>0</v>
      </c>
      <c r="J2114">
        <v>0</v>
      </c>
      <c r="K2114">
        <v>0</v>
      </c>
      <c r="L2114">
        <v>0</v>
      </c>
      <c r="M2114">
        <v>0</v>
      </c>
      <c r="N2114">
        <v>92082</v>
      </c>
      <c r="O2114">
        <v>212811</v>
      </c>
      <c r="P2114">
        <v>158786</v>
      </c>
      <c r="Q2114">
        <v>0</v>
      </c>
      <c r="R2114">
        <v>0</v>
      </c>
      <c r="S2114">
        <v>0</v>
      </c>
      <c r="T2114">
        <v>18</v>
      </c>
      <c r="U2114">
        <v>29</v>
      </c>
    </row>
    <row r="2115" spans="1:21" x14ac:dyDescent="0.35">
      <c r="A2115" t="s">
        <v>28</v>
      </c>
      <c r="B2115" s="1">
        <v>45066</v>
      </c>
      <c r="C2115" t="s">
        <v>25</v>
      </c>
      <c r="D2115">
        <v>46.7</v>
      </c>
      <c r="E2115">
        <v>8.9</v>
      </c>
      <c r="F2115">
        <v>10.5</v>
      </c>
      <c r="G2115">
        <v>5.2</v>
      </c>
      <c r="H2115">
        <v>4.4000000000000004</v>
      </c>
      <c r="I2115">
        <v>0</v>
      </c>
      <c r="J2115">
        <v>0</v>
      </c>
      <c r="K2115">
        <v>0</v>
      </c>
      <c r="L2115">
        <v>0</v>
      </c>
      <c r="M2115">
        <v>0</v>
      </c>
      <c r="N2115">
        <v>75004</v>
      </c>
      <c r="O2115">
        <v>214136</v>
      </c>
      <c r="P2115">
        <v>161691</v>
      </c>
      <c r="Q2115">
        <v>35</v>
      </c>
      <c r="R2115">
        <v>19</v>
      </c>
      <c r="S2115">
        <v>17</v>
      </c>
      <c r="T2115">
        <v>18</v>
      </c>
      <c r="U2115">
        <v>29</v>
      </c>
    </row>
    <row r="2116" spans="1:21" x14ac:dyDescent="0.35">
      <c r="A2116" t="s">
        <v>28</v>
      </c>
      <c r="B2116" s="1">
        <v>44590</v>
      </c>
      <c r="C2116" t="s">
        <v>31</v>
      </c>
      <c r="D2116">
        <v>315.60000000000002</v>
      </c>
      <c r="E2116">
        <v>234.9</v>
      </c>
      <c r="F2116">
        <v>150.9</v>
      </c>
      <c r="G2116">
        <v>1.3</v>
      </c>
      <c r="H2116">
        <v>2.1</v>
      </c>
      <c r="I2116">
        <v>0</v>
      </c>
      <c r="J2116">
        <v>0</v>
      </c>
      <c r="K2116">
        <v>0</v>
      </c>
      <c r="L2116">
        <v>0</v>
      </c>
      <c r="M2116">
        <v>0</v>
      </c>
      <c r="N2116">
        <v>50056</v>
      </c>
      <c r="O2116">
        <v>62587</v>
      </c>
      <c r="P2116">
        <v>145762</v>
      </c>
      <c r="Q2116">
        <v>158</v>
      </c>
      <c r="R2116">
        <v>147</v>
      </c>
      <c r="S2116">
        <v>220</v>
      </c>
      <c r="T2116">
        <v>65</v>
      </c>
      <c r="U2116">
        <v>79</v>
      </c>
    </row>
    <row r="2117" spans="1:21" x14ac:dyDescent="0.35">
      <c r="A2117" t="s">
        <v>21</v>
      </c>
      <c r="B2117" s="1">
        <v>44436</v>
      </c>
      <c r="C2117" t="s">
        <v>25</v>
      </c>
      <c r="D2117">
        <v>0</v>
      </c>
      <c r="E2117">
        <v>0</v>
      </c>
      <c r="F2117">
        <v>0</v>
      </c>
      <c r="G2117">
        <v>0</v>
      </c>
      <c r="H2117">
        <v>0</v>
      </c>
      <c r="I2117">
        <v>0</v>
      </c>
      <c r="J2117">
        <v>0</v>
      </c>
      <c r="K2117">
        <v>0</v>
      </c>
      <c r="L2117">
        <v>0</v>
      </c>
      <c r="M2117">
        <v>0</v>
      </c>
      <c r="N2117">
        <v>193516</v>
      </c>
      <c r="O2117">
        <v>291685</v>
      </c>
      <c r="P2117">
        <v>0</v>
      </c>
      <c r="Q2117">
        <v>0</v>
      </c>
      <c r="R2117">
        <v>0</v>
      </c>
      <c r="S2117">
        <v>0</v>
      </c>
      <c r="T2117">
        <v>18</v>
      </c>
      <c r="U2117">
        <v>29</v>
      </c>
    </row>
    <row r="2118" spans="1:21" x14ac:dyDescent="0.35">
      <c r="A2118" t="s">
        <v>28</v>
      </c>
      <c r="B2118" s="1">
        <v>45220</v>
      </c>
      <c r="C2118" t="s">
        <v>27</v>
      </c>
      <c r="D2118">
        <v>19</v>
      </c>
      <c r="E2118">
        <v>20.8</v>
      </c>
      <c r="F2118">
        <v>31.4</v>
      </c>
      <c r="G2118">
        <v>0.9</v>
      </c>
      <c r="H2118">
        <v>0.6</v>
      </c>
      <c r="I2118">
        <v>0</v>
      </c>
      <c r="J2118">
        <v>0</v>
      </c>
      <c r="K2118">
        <v>0</v>
      </c>
      <c r="L2118">
        <v>0</v>
      </c>
      <c r="M2118">
        <v>0</v>
      </c>
      <c r="N2118">
        <v>31619</v>
      </c>
      <c r="O2118">
        <v>86566</v>
      </c>
      <c r="P2118">
        <v>44615</v>
      </c>
      <c r="Q2118">
        <v>6</v>
      </c>
      <c r="R2118">
        <v>18</v>
      </c>
      <c r="S2118">
        <v>14</v>
      </c>
      <c r="T2118">
        <v>12</v>
      </c>
      <c r="U2118">
        <v>17</v>
      </c>
    </row>
    <row r="2119" spans="1:21" x14ac:dyDescent="0.35">
      <c r="A2119" t="s">
        <v>28</v>
      </c>
      <c r="B2119" s="1">
        <v>44310</v>
      </c>
      <c r="C2119" t="s">
        <v>22</v>
      </c>
      <c r="D2119">
        <v>202.7</v>
      </c>
      <c r="E2119">
        <v>22.4</v>
      </c>
      <c r="F2119">
        <v>0</v>
      </c>
      <c r="G2119">
        <v>9</v>
      </c>
      <c r="H2119">
        <v>0</v>
      </c>
      <c r="I2119">
        <v>212.9</v>
      </c>
      <c r="J2119">
        <v>18.5</v>
      </c>
      <c r="K2119">
        <v>0</v>
      </c>
      <c r="L2119">
        <v>11.5</v>
      </c>
      <c r="M2119">
        <v>0</v>
      </c>
      <c r="N2119">
        <v>1530109</v>
      </c>
      <c r="O2119">
        <v>593621</v>
      </c>
      <c r="P2119">
        <v>0</v>
      </c>
      <c r="Q2119">
        <v>3101</v>
      </c>
      <c r="R2119">
        <v>133</v>
      </c>
      <c r="S2119">
        <v>0</v>
      </c>
      <c r="T2119">
        <v>999</v>
      </c>
      <c r="U2119">
        <v>999</v>
      </c>
    </row>
    <row r="2120" spans="1:21" x14ac:dyDescent="0.35">
      <c r="A2120" t="s">
        <v>21</v>
      </c>
      <c r="B2120" s="1">
        <v>44310</v>
      </c>
      <c r="C2120" t="s">
        <v>29</v>
      </c>
      <c r="D2120">
        <v>1</v>
      </c>
      <c r="E2120">
        <v>0</v>
      </c>
      <c r="F2120">
        <v>0</v>
      </c>
      <c r="G2120">
        <v>0</v>
      </c>
      <c r="H2120">
        <v>0</v>
      </c>
      <c r="I2120">
        <v>0</v>
      </c>
      <c r="J2120">
        <v>0</v>
      </c>
      <c r="K2120">
        <v>0</v>
      </c>
      <c r="L2120">
        <v>0</v>
      </c>
      <c r="M2120">
        <v>0</v>
      </c>
      <c r="N2120">
        <v>386715</v>
      </c>
      <c r="O2120">
        <v>193096</v>
      </c>
      <c r="P2120">
        <v>0</v>
      </c>
      <c r="Q2120">
        <v>4</v>
      </c>
      <c r="R2120">
        <v>0</v>
      </c>
      <c r="S2120">
        <v>0</v>
      </c>
      <c r="T2120">
        <v>30</v>
      </c>
      <c r="U2120">
        <v>49</v>
      </c>
    </row>
    <row r="2121" spans="1:21" x14ac:dyDescent="0.35">
      <c r="A2121" t="s">
        <v>26</v>
      </c>
      <c r="B2121" s="1">
        <v>44492</v>
      </c>
      <c r="C2121" t="s">
        <v>31</v>
      </c>
      <c r="D2121">
        <v>26.6</v>
      </c>
      <c r="E2121">
        <v>7.4</v>
      </c>
      <c r="F2121">
        <v>0</v>
      </c>
      <c r="G2121">
        <v>3.6</v>
      </c>
      <c r="H2121">
        <v>0</v>
      </c>
      <c r="I2121">
        <v>0</v>
      </c>
      <c r="J2121">
        <v>0</v>
      </c>
      <c r="K2121">
        <v>0</v>
      </c>
      <c r="L2121">
        <v>0</v>
      </c>
      <c r="M2121">
        <v>0</v>
      </c>
      <c r="N2121">
        <v>60107</v>
      </c>
      <c r="O2121">
        <v>175204</v>
      </c>
      <c r="P2121">
        <v>25507</v>
      </c>
      <c r="Q2121">
        <v>16</v>
      </c>
      <c r="R2121">
        <v>13</v>
      </c>
      <c r="S2121">
        <v>0</v>
      </c>
      <c r="T2121">
        <v>65</v>
      </c>
      <c r="U2121">
        <v>79</v>
      </c>
    </row>
    <row r="2122" spans="1:21" x14ac:dyDescent="0.35">
      <c r="A2122" t="s">
        <v>26</v>
      </c>
      <c r="B2122" s="1">
        <v>44476</v>
      </c>
      <c r="C2122" t="s">
        <v>30</v>
      </c>
      <c r="D2122">
        <v>15.1</v>
      </c>
      <c r="E2122">
        <v>3.9</v>
      </c>
      <c r="F2122">
        <v>0</v>
      </c>
      <c r="G2122">
        <v>3.9</v>
      </c>
      <c r="H2122">
        <v>0</v>
      </c>
      <c r="I2122">
        <v>0</v>
      </c>
      <c r="J2122">
        <v>0</v>
      </c>
      <c r="K2122">
        <v>0</v>
      </c>
      <c r="L2122">
        <v>0</v>
      </c>
      <c r="M2122">
        <v>0</v>
      </c>
      <c r="N2122">
        <v>33207</v>
      </c>
      <c r="O2122">
        <v>51643</v>
      </c>
      <c r="P2122">
        <v>0</v>
      </c>
      <c r="Q2122">
        <v>5</v>
      </c>
      <c r="R2122">
        <v>2</v>
      </c>
      <c r="S2122">
        <v>0</v>
      </c>
      <c r="T2122">
        <v>80</v>
      </c>
      <c r="U2122">
        <v>200</v>
      </c>
    </row>
    <row r="2123" spans="1:21" x14ac:dyDescent="0.35">
      <c r="A2123" t="s">
        <v>26</v>
      </c>
      <c r="B2123" s="1">
        <v>44576</v>
      </c>
      <c r="C2123" t="s">
        <v>32</v>
      </c>
      <c r="D2123">
        <v>20.9</v>
      </c>
      <c r="E2123">
        <v>0</v>
      </c>
      <c r="F2123">
        <v>0</v>
      </c>
      <c r="G2123">
        <v>0</v>
      </c>
      <c r="H2123">
        <v>0</v>
      </c>
      <c r="I2123">
        <v>0</v>
      </c>
      <c r="J2123">
        <v>0</v>
      </c>
      <c r="K2123">
        <v>0</v>
      </c>
      <c r="L2123">
        <v>0</v>
      </c>
      <c r="M2123">
        <v>0</v>
      </c>
      <c r="N2123">
        <v>162642</v>
      </c>
      <c r="O2123">
        <v>0</v>
      </c>
      <c r="P2123">
        <v>0</v>
      </c>
      <c r="Q2123">
        <v>34</v>
      </c>
      <c r="R2123">
        <v>0</v>
      </c>
      <c r="S2123">
        <v>0</v>
      </c>
      <c r="T2123">
        <v>0</v>
      </c>
      <c r="U2123">
        <v>4</v>
      </c>
    </row>
    <row r="2124" spans="1:21" x14ac:dyDescent="0.35">
      <c r="A2124" t="s">
        <v>26</v>
      </c>
      <c r="B2124" s="1">
        <v>45205</v>
      </c>
      <c r="C2124" t="s">
        <v>29</v>
      </c>
      <c r="D2124">
        <v>2.8</v>
      </c>
      <c r="E2124">
        <v>0.4</v>
      </c>
      <c r="F2124">
        <v>0.9</v>
      </c>
      <c r="G2124">
        <v>7</v>
      </c>
      <c r="H2124">
        <v>3.1</v>
      </c>
      <c r="I2124">
        <v>0</v>
      </c>
      <c r="J2124">
        <v>0</v>
      </c>
      <c r="K2124">
        <v>0</v>
      </c>
      <c r="L2124">
        <v>0</v>
      </c>
      <c r="M2124">
        <v>0</v>
      </c>
      <c r="N2124">
        <v>108308</v>
      </c>
      <c r="O2124">
        <v>278398</v>
      </c>
      <c r="P2124">
        <v>347307</v>
      </c>
      <c r="Q2124">
        <v>3</v>
      </c>
      <c r="R2124">
        <v>1</v>
      </c>
      <c r="S2124">
        <v>3</v>
      </c>
      <c r="T2124">
        <v>30</v>
      </c>
      <c r="U2124">
        <v>49</v>
      </c>
    </row>
    <row r="2125" spans="1:21" x14ac:dyDescent="0.35">
      <c r="A2125" t="s">
        <v>21</v>
      </c>
      <c r="B2125" s="1">
        <v>44322</v>
      </c>
      <c r="C2125" t="s">
        <v>29</v>
      </c>
      <c r="D2125">
        <v>1.3</v>
      </c>
      <c r="E2125">
        <v>0</v>
      </c>
      <c r="F2125">
        <v>0</v>
      </c>
      <c r="G2125">
        <v>0</v>
      </c>
      <c r="H2125">
        <v>0</v>
      </c>
      <c r="I2125">
        <v>0</v>
      </c>
      <c r="J2125">
        <v>0</v>
      </c>
      <c r="K2125">
        <v>0</v>
      </c>
      <c r="L2125">
        <v>0</v>
      </c>
      <c r="M2125">
        <v>0</v>
      </c>
      <c r="N2125">
        <v>307403</v>
      </c>
      <c r="O2125">
        <v>422678</v>
      </c>
      <c r="P2125">
        <v>0</v>
      </c>
      <c r="Q2125">
        <v>4</v>
      </c>
      <c r="R2125">
        <v>0</v>
      </c>
      <c r="S2125">
        <v>0</v>
      </c>
      <c r="T2125">
        <v>30</v>
      </c>
      <c r="U2125">
        <v>49</v>
      </c>
    </row>
    <row r="2126" spans="1:21" x14ac:dyDescent="0.35">
      <c r="A2126" t="s">
        <v>26</v>
      </c>
      <c r="B2126" s="1">
        <v>44991</v>
      </c>
      <c r="C2126" t="s">
        <v>22</v>
      </c>
      <c r="D2126">
        <v>1.9</v>
      </c>
      <c r="E2126">
        <v>0.9</v>
      </c>
      <c r="F2126">
        <v>2.1</v>
      </c>
      <c r="G2126">
        <v>2.1</v>
      </c>
      <c r="H2126">
        <v>0.9</v>
      </c>
      <c r="I2126">
        <v>2.2999999999999998</v>
      </c>
      <c r="J2126">
        <v>1.3</v>
      </c>
      <c r="K2126">
        <v>1.9</v>
      </c>
      <c r="L2126">
        <v>1.8</v>
      </c>
      <c r="M2126">
        <v>1.2</v>
      </c>
      <c r="N2126">
        <v>534701</v>
      </c>
      <c r="O2126">
        <v>860357</v>
      </c>
      <c r="P2126">
        <v>1040674</v>
      </c>
      <c r="Q2126">
        <v>10</v>
      </c>
      <c r="R2126">
        <v>8</v>
      </c>
      <c r="S2126">
        <v>22</v>
      </c>
      <c r="T2126">
        <v>999</v>
      </c>
      <c r="U2126">
        <v>999</v>
      </c>
    </row>
    <row r="2127" spans="1:21" x14ac:dyDescent="0.35">
      <c r="A2127" t="s">
        <v>26</v>
      </c>
      <c r="B2127" s="1">
        <v>44871</v>
      </c>
      <c r="C2127" t="s">
        <v>25</v>
      </c>
      <c r="D2127">
        <v>5.3</v>
      </c>
      <c r="E2127">
        <v>2.2999999999999998</v>
      </c>
      <c r="F2127">
        <v>1.9</v>
      </c>
      <c r="G2127">
        <v>2.2999999999999998</v>
      </c>
      <c r="H2127">
        <v>2.8</v>
      </c>
      <c r="I2127">
        <v>0</v>
      </c>
      <c r="J2127">
        <v>0</v>
      </c>
      <c r="K2127">
        <v>0</v>
      </c>
      <c r="L2127">
        <v>0</v>
      </c>
      <c r="M2127">
        <v>0</v>
      </c>
      <c r="N2127">
        <v>94634</v>
      </c>
      <c r="O2127">
        <v>215581</v>
      </c>
      <c r="P2127">
        <v>154206</v>
      </c>
      <c r="Q2127">
        <v>5</v>
      </c>
      <c r="R2127">
        <v>5</v>
      </c>
      <c r="S2127">
        <v>3</v>
      </c>
      <c r="T2127">
        <v>18</v>
      </c>
      <c r="U2127">
        <v>29</v>
      </c>
    </row>
    <row r="2128" spans="1:21" x14ac:dyDescent="0.35">
      <c r="A2128" t="s">
        <v>26</v>
      </c>
      <c r="B2128" s="1">
        <v>44684</v>
      </c>
      <c r="C2128" t="s">
        <v>29</v>
      </c>
      <c r="D2128">
        <v>3</v>
      </c>
      <c r="E2128">
        <v>3</v>
      </c>
      <c r="F2128">
        <v>0.6</v>
      </c>
      <c r="G2128">
        <v>1</v>
      </c>
      <c r="H2128">
        <v>5</v>
      </c>
      <c r="I2128">
        <v>0</v>
      </c>
      <c r="J2128">
        <v>0</v>
      </c>
      <c r="K2128">
        <v>0</v>
      </c>
      <c r="L2128">
        <v>0</v>
      </c>
      <c r="M2128">
        <v>0</v>
      </c>
      <c r="N2128">
        <v>135567</v>
      </c>
      <c r="O2128">
        <v>295387</v>
      </c>
      <c r="P2128">
        <v>314346</v>
      </c>
      <c r="Q2128">
        <v>4</v>
      </c>
      <c r="R2128">
        <v>9</v>
      </c>
      <c r="S2128">
        <v>2</v>
      </c>
      <c r="T2128">
        <v>30</v>
      </c>
      <c r="U2128">
        <v>49</v>
      </c>
    </row>
    <row r="2129" spans="1:21" x14ac:dyDescent="0.35">
      <c r="A2129" t="s">
        <v>26</v>
      </c>
      <c r="B2129" s="1">
        <v>44583</v>
      </c>
      <c r="C2129" t="s">
        <v>32</v>
      </c>
      <c r="D2129">
        <v>13.5</v>
      </c>
      <c r="E2129">
        <v>0</v>
      </c>
      <c r="F2129">
        <v>0</v>
      </c>
      <c r="G2129">
        <v>0</v>
      </c>
      <c r="H2129">
        <v>0</v>
      </c>
      <c r="I2129">
        <v>0</v>
      </c>
      <c r="J2129">
        <v>0</v>
      </c>
      <c r="K2129">
        <v>0</v>
      </c>
      <c r="L2129">
        <v>0</v>
      </c>
      <c r="M2129">
        <v>0</v>
      </c>
      <c r="N2129">
        <v>162642</v>
      </c>
      <c r="O2129">
        <v>0</v>
      </c>
      <c r="P2129">
        <v>0</v>
      </c>
      <c r="Q2129">
        <v>22</v>
      </c>
      <c r="R2129">
        <v>0</v>
      </c>
      <c r="S2129">
        <v>0</v>
      </c>
      <c r="T2129">
        <v>0</v>
      </c>
      <c r="U2129">
        <v>4</v>
      </c>
    </row>
    <row r="2130" spans="1:21" x14ac:dyDescent="0.35">
      <c r="A2130" t="s">
        <v>26</v>
      </c>
      <c r="B2130" s="1">
        <v>45054</v>
      </c>
      <c r="C2130" t="s">
        <v>23</v>
      </c>
      <c r="D2130">
        <v>12.3</v>
      </c>
      <c r="E2130">
        <v>1.6</v>
      </c>
      <c r="F2130">
        <v>1.6</v>
      </c>
      <c r="G2130">
        <v>7.7</v>
      </c>
      <c r="H2130">
        <v>7.7</v>
      </c>
      <c r="I2130">
        <v>0</v>
      </c>
      <c r="J2130">
        <v>0</v>
      </c>
      <c r="K2130">
        <v>0</v>
      </c>
      <c r="L2130">
        <v>0</v>
      </c>
      <c r="M2130">
        <v>0</v>
      </c>
      <c r="N2130">
        <v>32496</v>
      </c>
      <c r="O2130">
        <v>125728</v>
      </c>
      <c r="P2130">
        <v>246934</v>
      </c>
      <c r="Q2130">
        <v>4</v>
      </c>
      <c r="R2130">
        <v>2</v>
      </c>
      <c r="S2130">
        <v>4</v>
      </c>
      <c r="T2130">
        <v>50</v>
      </c>
      <c r="U2130">
        <v>64</v>
      </c>
    </row>
    <row r="2131" spans="1:21" x14ac:dyDescent="0.35">
      <c r="A2131" t="s">
        <v>28</v>
      </c>
      <c r="B2131" s="1">
        <v>44473</v>
      </c>
      <c r="C2131" t="s">
        <v>23</v>
      </c>
      <c r="D2131">
        <v>262</v>
      </c>
      <c r="E2131">
        <v>24.9</v>
      </c>
      <c r="F2131">
        <v>0</v>
      </c>
      <c r="G2131">
        <v>10.5</v>
      </c>
      <c r="H2131">
        <v>0</v>
      </c>
      <c r="I2131">
        <v>0</v>
      </c>
      <c r="J2131">
        <v>0</v>
      </c>
      <c r="K2131">
        <v>0</v>
      </c>
      <c r="L2131">
        <v>0</v>
      </c>
      <c r="M2131">
        <v>0</v>
      </c>
      <c r="N2131">
        <v>207234</v>
      </c>
      <c r="O2131">
        <v>80426</v>
      </c>
      <c r="P2131">
        <v>0</v>
      </c>
      <c r="Q2131">
        <v>543</v>
      </c>
      <c r="R2131">
        <v>20</v>
      </c>
      <c r="S2131">
        <v>0</v>
      </c>
      <c r="T2131">
        <v>50</v>
      </c>
      <c r="U2131">
        <v>64</v>
      </c>
    </row>
    <row r="2132" spans="1:21" x14ac:dyDescent="0.35">
      <c r="A2132" t="s">
        <v>21</v>
      </c>
      <c r="B2132" s="1">
        <v>44933</v>
      </c>
      <c r="C2132" t="s">
        <v>23</v>
      </c>
      <c r="D2132">
        <v>0</v>
      </c>
      <c r="E2132">
        <v>0</v>
      </c>
      <c r="F2132">
        <v>0.4</v>
      </c>
      <c r="G2132">
        <v>0</v>
      </c>
      <c r="H2132">
        <v>0</v>
      </c>
      <c r="I2132">
        <v>0</v>
      </c>
      <c r="J2132">
        <v>0</v>
      </c>
      <c r="K2132">
        <v>0</v>
      </c>
      <c r="L2132">
        <v>0</v>
      </c>
      <c r="M2132">
        <v>0</v>
      </c>
      <c r="N2132">
        <v>32676</v>
      </c>
      <c r="O2132">
        <v>125733</v>
      </c>
      <c r="P2132">
        <v>246928</v>
      </c>
      <c r="Q2132">
        <v>0</v>
      </c>
      <c r="R2132">
        <v>0</v>
      </c>
      <c r="S2132">
        <v>1</v>
      </c>
      <c r="T2132">
        <v>50</v>
      </c>
      <c r="U2132">
        <v>64</v>
      </c>
    </row>
    <row r="2133" spans="1:21" x14ac:dyDescent="0.35">
      <c r="A2133" t="s">
        <v>26</v>
      </c>
      <c r="B2133" s="1">
        <v>44527</v>
      </c>
      <c r="C2133" t="s">
        <v>24</v>
      </c>
      <c r="D2133">
        <v>0.6</v>
      </c>
      <c r="E2133">
        <v>0</v>
      </c>
      <c r="F2133">
        <v>0</v>
      </c>
      <c r="G2133">
        <v>0</v>
      </c>
      <c r="H2133">
        <v>0</v>
      </c>
      <c r="I2133">
        <v>0</v>
      </c>
      <c r="J2133">
        <v>0</v>
      </c>
      <c r="K2133">
        <v>0</v>
      </c>
      <c r="L2133">
        <v>0</v>
      </c>
      <c r="M2133">
        <v>0</v>
      </c>
      <c r="N2133">
        <v>161164</v>
      </c>
      <c r="O2133">
        <v>5</v>
      </c>
      <c r="P2133">
        <v>0</v>
      </c>
      <c r="Q2133">
        <v>1</v>
      </c>
      <c r="R2133">
        <v>0</v>
      </c>
      <c r="S2133">
        <v>0</v>
      </c>
      <c r="T2133">
        <v>5</v>
      </c>
      <c r="U2133">
        <v>11</v>
      </c>
    </row>
    <row r="2134" spans="1:21" x14ac:dyDescent="0.35">
      <c r="A2134" t="s">
        <v>21</v>
      </c>
      <c r="B2134" s="1">
        <v>44982</v>
      </c>
      <c r="C2134" t="s">
        <v>23</v>
      </c>
      <c r="D2134">
        <v>3</v>
      </c>
      <c r="E2134">
        <v>0</v>
      </c>
      <c r="F2134">
        <v>0</v>
      </c>
      <c r="G2134">
        <v>0</v>
      </c>
      <c r="H2134">
        <v>0</v>
      </c>
      <c r="I2134">
        <v>0</v>
      </c>
      <c r="J2134">
        <v>0</v>
      </c>
      <c r="K2134">
        <v>0</v>
      </c>
      <c r="L2134">
        <v>0</v>
      </c>
      <c r="M2134">
        <v>0</v>
      </c>
      <c r="N2134">
        <v>33861</v>
      </c>
      <c r="O2134">
        <v>125587</v>
      </c>
      <c r="P2134">
        <v>246869</v>
      </c>
      <c r="Q2134">
        <v>1</v>
      </c>
      <c r="R2134">
        <v>0</v>
      </c>
      <c r="S2134">
        <v>0</v>
      </c>
      <c r="T2134">
        <v>50</v>
      </c>
      <c r="U2134">
        <v>64</v>
      </c>
    </row>
    <row r="2135" spans="1:21" x14ac:dyDescent="0.35">
      <c r="A2135" t="s">
        <v>26</v>
      </c>
      <c r="B2135" s="1">
        <v>44590</v>
      </c>
      <c r="C2135" t="s">
        <v>32</v>
      </c>
      <c r="D2135">
        <v>6.8</v>
      </c>
      <c r="E2135">
        <v>0</v>
      </c>
      <c r="F2135">
        <v>0</v>
      </c>
      <c r="G2135">
        <v>0</v>
      </c>
      <c r="H2135">
        <v>0</v>
      </c>
      <c r="I2135">
        <v>0</v>
      </c>
      <c r="J2135">
        <v>0</v>
      </c>
      <c r="K2135">
        <v>0</v>
      </c>
      <c r="L2135">
        <v>0</v>
      </c>
      <c r="M2135">
        <v>0</v>
      </c>
      <c r="N2135">
        <v>162642</v>
      </c>
      <c r="O2135">
        <v>0</v>
      </c>
      <c r="P2135">
        <v>0</v>
      </c>
      <c r="Q2135">
        <v>11</v>
      </c>
      <c r="R2135">
        <v>0</v>
      </c>
      <c r="S2135">
        <v>0</v>
      </c>
      <c r="T2135">
        <v>0</v>
      </c>
      <c r="U2135">
        <v>4</v>
      </c>
    </row>
    <row r="2136" spans="1:21" x14ac:dyDescent="0.35">
      <c r="A2136" t="s">
        <v>28</v>
      </c>
      <c r="B2136" s="1">
        <v>44303</v>
      </c>
      <c r="C2136" t="s">
        <v>30</v>
      </c>
      <c r="D2136">
        <v>117.7</v>
      </c>
      <c r="E2136">
        <v>37.5</v>
      </c>
      <c r="F2136">
        <v>0</v>
      </c>
      <c r="G2136">
        <v>3.1</v>
      </c>
      <c r="H2136">
        <v>0</v>
      </c>
      <c r="I2136">
        <v>0</v>
      </c>
      <c r="J2136">
        <v>0</v>
      </c>
      <c r="K2136">
        <v>0</v>
      </c>
      <c r="L2136">
        <v>0</v>
      </c>
      <c r="M2136">
        <v>0</v>
      </c>
      <c r="N2136">
        <v>39089</v>
      </c>
      <c r="O2136">
        <v>34683</v>
      </c>
      <c r="P2136">
        <v>0</v>
      </c>
      <c r="Q2136">
        <v>46</v>
      </c>
      <c r="R2136">
        <v>13</v>
      </c>
      <c r="S2136">
        <v>0</v>
      </c>
      <c r="T2136">
        <v>80</v>
      </c>
      <c r="U2136">
        <v>200</v>
      </c>
    </row>
    <row r="2137" spans="1:21" x14ac:dyDescent="0.35">
      <c r="A2137" t="s">
        <v>28</v>
      </c>
      <c r="B2137" s="1">
        <v>44201</v>
      </c>
      <c r="C2137" t="s">
        <v>30</v>
      </c>
      <c r="D2137">
        <v>116.2</v>
      </c>
      <c r="E2137">
        <v>16.600000000000001</v>
      </c>
      <c r="F2137">
        <v>0</v>
      </c>
      <c r="G2137">
        <v>7</v>
      </c>
      <c r="H2137">
        <v>0</v>
      </c>
      <c r="I2137">
        <v>0</v>
      </c>
      <c r="J2137">
        <v>0</v>
      </c>
      <c r="K2137">
        <v>0</v>
      </c>
      <c r="L2137">
        <v>0</v>
      </c>
      <c r="M2137">
        <v>0</v>
      </c>
      <c r="N2137">
        <v>37001</v>
      </c>
      <c r="O2137">
        <v>42149</v>
      </c>
      <c r="P2137">
        <v>0</v>
      </c>
      <c r="Q2137">
        <v>43</v>
      </c>
      <c r="R2137">
        <v>7</v>
      </c>
      <c r="S2137">
        <v>0</v>
      </c>
      <c r="T2137">
        <v>80</v>
      </c>
      <c r="U2137">
        <v>200</v>
      </c>
    </row>
    <row r="2138" spans="1:21" x14ac:dyDescent="0.35">
      <c r="A2138" t="s">
        <v>26</v>
      </c>
      <c r="B2138" s="1">
        <v>44683</v>
      </c>
      <c r="C2138" t="s">
        <v>32</v>
      </c>
      <c r="D2138">
        <v>4.3</v>
      </c>
      <c r="E2138">
        <v>0</v>
      </c>
      <c r="F2138">
        <v>0</v>
      </c>
      <c r="G2138">
        <v>0</v>
      </c>
      <c r="H2138">
        <v>0</v>
      </c>
      <c r="I2138">
        <v>0</v>
      </c>
      <c r="J2138">
        <v>0</v>
      </c>
      <c r="K2138">
        <v>0</v>
      </c>
      <c r="L2138">
        <v>0</v>
      </c>
      <c r="M2138">
        <v>0</v>
      </c>
      <c r="N2138">
        <v>162642</v>
      </c>
      <c r="O2138">
        <v>0</v>
      </c>
      <c r="P2138">
        <v>0</v>
      </c>
      <c r="Q2138">
        <v>7</v>
      </c>
      <c r="R2138">
        <v>0</v>
      </c>
      <c r="S2138">
        <v>0</v>
      </c>
      <c r="T2138">
        <v>0</v>
      </c>
      <c r="U2138">
        <v>4</v>
      </c>
    </row>
    <row r="2139" spans="1:21" x14ac:dyDescent="0.35">
      <c r="A2139" t="s">
        <v>26</v>
      </c>
      <c r="B2139" s="1">
        <v>44897</v>
      </c>
      <c r="C2139" t="s">
        <v>32</v>
      </c>
      <c r="D2139">
        <v>3.7</v>
      </c>
      <c r="E2139">
        <v>0</v>
      </c>
      <c r="F2139">
        <v>0</v>
      </c>
      <c r="G2139">
        <v>0</v>
      </c>
      <c r="H2139">
        <v>0</v>
      </c>
      <c r="I2139">
        <v>0</v>
      </c>
      <c r="J2139">
        <v>0</v>
      </c>
      <c r="K2139">
        <v>0</v>
      </c>
      <c r="L2139">
        <v>0</v>
      </c>
      <c r="M2139">
        <v>0</v>
      </c>
      <c r="N2139">
        <v>162642</v>
      </c>
      <c r="O2139">
        <v>0</v>
      </c>
      <c r="P2139">
        <v>0</v>
      </c>
      <c r="Q2139">
        <v>6</v>
      </c>
      <c r="R2139">
        <v>0</v>
      </c>
      <c r="S2139">
        <v>0</v>
      </c>
      <c r="T2139">
        <v>0</v>
      </c>
      <c r="U2139">
        <v>4</v>
      </c>
    </row>
    <row r="2140" spans="1:21" x14ac:dyDescent="0.35">
      <c r="A2140" t="s">
        <v>21</v>
      </c>
      <c r="B2140" s="1">
        <v>44513</v>
      </c>
      <c r="C2140" t="s">
        <v>27</v>
      </c>
      <c r="D2140">
        <v>0</v>
      </c>
      <c r="E2140">
        <v>0</v>
      </c>
      <c r="F2140">
        <v>0</v>
      </c>
      <c r="G2140">
        <v>0</v>
      </c>
      <c r="H2140">
        <v>0</v>
      </c>
      <c r="I2140">
        <v>0</v>
      </c>
      <c r="J2140">
        <v>0</v>
      </c>
      <c r="K2140">
        <v>0</v>
      </c>
      <c r="L2140">
        <v>0</v>
      </c>
      <c r="M2140">
        <v>0</v>
      </c>
      <c r="N2140">
        <v>61336</v>
      </c>
      <c r="O2140">
        <v>102949</v>
      </c>
      <c r="P2140">
        <v>0</v>
      </c>
      <c r="Q2140">
        <v>0</v>
      </c>
      <c r="R2140">
        <v>0</v>
      </c>
      <c r="S2140">
        <v>0</v>
      </c>
      <c r="T2140">
        <v>12</v>
      </c>
      <c r="U2140">
        <v>17</v>
      </c>
    </row>
    <row r="2141" spans="1:21" x14ac:dyDescent="0.35">
      <c r="A2141" t="s">
        <v>28</v>
      </c>
      <c r="B2141" s="1">
        <v>44536</v>
      </c>
      <c r="C2141" t="s">
        <v>22</v>
      </c>
      <c r="D2141">
        <v>27.1</v>
      </c>
      <c r="E2141">
        <v>5.5</v>
      </c>
      <c r="F2141">
        <v>0</v>
      </c>
      <c r="G2141">
        <v>4.9000000000000004</v>
      </c>
      <c r="H2141">
        <v>0</v>
      </c>
      <c r="I2141">
        <v>29.7</v>
      </c>
      <c r="J2141">
        <v>4</v>
      </c>
      <c r="K2141">
        <v>0</v>
      </c>
      <c r="L2141">
        <v>7.4</v>
      </c>
      <c r="M2141">
        <v>0</v>
      </c>
      <c r="N2141">
        <v>1257017</v>
      </c>
      <c r="O2141">
        <v>1201445</v>
      </c>
      <c r="P2141">
        <v>0</v>
      </c>
      <c r="Q2141">
        <v>341</v>
      </c>
      <c r="R2141">
        <v>66</v>
      </c>
      <c r="S2141">
        <v>0</v>
      </c>
      <c r="T2141">
        <v>999</v>
      </c>
      <c r="U2141">
        <v>999</v>
      </c>
    </row>
    <row r="2142" spans="1:21" x14ac:dyDescent="0.35">
      <c r="A2142" t="s">
        <v>26</v>
      </c>
      <c r="B2142" s="1">
        <v>44611</v>
      </c>
      <c r="C2142" t="s">
        <v>32</v>
      </c>
      <c r="D2142">
        <v>1.8</v>
      </c>
      <c r="E2142">
        <v>0</v>
      </c>
      <c r="F2142">
        <v>0</v>
      </c>
      <c r="G2142">
        <v>0</v>
      </c>
      <c r="H2142">
        <v>0</v>
      </c>
      <c r="I2142">
        <v>0</v>
      </c>
      <c r="J2142">
        <v>0</v>
      </c>
      <c r="K2142">
        <v>0</v>
      </c>
      <c r="L2142">
        <v>0</v>
      </c>
      <c r="M2142">
        <v>0</v>
      </c>
      <c r="N2142">
        <v>162642</v>
      </c>
      <c r="O2142">
        <v>0</v>
      </c>
      <c r="P2142">
        <v>0</v>
      </c>
      <c r="Q2142">
        <v>3</v>
      </c>
      <c r="R2142">
        <v>0</v>
      </c>
      <c r="S2142">
        <v>0</v>
      </c>
      <c r="T2142">
        <v>0</v>
      </c>
      <c r="U2142">
        <v>4</v>
      </c>
    </row>
    <row r="2143" spans="1:21" x14ac:dyDescent="0.35">
      <c r="A2143" t="s">
        <v>21</v>
      </c>
      <c r="B2143" s="1">
        <v>45082</v>
      </c>
      <c r="C2143" t="s">
        <v>32</v>
      </c>
      <c r="D2143">
        <v>0</v>
      </c>
      <c r="E2143">
        <v>0</v>
      </c>
      <c r="F2143">
        <v>0</v>
      </c>
      <c r="G2143">
        <v>0</v>
      </c>
      <c r="H2143">
        <v>0</v>
      </c>
      <c r="I2143">
        <v>0</v>
      </c>
      <c r="J2143">
        <v>0</v>
      </c>
      <c r="K2143">
        <v>0</v>
      </c>
      <c r="L2143">
        <v>0</v>
      </c>
      <c r="M2143">
        <v>0</v>
      </c>
      <c r="N2143">
        <v>162642</v>
      </c>
      <c r="O2143">
        <v>0</v>
      </c>
      <c r="P2143">
        <v>0</v>
      </c>
      <c r="Q2143">
        <v>0</v>
      </c>
      <c r="R2143">
        <v>0</v>
      </c>
      <c r="S2143">
        <v>0</v>
      </c>
      <c r="T2143">
        <v>0</v>
      </c>
      <c r="U2143">
        <v>4</v>
      </c>
    </row>
    <row r="2144" spans="1:21" x14ac:dyDescent="0.35">
      <c r="A2144" t="s">
        <v>26</v>
      </c>
      <c r="B2144" s="1">
        <v>44828</v>
      </c>
      <c r="C2144" t="s">
        <v>30</v>
      </c>
      <c r="D2144">
        <v>46.2</v>
      </c>
      <c r="E2144">
        <v>44</v>
      </c>
      <c r="F2144">
        <v>44.6</v>
      </c>
      <c r="G2144">
        <v>1</v>
      </c>
      <c r="H2144">
        <v>1</v>
      </c>
      <c r="I2144">
        <v>0</v>
      </c>
      <c r="J2144">
        <v>0</v>
      </c>
      <c r="K2144">
        <v>0</v>
      </c>
      <c r="L2144">
        <v>0</v>
      </c>
      <c r="M2144">
        <v>0</v>
      </c>
      <c r="N2144">
        <v>25995</v>
      </c>
      <c r="O2144">
        <v>11376</v>
      </c>
      <c r="P2144">
        <v>47037</v>
      </c>
      <c r="Q2144">
        <v>12</v>
      </c>
      <c r="R2144">
        <v>5</v>
      </c>
      <c r="S2144">
        <v>21</v>
      </c>
      <c r="T2144">
        <v>80</v>
      </c>
      <c r="U2144">
        <v>200</v>
      </c>
    </row>
    <row r="2145" spans="1:21" x14ac:dyDescent="0.35">
      <c r="A2145" t="s">
        <v>26</v>
      </c>
      <c r="B2145" s="1">
        <v>44422</v>
      </c>
      <c r="C2145" t="s">
        <v>30</v>
      </c>
      <c r="D2145">
        <v>34.299999999999997</v>
      </c>
      <c r="E2145">
        <v>17.100000000000001</v>
      </c>
      <c r="F2145">
        <v>0</v>
      </c>
      <c r="G2145">
        <v>2</v>
      </c>
      <c r="H2145">
        <v>0</v>
      </c>
      <c r="I2145">
        <v>0</v>
      </c>
      <c r="J2145">
        <v>0</v>
      </c>
      <c r="K2145">
        <v>0</v>
      </c>
      <c r="L2145">
        <v>0</v>
      </c>
      <c r="M2145">
        <v>0</v>
      </c>
      <c r="N2145">
        <v>32042</v>
      </c>
      <c r="O2145">
        <v>52760</v>
      </c>
      <c r="P2145">
        <v>0</v>
      </c>
      <c r="Q2145">
        <v>11</v>
      </c>
      <c r="R2145">
        <v>9</v>
      </c>
      <c r="S2145">
        <v>0</v>
      </c>
      <c r="T2145">
        <v>80</v>
      </c>
      <c r="U2145">
        <v>200</v>
      </c>
    </row>
    <row r="2146" spans="1:21" x14ac:dyDescent="0.35">
      <c r="A2146" t="s">
        <v>26</v>
      </c>
      <c r="B2146" s="1">
        <v>44618</v>
      </c>
      <c r="C2146" t="s">
        <v>32</v>
      </c>
      <c r="D2146">
        <v>1.8</v>
      </c>
      <c r="E2146">
        <v>0</v>
      </c>
      <c r="F2146">
        <v>0</v>
      </c>
      <c r="G2146">
        <v>0</v>
      </c>
      <c r="H2146">
        <v>0</v>
      </c>
      <c r="I2146">
        <v>0</v>
      </c>
      <c r="J2146">
        <v>0</v>
      </c>
      <c r="K2146">
        <v>0</v>
      </c>
      <c r="L2146">
        <v>0</v>
      </c>
      <c r="M2146">
        <v>0</v>
      </c>
      <c r="N2146">
        <v>162642</v>
      </c>
      <c r="O2146">
        <v>0</v>
      </c>
      <c r="P2146">
        <v>0</v>
      </c>
      <c r="Q2146">
        <v>3</v>
      </c>
      <c r="R2146">
        <v>0</v>
      </c>
      <c r="S2146">
        <v>0</v>
      </c>
      <c r="T2146">
        <v>0</v>
      </c>
      <c r="U2146">
        <v>4</v>
      </c>
    </row>
    <row r="2147" spans="1:21" x14ac:dyDescent="0.35">
      <c r="A2147" t="s">
        <v>26</v>
      </c>
      <c r="B2147" s="1">
        <v>44684</v>
      </c>
      <c r="C2147" t="s">
        <v>32</v>
      </c>
      <c r="D2147">
        <v>1.8</v>
      </c>
      <c r="E2147">
        <v>0</v>
      </c>
      <c r="F2147">
        <v>0</v>
      </c>
      <c r="G2147">
        <v>0</v>
      </c>
      <c r="H2147">
        <v>0</v>
      </c>
      <c r="I2147">
        <v>0</v>
      </c>
      <c r="J2147">
        <v>0</v>
      </c>
      <c r="K2147">
        <v>0</v>
      </c>
      <c r="L2147">
        <v>0</v>
      </c>
      <c r="M2147">
        <v>0</v>
      </c>
      <c r="N2147">
        <v>162642</v>
      </c>
      <c r="O2147">
        <v>0</v>
      </c>
      <c r="P2147">
        <v>0</v>
      </c>
      <c r="Q2147">
        <v>3</v>
      </c>
      <c r="R2147">
        <v>0</v>
      </c>
      <c r="S2147">
        <v>0</v>
      </c>
      <c r="T2147">
        <v>0</v>
      </c>
      <c r="U2147">
        <v>4</v>
      </c>
    </row>
    <row r="2148" spans="1:21" x14ac:dyDescent="0.35">
      <c r="A2148" t="s">
        <v>26</v>
      </c>
      <c r="B2148" s="1">
        <v>44237</v>
      </c>
      <c r="C2148" t="s">
        <v>30</v>
      </c>
      <c r="D2148">
        <v>39.1</v>
      </c>
      <c r="E2148">
        <v>13.3</v>
      </c>
      <c r="F2148">
        <v>0</v>
      </c>
      <c r="G2148">
        <v>2.9</v>
      </c>
      <c r="H2148">
        <v>0</v>
      </c>
      <c r="I2148">
        <v>0</v>
      </c>
      <c r="J2148">
        <v>0</v>
      </c>
      <c r="K2148">
        <v>0</v>
      </c>
      <c r="L2148">
        <v>0</v>
      </c>
      <c r="M2148">
        <v>0</v>
      </c>
      <c r="N2148">
        <v>30671</v>
      </c>
      <c r="O2148">
        <v>52751</v>
      </c>
      <c r="P2148">
        <v>0</v>
      </c>
      <c r="Q2148">
        <v>12</v>
      </c>
      <c r="R2148">
        <v>7</v>
      </c>
      <c r="S2148">
        <v>0</v>
      </c>
      <c r="T2148">
        <v>80</v>
      </c>
      <c r="U2148">
        <v>200</v>
      </c>
    </row>
    <row r="2149" spans="1:21" x14ac:dyDescent="0.35">
      <c r="A2149" t="s">
        <v>26</v>
      </c>
      <c r="B2149" s="1">
        <v>44898</v>
      </c>
      <c r="C2149" t="s">
        <v>32</v>
      </c>
      <c r="D2149">
        <v>1.8</v>
      </c>
      <c r="E2149">
        <v>0</v>
      </c>
      <c r="F2149">
        <v>0</v>
      </c>
      <c r="G2149">
        <v>0</v>
      </c>
      <c r="H2149">
        <v>0</v>
      </c>
      <c r="I2149">
        <v>0</v>
      </c>
      <c r="J2149">
        <v>0</v>
      </c>
      <c r="K2149">
        <v>0</v>
      </c>
      <c r="L2149">
        <v>0</v>
      </c>
      <c r="M2149">
        <v>0</v>
      </c>
      <c r="N2149">
        <v>162642</v>
      </c>
      <c r="O2149">
        <v>0</v>
      </c>
      <c r="P2149">
        <v>0</v>
      </c>
      <c r="Q2149">
        <v>3</v>
      </c>
      <c r="R2149">
        <v>0</v>
      </c>
      <c r="S2149">
        <v>0</v>
      </c>
      <c r="T2149">
        <v>0</v>
      </c>
      <c r="U2149">
        <v>4</v>
      </c>
    </row>
    <row r="2150" spans="1:21" x14ac:dyDescent="0.35">
      <c r="A2150" t="s">
        <v>26</v>
      </c>
      <c r="B2150" s="1">
        <v>44596</v>
      </c>
      <c r="C2150" t="s">
        <v>24</v>
      </c>
      <c r="D2150">
        <v>0</v>
      </c>
      <c r="E2150">
        <v>1.1000000000000001</v>
      </c>
      <c r="F2150">
        <v>0</v>
      </c>
      <c r="G2150">
        <v>0</v>
      </c>
      <c r="H2150">
        <v>0</v>
      </c>
      <c r="I2150">
        <v>0</v>
      </c>
      <c r="J2150">
        <v>0</v>
      </c>
      <c r="K2150">
        <v>0</v>
      </c>
      <c r="L2150">
        <v>0</v>
      </c>
      <c r="M2150">
        <v>0</v>
      </c>
      <c r="N2150">
        <v>103457</v>
      </c>
      <c r="O2150">
        <v>90969</v>
      </c>
      <c r="P2150">
        <v>0</v>
      </c>
      <c r="Q2150">
        <v>0</v>
      </c>
      <c r="R2150">
        <v>1</v>
      </c>
      <c r="S2150">
        <v>0</v>
      </c>
      <c r="T2150">
        <v>5</v>
      </c>
      <c r="U2150">
        <v>11</v>
      </c>
    </row>
    <row r="2151" spans="1:21" x14ac:dyDescent="0.35">
      <c r="A2151" t="s">
        <v>26</v>
      </c>
      <c r="B2151" s="1">
        <v>44639</v>
      </c>
      <c r="C2151" t="s">
        <v>32</v>
      </c>
      <c r="D2151">
        <v>1.2</v>
      </c>
      <c r="E2151">
        <v>0</v>
      </c>
      <c r="F2151">
        <v>0</v>
      </c>
      <c r="G2151">
        <v>0</v>
      </c>
      <c r="H2151">
        <v>0</v>
      </c>
      <c r="I2151">
        <v>0</v>
      </c>
      <c r="J2151">
        <v>0</v>
      </c>
      <c r="K2151">
        <v>0</v>
      </c>
      <c r="L2151">
        <v>0</v>
      </c>
      <c r="M2151">
        <v>0</v>
      </c>
      <c r="N2151">
        <v>162642</v>
      </c>
      <c r="O2151">
        <v>0</v>
      </c>
      <c r="P2151">
        <v>0</v>
      </c>
      <c r="Q2151">
        <v>2</v>
      </c>
      <c r="R2151">
        <v>0</v>
      </c>
      <c r="S2151">
        <v>0</v>
      </c>
      <c r="T2151">
        <v>0</v>
      </c>
      <c r="U2151">
        <v>4</v>
      </c>
    </row>
    <row r="2152" spans="1:21" x14ac:dyDescent="0.35">
      <c r="A2152" t="s">
        <v>21</v>
      </c>
      <c r="B2152" s="1">
        <v>44322</v>
      </c>
      <c r="C2152" t="s">
        <v>31</v>
      </c>
      <c r="D2152">
        <v>17</v>
      </c>
      <c r="E2152">
        <v>1.1000000000000001</v>
      </c>
      <c r="F2152">
        <v>0</v>
      </c>
      <c r="G2152">
        <v>15.5</v>
      </c>
      <c r="H2152">
        <v>0</v>
      </c>
      <c r="I2152">
        <v>0</v>
      </c>
      <c r="J2152">
        <v>0</v>
      </c>
      <c r="K2152">
        <v>0</v>
      </c>
      <c r="L2152">
        <v>0</v>
      </c>
      <c r="M2152">
        <v>0</v>
      </c>
      <c r="N2152">
        <v>76606</v>
      </c>
      <c r="O2152">
        <v>179075</v>
      </c>
      <c r="P2152">
        <v>0</v>
      </c>
      <c r="Q2152">
        <v>13</v>
      </c>
      <c r="R2152">
        <v>2</v>
      </c>
      <c r="S2152">
        <v>0</v>
      </c>
      <c r="T2152">
        <v>65</v>
      </c>
      <c r="U2152">
        <v>79</v>
      </c>
    </row>
    <row r="2153" spans="1:21" x14ac:dyDescent="0.35">
      <c r="A2153" t="s">
        <v>26</v>
      </c>
      <c r="B2153" s="1">
        <v>44373</v>
      </c>
      <c r="C2153" t="s">
        <v>30</v>
      </c>
      <c r="D2153">
        <v>8.9</v>
      </c>
      <c r="E2153">
        <v>0</v>
      </c>
      <c r="F2153">
        <v>0</v>
      </c>
      <c r="G2153">
        <v>0</v>
      </c>
      <c r="H2153">
        <v>0</v>
      </c>
      <c r="I2153">
        <v>0</v>
      </c>
      <c r="J2153">
        <v>0</v>
      </c>
      <c r="K2153">
        <v>0</v>
      </c>
      <c r="L2153">
        <v>0</v>
      </c>
      <c r="M2153">
        <v>0</v>
      </c>
      <c r="N2153">
        <v>33591</v>
      </c>
      <c r="O2153">
        <v>50911</v>
      </c>
      <c r="P2153">
        <v>0</v>
      </c>
      <c r="Q2153">
        <v>3</v>
      </c>
      <c r="R2153">
        <v>0</v>
      </c>
      <c r="S2153">
        <v>0</v>
      </c>
      <c r="T2153">
        <v>80</v>
      </c>
      <c r="U2153">
        <v>200</v>
      </c>
    </row>
    <row r="2154" spans="1:21" x14ac:dyDescent="0.35">
      <c r="A2154" t="s">
        <v>28</v>
      </c>
      <c r="B2154" s="1">
        <v>44385</v>
      </c>
      <c r="C2154" t="s">
        <v>30</v>
      </c>
      <c r="D2154">
        <v>43.4</v>
      </c>
      <c r="E2154">
        <v>28.5</v>
      </c>
      <c r="F2154">
        <v>0</v>
      </c>
      <c r="G2154">
        <v>1.5</v>
      </c>
      <c r="H2154">
        <v>0</v>
      </c>
      <c r="I2154">
        <v>0</v>
      </c>
      <c r="J2154">
        <v>0</v>
      </c>
      <c r="K2154">
        <v>0</v>
      </c>
      <c r="L2154">
        <v>0</v>
      </c>
      <c r="M2154">
        <v>0</v>
      </c>
      <c r="N2154">
        <v>32284</v>
      </c>
      <c r="O2154">
        <v>52589</v>
      </c>
      <c r="P2154">
        <v>0</v>
      </c>
      <c r="Q2154">
        <v>14</v>
      </c>
      <c r="R2154">
        <v>15</v>
      </c>
      <c r="S2154">
        <v>0</v>
      </c>
      <c r="T2154">
        <v>80</v>
      </c>
      <c r="U2154">
        <v>200</v>
      </c>
    </row>
    <row r="2155" spans="1:21" x14ac:dyDescent="0.35">
      <c r="A2155" t="s">
        <v>26</v>
      </c>
      <c r="B2155" s="1">
        <v>44596</v>
      </c>
      <c r="C2155" t="s">
        <v>32</v>
      </c>
      <c r="D2155">
        <v>1.8</v>
      </c>
      <c r="E2155">
        <v>0</v>
      </c>
      <c r="F2155">
        <v>0</v>
      </c>
      <c r="G2155">
        <v>0</v>
      </c>
      <c r="H2155">
        <v>0</v>
      </c>
      <c r="I2155">
        <v>0</v>
      </c>
      <c r="J2155">
        <v>0</v>
      </c>
      <c r="K2155">
        <v>0</v>
      </c>
      <c r="L2155">
        <v>0</v>
      </c>
      <c r="M2155">
        <v>0</v>
      </c>
      <c r="N2155">
        <v>162642</v>
      </c>
      <c r="O2155">
        <v>0</v>
      </c>
      <c r="P2155">
        <v>0</v>
      </c>
      <c r="Q2155">
        <v>3</v>
      </c>
      <c r="R2155">
        <v>0</v>
      </c>
      <c r="S2155">
        <v>0</v>
      </c>
      <c r="T2155">
        <v>0</v>
      </c>
      <c r="U2155">
        <v>4</v>
      </c>
    </row>
    <row r="2156" spans="1:21" x14ac:dyDescent="0.35">
      <c r="A2156" t="s">
        <v>26</v>
      </c>
      <c r="B2156" s="1">
        <v>44808</v>
      </c>
      <c r="C2156" t="s">
        <v>32</v>
      </c>
      <c r="D2156">
        <v>1.2</v>
      </c>
      <c r="E2156">
        <v>0</v>
      </c>
      <c r="F2156">
        <v>0</v>
      </c>
      <c r="G2156">
        <v>0</v>
      </c>
      <c r="H2156">
        <v>0</v>
      </c>
      <c r="I2156">
        <v>0</v>
      </c>
      <c r="J2156">
        <v>0</v>
      </c>
      <c r="K2156">
        <v>0</v>
      </c>
      <c r="L2156">
        <v>0</v>
      </c>
      <c r="M2156">
        <v>0</v>
      </c>
      <c r="N2156">
        <v>162642</v>
      </c>
      <c r="O2156">
        <v>0</v>
      </c>
      <c r="P2156">
        <v>0</v>
      </c>
      <c r="Q2156">
        <v>2</v>
      </c>
      <c r="R2156">
        <v>0</v>
      </c>
      <c r="S2156">
        <v>0</v>
      </c>
      <c r="T2156">
        <v>0</v>
      </c>
      <c r="U2156">
        <v>4</v>
      </c>
    </row>
    <row r="2157" spans="1:21" x14ac:dyDescent="0.35">
      <c r="A2157" t="s">
        <v>21</v>
      </c>
      <c r="B2157" s="1">
        <v>44590</v>
      </c>
      <c r="C2157" t="s">
        <v>29</v>
      </c>
      <c r="D2157">
        <v>1.4</v>
      </c>
      <c r="E2157">
        <v>0.3</v>
      </c>
      <c r="F2157">
        <v>0</v>
      </c>
      <c r="G2157">
        <v>4.7</v>
      </c>
      <c r="H2157">
        <v>0</v>
      </c>
      <c r="I2157">
        <v>0</v>
      </c>
      <c r="J2157">
        <v>0</v>
      </c>
      <c r="K2157">
        <v>0</v>
      </c>
      <c r="L2157">
        <v>0</v>
      </c>
      <c r="M2157">
        <v>0</v>
      </c>
      <c r="N2157">
        <v>145400</v>
      </c>
      <c r="O2157">
        <v>318707</v>
      </c>
      <c r="P2157">
        <v>273200</v>
      </c>
      <c r="Q2157">
        <v>2</v>
      </c>
      <c r="R2157">
        <v>1</v>
      </c>
      <c r="S2157">
        <v>0</v>
      </c>
      <c r="T2157">
        <v>30</v>
      </c>
      <c r="U2157">
        <v>49</v>
      </c>
    </row>
    <row r="2158" spans="1:21" x14ac:dyDescent="0.35">
      <c r="A2158" t="s">
        <v>26</v>
      </c>
      <c r="B2158" s="1">
        <v>44667</v>
      </c>
      <c r="C2158" t="s">
        <v>32</v>
      </c>
      <c r="D2158">
        <v>1.8</v>
      </c>
      <c r="E2158">
        <v>0</v>
      </c>
      <c r="F2158">
        <v>0</v>
      </c>
      <c r="G2158">
        <v>0</v>
      </c>
      <c r="H2158">
        <v>0</v>
      </c>
      <c r="I2158">
        <v>0</v>
      </c>
      <c r="J2158">
        <v>0</v>
      </c>
      <c r="K2158">
        <v>0</v>
      </c>
      <c r="L2158">
        <v>0</v>
      </c>
      <c r="M2158">
        <v>0</v>
      </c>
      <c r="N2158">
        <v>162642</v>
      </c>
      <c r="O2158">
        <v>0</v>
      </c>
      <c r="P2158">
        <v>0</v>
      </c>
      <c r="Q2158">
        <v>3</v>
      </c>
      <c r="R2158">
        <v>0</v>
      </c>
      <c r="S2158">
        <v>0</v>
      </c>
      <c r="T2158">
        <v>0</v>
      </c>
      <c r="U2158">
        <v>4</v>
      </c>
    </row>
    <row r="2159" spans="1:21" x14ac:dyDescent="0.35">
      <c r="A2159" t="s">
        <v>26</v>
      </c>
      <c r="B2159" s="1">
        <v>44562</v>
      </c>
      <c r="C2159" t="s">
        <v>27</v>
      </c>
      <c r="D2159">
        <v>26.2</v>
      </c>
      <c r="E2159">
        <v>4.5999999999999996</v>
      </c>
      <c r="F2159">
        <v>0</v>
      </c>
      <c r="G2159">
        <v>5.7</v>
      </c>
      <c r="H2159">
        <v>0</v>
      </c>
      <c r="I2159">
        <v>0</v>
      </c>
      <c r="J2159">
        <v>0</v>
      </c>
      <c r="K2159">
        <v>0</v>
      </c>
      <c r="L2159">
        <v>0</v>
      </c>
      <c r="M2159">
        <v>0</v>
      </c>
      <c r="N2159">
        <v>53465</v>
      </c>
      <c r="O2159">
        <v>108405</v>
      </c>
      <c r="P2159">
        <v>1872</v>
      </c>
      <c r="Q2159">
        <v>14</v>
      </c>
      <c r="R2159">
        <v>5</v>
      </c>
      <c r="S2159">
        <v>0</v>
      </c>
      <c r="T2159">
        <v>12</v>
      </c>
      <c r="U2159">
        <v>17</v>
      </c>
    </row>
    <row r="2160" spans="1:21" x14ac:dyDescent="0.35">
      <c r="A2160" t="s">
        <v>21</v>
      </c>
      <c r="B2160" s="1">
        <v>44737</v>
      </c>
      <c r="C2160" t="s">
        <v>22</v>
      </c>
      <c r="D2160">
        <v>0.2</v>
      </c>
      <c r="E2160">
        <v>0.3</v>
      </c>
      <c r="F2160">
        <v>0.3</v>
      </c>
      <c r="G2160">
        <v>0.7</v>
      </c>
      <c r="H2160">
        <v>0.7</v>
      </c>
      <c r="I2160">
        <v>0.1</v>
      </c>
      <c r="J2160">
        <v>0.6</v>
      </c>
      <c r="K2160">
        <v>0.2</v>
      </c>
      <c r="L2160">
        <v>0.2</v>
      </c>
      <c r="M2160">
        <v>0.6</v>
      </c>
      <c r="N2160">
        <v>635698</v>
      </c>
      <c r="O2160">
        <v>868337</v>
      </c>
      <c r="P2160">
        <v>988583</v>
      </c>
      <c r="Q2160">
        <v>1</v>
      </c>
      <c r="R2160">
        <v>3</v>
      </c>
      <c r="S2160">
        <v>3</v>
      </c>
      <c r="T2160">
        <v>999</v>
      </c>
      <c r="U2160">
        <v>999</v>
      </c>
    </row>
    <row r="2161" spans="1:21" x14ac:dyDescent="0.35">
      <c r="A2161" t="s">
        <v>26</v>
      </c>
      <c r="B2161" s="1">
        <v>44527</v>
      </c>
      <c r="C2161" t="s">
        <v>22</v>
      </c>
      <c r="D2161">
        <v>23.5</v>
      </c>
      <c r="E2161">
        <v>5.2</v>
      </c>
      <c r="F2161">
        <v>2.6</v>
      </c>
      <c r="G2161">
        <v>4.5</v>
      </c>
      <c r="H2161">
        <v>9</v>
      </c>
      <c r="I2161">
        <v>35.4</v>
      </c>
      <c r="J2161">
        <v>5.0999999999999996</v>
      </c>
      <c r="K2161">
        <v>1.3</v>
      </c>
      <c r="L2161">
        <v>7</v>
      </c>
      <c r="M2161">
        <v>27.1</v>
      </c>
      <c r="N2161">
        <v>879918</v>
      </c>
      <c r="O2161">
        <v>1338551</v>
      </c>
      <c r="P2161">
        <v>274264</v>
      </c>
      <c r="Q2161">
        <v>207</v>
      </c>
      <c r="R2161">
        <v>70</v>
      </c>
      <c r="S2161">
        <v>7</v>
      </c>
      <c r="T2161">
        <v>999</v>
      </c>
      <c r="U2161">
        <v>999</v>
      </c>
    </row>
    <row r="2162" spans="1:21" x14ac:dyDescent="0.35">
      <c r="A2162" t="s">
        <v>26</v>
      </c>
      <c r="B2162" s="1">
        <v>44674</v>
      </c>
      <c r="C2162" t="s">
        <v>32</v>
      </c>
      <c r="D2162">
        <v>1.2</v>
      </c>
      <c r="E2162">
        <v>0</v>
      </c>
      <c r="F2162">
        <v>0</v>
      </c>
      <c r="G2162">
        <v>0</v>
      </c>
      <c r="H2162">
        <v>0</v>
      </c>
      <c r="I2162">
        <v>0</v>
      </c>
      <c r="J2162">
        <v>0</v>
      </c>
      <c r="K2162">
        <v>0</v>
      </c>
      <c r="L2162">
        <v>0</v>
      </c>
      <c r="M2162">
        <v>0</v>
      </c>
      <c r="N2162">
        <v>162642</v>
      </c>
      <c r="O2162">
        <v>0</v>
      </c>
      <c r="P2162">
        <v>0</v>
      </c>
      <c r="Q2162">
        <v>2</v>
      </c>
      <c r="R2162">
        <v>0</v>
      </c>
      <c r="S2162">
        <v>0</v>
      </c>
      <c r="T2162">
        <v>0</v>
      </c>
      <c r="U2162">
        <v>4</v>
      </c>
    </row>
    <row r="2163" spans="1:21" x14ac:dyDescent="0.35">
      <c r="A2163" t="s">
        <v>28</v>
      </c>
      <c r="B2163" s="1">
        <v>45094</v>
      </c>
      <c r="C2163" t="s">
        <v>24</v>
      </c>
      <c r="D2163">
        <v>7.7</v>
      </c>
      <c r="E2163">
        <v>3.6</v>
      </c>
      <c r="F2163">
        <v>14.1</v>
      </c>
      <c r="G2163">
        <v>2.1</v>
      </c>
      <c r="H2163">
        <v>0.5</v>
      </c>
      <c r="I2163">
        <v>0</v>
      </c>
      <c r="J2163">
        <v>0</v>
      </c>
      <c r="K2163">
        <v>0</v>
      </c>
      <c r="L2163">
        <v>0</v>
      </c>
      <c r="M2163">
        <v>0</v>
      </c>
      <c r="N2163">
        <v>90426</v>
      </c>
      <c r="O2163">
        <v>82681</v>
      </c>
      <c r="P2163">
        <v>21245</v>
      </c>
      <c r="Q2163">
        <v>7</v>
      </c>
      <c r="R2163">
        <v>3</v>
      </c>
      <c r="S2163">
        <v>3</v>
      </c>
      <c r="T2163">
        <v>5</v>
      </c>
      <c r="U2163">
        <v>11</v>
      </c>
    </row>
    <row r="2164" spans="1:21" x14ac:dyDescent="0.35">
      <c r="A2164" t="s">
        <v>28</v>
      </c>
      <c r="B2164" s="1">
        <v>44793</v>
      </c>
      <c r="C2164" t="s">
        <v>24</v>
      </c>
      <c r="D2164">
        <v>77</v>
      </c>
      <c r="E2164">
        <v>79.2</v>
      </c>
      <c r="F2164">
        <v>85.6</v>
      </c>
      <c r="G2164">
        <v>1</v>
      </c>
      <c r="H2164">
        <v>0.9</v>
      </c>
      <c r="I2164">
        <v>0</v>
      </c>
      <c r="J2164">
        <v>0</v>
      </c>
      <c r="K2164">
        <v>0</v>
      </c>
      <c r="L2164">
        <v>0</v>
      </c>
      <c r="M2164">
        <v>0</v>
      </c>
      <c r="N2164">
        <v>96145</v>
      </c>
      <c r="O2164">
        <v>84646</v>
      </c>
      <c r="P2164">
        <v>14013</v>
      </c>
      <c r="Q2164">
        <v>74</v>
      </c>
      <c r="R2164">
        <v>67</v>
      </c>
      <c r="S2164">
        <v>12</v>
      </c>
      <c r="T2164">
        <v>5</v>
      </c>
      <c r="U2164">
        <v>11</v>
      </c>
    </row>
    <row r="2165" spans="1:21" x14ac:dyDescent="0.35">
      <c r="A2165" t="s">
        <v>21</v>
      </c>
      <c r="B2165" s="1">
        <v>44618</v>
      </c>
      <c r="C2165" t="s">
        <v>25</v>
      </c>
      <c r="D2165">
        <v>0</v>
      </c>
      <c r="E2165">
        <v>0</v>
      </c>
      <c r="F2165">
        <v>0</v>
      </c>
      <c r="G2165">
        <v>0</v>
      </c>
      <c r="H2165">
        <v>0</v>
      </c>
      <c r="I2165">
        <v>0</v>
      </c>
      <c r="J2165">
        <v>0</v>
      </c>
      <c r="K2165">
        <v>0</v>
      </c>
      <c r="L2165">
        <v>0</v>
      </c>
      <c r="M2165">
        <v>0</v>
      </c>
      <c r="N2165">
        <v>102168</v>
      </c>
      <c r="O2165">
        <v>220893</v>
      </c>
      <c r="P2165">
        <v>137242</v>
      </c>
      <c r="Q2165">
        <v>0</v>
      </c>
      <c r="R2165">
        <v>0</v>
      </c>
      <c r="S2165">
        <v>0</v>
      </c>
      <c r="T2165">
        <v>18</v>
      </c>
      <c r="U2165">
        <v>29</v>
      </c>
    </row>
    <row r="2166" spans="1:21" x14ac:dyDescent="0.35">
      <c r="A2166" t="s">
        <v>28</v>
      </c>
      <c r="B2166" s="1">
        <v>45248</v>
      </c>
      <c r="C2166" t="s">
        <v>29</v>
      </c>
      <c r="D2166">
        <v>91.9</v>
      </c>
      <c r="E2166">
        <v>25.8</v>
      </c>
      <c r="F2166">
        <v>39.299999999999997</v>
      </c>
      <c r="G2166">
        <v>3.6</v>
      </c>
      <c r="H2166">
        <v>2.2999999999999998</v>
      </c>
      <c r="I2166">
        <v>0</v>
      </c>
      <c r="J2166">
        <v>0</v>
      </c>
      <c r="K2166">
        <v>0</v>
      </c>
      <c r="L2166">
        <v>0</v>
      </c>
      <c r="M2166">
        <v>0</v>
      </c>
      <c r="N2166">
        <v>100114</v>
      </c>
      <c r="O2166">
        <v>279360</v>
      </c>
      <c r="P2166">
        <v>348926</v>
      </c>
      <c r="Q2166">
        <v>92</v>
      </c>
      <c r="R2166">
        <v>72</v>
      </c>
      <c r="S2166">
        <v>137</v>
      </c>
      <c r="T2166">
        <v>30</v>
      </c>
      <c r="U2166">
        <v>49</v>
      </c>
    </row>
    <row r="2167" spans="1:21" x14ac:dyDescent="0.35">
      <c r="A2167" t="s">
        <v>28</v>
      </c>
      <c r="B2167" s="1">
        <v>44828</v>
      </c>
      <c r="C2167" t="s">
        <v>22</v>
      </c>
      <c r="D2167">
        <v>120.2</v>
      </c>
      <c r="E2167">
        <v>59.9</v>
      </c>
      <c r="F2167">
        <v>99</v>
      </c>
      <c r="G2167">
        <v>2</v>
      </c>
      <c r="H2167">
        <v>1.2</v>
      </c>
      <c r="I2167">
        <v>146</v>
      </c>
      <c r="J2167">
        <v>60.1</v>
      </c>
      <c r="K2167">
        <v>91.1</v>
      </c>
      <c r="L2167">
        <v>2.4</v>
      </c>
      <c r="M2167">
        <v>1.6</v>
      </c>
      <c r="N2167">
        <v>595648</v>
      </c>
      <c r="O2167">
        <v>841554</v>
      </c>
      <c r="P2167">
        <v>1036367</v>
      </c>
      <c r="Q2167">
        <v>716</v>
      </c>
      <c r="R2167">
        <v>504</v>
      </c>
      <c r="S2167">
        <v>1026</v>
      </c>
      <c r="T2167">
        <v>999</v>
      </c>
      <c r="U2167">
        <v>999</v>
      </c>
    </row>
    <row r="2168" spans="1:21" x14ac:dyDescent="0.35">
      <c r="A2168" t="s">
        <v>21</v>
      </c>
      <c r="B2168" s="1">
        <v>45248</v>
      </c>
      <c r="C2168" t="s">
        <v>25</v>
      </c>
      <c r="D2168">
        <v>0</v>
      </c>
      <c r="E2168">
        <v>0</v>
      </c>
      <c r="F2168">
        <v>0</v>
      </c>
      <c r="G2168">
        <v>0</v>
      </c>
      <c r="H2168">
        <v>0</v>
      </c>
      <c r="I2168">
        <v>0</v>
      </c>
      <c r="J2168">
        <v>0</v>
      </c>
      <c r="K2168">
        <v>0</v>
      </c>
      <c r="L2168">
        <v>0</v>
      </c>
      <c r="M2168">
        <v>0</v>
      </c>
      <c r="N2168">
        <v>68264</v>
      </c>
      <c r="O2168">
        <v>215430</v>
      </c>
      <c r="P2168">
        <v>162672</v>
      </c>
      <c r="Q2168">
        <v>0</v>
      </c>
      <c r="R2168">
        <v>0</v>
      </c>
      <c r="S2168">
        <v>0</v>
      </c>
      <c r="T2168">
        <v>18</v>
      </c>
      <c r="U2168">
        <v>29</v>
      </c>
    </row>
    <row r="2169" spans="1:21" x14ac:dyDescent="0.35">
      <c r="A2169" t="s">
        <v>21</v>
      </c>
      <c r="B2169" s="1">
        <v>45185</v>
      </c>
      <c r="C2169" t="s">
        <v>23</v>
      </c>
      <c r="D2169">
        <v>0</v>
      </c>
      <c r="E2169">
        <v>0</v>
      </c>
      <c r="F2169">
        <v>0</v>
      </c>
      <c r="G2169">
        <v>0</v>
      </c>
      <c r="H2169">
        <v>0</v>
      </c>
      <c r="I2169">
        <v>0</v>
      </c>
      <c r="J2169">
        <v>0</v>
      </c>
      <c r="K2169">
        <v>0</v>
      </c>
      <c r="L2169">
        <v>0</v>
      </c>
      <c r="M2169">
        <v>0</v>
      </c>
      <c r="N2169">
        <v>32248</v>
      </c>
      <c r="O2169">
        <v>125721</v>
      </c>
      <c r="P2169">
        <v>246942</v>
      </c>
      <c r="Q2169">
        <v>0</v>
      </c>
      <c r="R2169">
        <v>0</v>
      </c>
      <c r="S2169">
        <v>0</v>
      </c>
      <c r="T2169">
        <v>50</v>
      </c>
      <c r="U2169">
        <v>64</v>
      </c>
    </row>
    <row r="2170" spans="1:21" x14ac:dyDescent="0.35">
      <c r="A2170" t="s">
        <v>26</v>
      </c>
      <c r="B2170" s="1">
        <v>44681</v>
      </c>
      <c r="C2170" t="s">
        <v>32</v>
      </c>
      <c r="D2170">
        <v>1.8</v>
      </c>
      <c r="E2170">
        <v>0</v>
      </c>
      <c r="F2170">
        <v>0</v>
      </c>
      <c r="G2170">
        <v>0</v>
      </c>
      <c r="H2170">
        <v>0</v>
      </c>
      <c r="I2170">
        <v>0</v>
      </c>
      <c r="J2170">
        <v>0</v>
      </c>
      <c r="K2170">
        <v>0</v>
      </c>
      <c r="L2170">
        <v>0</v>
      </c>
      <c r="M2170">
        <v>0</v>
      </c>
      <c r="N2170">
        <v>162642</v>
      </c>
      <c r="O2170">
        <v>0</v>
      </c>
      <c r="P2170">
        <v>0</v>
      </c>
      <c r="Q2170">
        <v>3</v>
      </c>
      <c r="R2170">
        <v>0</v>
      </c>
      <c r="S2170">
        <v>0</v>
      </c>
      <c r="T2170">
        <v>0</v>
      </c>
      <c r="U2170">
        <v>4</v>
      </c>
    </row>
    <row r="2171" spans="1:21" x14ac:dyDescent="0.35">
      <c r="A2171" t="s">
        <v>21</v>
      </c>
      <c r="B2171" s="1">
        <v>45094</v>
      </c>
      <c r="C2171" t="s">
        <v>27</v>
      </c>
      <c r="D2171">
        <v>0</v>
      </c>
      <c r="E2171">
        <v>0</v>
      </c>
      <c r="F2171">
        <v>0</v>
      </c>
      <c r="G2171">
        <v>0</v>
      </c>
      <c r="H2171">
        <v>0</v>
      </c>
      <c r="I2171">
        <v>0</v>
      </c>
      <c r="J2171">
        <v>0</v>
      </c>
      <c r="K2171">
        <v>0</v>
      </c>
      <c r="L2171">
        <v>0</v>
      </c>
      <c r="M2171">
        <v>0</v>
      </c>
      <c r="N2171">
        <v>32372</v>
      </c>
      <c r="O2171">
        <v>86577</v>
      </c>
      <c r="P2171">
        <v>44586</v>
      </c>
      <c r="Q2171">
        <v>0</v>
      </c>
      <c r="R2171">
        <v>0</v>
      </c>
      <c r="S2171">
        <v>0</v>
      </c>
      <c r="T2171">
        <v>12</v>
      </c>
      <c r="U2171">
        <v>17</v>
      </c>
    </row>
    <row r="2172" spans="1:21" x14ac:dyDescent="0.35">
      <c r="A2172" t="s">
        <v>26</v>
      </c>
      <c r="B2172" s="1">
        <v>44618</v>
      </c>
      <c r="C2172" t="s">
        <v>25</v>
      </c>
      <c r="D2172">
        <v>6.9</v>
      </c>
      <c r="E2172">
        <v>1.4</v>
      </c>
      <c r="F2172">
        <v>0.7</v>
      </c>
      <c r="G2172">
        <v>4.9000000000000004</v>
      </c>
      <c r="H2172">
        <v>9.9</v>
      </c>
      <c r="I2172">
        <v>0</v>
      </c>
      <c r="J2172">
        <v>0</v>
      </c>
      <c r="K2172">
        <v>0</v>
      </c>
      <c r="L2172">
        <v>0</v>
      </c>
      <c r="M2172">
        <v>0</v>
      </c>
      <c r="N2172">
        <v>102168</v>
      </c>
      <c r="O2172">
        <v>220893</v>
      </c>
      <c r="P2172">
        <v>137242</v>
      </c>
      <c r="Q2172">
        <v>7</v>
      </c>
      <c r="R2172">
        <v>3</v>
      </c>
      <c r="S2172">
        <v>1</v>
      </c>
      <c r="T2172">
        <v>18</v>
      </c>
      <c r="U2172">
        <v>29</v>
      </c>
    </row>
    <row r="2173" spans="1:21" x14ac:dyDescent="0.35">
      <c r="A2173" t="s">
        <v>26</v>
      </c>
      <c r="B2173" s="1">
        <v>45018</v>
      </c>
      <c r="C2173" t="s">
        <v>25</v>
      </c>
      <c r="D2173">
        <v>9</v>
      </c>
      <c r="E2173">
        <v>1.4</v>
      </c>
      <c r="F2173">
        <v>1.2</v>
      </c>
      <c r="G2173">
        <v>6.4</v>
      </c>
      <c r="H2173">
        <v>7.5</v>
      </c>
      <c r="I2173">
        <v>0</v>
      </c>
      <c r="J2173">
        <v>0</v>
      </c>
      <c r="K2173">
        <v>0</v>
      </c>
      <c r="L2173">
        <v>0</v>
      </c>
      <c r="M2173">
        <v>0</v>
      </c>
      <c r="N2173">
        <v>77612</v>
      </c>
      <c r="O2173">
        <v>213252</v>
      </c>
      <c r="P2173">
        <v>161643</v>
      </c>
      <c r="Q2173">
        <v>7</v>
      </c>
      <c r="R2173">
        <v>3</v>
      </c>
      <c r="S2173">
        <v>2</v>
      </c>
      <c r="T2173">
        <v>18</v>
      </c>
      <c r="U2173">
        <v>29</v>
      </c>
    </row>
    <row r="2174" spans="1:21" x14ac:dyDescent="0.35">
      <c r="A2174" t="s">
        <v>28</v>
      </c>
      <c r="B2174" s="1">
        <v>45142</v>
      </c>
      <c r="C2174" t="s">
        <v>32</v>
      </c>
      <c r="D2174">
        <v>40.6</v>
      </c>
      <c r="E2174">
        <v>2.5</v>
      </c>
      <c r="F2174">
        <v>0</v>
      </c>
      <c r="G2174">
        <v>16.2</v>
      </c>
      <c r="H2174">
        <v>0</v>
      </c>
      <c r="I2174">
        <v>0</v>
      </c>
      <c r="J2174">
        <v>0</v>
      </c>
      <c r="K2174">
        <v>0</v>
      </c>
      <c r="L2174">
        <v>0</v>
      </c>
      <c r="M2174">
        <v>0</v>
      </c>
      <c r="N2174">
        <v>162642</v>
      </c>
      <c r="O2174">
        <v>0</v>
      </c>
      <c r="P2174">
        <v>0</v>
      </c>
      <c r="Q2174">
        <v>66</v>
      </c>
      <c r="R2174">
        <v>4</v>
      </c>
      <c r="S2174">
        <v>0</v>
      </c>
      <c r="T2174">
        <v>0</v>
      </c>
      <c r="U2174">
        <v>4</v>
      </c>
    </row>
    <row r="2175" spans="1:21" x14ac:dyDescent="0.35">
      <c r="A2175" t="s">
        <v>26</v>
      </c>
      <c r="B2175" s="1">
        <v>44747</v>
      </c>
      <c r="C2175" t="s">
        <v>32</v>
      </c>
      <c r="D2175">
        <v>3.1</v>
      </c>
      <c r="E2175">
        <v>0</v>
      </c>
      <c r="F2175">
        <v>0</v>
      </c>
      <c r="G2175">
        <v>0</v>
      </c>
      <c r="H2175">
        <v>0</v>
      </c>
      <c r="I2175">
        <v>0</v>
      </c>
      <c r="J2175">
        <v>0</v>
      </c>
      <c r="K2175">
        <v>0</v>
      </c>
      <c r="L2175">
        <v>0</v>
      </c>
      <c r="M2175">
        <v>0</v>
      </c>
      <c r="N2175">
        <v>162642</v>
      </c>
      <c r="O2175">
        <v>0</v>
      </c>
      <c r="P2175">
        <v>0</v>
      </c>
      <c r="Q2175">
        <v>5</v>
      </c>
      <c r="R2175">
        <v>0</v>
      </c>
      <c r="S2175">
        <v>0</v>
      </c>
      <c r="T2175">
        <v>0</v>
      </c>
      <c r="U2175">
        <v>4</v>
      </c>
    </row>
    <row r="2176" spans="1:21" x14ac:dyDescent="0.35">
      <c r="A2176" t="s">
        <v>26</v>
      </c>
      <c r="B2176" s="1">
        <v>45136</v>
      </c>
      <c r="C2176" t="s">
        <v>24</v>
      </c>
      <c r="D2176">
        <v>0</v>
      </c>
      <c r="E2176">
        <v>0</v>
      </c>
      <c r="F2176">
        <v>0</v>
      </c>
      <c r="G2176">
        <v>0</v>
      </c>
      <c r="H2176">
        <v>0</v>
      </c>
      <c r="I2176">
        <v>0</v>
      </c>
      <c r="J2176">
        <v>0</v>
      </c>
      <c r="K2176">
        <v>0</v>
      </c>
      <c r="L2176">
        <v>0</v>
      </c>
      <c r="M2176">
        <v>0</v>
      </c>
      <c r="N2176">
        <v>89972</v>
      </c>
      <c r="O2176">
        <v>82669</v>
      </c>
      <c r="P2176">
        <v>21260</v>
      </c>
      <c r="Q2176">
        <v>0</v>
      </c>
      <c r="R2176">
        <v>0</v>
      </c>
      <c r="S2176">
        <v>0</v>
      </c>
      <c r="T2176">
        <v>5</v>
      </c>
      <c r="U2176">
        <v>11</v>
      </c>
    </row>
    <row r="2177" spans="1:21" x14ac:dyDescent="0.35">
      <c r="A2177" t="s">
        <v>28</v>
      </c>
      <c r="B2177" s="1">
        <v>45164</v>
      </c>
      <c r="C2177" t="s">
        <v>24</v>
      </c>
      <c r="D2177">
        <v>31.3</v>
      </c>
      <c r="E2177">
        <v>14.5</v>
      </c>
      <c r="F2177">
        <v>18.8</v>
      </c>
      <c r="G2177">
        <v>2.2000000000000002</v>
      </c>
      <c r="H2177">
        <v>1.7</v>
      </c>
      <c r="I2177">
        <v>0</v>
      </c>
      <c r="J2177">
        <v>0</v>
      </c>
      <c r="K2177">
        <v>0</v>
      </c>
      <c r="L2177">
        <v>0</v>
      </c>
      <c r="M2177">
        <v>0</v>
      </c>
      <c r="N2177">
        <v>89580</v>
      </c>
      <c r="O2177">
        <v>82670</v>
      </c>
      <c r="P2177">
        <v>21264</v>
      </c>
      <c r="Q2177">
        <v>28</v>
      </c>
      <c r="R2177">
        <v>12</v>
      </c>
      <c r="S2177">
        <v>4</v>
      </c>
      <c r="T2177">
        <v>5</v>
      </c>
      <c r="U2177">
        <v>11</v>
      </c>
    </row>
    <row r="2178" spans="1:21" x14ac:dyDescent="0.35">
      <c r="A2178" t="s">
        <v>28</v>
      </c>
      <c r="B2178" s="1">
        <v>44772</v>
      </c>
      <c r="C2178" t="s">
        <v>27</v>
      </c>
      <c r="D2178">
        <v>208.7</v>
      </c>
      <c r="E2178">
        <v>78</v>
      </c>
      <c r="F2178">
        <v>105.9</v>
      </c>
      <c r="G2178">
        <v>2.7</v>
      </c>
      <c r="H2178">
        <v>2</v>
      </c>
      <c r="I2178">
        <v>0</v>
      </c>
      <c r="J2178">
        <v>0</v>
      </c>
      <c r="K2178">
        <v>0</v>
      </c>
      <c r="L2178">
        <v>0</v>
      </c>
      <c r="M2178">
        <v>0</v>
      </c>
      <c r="N2178">
        <v>35932</v>
      </c>
      <c r="O2178">
        <v>89736</v>
      </c>
      <c r="P2178">
        <v>39673</v>
      </c>
      <c r="Q2178">
        <v>75</v>
      </c>
      <c r="R2178">
        <v>70</v>
      </c>
      <c r="S2178">
        <v>42</v>
      </c>
      <c r="T2178">
        <v>12</v>
      </c>
      <c r="U2178">
        <v>17</v>
      </c>
    </row>
    <row r="2179" spans="1:21" x14ac:dyDescent="0.35">
      <c r="A2179" t="s">
        <v>21</v>
      </c>
      <c r="B2179" s="1">
        <v>44919</v>
      </c>
      <c r="C2179" t="s">
        <v>24</v>
      </c>
      <c r="D2179">
        <v>0</v>
      </c>
      <c r="E2179">
        <v>0</v>
      </c>
      <c r="F2179">
        <v>0</v>
      </c>
      <c r="G2179">
        <v>0</v>
      </c>
      <c r="H2179">
        <v>0</v>
      </c>
      <c r="I2179">
        <v>0</v>
      </c>
      <c r="J2179">
        <v>0</v>
      </c>
      <c r="K2179">
        <v>0</v>
      </c>
      <c r="L2179">
        <v>0</v>
      </c>
      <c r="M2179">
        <v>0</v>
      </c>
      <c r="N2179">
        <v>92531</v>
      </c>
      <c r="O2179">
        <v>81440</v>
      </c>
      <c r="P2179">
        <v>21142</v>
      </c>
      <c r="Q2179">
        <v>0</v>
      </c>
      <c r="R2179">
        <v>0</v>
      </c>
      <c r="S2179">
        <v>0</v>
      </c>
      <c r="T2179">
        <v>5</v>
      </c>
      <c r="U2179">
        <v>11</v>
      </c>
    </row>
    <row r="2180" spans="1:21" x14ac:dyDescent="0.35">
      <c r="A2180" t="s">
        <v>21</v>
      </c>
      <c r="B2180" s="1">
        <v>45232</v>
      </c>
      <c r="C2180" t="s">
        <v>25</v>
      </c>
      <c r="D2180">
        <v>0</v>
      </c>
      <c r="E2180">
        <v>0</v>
      </c>
      <c r="F2180">
        <v>0</v>
      </c>
      <c r="G2180">
        <v>0</v>
      </c>
      <c r="H2180">
        <v>0</v>
      </c>
      <c r="I2180">
        <v>0</v>
      </c>
      <c r="J2180">
        <v>0</v>
      </c>
      <c r="K2180">
        <v>0</v>
      </c>
      <c r="L2180">
        <v>0</v>
      </c>
      <c r="M2180">
        <v>0</v>
      </c>
      <c r="N2180">
        <v>77378</v>
      </c>
      <c r="O2180">
        <v>213351</v>
      </c>
      <c r="P2180">
        <v>161644</v>
      </c>
      <c r="Q2180">
        <v>0</v>
      </c>
      <c r="R2180">
        <v>0</v>
      </c>
      <c r="S2180">
        <v>0</v>
      </c>
      <c r="T2180">
        <v>18</v>
      </c>
      <c r="U2180">
        <v>29</v>
      </c>
    </row>
    <row r="2181" spans="1:21" x14ac:dyDescent="0.35">
      <c r="A2181" t="s">
        <v>26</v>
      </c>
      <c r="B2181" s="1">
        <v>44555</v>
      </c>
      <c r="C2181" t="s">
        <v>23</v>
      </c>
      <c r="D2181">
        <v>233</v>
      </c>
      <c r="E2181">
        <v>42.5</v>
      </c>
      <c r="F2181">
        <v>12.4</v>
      </c>
      <c r="G2181">
        <v>5.5</v>
      </c>
      <c r="H2181">
        <v>18.8</v>
      </c>
      <c r="I2181">
        <v>0</v>
      </c>
      <c r="J2181">
        <v>0</v>
      </c>
      <c r="K2181">
        <v>0</v>
      </c>
      <c r="L2181">
        <v>0</v>
      </c>
      <c r="M2181">
        <v>0</v>
      </c>
      <c r="N2181">
        <v>58797</v>
      </c>
      <c r="O2181">
        <v>223663</v>
      </c>
      <c r="P2181">
        <v>129378</v>
      </c>
      <c r="Q2181">
        <v>137</v>
      </c>
      <c r="R2181">
        <v>95</v>
      </c>
      <c r="S2181">
        <v>16</v>
      </c>
      <c r="T2181">
        <v>50</v>
      </c>
      <c r="U2181">
        <v>64</v>
      </c>
    </row>
    <row r="2182" spans="1:21" x14ac:dyDescent="0.35">
      <c r="A2182" t="s">
        <v>26</v>
      </c>
      <c r="B2182" s="1">
        <v>45082</v>
      </c>
      <c r="C2182" t="s">
        <v>25</v>
      </c>
      <c r="D2182">
        <v>2.7</v>
      </c>
      <c r="E2182">
        <v>0.5</v>
      </c>
      <c r="F2182">
        <v>0</v>
      </c>
      <c r="G2182">
        <v>5.4</v>
      </c>
      <c r="H2182">
        <v>0</v>
      </c>
      <c r="I2182">
        <v>0</v>
      </c>
      <c r="J2182">
        <v>0</v>
      </c>
      <c r="K2182">
        <v>0</v>
      </c>
      <c r="L2182">
        <v>0</v>
      </c>
      <c r="M2182">
        <v>0</v>
      </c>
      <c r="N2182">
        <v>75322</v>
      </c>
      <c r="O2182">
        <v>214130</v>
      </c>
      <c r="P2182">
        <v>161688</v>
      </c>
      <c r="Q2182">
        <v>2</v>
      </c>
      <c r="R2182">
        <v>1</v>
      </c>
      <c r="S2182">
        <v>0</v>
      </c>
      <c r="T2182">
        <v>18</v>
      </c>
      <c r="U2182">
        <v>29</v>
      </c>
    </row>
    <row r="2183" spans="1:21" x14ac:dyDescent="0.35">
      <c r="A2183" t="s">
        <v>26</v>
      </c>
      <c r="B2183" s="1">
        <v>44975</v>
      </c>
      <c r="C2183" t="s">
        <v>27</v>
      </c>
      <c r="D2183">
        <v>3</v>
      </c>
      <c r="E2183">
        <v>2.2999999999999998</v>
      </c>
      <c r="F2183">
        <v>0</v>
      </c>
      <c r="G2183">
        <v>1.3</v>
      </c>
      <c r="H2183">
        <v>0</v>
      </c>
      <c r="I2183">
        <v>0</v>
      </c>
      <c r="J2183">
        <v>0</v>
      </c>
      <c r="K2183">
        <v>0</v>
      </c>
      <c r="L2183">
        <v>0</v>
      </c>
      <c r="M2183">
        <v>0</v>
      </c>
      <c r="N2183">
        <v>33231</v>
      </c>
      <c r="O2183">
        <v>86353</v>
      </c>
      <c r="P2183">
        <v>44558</v>
      </c>
      <c r="Q2183">
        <v>1</v>
      </c>
      <c r="R2183">
        <v>2</v>
      </c>
      <c r="S2183">
        <v>0</v>
      </c>
      <c r="T2183">
        <v>12</v>
      </c>
      <c r="U2183">
        <v>17</v>
      </c>
    </row>
    <row r="2184" spans="1:21" x14ac:dyDescent="0.35">
      <c r="A2184" t="s">
        <v>21</v>
      </c>
      <c r="B2184" s="1">
        <v>45248</v>
      </c>
      <c r="C2184" t="s">
        <v>29</v>
      </c>
      <c r="D2184">
        <v>0</v>
      </c>
      <c r="E2184">
        <v>0</v>
      </c>
      <c r="F2184">
        <v>0</v>
      </c>
      <c r="G2184">
        <v>0</v>
      </c>
      <c r="H2184">
        <v>0</v>
      </c>
      <c r="I2184">
        <v>0</v>
      </c>
      <c r="J2184">
        <v>0</v>
      </c>
      <c r="K2184">
        <v>0</v>
      </c>
      <c r="L2184">
        <v>0</v>
      </c>
      <c r="M2184">
        <v>0</v>
      </c>
      <c r="N2184">
        <v>100114</v>
      </c>
      <c r="O2184">
        <v>279360</v>
      </c>
      <c r="P2184">
        <v>348926</v>
      </c>
      <c r="Q2184">
        <v>0</v>
      </c>
      <c r="R2184">
        <v>0</v>
      </c>
      <c r="S2184">
        <v>0</v>
      </c>
      <c r="T2184">
        <v>30</v>
      </c>
      <c r="U2184">
        <v>49</v>
      </c>
    </row>
    <row r="2185" spans="1:21" x14ac:dyDescent="0.35">
      <c r="A2185" t="s">
        <v>21</v>
      </c>
      <c r="B2185" s="1">
        <v>44618</v>
      </c>
      <c r="C2185" t="s">
        <v>27</v>
      </c>
      <c r="D2185">
        <v>0</v>
      </c>
      <c r="E2185">
        <v>0</v>
      </c>
      <c r="F2185">
        <v>0</v>
      </c>
      <c r="G2185">
        <v>0</v>
      </c>
      <c r="H2185">
        <v>0</v>
      </c>
      <c r="I2185">
        <v>0</v>
      </c>
      <c r="J2185">
        <v>0</v>
      </c>
      <c r="K2185">
        <v>0</v>
      </c>
      <c r="L2185">
        <v>0</v>
      </c>
      <c r="M2185">
        <v>0</v>
      </c>
      <c r="N2185">
        <v>39635</v>
      </c>
      <c r="O2185">
        <v>95673</v>
      </c>
      <c r="P2185">
        <v>26095</v>
      </c>
      <c r="Q2185">
        <v>0</v>
      </c>
      <c r="R2185">
        <v>0</v>
      </c>
      <c r="S2185">
        <v>0</v>
      </c>
      <c r="T2185">
        <v>12</v>
      </c>
      <c r="U2185">
        <v>17</v>
      </c>
    </row>
    <row r="2186" spans="1:21" x14ac:dyDescent="0.35">
      <c r="A2186" t="s">
        <v>28</v>
      </c>
      <c r="B2186" s="1">
        <v>45145</v>
      </c>
      <c r="C2186" t="s">
        <v>29</v>
      </c>
      <c r="D2186">
        <v>17.600000000000001</v>
      </c>
      <c r="E2186">
        <v>5.4</v>
      </c>
      <c r="F2186">
        <v>7.8</v>
      </c>
      <c r="G2186">
        <v>3.3</v>
      </c>
      <c r="H2186">
        <v>2.2999999999999998</v>
      </c>
      <c r="I2186">
        <v>0</v>
      </c>
      <c r="J2186">
        <v>0</v>
      </c>
      <c r="K2186">
        <v>0</v>
      </c>
      <c r="L2186">
        <v>0</v>
      </c>
      <c r="M2186">
        <v>0</v>
      </c>
      <c r="N2186">
        <v>107855</v>
      </c>
      <c r="O2186">
        <v>278403</v>
      </c>
      <c r="P2186">
        <v>347309</v>
      </c>
      <c r="Q2186">
        <v>19</v>
      </c>
      <c r="R2186">
        <v>15</v>
      </c>
      <c r="S2186">
        <v>27</v>
      </c>
      <c r="T2186">
        <v>30</v>
      </c>
      <c r="U2186">
        <v>49</v>
      </c>
    </row>
    <row r="2187" spans="1:21" x14ac:dyDescent="0.35">
      <c r="A2187" t="s">
        <v>21</v>
      </c>
      <c r="B2187" s="1">
        <v>44576</v>
      </c>
      <c r="C2187" t="s">
        <v>22</v>
      </c>
      <c r="D2187">
        <v>14.8</v>
      </c>
      <c r="E2187">
        <v>5.2</v>
      </c>
      <c r="F2187">
        <v>3.4</v>
      </c>
      <c r="G2187">
        <v>2.8</v>
      </c>
      <c r="H2187">
        <v>4.4000000000000004</v>
      </c>
      <c r="I2187">
        <v>20.5</v>
      </c>
      <c r="J2187">
        <v>8</v>
      </c>
      <c r="K2187">
        <v>1.8</v>
      </c>
      <c r="L2187">
        <v>2.6</v>
      </c>
      <c r="M2187">
        <v>11.4</v>
      </c>
      <c r="N2187">
        <v>745375</v>
      </c>
      <c r="O2187">
        <v>1023963</v>
      </c>
      <c r="P2187">
        <v>685691</v>
      </c>
      <c r="Q2187">
        <v>110</v>
      </c>
      <c r="R2187">
        <v>53</v>
      </c>
      <c r="S2187">
        <v>23</v>
      </c>
      <c r="T2187">
        <v>999</v>
      </c>
      <c r="U2187">
        <v>999</v>
      </c>
    </row>
    <row r="2188" spans="1:21" x14ac:dyDescent="0.35">
      <c r="A2188" t="s">
        <v>26</v>
      </c>
      <c r="B2188" s="1">
        <v>44331</v>
      </c>
      <c r="C2188" t="s">
        <v>27</v>
      </c>
      <c r="D2188">
        <v>1.3</v>
      </c>
      <c r="E2188">
        <v>0</v>
      </c>
      <c r="F2188">
        <v>0</v>
      </c>
      <c r="G2188">
        <v>0</v>
      </c>
      <c r="H2188">
        <v>0</v>
      </c>
      <c r="I2188">
        <v>0</v>
      </c>
      <c r="J2188">
        <v>0</v>
      </c>
      <c r="K2188">
        <v>0</v>
      </c>
      <c r="L2188">
        <v>0</v>
      </c>
      <c r="M2188">
        <v>0</v>
      </c>
      <c r="N2188">
        <v>152721</v>
      </c>
      <c r="O2188">
        <v>0</v>
      </c>
      <c r="P2188">
        <v>0</v>
      </c>
      <c r="Q2188">
        <v>2</v>
      </c>
      <c r="R2188">
        <v>0</v>
      </c>
      <c r="S2188">
        <v>0</v>
      </c>
      <c r="T2188">
        <v>12</v>
      </c>
      <c r="U2188">
        <v>17</v>
      </c>
    </row>
    <row r="2189" spans="1:21" x14ac:dyDescent="0.35">
      <c r="A2189" t="s">
        <v>21</v>
      </c>
      <c r="B2189" s="1">
        <v>44884</v>
      </c>
      <c r="C2189" t="s">
        <v>29</v>
      </c>
      <c r="D2189">
        <v>0</v>
      </c>
      <c r="E2189">
        <v>0</v>
      </c>
      <c r="F2189">
        <v>0</v>
      </c>
      <c r="G2189">
        <v>0</v>
      </c>
      <c r="H2189">
        <v>0</v>
      </c>
      <c r="I2189">
        <v>0</v>
      </c>
      <c r="J2189">
        <v>0</v>
      </c>
      <c r="K2189">
        <v>0</v>
      </c>
      <c r="L2189">
        <v>0</v>
      </c>
      <c r="M2189">
        <v>0</v>
      </c>
      <c r="N2189">
        <v>115941</v>
      </c>
      <c r="O2189">
        <v>276754</v>
      </c>
      <c r="P2189">
        <v>347089</v>
      </c>
      <c r="Q2189">
        <v>0</v>
      </c>
      <c r="R2189">
        <v>0</v>
      </c>
      <c r="S2189">
        <v>0</v>
      </c>
      <c r="T2189">
        <v>30</v>
      </c>
      <c r="U2189">
        <v>49</v>
      </c>
    </row>
    <row r="2190" spans="1:21" x14ac:dyDescent="0.35">
      <c r="A2190" t="s">
        <v>21</v>
      </c>
      <c r="B2190" s="1">
        <v>44520</v>
      </c>
      <c r="C2190" t="s">
        <v>23</v>
      </c>
      <c r="D2190">
        <v>10.4</v>
      </c>
      <c r="E2190">
        <v>0.7</v>
      </c>
      <c r="F2190">
        <v>0</v>
      </c>
      <c r="G2190">
        <v>14.9</v>
      </c>
      <c r="H2190">
        <v>0</v>
      </c>
      <c r="I2190">
        <v>0</v>
      </c>
      <c r="J2190">
        <v>0</v>
      </c>
      <c r="K2190">
        <v>0</v>
      </c>
      <c r="L2190">
        <v>0</v>
      </c>
      <c r="M2190">
        <v>0</v>
      </c>
      <c r="N2190">
        <v>67514</v>
      </c>
      <c r="O2190">
        <v>297169</v>
      </c>
      <c r="P2190">
        <v>49704</v>
      </c>
      <c r="Q2190">
        <v>7</v>
      </c>
      <c r="R2190">
        <v>2</v>
      </c>
      <c r="S2190">
        <v>0</v>
      </c>
      <c r="T2190">
        <v>50</v>
      </c>
      <c r="U2190">
        <v>64</v>
      </c>
    </row>
    <row r="2191" spans="1:21" x14ac:dyDescent="0.35">
      <c r="A2191" t="s">
        <v>26</v>
      </c>
      <c r="B2191" s="1">
        <v>44366</v>
      </c>
      <c r="C2191" t="s">
        <v>22</v>
      </c>
      <c r="D2191">
        <v>2.7</v>
      </c>
      <c r="E2191">
        <v>0.3</v>
      </c>
      <c r="F2191">
        <v>0</v>
      </c>
      <c r="G2191">
        <v>9</v>
      </c>
      <c r="H2191">
        <v>0</v>
      </c>
      <c r="I2191">
        <v>3.7</v>
      </c>
      <c r="J2191">
        <v>0.2</v>
      </c>
      <c r="K2191">
        <v>0</v>
      </c>
      <c r="L2191">
        <v>15.9</v>
      </c>
      <c r="M2191">
        <v>0</v>
      </c>
      <c r="N2191">
        <v>1238489</v>
      </c>
      <c r="O2191">
        <v>1241729</v>
      </c>
      <c r="P2191">
        <v>0</v>
      </c>
      <c r="Q2191">
        <v>34</v>
      </c>
      <c r="R2191">
        <v>4</v>
      </c>
      <c r="S2191">
        <v>0</v>
      </c>
      <c r="T2191">
        <v>999</v>
      </c>
      <c r="U2191">
        <v>999</v>
      </c>
    </row>
    <row r="2192" spans="1:21" x14ac:dyDescent="0.35">
      <c r="A2192" t="s">
        <v>26</v>
      </c>
      <c r="B2192" s="1">
        <v>44702</v>
      </c>
      <c r="C2192" t="s">
        <v>32</v>
      </c>
      <c r="D2192">
        <v>4.3</v>
      </c>
      <c r="E2192">
        <v>0</v>
      </c>
      <c r="F2192">
        <v>0</v>
      </c>
      <c r="G2192">
        <v>0</v>
      </c>
      <c r="H2192">
        <v>0</v>
      </c>
      <c r="I2192">
        <v>0</v>
      </c>
      <c r="J2192">
        <v>0</v>
      </c>
      <c r="K2192">
        <v>0</v>
      </c>
      <c r="L2192">
        <v>0</v>
      </c>
      <c r="M2192">
        <v>0</v>
      </c>
      <c r="N2192">
        <v>162642</v>
      </c>
      <c r="O2192">
        <v>0</v>
      </c>
      <c r="P2192">
        <v>0</v>
      </c>
      <c r="Q2192">
        <v>7</v>
      </c>
      <c r="R2192">
        <v>0</v>
      </c>
      <c r="S2192">
        <v>0</v>
      </c>
      <c r="T2192">
        <v>0</v>
      </c>
      <c r="U2192">
        <v>4</v>
      </c>
    </row>
    <row r="2193" spans="1:21" x14ac:dyDescent="0.35">
      <c r="A2193" t="s">
        <v>26</v>
      </c>
      <c r="B2193" s="1">
        <v>44692</v>
      </c>
      <c r="C2193" t="s">
        <v>23</v>
      </c>
      <c r="D2193">
        <v>46.1</v>
      </c>
      <c r="E2193">
        <v>5.6</v>
      </c>
      <c r="F2193">
        <v>6.5</v>
      </c>
      <c r="G2193">
        <v>8.1999999999999993</v>
      </c>
      <c r="H2193">
        <v>7.1</v>
      </c>
      <c r="I2193">
        <v>0</v>
      </c>
      <c r="J2193">
        <v>0</v>
      </c>
      <c r="K2193">
        <v>0</v>
      </c>
      <c r="L2193">
        <v>0</v>
      </c>
      <c r="M2193">
        <v>0</v>
      </c>
      <c r="N2193">
        <v>36895</v>
      </c>
      <c r="O2193">
        <v>125268</v>
      </c>
      <c r="P2193">
        <v>246677</v>
      </c>
      <c r="Q2193">
        <v>17</v>
      </c>
      <c r="R2193">
        <v>7</v>
      </c>
      <c r="S2193">
        <v>16</v>
      </c>
      <c r="T2193">
        <v>50</v>
      </c>
      <c r="U2193">
        <v>64</v>
      </c>
    </row>
    <row r="2194" spans="1:21" x14ac:dyDescent="0.35">
      <c r="A2194" t="s">
        <v>21</v>
      </c>
      <c r="B2194" s="1">
        <v>44846</v>
      </c>
      <c r="C2194" t="s">
        <v>31</v>
      </c>
      <c r="D2194">
        <v>0</v>
      </c>
      <c r="E2194">
        <v>0</v>
      </c>
      <c r="F2194">
        <v>1.2</v>
      </c>
      <c r="G2194">
        <v>0</v>
      </c>
      <c r="H2194">
        <v>0</v>
      </c>
      <c r="I2194">
        <v>0</v>
      </c>
      <c r="J2194">
        <v>0</v>
      </c>
      <c r="K2194">
        <v>0</v>
      </c>
      <c r="L2194">
        <v>0</v>
      </c>
      <c r="M2194">
        <v>0</v>
      </c>
      <c r="N2194">
        <v>41147</v>
      </c>
      <c r="O2194">
        <v>43350</v>
      </c>
      <c r="P2194">
        <v>171635</v>
      </c>
      <c r="Q2194">
        <v>0</v>
      </c>
      <c r="R2194">
        <v>0</v>
      </c>
      <c r="S2194">
        <v>2</v>
      </c>
      <c r="T2194">
        <v>65</v>
      </c>
      <c r="U2194">
        <v>79</v>
      </c>
    </row>
    <row r="2195" spans="1:21" x14ac:dyDescent="0.35">
      <c r="A2195" t="s">
        <v>26</v>
      </c>
      <c r="B2195" s="1">
        <v>44800</v>
      </c>
      <c r="C2195" t="s">
        <v>23</v>
      </c>
      <c r="D2195">
        <v>47.1</v>
      </c>
      <c r="E2195">
        <v>10.3</v>
      </c>
      <c r="F2195">
        <v>8.6</v>
      </c>
      <c r="G2195">
        <v>4.5999999999999996</v>
      </c>
      <c r="H2195">
        <v>5.5</v>
      </c>
      <c r="I2195">
        <v>0</v>
      </c>
      <c r="J2195">
        <v>0</v>
      </c>
      <c r="K2195">
        <v>0</v>
      </c>
      <c r="L2195">
        <v>0</v>
      </c>
      <c r="M2195">
        <v>0</v>
      </c>
      <c r="N2195">
        <v>40343</v>
      </c>
      <c r="O2195">
        <v>125946</v>
      </c>
      <c r="P2195">
        <v>245378</v>
      </c>
      <c r="Q2195">
        <v>19</v>
      </c>
      <c r="R2195">
        <v>13</v>
      </c>
      <c r="S2195">
        <v>21</v>
      </c>
      <c r="T2195">
        <v>50</v>
      </c>
      <c r="U2195">
        <v>64</v>
      </c>
    </row>
    <row r="2196" spans="1:21" x14ac:dyDescent="0.35">
      <c r="A2196" t="s">
        <v>28</v>
      </c>
      <c r="B2196" s="1">
        <v>44930</v>
      </c>
      <c r="C2196" t="s">
        <v>30</v>
      </c>
      <c r="D2196">
        <v>65</v>
      </c>
      <c r="E2196">
        <v>87.9</v>
      </c>
      <c r="F2196">
        <v>110.3</v>
      </c>
      <c r="G2196">
        <v>0.7</v>
      </c>
      <c r="H2196">
        <v>0.6</v>
      </c>
      <c r="I2196">
        <v>0</v>
      </c>
      <c r="J2196">
        <v>0</v>
      </c>
      <c r="K2196">
        <v>0</v>
      </c>
      <c r="L2196">
        <v>0</v>
      </c>
      <c r="M2196">
        <v>0</v>
      </c>
      <c r="N2196">
        <v>24634</v>
      </c>
      <c r="O2196">
        <v>11382</v>
      </c>
      <c r="P2196">
        <v>47126</v>
      </c>
      <c r="Q2196">
        <v>16</v>
      </c>
      <c r="R2196">
        <v>10</v>
      </c>
      <c r="S2196">
        <v>52</v>
      </c>
      <c r="T2196">
        <v>80</v>
      </c>
      <c r="U2196">
        <v>200</v>
      </c>
    </row>
    <row r="2197" spans="1:21" x14ac:dyDescent="0.35">
      <c r="A2197" t="s">
        <v>21</v>
      </c>
      <c r="B2197" s="1">
        <v>44863</v>
      </c>
      <c r="C2197" t="s">
        <v>24</v>
      </c>
      <c r="D2197">
        <v>0</v>
      </c>
      <c r="E2197">
        <v>0</v>
      </c>
      <c r="F2197">
        <v>0</v>
      </c>
      <c r="G2197">
        <v>0</v>
      </c>
      <c r="H2197">
        <v>0</v>
      </c>
      <c r="I2197">
        <v>0</v>
      </c>
      <c r="J2197">
        <v>0</v>
      </c>
      <c r="K2197">
        <v>0</v>
      </c>
      <c r="L2197">
        <v>0</v>
      </c>
      <c r="M2197">
        <v>0</v>
      </c>
      <c r="N2197">
        <v>93885</v>
      </c>
      <c r="O2197">
        <v>80560</v>
      </c>
      <c r="P2197">
        <v>20921</v>
      </c>
      <c r="Q2197">
        <v>0</v>
      </c>
      <c r="R2197">
        <v>0</v>
      </c>
      <c r="S2197">
        <v>0</v>
      </c>
      <c r="T2197">
        <v>5</v>
      </c>
      <c r="U2197">
        <v>11</v>
      </c>
    </row>
    <row r="2198" spans="1:21" x14ac:dyDescent="0.35">
      <c r="A2198" t="s">
        <v>21</v>
      </c>
      <c r="B2198" s="1">
        <v>44599</v>
      </c>
      <c r="C2198" t="s">
        <v>23</v>
      </c>
      <c r="D2198">
        <v>2.4</v>
      </c>
      <c r="E2198">
        <v>0</v>
      </c>
      <c r="F2198">
        <v>0</v>
      </c>
      <c r="G2198">
        <v>0</v>
      </c>
      <c r="H2198">
        <v>0</v>
      </c>
      <c r="I2198">
        <v>0</v>
      </c>
      <c r="J2198">
        <v>0</v>
      </c>
      <c r="K2198">
        <v>0</v>
      </c>
      <c r="L2198">
        <v>0</v>
      </c>
      <c r="M2198">
        <v>0</v>
      </c>
      <c r="N2198">
        <v>41916</v>
      </c>
      <c r="O2198">
        <v>129677</v>
      </c>
      <c r="P2198">
        <v>240221</v>
      </c>
      <c r="Q2198">
        <v>1</v>
      </c>
      <c r="R2198">
        <v>0</v>
      </c>
      <c r="S2198">
        <v>0</v>
      </c>
      <c r="T2198">
        <v>50</v>
      </c>
      <c r="U2198">
        <v>64</v>
      </c>
    </row>
    <row r="2199" spans="1:21" x14ac:dyDescent="0.35">
      <c r="A2199" t="s">
        <v>21</v>
      </c>
      <c r="B2199" s="1">
        <v>44611</v>
      </c>
      <c r="C2199" t="s">
        <v>23</v>
      </c>
      <c r="D2199">
        <v>0</v>
      </c>
      <c r="E2199">
        <v>0.7</v>
      </c>
      <c r="F2199">
        <v>0</v>
      </c>
      <c r="G2199">
        <v>0</v>
      </c>
      <c r="H2199">
        <v>0</v>
      </c>
      <c r="I2199">
        <v>0</v>
      </c>
      <c r="J2199">
        <v>0</v>
      </c>
      <c r="K2199">
        <v>0</v>
      </c>
      <c r="L2199">
        <v>0</v>
      </c>
      <c r="M2199">
        <v>0</v>
      </c>
      <c r="N2199">
        <v>47217</v>
      </c>
      <c r="O2199">
        <v>148975</v>
      </c>
      <c r="P2199">
        <v>212791</v>
      </c>
      <c r="Q2199">
        <v>0</v>
      </c>
      <c r="R2199">
        <v>1</v>
      </c>
      <c r="S2199">
        <v>0</v>
      </c>
      <c r="T2199">
        <v>50</v>
      </c>
      <c r="U2199">
        <v>64</v>
      </c>
    </row>
    <row r="2200" spans="1:21" x14ac:dyDescent="0.35">
      <c r="A2200" t="s">
        <v>26</v>
      </c>
      <c r="B2200" s="1">
        <v>44571</v>
      </c>
      <c r="C2200" t="s">
        <v>24</v>
      </c>
      <c r="D2200">
        <v>0</v>
      </c>
      <c r="E2200">
        <v>0</v>
      </c>
      <c r="F2200">
        <v>0</v>
      </c>
      <c r="G2200">
        <v>0</v>
      </c>
      <c r="H2200">
        <v>0</v>
      </c>
      <c r="I2200">
        <v>0</v>
      </c>
      <c r="J2200">
        <v>0</v>
      </c>
      <c r="K2200">
        <v>0</v>
      </c>
      <c r="L2200">
        <v>0</v>
      </c>
      <c r="M2200">
        <v>0</v>
      </c>
      <c r="N2200">
        <v>94700</v>
      </c>
      <c r="O2200">
        <v>81441</v>
      </c>
      <c r="P2200">
        <v>19254</v>
      </c>
      <c r="Q2200">
        <v>0</v>
      </c>
      <c r="R2200">
        <v>0</v>
      </c>
      <c r="S2200">
        <v>0</v>
      </c>
      <c r="T2200">
        <v>5</v>
      </c>
      <c r="U2200">
        <v>11</v>
      </c>
    </row>
    <row r="2201" spans="1:21" x14ac:dyDescent="0.35">
      <c r="A2201" t="s">
        <v>26</v>
      </c>
      <c r="B2201" s="1">
        <v>44709</v>
      </c>
      <c r="C2201" t="s">
        <v>32</v>
      </c>
      <c r="D2201">
        <v>3.1</v>
      </c>
      <c r="E2201">
        <v>0</v>
      </c>
      <c r="F2201">
        <v>0</v>
      </c>
      <c r="G2201">
        <v>0</v>
      </c>
      <c r="H2201">
        <v>0</v>
      </c>
      <c r="I2201">
        <v>0</v>
      </c>
      <c r="J2201">
        <v>0</v>
      </c>
      <c r="K2201">
        <v>0</v>
      </c>
      <c r="L2201">
        <v>0</v>
      </c>
      <c r="M2201">
        <v>0</v>
      </c>
      <c r="N2201">
        <v>162642</v>
      </c>
      <c r="O2201">
        <v>0</v>
      </c>
      <c r="P2201">
        <v>0</v>
      </c>
      <c r="Q2201">
        <v>5</v>
      </c>
      <c r="R2201">
        <v>0</v>
      </c>
      <c r="S2201">
        <v>0</v>
      </c>
      <c r="T2201">
        <v>0</v>
      </c>
      <c r="U2201">
        <v>4</v>
      </c>
    </row>
    <row r="2202" spans="1:21" x14ac:dyDescent="0.35">
      <c r="A2202" t="s">
        <v>26</v>
      </c>
      <c r="B2202" s="1">
        <v>44674</v>
      </c>
      <c r="C2202" t="s">
        <v>27</v>
      </c>
      <c r="D2202">
        <v>0</v>
      </c>
      <c r="E2202">
        <v>0</v>
      </c>
      <c r="F2202">
        <v>0</v>
      </c>
      <c r="G2202">
        <v>0</v>
      </c>
      <c r="H2202">
        <v>0</v>
      </c>
      <c r="I2202">
        <v>0</v>
      </c>
      <c r="J2202">
        <v>0</v>
      </c>
      <c r="K2202">
        <v>0</v>
      </c>
      <c r="L2202">
        <v>0</v>
      </c>
      <c r="M2202">
        <v>0</v>
      </c>
      <c r="N2202">
        <v>37746</v>
      </c>
      <c r="O2202">
        <v>94929</v>
      </c>
      <c r="P2202">
        <v>32716</v>
      </c>
      <c r="Q2202">
        <v>0</v>
      </c>
      <c r="R2202">
        <v>0</v>
      </c>
      <c r="S2202">
        <v>0</v>
      </c>
      <c r="T2202">
        <v>12</v>
      </c>
      <c r="U2202">
        <v>17</v>
      </c>
    </row>
    <row r="2203" spans="1:21" x14ac:dyDescent="0.35">
      <c r="A2203" t="s">
        <v>28</v>
      </c>
      <c r="B2203" s="1">
        <v>44681</v>
      </c>
      <c r="C2203" t="s">
        <v>22</v>
      </c>
      <c r="D2203">
        <v>205.3</v>
      </c>
      <c r="E2203">
        <v>145.1</v>
      </c>
      <c r="F2203">
        <v>238.8</v>
      </c>
      <c r="G2203">
        <v>1.4</v>
      </c>
      <c r="H2203">
        <v>0.9</v>
      </c>
      <c r="I2203">
        <v>220.8</v>
      </c>
      <c r="J2203">
        <v>136</v>
      </c>
      <c r="K2203">
        <v>205.8</v>
      </c>
      <c r="L2203">
        <v>1.6</v>
      </c>
      <c r="M2203">
        <v>1.1000000000000001</v>
      </c>
      <c r="N2203">
        <v>650306</v>
      </c>
      <c r="O2203">
        <v>891088</v>
      </c>
      <c r="P2203">
        <v>952817</v>
      </c>
      <c r="Q2203">
        <v>1335</v>
      </c>
      <c r="R2203">
        <v>1293</v>
      </c>
      <c r="S2203">
        <v>2275</v>
      </c>
      <c r="T2203">
        <v>999</v>
      </c>
      <c r="U2203">
        <v>999</v>
      </c>
    </row>
    <row r="2204" spans="1:21" x14ac:dyDescent="0.35">
      <c r="A2204" t="s">
        <v>28</v>
      </c>
      <c r="B2204" s="1">
        <v>44385</v>
      </c>
      <c r="C2204" t="s">
        <v>23</v>
      </c>
      <c r="D2204">
        <v>166.4</v>
      </c>
      <c r="E2204">
        <v>55.7</v>
      </c>
      <c r="F2204">
        <v>0</v>
      </c>
      <c r="G2204">
        <v>3</v>
      </c>
      <c r="H2204">
        <v>0</v>
      </c>
      <c r="I2204">
        <v>0</v>
      </c>
      <c r="J2204">
        <v>0</v>
      </c>
      <c r="K2204">
        <v>0</v>
      </c>
      <c r="L2204">
        <v>0</v>
      </c>
      <c r="M2204">
        <v>0</v>
      </c>
      <c r="N2204">
        <v>96770</v>
      </c>
      <c r="O2204">
        <v>316026</v>
      </c>
      <c r="P2204">
        <v>0</v>
      </c>
      <c r="Q2204">
        <v>161</v>
      </c>
      <c r="R2204">
        <v>176</v>
      </c>
      <c r="S2204">
        <v>0</v>
      </c>
      <c r="T2204">
        <v>50</v>
      </c>
      <c r="U2204">
        <v>64</v>
      </c>
    </row>
    <row r="2205" spans="1:21" x14ac:dyDescent="0.35">
      <c r="A2205" t="s">
        <v>26</v>
      </c>
      <c r="B2205" s="1">
        <v>45241</v>
      </c>
      <c r="C2205" t="s">
        <v>27</v>
      </c>
      <c r="D2205">
        <v>3.2</v>
      </c>
      <c r="E2205">
        <v>0</v>
      </c>
      <c r="F2205">
        <v>0</v>
      </c>
      <c r="G2205">
        <v>0</v>
      </c>
      <c r="H2205">
        <v>0</v>
      </c>
      <c r="I2205">
        <v>0</v>
      </c>
      <c r="J2205">
        <v>0</v>
      </c>
      <c r="K2205">
        <v>0</v>
      </c>
      <c r="L2205">
        <v>0</v>
      </c>
      <c r="M2205">
        <v>0</v>
      </c>
      <c r="N2205">
        <v>31541</v>
      </c>
      <c r="O2205">
        <v>86509</v>
      </c>
      <c r="P2205">
        <v>44696</v>
      </c>
      <c r="Q2205">
        <v>1</v>
      </c>
      <c r="R2205">
        <v>0</v>
      </c>
      <c r="S2205">
        <v>0</v>
      </c>
      <c r="T2205">
        <v>12</v>
      </c>
      <c r="U2205">
        <v>17</v>
      </c>
    </row>
    <row r="2206" spans="1:21" x14ac:dyDescent="0.35">
      <c r="A2206" t="s">
        <v>26</v>
      </c>
      <c r="B2206" s="1">
        <v>44394</v>
      </c>
      <c r="C2206" t="s">
        <v>31</v>
      </c>
      <c r="D2206">
        <v>18.3</v>
      </c>
      <c r="E2206">
        <v>1.6</v>
      </c>
      <c r="F2206">
        <v>0</v>
      </c>
      <c r="G2206">
        <v>11.4</v>
      </c>
      <c r="H2206">
        <v>0</v>
      </c>
      <c r="I2206">
        <v>0</v>
      </c>
      <c r="J2206">
        <v>0</v>
      </c>
      <c r="K2206">
        <v>0</v>
      </c>
      <c r="L2206">
        <v>0</v>
      </c>
      <c r="M2206">
        <v>0</v>
      </c>
      <c r="N2206">
        <v>71101</v>
      </c>
      <c r="O2206">
        <v>190176</v>
      </c>
      <c r="P2206">
        <v>0</v>
      </c>
      <c r="Q2206">
        <v>13</v>
      </c>
      <c r="R2206">
        <v>3</v>
      </c>
      <c r="S2206">
        <v>0</v>
      </c>
      <c r="T2206">
        <v>65</v>
      </c>
      <c r="U2206">
        <v>79</v>
      </c>
    </row>
    <row r="2207" spans="1:21" x14ac:dyDescent="0.35">
      <c r="A2207" t="s">
        <v>26</v>
      </c>
      <c r="B2207" s="1">
        <v>44849</v>
      </c>
      <c r="C2207" t="s">
        <v>22</v>
      </c>
      <c r="D2207">
        <v>9.1999999999999993</v>
      </c>
      <c r="E2207">
        <v>6.3</v>
      </c>
      <c r="F2207">
        <v>7.1</v>
      </c>
      <c r="G2207">
        <v>1.5</v>
      </c>
      <c r="H2207">
        <v>1.3</v>
      </c>
      <c r="I2207">
        <v>10.5</v>
      </c>
      <c r="J2207">
        <v>9.6999999999999993</v>
      </c>
      <c r="K2207">
        <v>5</v>
      </c>
      <c r="L2207">
        <v>1.1000000000000001</v>
      </c>
      <c r="M2207">
        <v>2.1</v>
      </c>
      <c r="N2207">
        <v>584290</v>
      </c>
      <c r="O2207">
        <v>844343</v>
      </c>
      <c r="P2207">
        <v>1038311</v>
      </c>
      <c r="Q2207">
        <v>54</v>
      </c>
      <c r="R2207">
        <v>53</v>
      </c>
      <c r="S2207">
        <v>74</v>
      </c>
      <c r="T2207">
        <v>999</v>
      </c>
      <c r="U2207">
        <v>999</v>
      </c>
    </row>
    <row r="2208" spans="1:21" x14ac:dyDescent="0.35">
      <c r="A2208" t="s">
        <v>21</v>
      </c>
      <c r="B2208" s="1">
        <v>44808</v>
      </c>
      <c r="C2208" t="s">
        <v>27</v>
      </c>
      <c r="D2208">
        <v>0</v>
      </c>
      <c r="E2208">
        <v>0</v>
      </c>
      <c r="F2208">
        <v>0</v>
      </c>
      <c r="G2208">
        <v>0</v>
      </c>
      <c r="H2208">
        <v>0</v>
      </c>
      <c r="I2208">
        <v>0</v>
      </c>
      <c r="J2208">
        <v>0</v>
      </c>
      <c r="K2208">
        <v>0</v>
      </c>
      <c r="L2208">
        <v>0</v>
      </c>
      <c r="M2208">
        <v>0</v>
      </c>
      <c r="N2208">
        <v>38070</v>
      </c>
      <c r="O2208">
        <v>95325</v>
      </c>
      <c r="P2208">
        <v>31808</v>
      </c>
      <c r="Q2208">
        <v>0</v>
      </c>
      <c r="R2208">
        <v>0</v>
      </c>
      <c r="S2208">
        <v>0</v>
      </c>
      <c r="T2208">
        <v>12</v>
      </c>
      <c r="U2208">
        <v>17</v>
      </c>
    </row>
    <row r="2209" spans="1:21" x14ac:dyDescent="0.35">
      <c r="A2209" t="s">
        <v>21</v>
      </c>
      <c r="B2209" s="1">
        <v>44774</v>
      </c>
      <c r="C2209" t="s">
        <v>27</v>
      </c>
      <c r="D2209">
        <v>0</v>
      </c>
      <c r="E2209">
        <v>0.9</v>
      </c>
      <c r="F2209">
        <v>0</v>
      </c>
      <c r="G2209">
        <v>0</v>
      </c>
      <c r="H2209">
        <v>0</v>
      </c>
      <c r="I2209">
        <v>0</v>
      </c>
      <c r="J2209">
        <v>0</v>
      </c>
      <c r="K2209">
        <v>0</v>
      </c>
      <c r="L2209">
        <v>0</v>
      </c>
      <c r="M2209">
        <v>0</v>
      </c>
      <c r="N2209">
        <v>51071</v>
      </c>
      <c r="O2209">
        <v>107463</v>
      </c>
      <c r="P2209">
        <v>3456</v>
      </c>
      <c r="Q2209">
        <v>0</v>
      </c>
      <c r="R2209">
        <v>1</v>
      </c>
      <c r="S2209">
        <v>0</v>
      </c>
      <c r="T2209">
        <v>12</v>
      </c>
      <c r="U2209">
        <v>17</v>
      </c>
    </row>
    <row r="2210" spans="1:21" x14ac:dyDescent="0.35">
      <c r="A2210" t="s">
        <v>28</v>
      </c>
      <c r="B2210" s="1">
        <v>44982</v>
      </c>
      <c r="C2210" t="s">
        <v>22</v>
      </c>
      <c r="D2210">
        <v>119.8</v>
      </c>
      <c r="E2210">
        <v>69</v>
      </c>
      <c r="F2210">
        <v>96.2</v>
      </c>
      <c r="G2210">
        <v>1.7</v>
      </c>
      <c r="H2210">
        <v>1.2</v>
      </c>
      <c r="I2210">
        <v>144.4</v>
      </c>
      <c r="J2210">
        <v>72.099999999999994</v>
      </c>
      <c r="K2210">
        <v>102.2</v>
      </c>
      <c r="L2210">
        <v>2</v>
      </c>
      <c r="M2210">
        <v>1.4</v>
      </c>
      <c r="N2210">
        <v>545222</v>
      </c>
      <c r="O2210">
        <v>857371</v>
      </c>
      <c r="P2210">
        <v>1040416</v>
      </c>
      <c r="Q2210">
        <v>653</v>
      </c>
      <c r="R2210">
        <v>592</v>
      </c>
      <c r="S2210">
        <v>1001</v>
      </c>
      <c r="T2210">
        <v>999</v>
      </c>
      <c r="U2210">
        <v>999</v>
      </c>
    </row>
    <row r="2211" spans="1:21" x14ac:dyDescent="0.35">
      <c r="A2211" t="s">
        <v>26</v>
      </c>
      <c r="B2211" s="1">
        <v>44571</v>
      </c>
      <c r="C2211" t="s">
        <v>22</v>
      </c>
      <c r="D2211">
        <v>6.9</v>
      </c>
      <c r="E2211">
        <v>3.6</v>
      </c>
      <c r="F2211">
        <v>7.6</v>
      </c>
      <c r="G2211">
        <v>1.9</v>
      </c>
      <c r="H2211">
        <v>0.9</v>
      </c>
      <c r="I2211">
        <v>7.5</v>
      </c>
      <c r="J2211">
        <v>5.5</v>
      </c>
      <c r="K2211">
        <v>5.5</v>
      </c>
      <c r="L2211">
        <v>1.4</v>
      </c>
      <c r="M2211">
        <v>1.4</v>
      </c>
      <c r="N2211">
        <v>591822</v>
      </c>
      <c r="O2211">
        <v>842535</v>
      </c>
      <c r="P2211">
        <v>1037067</v>
      </c>
      <c r="Q2211">
        <v>41</v>
      </c>
      <c r="R2211">
        <v>30</v>
      </c>
      <c r="S2211">
        <v>79</v>
      </c>
      <c r="T2211">
        <v>999</v>
      </c>
      <c r="U2211">
        <v>999</v>
      </c>
    </row>
    <row r="2212" spans="1:21" x14ac:dyDescent="0.35">
      <c r="A2212" t="s">
        <v>26</v>
      </c>
      <c r="B2212" s="1">
        <v>45101</v>
      </c>
      <c r="C2212" t="s">
        <v>32</v>
      </c>
      <c r="D2212">
        <v>0.6</v>
      </c>
      <c r="E2212">
        <v>0</v>
      </c>
      <c r="F2212">
        <v>0</v>
      </c>
      <c r="G2212">
        <v>0</v>
      </c>
      <c r="H2212">
        <v>0</v>
      </c>
      <c r="I2212">
        <v>0</v>
      </c>
      <c r="J2212">
        <v>0</v>
      </c>
      <c r="K2212">
        <v>0</v>
      </c>
      <c r="L2212">
        <v>0</v>
      </c>
      <c r="M2212">
        <v>0</v>
      </c>
      <c r="N2212">
        <v>162642</v>
      </c>
      <c r="O2212">
        <v>0</v>
      </c>
      <c r="P2212">
        <v>0</v>
      </c>
      <c r="Q2212">
        <v>1</v>
      </c>
      <c r="R2212">
        <v>0</v>
      </c>
      <c r="S2212">
        <v>0</v>
      </c>
      <c r="T2212">
        <v>0</v>
      </c>
      <c r="U2212">
        <v>4</v>
      </c>
    </row>
    <row r="2213" spans="1:21" x14ac:dyDescent="0.35">
      <c r="A2213" t="s">
        <v>28</v>
      </c>
      <c r="B2213" s="1">
        <v>44596</v>
      </c>
      <c r="C2213" t="s">
        <v>25</v>
      </c>
      <c r="D2213">
        <v>117.5</v>
      </c>
      <c r="E2213">
        <v>46.8</v>
      </c>
      <c r="F2213">
        <v>159.19999999999999</v>
      </c>
      <c r="G2213">
        <v>2.5</v>
      </c>
      <c r="H2213">
        <v>0.7</v>
      </c>
      <c r="I2213">
        <v>0</v>
      </c>
      <c r="J2213">
        <v>0</v>
      </c>
      <c r="K2213">
        <v>0</v>
      </c>
      <c r="L2213">
        <v>0</v>
      </c>
      <c r="M2213">
        <v>0</v>
      </c>
      <c r="N2213">
        <v>98738</v>
      </c>
      <c r="O2213">
        <v>219958</v>
      </c>
      <c r="P2213">
        <v>146325</v>
      </c>
      <c r="Q2213">
        <v>116</v>
      </c>
      <c r="R2213">
        <v>103</v>
      </c>
      <c r="S2213">
        <v>233</v>
      </c>
      <c r="T2213">
        <v>18</v>
      </c>
      <c r="U2213">
        <v>29</v>
      </c>
    </row>
    <row r="2214" spans="1:21" x14ac:dyDescent="0.35">
      <c r="A2214" t="s">
        <v>28</v>
      </c>
      <c r="B2214" s="1">
        <v>44345</v>
      </c>
      <c r="C2214" t="s">
        <v>23</v>
      </c>
      <c r="D2214">
        <v>105.1</v>
      </c>
      <c r="E2214">
        <v>7.8</v>
      </c>
      <c r="F2214">
        <v>0</v>
      </c>
      <c r="G2214">
        <v>13.5</v>
      </c>
      <c r="H2214">
        <v>0</v>
      </c>
      <c r="I2214">
        <v>0</v>
      </c>
      <c r="J2214">
        <v>0</v>
      </c>
      <c r="K2214">
        <v>0</v>
      </c>
      <c r="L2214">
        <v>0</v>
      </c>
      <c r="M2214">
        <v>0</v>
      </c>
      <c r="N2214">
        <v>125545</v>
      </c>
      <c r="O2214">
        <v>255939</v>
      </c>
      <c r="P2214">
        <v>0</v>
      </c>
      <c r="Q2214">
        <v>132</v>
      </c>
      <c r="R2214">
        <v>20</v>
      </c>
      <c r="S2214">
        <v>0</v>
      </c>
      <c r="T2214">
        <v>50</v>
      </c>
      <c r="U2214">
        <v>64</v>
      </c>
    </row>
    <row r="2215" spans="1:21" x14ac:dyDescent="0.35">
      <c r="A2215" t="s">
        <v>21</v>
      </c>
      <c r="B2215" s="1">
        <v>44632</v>
      </c>
      <c r="C2215" t="s">
        <v>27</v>
      </c>
      <c r="D2215">
        <v>0</v>
      </c>
      <c r="E2215">
        <v>0</v>
      </c>
      <c r="F2215">
        <v>0</v>
      </c>
      <c r="G2215">
        <v>0</v>
      </c>
      <c r="H2215">
        <v>0</v>
      </c>
      <c r="I2215">
        <v>0</v>
      </c>
      <c r="J2215">
        <v>0</v>
      </c>
      <c r="K2215">
        <v>0</v>
      </c>
      <c r="L2215">
        <v>0</v>
      </c>
      <c r="M2215">
        <v>0</v>
      </c>
      <c r="N2215">
        <v>33965</v>
      </c>
      <c r="O2215">
        <v>86108</v>
      </c>
      <c r="P2215">
        <v>44513</v>
      </c>
      <c r="Q2215">
        <v>0</v>
      </c>
      <c r="R2215">
        <v>0</v>
      </c>
      <c r="S2215">
        <v>0</v>
      </c>
      <c r="T2215">
        <v>12</v>
      </c>
      <c r="U2215">
        <v>17</v>
      </c>
    </row>
    <row r="2216" spans="1:21" x14ac:dyDescent="0.35">
      <c r="A2216" t="s">
        <v>26</v>
      </c>
      <c r="B2216" s="1">
        <v>44429</v>
      </c>
      <c r="C2216" t="s">
        <v>31</v>
      </c>
      <c r="D2216">
        <v>39</v>
      </c>
      <c r="E2216">
        <v>8.8000000000000007</v>
      </c>
      <c r="F2216">
        <v>0</v>
      </c>
      <c r="G2216">
        <v>4.4000000000000004</v>
      </c>
      <c r="H2216">
        <v>0</v>
      </c>
      <c r="I2216">
        <v>0</v>
      </c>
      <c r="J2216">
        <v>0</v>
      </c>
      <c r="K2216">
        <v>0</v>
      </c>
      <c r="L2216">
        <v>0</v>
      </c>
      <c r="M2216">
        <v>0</v>
      </c>
      <c r="N2216">
        <v>66724</v>
      </c>
      <c r="O2216">
        <v>194251</v>
      </c>
      <c r="P2216">
        <v>0</v>
      </c>
      <c r="Q2216">
        <v>26</v>
      </c>
      <c r="R2216">
        <v>17</v>
      </c>
      <c r="S2216">
        <v>0</v>
      </c>
      <c r="T2216">
        <v>65</v>
      </c>
      <c r="U2216">
        <v>79</v>
      </c>
    </row>
    <row r="2217" spans="1:21" x14ac:dyDescent="0.35">
      <c r="A2217" t="s">
        <v>26</v>
      </c>
      <c r="B2217" s="1">
        <v>44871</v>
      </c>
      <c r="C2217" t="s">
        <v>32</v>
      </c>
      <c r="D2217">
        <v>4.3</v>
      </c>
      <c r="E2217">
        <v>0</v>
      </c>
      <c r="F2217">
        <v>0</v>
      </c>
      <c r="G2217">
        <v>0</v>
      </c>
      <c r="H2217">
        <v>0</v>
      </c>
      <c r="I2217">
        <v>0</v>
      </c>
      <c r="J2217">
        <v>0</v>
      </c>
      <c r="K2217">
        <v>0</v>
      </c>
      <c r="L2217">
        <v>0</v>
      </c>
      <c r="M2217">
        <v>0</v>
      </c>
      <c r="N2217">
        <v>162642</v>
      </c>
      <c r="O2217">
        <v>0</v>
      </c>
      <c r="P2217">
        <v>0</v>
      </c>
      <c r="Q2217">
        <v>7</v>
      </c>
      <c r="R2217">
        <v>0</v>
      </c>
      <c r="S2217">
        <v>0</v>
      </c>
      <c r="T2217">
        <v>0</v>
      </c>
      <c r="U2217">
        <v>4</v>
      </c>
    </row>
    <row r="2218" spans="1:21" x14ac:dyDescent="0.35">
      <c r="A2218" t="s">
        <v>26</v>
      </c>
      <c r="B2218" s="1">
        <v>44863</v>
      </c>
      <c r="C2218" t="s">
        <v>27</v>
      </c>
      <c r="D2218">
        <v>0</v>
      </c>
      <c r="E2218">
        <v>0</v>
      </c>
      <c r="F2218">
        <v>2.2000000000000002</v>
      </c>
      <c r="G2218">
        <v>0</v>
      </c>
      <c r="H2218">
        <v>0</v>
      </c>
      <c r="I2218">
        <v>0</v>
      </c>
      <c r="J2218">
        <v>0</v>
      </c>
      <c r="K2218">
        <v>0</v>
      </c>
      <c r="L2218">
        <v>0</v>
      </c>
      <c r="M2218">
        <v>0</v>
      </c>
      <c r="N2218">
        <v>34446</v>
      </c>
      <c r="O2218">
        <v>85966</v>
      </c>
      <c r="P2218">
        <v>44479</v>
      </c>
      <c r="Q2218">
        <v>0</v>
      </c>
      <c r="R2218">
        <v>0</v>
      </c>
      <c r="S2218">
        <v>1</v>
      </c>
      <c r="T2218">
        <v>12</v>
      </c>
      <c r="U2218">
        <v>17</v>
      </c>
    </row>
    <row r="2219" spans="1:21" x14ac:dyDescent="0.35">
      <c r="A2219" t="s">
        <v>26</v>
      </c>
      <c r="B2219" s="1">
        <v>44774</v>
      </c>
      <c r="C2219" t="s">
        <v>31</v>
      </c>
      <c r="D2219">
        <v>377.9</v>
      </c>
      <c r="E2219">
        <v>233.6</v>
      </c>
      <c r="F2219">
        <v>47.9</v>
      </c>
      <c r="G2219">
        <v>1.6</v>
      </c>
      <c r="H2219">
        <v>7.9</v>
      </c>
      <c r="I2219">
        <v>0</v>
      </c>
      <c r="J2219">
        <v>0</v>
      </c>
      <c r="K2219">
        <v>0</v>
      </c>
      <c r="L2219">
        <v>0</v>
      </c>
      <c r="M2219">
        <v>0</v>
      </c>
      <c r="N2219">
        <v>51599</v>
      </c>
      <c r="O2219">
        <v>73634</v>
      </c>
      <c r="P2219">
        <v>133598</v>
      </c>
      <c r="Q2219">
        <v>195</v>
      </c>
      <c r="R2219">
        <v>172</v>
      </c>
      <c r="S2219">
        <v>64</v>
      </c>
      <c r="T2219">
        <v>65</v>
      </c>
      <c r="U2219">
        <v>79</v>
      </c>
    </row>
    <row r="2220" spans="1:21" x14ac:dyDescent="0.35">
      <c r="A2220" t="s">
        <v>26</v>
      </c>
      <c r="B2220" s="1">
        <v>44720</v>
      </c>
      <c r="C2220" t="s">
        <v>22</v>
      </c>
      <c r="D2220">
        <v>15.3</v>
      </c>
      <c r="E2220">
        <v>6.9</v>
      </c>
      <c r="F2220">
        <v>10.199999999999999</v>
      </c>
      <c r="G2220">
        <v>2.2000000000000002</v>
      </c>
      <c r="H2220">
        <v>1.5</v>
      </c>
      <c r="I2220">
        <v>18.899999999999999</v>
      </c>
      <c r="J2220">
        <v>9</v>
      </c>
      <c r="K2220">
        <v>7</v>
      </c>
      <c r="L2220">
        <v>2.1</v>
      </c>
      <c r="M2220">
        <v>2.7</v>
      </c>
      <c r="N2220">
        <v>614334</v>
      </c>
      <c r="O2220">
        <v>850591</v>
      </c>
      <c r="P2220">
        <v>1014163</v>
      </c>
      <c r="Q2220">
        <v>94</v>
      </c>
      <c r="R2220">
        <v>59</v>
      </c>
      <c r="S2220">
        <v>103</v>
      </c>
      <c r="T2220">
        <v>999</v>
      </c>
      <c r="U2220">
        <v>999</v>
      </c>
    </row>
    <row r="2221" spans="1:21" x14ac:dyDescent="0.35">
      <c r="A2221" t="s">
        <v>26</v>
      </c>
      <c r="B2221" s="1">
        <v>44646</v>
      </c>
      <c r="C2221" t="s">
        <v>23</v>
      </c>
      <c r="D2221">
        <v>6.6</v>
      </c>
      <c r="E2221">
        <v>4.3</v>
      </c>
      <c r="F2221">
        <v>0.9</v>
      </c>
      <c r="G2221">
        <v>1.5</v>
      </c>
      <c r="H2221">
        <v>7.3</v>
      </c>
      <c r="I2221">
        <v>0</v>
      </c>
      <c r="J2221">
        <v>0</v>
      </c>
      <c r="K2221">
        <v>0</v>
      </c>
      <c r="L2221">
        <v>0</v>
      </c>
      <c r="M2221">
        <v>0</v>
      </c>
      <c r="N2221">
        <v>45447</v>
      </c>
      <c r="O2221">
        <v>140025</v>
      </c>
      <c r="P2221">
        <v>225645</v>
      </c>
      <c r="Q2221">
        <v>3</v>
      </c>
      <c r="R2221">
        <v>6</v>
      </c>
      <c r="S2221">
        <v>2</v>
      </c>
      <c r="T2221">
        <v>50</v>
      </c>
      <c r="U2221">
        <v>64</v>
      </c>
    </row>
    <row r="2222" spans="1:21" x14ac:dyDescent="0.35">
      <c r="A2222" t="s">
        <v>26</v>
      </c>
      <c r="B2222" s="1">
        <v>45232</v>
      </c>
      <c r="C2222" t="s">
        <v>22</v>
      </c>
      <c r="D2222">
        <v>8.4</v>
      </c>
      <c r="E2222">
        <v>4.2</v>
      </c>
      <c r="F2222">
        <v>7.1</v>
      </c>
      <c r="G2222">
        <v>2</v>
      </c>
      <c r="H2222">
        <v>1.2</v>
      </c>
      <c r="I2222">
        <v>11.2</v>
      </c>
      <c r="J2222">
        <v>6</v>
      </c>
      <c r="K2222">
        <v>5.2</v>
      </c>
      <c r="L2222">
        <v>1.9</v>
      </c>
      <c r="M2222">
        <v>2.2000000000000002</v>
      </c>
      <c r="N2222">
        <v>547298</v>
      </c>
      <c r="O2222">
        <v>856543</v>
      </c>
      <c r="P2222">
        <v>1040368</v>
      </c>
      <c r="Q2222">
        <v>46</v>
      </c>
      <c r="R2222">
        <v>36</v>
      </c>
      <c r="S2222">
        <v>74</v>
      </c>
      <c r="T2222">
        <v>999</v>
      </c>
      <c r="U2222">
        <v>999</v>
      </c>
    </row>
    <row r="2223" spans="1:21" x14ac:dyDescent="0.35">
      <c r="A2223" t="s">
        <v>28</v>
      </c>
      <c r="B2223" s="1">
        <v>45220</v>
      </c>
      <c r="C2223" t="s">
        <v>32</v>
      </c>
      <c r="D2223">
        <v>29.5</v>
      </c>
      <c r="E2223">
        <v>3.1</v>
      </c>
      <c r="F2223">
        <v>0</v>
      </c>
      <c r="G2223">
        <v>9.5</v>
      </c>
      <c r="H2223">
        <v>0</v>
      </c>
      <c r="I2223">
        <v>0</v>
      </c>
      <c r="J2223">
        <v>0</v>
      </c>
      <c r="K2223">
        <v>0</v>
      </c>
      <c r="L2223">
        <v>0</v>
      </c>
      <c r="M2223">
        <v>0</v>
      </c>
      <c r="N2223">
        <v>162642</v>
      </c>
      <c r="O2223">
        <v>0</v>
      </c>
      <c r="P2223">
        <v>0</v>
      </c>
      <c r="Q2223">
        <v>48</v>
      </c>
      <c r="R2223">
        <v>5</v>
      </c>
      <c r="S2223">
        <v>0</v>
      </c>
      <c r="T2223">
        <v>0</v>
      </c>
      <c r="U2223">
        <v>4</v>
      </c>
    </row>
    <row r="2224" spans="1:21" x14ac:dyDescent="0.35">
      <c r="A2224" t="s">
        <v>28</v>
      </c>
      <c r="B2224" s="1">
        <v>45059</v>
      </c>
      <c r="C2224" t="s">
        <v>29</v>
      </c>
      <c r="D2224">
        <v>54.2</v>
      </c>
      <c r="E2224">
        <v>16.5</v>
      </c>
      <c r="F2224">
        <v>24.5</v>
      </c>
      <c r="G2224">
        <v>3.3</v>
      </c>
      <c r="H2224">
        <v>2.2000000000000002</v>
      </c>
      <c r="I2224">
        <v>0</v>
      </c>
      <c r="J2224">
        <v>0</v>
      </c>
      <c r="K2224">
        <v>0</v>
      </c>
      <c r="L2224">
        <v>0</v>
      </c>
      <c r="M2224">
        <v>0</v>
      </c>
      <c r="N2224">
        <v>108868</v>
      </c>
      <c r="O2224">
        <v>278401</v>
      </c>
      <c r="P2224">
        <v>347295</v>
      </c>
      <c r="Q2224">
        <v>59</v>
      </c>
      <c r="R2224">
        <v>46</v>
      </c>
      <c r="S2224">
        <v>85</v>
      </c>
      <c r="T2224">
        <v>30</v>
      </c>
      <c r="U2224">
        <v>49</v>
      </c>
    </row>
    <row r="2225" spans="1:21" x14ac:dyDescent="0.35">
      <c r="A2225" t="s">
        <v>28</v>
      </c>
      <c r="B2225" s="1">
        <v>45145</v>
      </c>
      <c r="C2225" t="s">
        <v>22</v>
      </c>
      <c r="D2225">
        <v>12.4</v>
      </c>
      <c r="E2225">
        <v>6</v>
      </c>
      <c r="F2225">
        <v>9.8000000000000007</v>
      </c>
      <c r="G2225">
        <v>2.1</v>
      </c>
      <c r="H2225">
        <v>1.3</v>
      </c>
      <c r="I2225">
        <v>15.3</v>
      </c>
      <c r="J2225">
        <v>6</v>
      </c>
      <c r="K2225">
        <v>7.2</v>
      </c>
      <c r="L2225">
        <v>2.6</v>
      </c>
      <c r="M2225">
        <v>2.1</v>
      </c>
      <c r="N2225">
        <v>531904</v>
      </c>
      <c r="O2225">
        <v>860327</v>
      </c>
      <c r="P2225">
        <v>1040745</v>
      </c>
      <c r="Q2225">
        <v>66</v>
      </c>
      <c r="R2225">
        <v>52</v>
      </c>
      <c r="S2225">
        <v>102</v>
      </c>
      <c r="T2225">
        <v>999</v>
      </c>
      <c r="U2225">
        <v>999</v>
      </c>
    </row>
    <row r="2226" spans="1:21" x14ac:dyDescent="0.35">
      <c r="A2226" t="s">
        <v>21</v>
      </c>
      <c r="B2226" s="1">
        <v>44828</v>
      </c>
      <c r="C2226" t="s">
        <v>27</v>
      </c>
      <c r="D2226">
        <v>0</v>
      </c>
      <c r="E2226">
        <v>0</v>
      </c>
      <c r="F2226">
        <v>0</v>
      </c>
      <c r="G2226">
        <v>0</v>
      </c>
      <c r="H2226">
        <v>0</v>
      </c>
      <c r="I2226">
        <v>0</v>
      </c>
      <c r="J2226">
        <v>0</v>
      </c>
      <c r="K2226">
        <v>0</v>
      </c>
      <c r="L2226">
        <v>0</v>
      </c>
      <c r="M2226">
        <v>0</v>
      </c>
      <c r="N2226">
        <v>34979</v>
      </c>
      <c r="O2226">
        <v>85783</v>
      </c>
      <c r="P2226">
        <v>44379</v>
      </c>
      <c r="Q2226">
        <v>0</v>
      </c>
      <c r="R2226">
        <v>0</v>
      </c>
      <c r="S2226">
        <v>0</v>
      </c>
      <c r="T2226">
        <v>12</v>
      </c>
      <c r="U2226">
        <v>17</v>
      </c>
    </row>
    <row r="2227" spans="1:21" x14ac:dyDescent="0.35">
      <c r="A2227" t="s">
        <v>28</v>
      </c>
      <c r="B2227" s="1">
        <v>45205</v>
      </c>
      <c r="C2227" t="s">
        <v>31</v>
      </c>
      <c r="D2227">
        <v>12.7</v>
      </c>
      <c r="E2227">
        <v>16.100000000000001</v>
      </c>
      <c r="F2227">
        <v>21</v>
      </c>
      <c r="G2227">
        <v>0.8</v>
      </c>
      <c r="H2227">
        <v>0.6</v>
      </c>
      <c r="I2227">
        <v>0</v>
      </c>
      <c r="J2227">
        <v>0</v>
      </c>
      <c r="K2227">
        <v>0</v>
      </c>
      <c r="L2227">
        <v>0</v>
      </c>
      <c r="M2227">
        <v>0</v>
      </c>
      <c r="N2227">
        <v>39441</v>
      </c>
      <c r="O2227">
        <v>43434</v>
      </c>
      <c r="P2227">
        <v>171732</v>
      </c>
      <c r="Q2227">
        <v>5</v>
      </c>
      <c r="R2227">
        <v>7</v>
      </c>
      <c r="S2227">
        <v>36</v>
      </c>
      <c r="T2227">
        <v>65</v>
      </c>
      <c r="U2227">
        <v>79</v>
      </c>
    </row>
    <row r="2228" spans="1:21" x14ac:dyDescent="0.35">
      <c r="A2228" t="s">
        <v>26</v>
      </c>
      <c r="B2228" s="1">
        <v>44548</v>
      </c>
      <c r="C2228" t="s">
        <v>31</v>
      </c>
      <c r="D2228">
        <v>175.8</v>
      </c>
      <c r="E2228">
        <v>52.7</v>
      </c>
      <c r="F2228">
        <v>11.7</v>
      </c>
      <c r="G2228">
        <v>3.3</v>
      </c>
      <c r="H2228">
        <v>15</v>
      </c>
      <c r="I2228">
        <v>0</v>
      </c>
      <c r="J2228">
        <v>0</v>
      </c>
      <c r="K2228">
        <v>0</v>
      </c>
      <c r="L2228">
        <v>0</v>
      </c>
      <c r="M2228">
        <v>0</v>
      </c>
      <c r="N2228">
        <v>53484</v>
      </c>
      <c r="O2228">
        <v>94857</v>
      </c>
      <c r="P2228">
        <v>110903</v>
      </c>
      <c r="Q2228">
        <v>94</v>
      </c>
      <c r="R2228">
        <v>50</v>
      </c>
      <c r="S2228">
        <v>13</v>
      </c>
      <c r="T2228">
        <v>65</v>
      </c>
      <c r="U2228">
        <v>79</v>
      </c>
    </row>
    <row r="2229" spans="1:21" x14ac:dyDescent="0.35">
      <c r="A2229" t="s">
        <v>26</v>
      </c>
      <c r="B2229" s="1">
        <v>45178</v>
      </c>
      <c r="C2229" t="s">
        <v>32</v>
      </c>
      <c r="D2229">
        <v>1.2</v>
      </c>
      <c r="E2229">
        <v>0</v>
      </c>
      <c r="F2229">
        <v>0</v>
      </c>
      <c r="G2229">
        <v>0</v>
      </c>
      <c r="H2229">
        <v>0</v>
      </c>
      <c r="I2229">
        <v>0</v>
      </c>
      <c r="J2229">
        <v>0</v>
      </c>
      <c r="K2229">
        <v>0</v>
      </c>
      <c r="L2229">
        <v>0</v>
      </c>
      <c r="M2229">
        <v>0</v>
      </c>
      <c r="N2229">
        <v>162642</v>
      </c>
      <c r="O2229">
        <v>0</v>
      </c>
      <c r="P2229">
        <v>0</v>
      </c>
      <c r="Q2229">
        <v>2</v>
      </c>
      <c r="R2229">
        <v>0</v>
      </c>
      <c r="S2229">
        <v>0</v>
      </c>
      <c r="T2229">
        <v>0</v>
      </c>
      <c r="U2229">
        <v>4</v>
      </c>
    </row>
    <row r="2230" spans="1:21" x14ac:dyDescent="0.35">
      <c r="A2230" t="s">
        <v>26</v>
      </c>
      <c r="B2230" s="1">
        <v>45018</v>
      </c>
      <c r="C2230" t="s">
        <v>27</v>
      </c>
      <c r="D2230">
        <v>3</v>
      </c>
      <c r="E2230">
        <v>2.2999999999999998</v>
      </c>
      <c r="F2230">
        <v>2.2000000000000002</v>
      </c>
      <c r="G2230">
        <v>1.3</v>
      </c>
      <c r="H2230">
        <v>1.4</v>
      </c>
      <c r="I2230">
        <v>0</v>
      </c>
      <c r="J2230">
        <v>0</v>
      </c>
      <c r="K2230">
        <v>0</v>
      </c>
      <c r="L2230">
        <v>0</v>
      </c>
      <c r="M2230">
        <v>0</v>
      </c>
      <c r="N2230">
        <v>33352</v>
      </c>
      <c r="O2230">
        <v>86315</v>
      </c>
      <c r="P2230">
        <v>44553</v>
      </c>
      <c r="Q2230">
        <v>1</v>
      </c>
      <c r="R2230">
        <v>2</v>
      </c>
      <c r="S2230">
        <v>1</v>
      </c>
      <c r="T2230">
        <v>12</v>
      </c>
      <c r="U2230">
        <v>17</v>
      </c>
    </row>
    <row r="2231" spans="1:21" x14ac:dyDescent="0.35">
      <c r="A2231" t="s">
        <v>21</v>
      </c>
      <c r="B2231" s="1">
        <v>44513</v>
      </c>
      <c r="C2231" t="s">
        <v>23</v>
      </c>
      <c r="D2231">
        <v>8.6999999999999993</v>
      </c>
      <c r="E2231">
        <v>0.6</v>
      </c>
      <c r="F2231">
        <v>0</v>
      </c>
      <c r="G2231">
        <v>14.5</v>
      </c>
      <c r="H2231">
        <v>0</v>
      </c>
      <c r="I2231">
        <v>0</v>
      </c>
      <c r="J2231">
        <v>0</v>
      </c>
      <c r="K2231">
        <v>0</v>
      </c>
      <c r="L2231">
        <v>0</v>
      </c>
      <c r="M2231">
        <v>0</v>
      </c>
      <c r="N2231">
        <v>69301</v>
      </c>
      <c r="O2231">
        <v>308448</v>
      </c>
      <c r="P2231">
        <v>36865</v>
      </c>
      <c r="Q2231">
        <v>6</v>
      </c>
      <c r="R2231">
        <v>2</v>
      </c>
      <c r="S2231">
        <v>0</v>
      </c>
      <c r="T2231">
        <v>50</v>
      </c>
      <c r="U2231">
        <v>64</v>
      </c>
    </row>
    <row r="2232" spans="1:21" x14ac:dyDescent="0.35">
      <c r="A2232" t="s">
        <v>21</v>
      </c>
      <c r="B2232" s="1">
        <v>45157</v>
      </c>
      <c r="C2232" t="s">
        <v>30</v>
      </c>
      <c r="D2232">
        <v>0</v>
      </c>
      <c r="E2232">
        <v>8.8000000000000007</v>
      </c>
      <c r="F2232">
        <v>2.1</v>
      </c>
      <c r="G2232">
        <v>0</v>
      </c>
      <c r="H2232">
        <v>0</v>
      </c>
      <c r="I2232">
        <v>0</v>
      </c>
      <c r="J2232">
        <v>0</v>
      </c>
      <c r="K2232">
        <v>0</v>
      </c>
      <c r="L2232">
        <v>0</v>
      </c>
      <c r="M2232">
        <v>0</v>
      </c>
      <c r="N2232">
        <v>24470</v>
      </c>
      <c r="O2232">
        <v>11380</v>
      </c>
      <c r="P2232">
        <v>47133</v>
      </c>
      <c r="Q2232">
        <v>0</v>
      </c>
      <c r="R2232">
        <v>1</v>
      </c>
      <c r="S2232">
        <v>1</v>
      </c>
      <c r="T2232">
        <v>80</v>
      </c>
      <c r="U2232">
        <v>200</v>
      </c>
    </row>
    <row r="2233" spans="1:21" x14ac:dyDescent="0.35">
      <c r="A2233" t="s">
        <v>21</v>
      </c>
      <c r="B2233" s="1">
        <v>44201</v>
      </c>
      <c r="C2233" t="s">
        <v>27</v>
      </c>
      <c r="D2233">
        <v>0.6</v>
      </c>
      <c r="E2233">
        <v>0</v>
      </c>
      <c r="F2233">
        <v>0</v>
      </c>
      <c r="G2233">
        <v>0</v>
      </c>
      <c r="H2233">
        <v>0</v>
      </c>
      <c r="I2233">
        <v>0</v>
      </c>
      <c r="J2233">
        <v>0</v>
      </c>
      <c r="K2233">
        <v>0</v>
      </c>
      <c r="L2233">
        <v>0</v>
      </c>
      <c r="M2233">
        <v>0</v>
      </c>
      <c r="N2233">
        <v>167682</v>
      </c>
      <c r="O2233">
        <v>0</v>
      </c>
      <c r="P2233">
        <v>0</v>
      </c>
      <c r="Q2233">
        <v>1</v>
      </c>
      <c r="R2233">
        <v>0</v>
      </c>
      <c r="S2233">
        <v>0</v>
      </c>
      <c r="T2233">
        <v>12</v>
      </c>
      <c r="U2233">
        <v>17</v>
      </c>
    </row>
    <row r="2234" spans="1:21" x14ac:dyDescent="0.35">
      <c r="A2234" t="s">
        <v>21</v>
      </c>
      <c r="B2234" s="1">
        <v>44555</v>
      </c>
      <c r="C2234" t="s">
        <v>25</v>
      </c>
      <c r="D2234">
        <v>0</v>
      </c>
      <c r="E2234">
        <v>0</v>
      </c>
      <c r="F2234">
        <v>0</v>
      </c>
      <c r="G2234">
        <v>0</v>
      </c>
      <c r="H2234">
        <v>0</v>
      </c>
      <c r="I2234">
        <v>0</v>
      </c>
      <c r="J2234">
        <v>0</v>
      </c>
      <c r="K2234">
        <v>0</v>
      </c>
      <c r="L2234">
        <v>0</v>
      </c>
      <c r="M2234">
        <v>0</v>
      </c>
      <c r="N2234">
        <v>139528</v>
      </c>
      <c r="O2234">
        <v>277971</v>
      </c>
      <c r="P2234">
        <v>58804</v>
      </c>
      <c r="Q2234">
        <v>0</v>
      </c>
      <c r="R2234">
        <v>0</v>
      </c>
      <c r="S2234">
        <v>0</v>
      </c>
      <c r="T2234">
        <v>18</v>
      </c>
      <c r="U2234">
        <v>29</v>
      </c>
    </row>
    <row r="2235" spans="1:21" x14ac:dyDescent="0.35">
      <c r="A2235" t="s">
        <v>28</v>
      </c>
      <c r="B2235" s="1">
        <v>44843</v>
      </c>
      <c r="C2235" t="s">
        <v>32</v>
      </c>
      <c r="D2235">
        <v>87.3</v>
      </c>
      <c r="E2235">
        <v>1.8</v>
      </c>
      <c r="F2235">
        <v>0</v>
      </c>
      <c r="G2235">
        <v>48.5</v>
      </c>
      <c r="H2235">
        <v>0</v>
      </c>
      <c r="I2235">
        <v>0</v>
      </c>
      <c r="J2235">
        <v>0</v>
      </c>
      <c r="K2235">
        <v>0</v>
      </c>
      <c r="L2235">
        <v>0</v>
      </c>
      <c r="M2235">
        <v>0</v>
      </c>
      <c r="N2235">
        <v>162642</v>
      </c>
      <c r="O2235">
        <v>0</v>
      </c>
      <c r="P2235">
        <v>0</v>
      </c>
      <c r="Q2235">
        <v>142</v>
      </c>
      <c r="R2235">
        <v>3</v>
      </c>
      <c r="S2235">
        <v>0</v>
      </c>
      <c r="T2235">
        <v>0</v>
      </c>
      <c r="U2235">
        <v>4</v>
      </c>
    </row>
    <row r="2236" spans="1:21" x14ac:dyDescent="0.35">
      <c r="A2236" t="s">
        <v>26</v>
      </c>
      <c r="B2236" s="1">
        <v>44611</v>
      </c>
      <c r="C2236" t="s">
        <v>22</v>
      </c>
      <c r="D2236">
        <v>6.1</v>
      </c>
      <c r="E2236">
        <v>5.3</v>
      </c>
      <c r="F2236">
        <v>3.3</v>
      </c>
      <c r="G2236">
        <v>1.2</v>
      </c>
      <c r="H2236">
        <v>1.8</v>
      </c>
      <c r="I2236">
        <v>8.3000000000000007</v>
      </c>
      <c r="J2236">
        <v>6.8</v>
      </c>
      <c r="K2236">
        <v>2.2000000000000002</v>
      </c>
      <c r="L2236">
        <v>1.2</v>
      </c>
      <c r="M2236">
        <v>3.8</v>
      </c>
      <c r="N2236">
        <v>677481</v>
      </c>
      <c r="O2236">
        <v>910869</v>
      </c>
      <c r="P2236">
        <v>868745</v>
      </c>
      <c r="Q2236">
        <v>41</v>
      </c>
      <c r="R2236">
        <v>48</v>
      </c>
      <c r="S2236">
        <v>29</v>
      </c>
      <c r="T2236">
        <v>999</v>
      </c>
      <c r="U2236">
        <v>999</v>
      </c>
    </row>
    <row r="2237" spans="1:21" x14ac:dyDescent="0.35">
      <c r="A2237" t="s">
        <v>21</v>
      </c>
      <c r="B2237" s="1">
        <v>45164</v>
      </c>
      <c r="C2237" t="s">
        <v>22</v>
      </c>
      <c r="D2237">
        <v>0.4</v>
      </c>
      <c r="E2237">
        <v>0</v>
      </c>
      <c r="F2237">
        <v>0.1</v>
      </c>
      <c r="G2237">
        <v>0</v>
      </c>
      <c r="H2237">
        <v>4</v>
      </c>
      <c r="I2237">
        <v>0.4</v>
      </c>
      <c r="J2237">
        <v>0</v>
      </c>
      <c r="K2237">
        <v>0.1</v>
      </c>
      <c r="L2237">
        <v>0</v>
      </c>
      <c r="M2237">
        <v>5.4</v>
      </c>
      <c r="N2237">
        <v>527758</v>
      </c>
      <c r="O2237">
        <v>860290</v>
      </c>
      <c r="P2237">
        <v>1040810</v>
      </c>
      <c r="Q2237">
        <v>2</v>
      </c>
      <c r="R2237">
        <v>0</v>
      </c>
      <c r="S2237">
        <v>1</v>
      </c>
      <c r="T2237">
        <v>999</v>
      </c>
      <c r="U2237">
        <v>999</v>
      </c>
    </row>
    <row r="2238" spans="1:21" x14ac:dyDescent="0.35">
      <c r="A2238" t="s">
        <v>21</v>
      </c>
      <c r="B2238" s="1">
        <v>45054</v>
      </c>
      <c r="C2238" t="s">
        <v>29</v>
      </c>
      <c r="D2238">
        <v>0</v>
      </c>
      <c r="E2238">
        <v>0</v>
      </c>
      <c r="F2238">
        <v>0</v>
      </c>
      <c r="G2238">
        <v>0</v>
      </c>
      <c r="H2238">
        <v>0</v>
      </c>
      <c r="I2238">
        <v>0</v>
      </c>
      <c r="J2238">
        <v>0</v>
      </c>
      <c r="K2238">
        <v>0</v>
      </c>
      <c r="L2238">
        <v>0</v>
      </c>
      <c r="M2238">
        <v>0</v>
      </c>
      <c r="N2238">
        <v>107409</v>
      </c>
      <c r="O2238">
        <v>278402</v>
      </c>
      <c r="P2238">
        <v>347313</v>
      </c>
      <c r="Q2238">
        <v>0</v>
      </c>
      <c r="R2238">
        <v>0</v>
      </c>
      <c r="S2238">
        <v>0</v>
      </c>
      <c r="T2238">
        <v>30</v>
      </c>
      <c r="U2238">
        <v>49</v>
      </c>
    </row>
    <row r="2239" spans="1:21" x14ac:dyDescent="0.35">
      <c r="A2239" t="s">
        <v>21</v>
      </c>
      <c r="B2239" s="1">
        <v>44476</v>
      </c>
      <c r="C2239" t="s">
        <v>25</v>
      </c>
      <c r="D2239">
        <v>0</v>
      </c>
      <c r="E2239">
        <v>0</v>
      </c>
      <c r="F2239">
        <v>0</v>
      </c>
      <c r="G2239">
        <v>0</v>
      </c>
      <c r="H2239">
        <v>0</v>
      </c>
      <c r="I2239">
        <v>0</v>
      </c>
      <c r="J2239">
        <v>0</v>
      </c>
      <c r="K2239">
        <v>0</v>
      </c>
      <c r="L2239">
        <v>0</v>
      </c>
      <c r="M2239">
        <v>0</v>
      </c>
      <c r="N2239">
        <v>221917</v>
      </c>
      <c r="O2239">
        <v>267760</v>
      </c>
      <c r="P2239">
        <v>0</v>
      </c>
      <c r="Q2239">
        <v>0</v>
      </c>
      <c r="R2239">
        <v>0</v>
      </c>
      <c r="S2239">
        <v>0</v>
      </c>
      <c r="T2239">
        <v>18</v>
      </c>
      <c r="U2239">
        <v>29</v>
      </c>
    </row>
    <row r="2240" spans="1:21" x14ac:dyDescent="0.35">
      <c r="A2240" t="s">
        <v>28</v>
      </c>
      <c r="B2240" s="1">
        <v>44201</v>
      </c>
      <c r="C2240" t="s">
        <v>31</v>
      </c>
      <c r="D2240">
        <v>148.6</v>
      </c>
      <c r="E2240">
        <v>15.7</v>
      </c>
      <c r="F2240">
        <v>0</v>
      </c>
      <c r="G2240">
        <v>9.5</v>
      </c>
      <c r="H2240">
        <v>0</v>
      </c>
      <c r="I2240">
        <v>0</v>
      </c>
      <c r="J2240">
        <v>0</v>
      </c>
      <c r="K2240">
        <v>0</v>
      </c>
      <c r="L2240">
        <v>0</v>
      </c>
      <c r="M2240">
        <v>0</v>
      </c>
      <c r="N2240">
        <v>86807</v>
      </c>
      <c r="O2240">
        <v>152729</v>
      </c>
      <c r="P2240">
        <v>0</v>
      </c>
      <c r="Q2240">
        <v>129</v>
      </c>
      <c r="R2240">
        <v>24</v>
      </c>
      <c r="S2240">
        <v>0</v>
      </c>
      <c r="T2240">
        <v>65</v>
      </c>
      <c r="U2240">
        <v>79</v>
      </c>
    </row>
    <row r="2241" spans="1:21" x14ac:dyDescent="0.35">
      <c r="A2241" t="s">
        <v>26</v>
      </c>
      <c r="B2241" s="1">
        <v>45059</v>
      </c>
      <c r="C2241" t="s">
        <v>27</v>
      </c>
      <c r="D2241">
        <v>0</v>
      </c>
      <c r="E2241">
        <v>1.2</v>
      </c>
      <c r="F2241">
        <v>0</v>
      </c>
      <c r="G2241">
        <v>0</v>
      </c>
      <c r="H2241">
        <v>0</v>
      </c>
      <c r="I2241">
        <v>0</v>
      </c>
      <c r="J2241">
        <v>0</v>
      </c>
      <c r="K2241">
        <v>0</v>
      </c>
      <c r="L2241">
        <v>0</v>
      </c>
      <c r="M2241">
        <v>0</v>
      </c>
      <c r="N2241">
        <v>32614</v>
      </c>
      <c r="O2241">
        <v>86583</v>
      </c>
      <c r="P2241">
        <v>44576</v>
      </c>
      <c r="Q2241">
        <v>0</v>
      </c>
      <c r="R2241">
        <v>1</v>
      </c>
      <c r="S2241">
        <v>0</v>
      </c>
      <c r="T2241">
        <v>12</v>
      </c>
      <c r="U2241">
        <v>17</v>
      </c>
    </row>
    <row r="2242" spans="1:21" x14ac:dyDescent="0.35">
      <c r="A2242" t="s">
        <v>26</v>
      </c>
      <c r="B2242" s="1">
        <v>44783</v>
      </c>
      <c r="C2242" t="s">
        <v>29</v>
      </c>
      <c r="D2242">
        <v>7.4</v>
      </c>
      <c r="E2242">
        <v>1.1000000000000001</v>
      </c>
      <c r="F2242">
        <v>1.7</v>
      </c>
      <c r="G2242">
        <v>6.7</v>
      </c>
      <c r="H2242">
        <v>4.4000000000000004</v>
      </c>
      <c r="I2242">
        <v>0</v>
      </c>
      <c r="J2242">
        <v>0</v>
      </c>
      <c r="K2242">
        <v>0</v>
      </c>
      <c r="L2242">
        <v>0</v>
      </c>
      <c r="M2242">
        <v>0</v>
      </c>
      <c r="N2242">
        <v>121106</v>
      </c>
      <c r="O2242">
        <v>276136</v>
      </c>
      <c r="P2242">
        <v>346953</v>
      </c>
      <c r="Q2242">
        <v>9</v>
      </c>
      <c r="R2242">
        <v>3</v>
      </c>
      <c r="S2242">
        <v>6</v>
      </c>
      <c r="T2242">
        <v>30</v>
      </c>
      <c r="U2242">
        <v>49</v>
      </c>
    </row>
    <row r="2243" spans="1:21" x14ac:dyDescent="0.35">
      <c r="A2243" t="s">
        <v>21</v>
      </c>
      <c r="B2243" s="1">
        <v>44576</v>
      </c>
      <c r="C2243" t="s">
        <v>27</v>
      </c>
      <c r="D2243">
        <v>0</v>
      </c>
      <c r="E2243">
        <v>0</v>
      </c>
      <c r="F2243">
        <v>0</v>
      </c>
      <c r="G2243">
        <v>0</v>
      </c>
      <c r="H2243">
        <v>0</v>
      </c>
      <c r="I2243">
        <v>0</v>
      </c>
      <c r="J2243">
        <v>0</v>
      </c>
      <c r="K2243">
        <v>0</v>
      </c>
      <c r="L2243">
        <v>0</v>
      </c>
      <c r="M2243">
        <v>0</v>
      </c>
      <c r="N2243">
        <v>48295</v>
      </c>
      <c r="O2243">
        <v>106637</v>
      </c>
      <c r="P2243">
        <v>5029</v>
      </c>
      <c r="Q2243">
        <v>0</v>
      </c>
      <c r="R2243">
        <v>0</v>
      </c>
      <c r="S2243">
        <v>0</v>
      </c>
      <c r="T2243">
        <v>12</v>
      </c>
      <c r="U2243">
        <v>17</v>
      </c>
    </row>
    <row r="2244" spans="1:21" x14ac:dyDescent="0.35">
      <c r="A2244" t="s">
        <v>28</v>
      </c>
      <c r="B2244" s="1">
        <v>45010</v>
      </c>
      <c r="C2244" t="s">
        <v>29</v>
      </c>
      <c r="D2244">
        <v>94.5</v>
      </c>
      <c r="E2244">
        <v>45.3</v>
      </c>
      <c r="F2244">
        <v>53.3</v>
      </c>
      <c r="G2244">
        <v>2.1</v>
      </c>
      <c r="H2244">
        <v>1.8</v>
      </c>
      <c r="I2244">
        <v>0</v>
      </c>
      <c r="J2244">
        <v>0</v>
      </c>
      <c r="K2244">
        <v>0</v>
      </c>
      <c r="L2244">
        <v>0</v>
      </c>
      <c r="M2244">
        <v>0</v>
      </c>
      <c r="N2244">
        <v>110064</v>
      </c>
      <c r="O2244">
        <v>278072</v>
      </c>
      <c r="P2244">
        <v>347275</v>
      </c>
      <c r="Q2244">
        <v>104</v>
      </c>
      <c r="R2244">
        <v>126</v>
      </c>
      <c r="S2244">
        <v>185</v>
      </c>
      <c r="T2244">
        <v>30</v>
      </c>
      <c r="U2244">
        <v>49</v>
      </c>
    </row>
    <row r="2245" spans="1:21" x14ac:dyDescent="0.35">
      <c r="A2245" t="s">
        <v>28</v>
      </c>
      <c r="B2245" s="1">
        <v>44590</v>
      </c>
      <c r="C2245" t="s">
        <v>27</v>
      </c>
      <c r="D2245">
        <v>452.2</v>
      </c>
      <c r="E2245">
        <v>271.2</v>
      </c>
      <c r="F2245">
        <v>161.6</v>
      </c>
      <c r="G2245">
        <v>1.7</v>
      </c>
      <c r="H2245">
        <v>2.8</v>
      </c>
      <c r="I2245">
        <v>0</v>
      </c>
      <c r="J2245">
        <v>0</v>
      </c>
      <c r="K2245">
        <v>0</v>
      </c>
      <c r="L2245">
        <v>0</v>
      </c>
      <c r="M2245">
        <v>0</v>
      </c>
      <c r="N2245">
        <v>44003</v>
      </c>
      <c r="O2245">
        <v>100652</v>
      </c>
      <c r="P2245">
        <v>13613</v>
      </c>
      <c r="Q2245">
        <v>199</v>
      </c>
      <c r="R2245">
        <v>273</v>
      </c>
      <c r="S2245">
        <v>22</v>
      </c>
      <c r="T2245">
        <v>12</v>
      </c>
      <c r="U2245">
        <v>17</v>
      </c>
    </row>
    <row r="2246" spans="1:21" x14ac:dyDescent="0.35">
      <c r="A2246" t="s">
        <v>26</v>
      </c>
      <c r="B2246" s="1">
        <v>44811</v>
      </c>
      <c r="C2246" t="s">
        <v>25</v>
      </c>
      <c r="D2246">
        <v>6.4</v>
      </c>
      <c r="E2246">
        <v>4.7</v>
      </c>
      <c r="F2246">
        <v>1.9</v>
      </c>
      <c r="G2246">
        <v>1.4</v>
      </c>
      <c r="H2246">
        <v>3.4</v>
      </c>
      <c r="I2246">
        <v>0</v>
      </c>
      <c r="J2246">
        <v>0</v>
      </c>
      <c r="K2246">
        <v>0</v>
      </c>
      <c r="L2246">
        <v>0</v>
      </c>
      <c r="M2246">
        <v>0</v>
      </c>
      <c r="N2246">
        <v>93482</v>
      </c>
      <c r="O2246">
        <v>214304</v>
      </c>
      <c r="P2246">
        <v>156355</v>
      </c>
      <c r="Q2246">
        <v>6</v>
      </c>
      <c r="R2246">
        <v>10</v>
      </c>
      <c r="S2246">
        <v>3</v>
      </c>
      <c r="T2246">
        <v>18</v>
      </c>
      <c r="U2246">
        <v>29</v>
      </c>
    </row>
    <row r="2247" spans="1:21" x14ac:dyDescent="0.35">
      <c r="A2247" t="s">
        <v>28</v>
      </c>
      <c r="B2247" s="1">
        <v>45019</v>
      </c>
      <c r="C2247" t="s">
        <v>32</v>
      </c>
      <c r="D2247">
        <v>59.6</v>
      </c>
      <c r="E2247">
        <v>9.8000000000000007</v>
      </c>
      <c r="F2247">
        <v>0</v>
      </c>
      <c r="G2247">
        <v>6.1</v>
      </c>
      <c r="H2247">
        <v>0</v>
      </c>
      <c r="I2247">
        <v>0</v>
      </c>
      <c r="J2247">
        <v>0</v>
      </c>
      <c r="K2247">
        <v>0</v>
      </c>
      <c r="L2247">
        <v>0</v>
      </c>
      <c r="M2247">
        <v>0</v>
      </c>
      <c r="N2247">
        <v>162642</v>
      </c>
      <c r="O2247">
        <v>0</v>
      </c>
      <c r="P2247">
        <v>0</v>
      </c>
      <c r="Q2247">
        <v>97</v>
      </c>
      <c r="R2247">
        <v>16</v>
      </c>
      <c r="S2247">
        <v>0</v>
      </c>
      <c r="T2247">
        <v>0</v>
      </c>
      <c r="U2247">
        <v>4</v>
      </c>
    </row>
    <row r="2248" spans="1:21" x14ac:dyDescent="0.35">
      <c r="A2248" t="s">
        <v>26</v>
      </c>
      <c r="B2248" s="1">
        <v>45145</v>
      </c>
      <c r="C2248" t="s">
        <v>30</v>
      </c>
      <c r="D2248">
        <v>4.0999999999999996</v>
      </c>
      <c r="E2248">
        <v>8.8000000000000007</v>
      </c>
      <c r="F2248">
        <v>6.4</v>
      </c>
      <c r="G2248">
        <v>0.5</v>
      </c>
      <c r="H2248">
        <v>0.6</v>
      </c>
      <c r="I2248">
        <v>0</v>
      </c>
      <c r="J2248">
        <v>0</v>
      </c>
      <c r="K2248">
        <v>0</v>
      </c>
      <c r="L2248">
        <v>0</v>
      </c>
      <c r="M2248">
        <v>0</v>
      </c>
      <c r="N2248">
        <v>24498</v>
      </c>
      <c r="O2248">
        <v>11383</v>
      </c>
      <c r="P2248">
        <v>47130</v>
      </c>
      <c r="Q2248">
        <v>1</v>
      </c>
      <c r="R2248">
        <v>1</v>
      </c>
      <c r="S2248">
        <v>3</v>
      </c>
      <c r="T2248">
        <v>80</v>
      </c>
      <c r="U2248">
        <v>200</v>
      </c>
    </row>
    <row r="2249" spans="1:21" x14ac:dyDescent="0.35">
      <c r="A2249" t="s">
        <v>21</v>
      </c>
      <c r="B2249" s="1">
        <v>45227</v>
      </c>
      <c r="C2249" t="s">
        <v>22</v>
      </c>
      <c r="D2249">
        <v>0.2</v>
      </c>
      <c r="E2249">
        <v>0.3</v>
      </c>
      <c r="F2249">
        <v>0.2</v>
      </c>
      <c r="G2249">
        <v>0.7</v>
      </c>
      <c r="H2249">
        <v>1</v>
      </c>
      <c r="I2249">
        <v>0.1</v>
      </c>
      <c r="J2249">
        <v>0.7</v>
      </c>
      <c r="K2249">
        <v>0.1</v>
      </c>
      <c r="L2249">
        <v>0.2</v>
      </c>
      <c r="M2249">
        <v>0.9</v>
      </c>
      <c r="N2249">
        <v>514722</v>
      </c>
      <c r="O2249">
        <v>862266</v>
      </c>
      <c r="P2249">
        <v>1043533</v>
      </c>
      <c r="Q2249">
        <v>1</v>
      </c>
      <c r="R2249">
        <v>3</v>
      </c>
      <c r="S2249">
        <v>2</v>
      </c>
      <c r="T2249">
        <v>999</v>
      </c>
      <c r="U2249">
        <v>999</v>
      </c>
    </row>
    <row r="2250" spans="1:21" x14ac:dyDescent="0.35">
      <c r="A2250" t="s">
        <v>21</v>
      </c>
      <c r="B2250" s="1">
        <v>44765</v>
      </c>
      <c r="C2250" t="s">
        <v>23</v>
      </c>
      <c r="D2250">
        <v>2.4</v>
      </c>
      <c r="E2250">
        <v>0</v>
      </c>
      <c r="F2250">
        <v>0</v>
      </c>
      <c r="G2250">
        <v>0</v>
      </c>
      <c r="H2250">
        <v>0</v>
      </c>
      <c r="I2250">
        <v>0</v>
      </c>
      <c r="J2250">
        <v>0</v>
      </c>
      <c r="K2250">
        <v>0</v>
      </c>
      <c r="L2250">
        <v>0</v>
      </c>
      <c r="M2250">
        <v>0</v>
      </c>
      <c r="N2250">
        <v>41269</v>
      </c>
      <c r="O2250">
        <v>128418</v>
      </c>
      <c r="P2250">
        <v>242018</v>
      </c>
      <c r="Q2250">
        <v>1</v>
      </c>
      <c r="R2250">
        <v>0</v>
      </c>
      <c r="S2250">
        <v>0</v>
      </c>
      <c r="T2250">
        <v>50</v>
      </c>
      <c r="U2250">
        <v>64</v>
      </c>
    </row>
    <row r="2251" spans="1:21" x14ac:dyDescent="0.35">
      <c r="A2251" t="s">
        <v>21</v>
      </c>
      <c r="B2251" s="1">
        <v>45059</v>
      </c>
      <c r="C2251" t="s">
        <v>23</v>
      </c>
      <c r="D2251">
        <v>0</v>
      </c>
      <c r="E2251">
        <v>0</v>
      </c>
      <c r="F2251">
        <v>0</v>
      </c>
      <c r="G2251">
        <v>0</v>
      </c>
      <c r="H2251">
        <v>0</v>
      </c>
      <c r="I2251">
        <v>0</v>
      </c>
      <c r="J2251">
        <v>0</v>
      </c>
      <c r="K2251">
        <v>0</v>
      </c>
      <c r="L2251">
        <v>0</v>
      </c>
      <c r="M2251">
        <v>0</v>
      </c>
      <c r="N2251">
        <v>33018</v>
      </c>
      <c r="O2251">
        <v>125743</v>
      </c>
      <c r="P2251">
        <v>246910</v>
      </c>
      <c r="Q2251">
        <v>0</v>
      </c>
      <c r="R2251">
        <v>0</v>
      </c>
      <c r="S2251">
        <v>0</v>
      </c>
      <c r="T2251">
        <v>50</v>
      </c>
      <c r="U2251">
        <v>64</v>
      </c>
    </row>
    <row r="2252" spans="1:21" x14ac:dyDescent="0.35">
      <c r="A2252" t="s">
        <v>21</v>
      </c>
      <c r="B2252" s="1">
        <v>44338</v>
      </c>
      <c r="C2252" t="s">
        <v>23</v>
      </c>
      <c r="D2252">
        <v>6.1</v>
      </c>
      <c r="E2252">
        <v>0</v>
      </c>
      <c r="F2252">
        <v>0</v>
      </c>
      <c r="G2252">
        <v>0</v>
      </c>
      <c r="H2252">
        <v>0</v>
      </c>
      <c r="I2252">
        <v>0</v>
      </c>
      <c r="J2252">
        <v>0</v>
      </c>
      <c r="K2252">
        <v>0</v>
      </c>
      <c r="L2252">
        <v>0</v>
      </c>
      <c r="M2252">
        <v>0</v>
      </c>
      <c r="N2252">
        <v>131081</v>
      </c>
      <c r="O2252">
        <v>237808</v>
      </c>
      <c r="P2252">
        <v>0</v>
      </c>
      <c r="Q2252">
        <v>8</v>
      </c>
      <c r="R2252">
        <v>0</v>
      </c>
      <c r="S2252">
        <v>0</v>
      </c>
      <c r="T2252">
        <v>50</v>
      </c>
      <c r="U2252">
        <v>64</v>
      </c>
    </row>
    <row r="2253" spans="1:21" x14ac:dyDescent="0.35">
      <c r="A2253" t="s">
        <v>28</v>
      </c>
      <c r="B2253" s="1">
        <v>44897</v>
      </c>
      <c r="C2253" t="s">
        <v>24</v>
      </c>
      <c r="D2253">
        <v>155</v>
      </c>
      <c r="E2253">
        <v>213.5</v>
      </c>
      <c r="F2253">
        <v>0</v>
      </c>
      <c r="G2253">
        <v>0.7</v>
      </c>
      <c r="H2253">
        <v>0</v>
      </c>
      <c r="I2253">
        <v>0</v>
      </c>
      <c r="J2253">
        <v>0</v>
      </c>
      <c r="K2253">
        <v>0</v>
      </c>
      <c r="L2253">
        <v>0</v>
      </c>
      <c r="M2253">
        <v>0</v>
      </c>
      <c r="N2253">
        <v>109671</v>
      </c>
      <c r="O2253">
        <v>68864</v>
      </c>
      <c r="P2253">
        <v>0</v>
      </c>
      <c r="Q2253">
        <v>170</v>
      </c>
      <c r="R2253">
        <v>147</v>
      </c>
      <c r="S2253">
        <v>0</v>
      </c>
      <c r="T2253">
        <v>5</v>
      </c>
      <c r="U2253">
        <v>11</v>
      </c>
    </row>
    <row r="2254" spans="1:21" x14ac:dyDescent="0.35">
      <c r="A2254" t="s">
        <v>21</v>
      </c>
      <c r="B2254" s="1">
        <v>44846</v>
      </c>
      <c r="C2254" t="s">
        <v>25</v>
      </c>
      <c r="D2254">
        <v>0</v>
      </c>
      <c r="E2254">
        <v>0</v>
      </c>
      <c r="F2254">
        <v>0</v>
      </c>
      <c r="G2254">
        <v>0</v>
      </c>
      <c r="H2254">
        <v>0</v>
      </c>
      <c r="I2254">
        <v>0</v>
      </c>
      <c r="J2254">
        <v>0</v>
      </c>
      <c r="K2254">
        <v>0</v>
      </c>
      <c r="L2254">
        <v>0</v>
      </c>
      <c r="M2254">
        <v>0</v>
      </c>
      <c r="N2254">
        <v>80480</v>
      </c>
      <c r="O2254">
        <v>212671</v>
      </c>
      <c r="P2254">
        <v>161589</v>
      </c>
      <c r="Q2254">
        <v>0</v>
      </c>
      <c r="R2254">
        <v>0</v>
      </c>
      <c r="S2254">
        <v>0</v>
      </c>
      <c r="T2254">
        <v>18</v>
      </c>
      <c r="U2254">
        <v>29</v>
      </c>
    </row>
    <row r="2255" spans="1:21" x14ac:dyDescent="0.35">
      <c r="A2255" t="s">
        <v>21</v>
      </c>
      <c r="B2255" s="1">
        <v>44940</v>
      </c>
      <c r="C2255" t="s">
        <v>24</v>
      </c>
      <c r="D2255">
        <v>0</v>
      </c>
      <c r="E2255">
        <v>0</v>
      </c>
      <c r="F2255">
        <v>0</v>
      </c>
      <c r="G2255">
        <v>0</v>
      </c>
      <c r="H2255">
        <v>0</v>
      </c>
      <c r="I2255">
        <v>0</v>
      </c>
      <c r="J2255">
        <v>0</v>
      </c>
      <c r="K2255">
        <v>0</v>
      </c>
      <c r="L2255">
        <v>0</v>
      </c>
      <c r="M2255">
        <v>0</v>
      </c>
      <c r="N2255">
        <v>92141</v>
      </c>
      <c r="O2255">
        <v>81692</v>
      </c>
      <c r="P2255">
        <v>21167</v>
      </c>
      <c r="Q2255">
        <v>0</v>
      </c>
      <c r="R2255">
        <v>0</v>
      </c>
      <c r="S2255">
        <v>0</v>
      </c>
      <c r="T2255">
        <v>5</v>
      </c>
      <c r="U2255">
        <v>11</v>
      </c>
    </row>
    <row r="2256" spans="1:21" x14ac:dyDescent="0.35">
      <c r="A2256" t="s">
        <v>28</v>
      </c>
      <c r="B2256" s="1">
        <v>44555</v>
      </c>
      <c r="C2256" t="s">
        <v>25</v>
      </c>
      <c r="D2256">
        <v>2798.7</v>
      </c>
      <c r="E2256">
        <v>1702.3</v>
      </c>
      <c r="F2256">
        <v>1520.3</v>
      </c>
      <c r="G2256">
        <v>1.6</v>
      </c>
      <c r="H2256">
        <v>1.8</v>
      </c>
      <c r="I2256">
        <v>0</v>
      </c>
      <c r="J2256">
        <v>0</v>
      </c>
      <c r="K2256">
        <v>0</v>
      </c>
      <c r="L2256">
        <v>0</v>
      </c>
      <c r="M2256">
        <v>0</v>
      </c>
      <c r="N2256">
        <v>139528</v>
      </c>
      <c r="O2256">
        <v>277971</v>
      </c>
      <c r="P2256">
        <v>58804</v>
      </c>
      <c r="Q2256">
        <v>3905</v>
      </c>
      <c r="R2256">
        <v>4732</v>
      </c>
      <c r="S2256">
        <v>894</v>
      </c>
      <c r="T2256">
        <v>18</v>
      </c>
      <c r="U2256">
        <v>29</v>
      </c>
    </row>
    <row r="2257" spans="1:21" x14ac:dyDescent="0.35">
      <c r="A2257" t="s">
        <v>21</v>
      </c>
      <c r="B2257" s="1">
        <v>44562</v>
      </c>
      <c r="C2257" t="s">
        <v>29</v>
      </c>
      <c r="D2257">
        <v>3.6</v>
      </c>
      <c r="E2257">
        <v>0.3</v>
      </c>
      <c r="F2257">
        <v>0</v>
      </c>
      <c r="G2257">
        <v>12</v>
      </c>
      <c r="H2257">
        <v>0</v>
      </c>
      <c r="I2257">
        <v>0</v>
      </c>
      <c r="J2257">
        <v>0</v>
      </c>
      <c r="K2257">
        <v>0</v>
      </c>
      <c r="L2257">
        <v>0</v>
      </c>
      <c r="M2257">
        <v>0</v>
      </c>
      <c r="N2257">
        <v>168393</v>
      </c>
      <c r="O2257">
        <v>380138</v>
      </c>
      <c r="P2257">
        <v>202387</v>
      </c>
      <c r="Q2257">
        <v>6</v>
      </c>
      <c r="R2257">
        <v>1</v>
      </c>
      <c r="S2257">
        <v>0</v>
      </c>
      <c r="T2257">
        <v>30</v>
      </c>
      <c r="U2257">
        <v>49</v>
      </c>
    </row>
    <row r="2258" spans="1:21" x14ac:dyDescent="0.35">
      <c r="A2258" t="s">
        <v>21</v>
      </c>
      <c r="B2258" s="1">
        <v>44596</v>
      </c>
      <c r="C2258" t="s">
        <v>31</v>
      </c>
      <c r="D2258">
        <v>0</v>
      </c>
      <c r="E2258">
        <v>1.9</v>
      </c>
      <c r="F2258">
        <v>0</v>
      </c>
      <c r="G2258">
        <v>0</v>
      </c>
      <c r="H2258">
        <v>0</v>
      </c>
      <c r="I2258">
        <v>0</v>
      </c>
      <c r="J2258">
        <v>0</v>
      </c>
      <c r="K2258">
        <v>0</v>
      </c>
      <c r="L2258">
        <v>0</v>
      </c>
      <c r="M2258">
        <v>0</v>
      </c>
      <c r="N2258">
        <v>48452</v>
      </c>
      <c r="O2258">
        <v>51564</v>
      </c>
      <c r="P2258">
        <v>159143</v>
      </c>
      <c r="Q2258">
        <v>0</v>
      </c>
      <c r="R2258">
        <v>1</v>
      </c>
      <c r="S2258">
        <v>0</v>
      </c>
      <c r="T2258">
        <v>65</v>
      </c>
      <c r="U2258">
        <v>79</v>
      </c>
    </row>
    <row r="2259" spans="1:21" x14ac:dyDescent="0.35">
      <c r="A2259" t="s">
        <v>21</v>
      </c>
      <c r="B2259" s="1">
        <v>44536</v>
      </c>
      <c r="C2259" t="s">
        <v>31</v>
      </c>
      <c r="D2259">
        <v>13.3</v>
      </c>
      <c r="E2259">
        <v>0</v>
      </c>
      <c r="F2259">
        <v>0</v>
      </c>
      <c r="G2259">
        <v>0</v>
      </c>
      <c r="H2259">
        <v>0</v>
      </c>
      <c r="I2259">
        <v>0</v>
      </c>
      <c r="J2259">
        <v>0</v>
      </c>
      <c r="K2259">
        <v>0</v>
      </c>
      <c r="L2259">
        <v>0</v>
      </c>
      <c r="M2259">
        <v>0</v>
      </c>
      <c r="N2259">
        <v>75414</v>
      </c>
      <c r="O2259">
        <v>181840</v>
      </c>
      <c r="P2259">
        <v>0</v>
      </c>
      <c r="Q2259">
        <v>10</v>
      </c>
      <c r="R2259">
        <v>0</v>
      </c>
      <c r="S2259">
        <v>0</v>
      </c>
      <c r="T2259">
        <v>65</v>
      </c>
      <c r="U2259">
        <v>79</v>
      </c>
    </row>
    <row r="2260" spans="1:21" x14ac:dyDescent="0.35">
      <c r="A2260" t="s">
        <v>21</v>
      </c>
      <c r="B2260" s="1">
        <v>44657</v>
      </c>
      <c r="C2260" t="s">
        <v>30</v>
      </c>
      <c r="D2260">
        <v>7.5</v>
      </c>
      <c r="E2260">
        <v>7.9</v>
      </c>
      <c r="F2260">
        <v>4.4000000000000004</v>
      </c>
      <c r="G2260">
        <v>0.9</v>
      </c>
      <c r="H2260">
        <v>1.7</v>
      </c>
      <c r="I2260">
        <v>0</v>
      </c>
      <c r="J2260">
        <v>0</v>
      </c>
      <c r="K2260">
        <v>0</v>
      </c>
      <c r="L2260">
        <v>0</v>
      </c>
      <c r="M2260">
        <v>0</v>
      </c>
      <c r="N2260">
        <v>26586</v>
      </c>
      <c r="O2260">
        <v>12627</v>
      </c>
      <c r="P2260">
        <v>45272</v>
      </c>
      <c r="Q2260">
        <v>2</v>
      </c>
      <c r="R2260">
        <v>1</v>
      </c>
      <c r="S2260">
        <v>2</v>
      </c>
      <c r="T2260">
        <v>80</v>
      </c>
      <c r="U2260">
        <v>200</v>
      </c>
    </row>
    <row r="2261" spans="1:21" x14ac:dyDescent="0.35">
      <c r="A2261" t="s">
        <v>28</v>
      </c>
      <c r="B2261" s="1">
        <v>44476</v>
      </c>
      <c r="C2261" t="s">
        <v>27</v>
      </c>
      <c r="D2261">
        <v>26.6</v>
      </c>
      <c r="E2261">
        <v>1.9</v>
      </c>
      <c r="F2261">
        <v>0</v>
      </c>
      <c r="G2261">
        <v>14</v>
      </c>
      <c r="H2261">
        <v>0</v>
      </c>
      <c r="I2261">
        <v>0</v>
      </c>
      <c r="J2261">
        <v>0</v>
      </c>
      <c r="K2261">
        <v>0</v>
      </c>
      <c r="L2261">
        <v>0</v>
      </c>
      <c r="M2261">
        <v>0</v>
      </c>
      <c r="N2261">
        <v>105323</v>
      </c>
      <c r="O2261">
        <v>53689</v>
      </c>
      <c r="P2261">
        <v>0</v>
      </c>
      <c r="Q2261">
        <v>28</v>
      </c>
      <c r="R2261">
        <v>1</v>
      </c>
      <c r="S2261">
        <v>0</v>
      </c>
      <c r="T2261">
        <v>12</v>
      </c>
      <c r="U2261">
        <v>17</v>
      </c>
    </row>
    <row r="2262" spans="1:21" x14ac:dyDescent="0.35">
      <c r="A2262" t="s">
        <v>21</v>
      </c>
      <c r="B2262" s="1">
        <v>44646</v>
      </c>
      <c r="C2262" t="s">
        <v>30</v>
      </c>
      <c r="D2262">
        <v>0</v>
      </c>
      <c r="E2262">
        <v>14.2</v>
      </c>
      <c r="F2262">
        <v>0</v>
      </c>
      <c r="G2262">
        <v>0</v>
      </c>
      <c r="H2262">
        <v>0</v>
      </c>
      <c r="I2262">
        <v>0</v>
      </c>
      <c r="J2262">
        <v>0</v>
      </c>
      <c r="K2262">
        <v>0</v>
      </c>
      <c r="L2262">
        <v>0</v>
      </c>
      <c r="M2262">
        <v>0</v>
      </c>
      <c r="N2262">
        <v>27071</v>
      </c>
      <c r="O2262">
        <v>14053</v>
      </c>
      <c r="P2262">
        <v>43109</v>
      </c>
      <c r="Q2262">
        <v>0</v>
      </c>
      <c r="R2262">
        <v>2</v>
      </c>
      <c r="S2262">
        <v>0</v>
      </c>
      <c r="T2262">
        <v>80</v>
      </c>
      <c r="U2262">
        <v>200</v>
      </c>
    </row>
    <row r="2263" spans="1:21" x14ac:dyDescent="0.35">
      <c r="A2263" t="s">
        <v>26</v>
      </c>
      <c r="B2263" s="1">
        <v>44702</v>
      </c>
      <c r="C2263" t="s">
        <v>24</v>
      </c>
      <c r="D2263">
        <v>0</v>
      </c>
      <c r="E2263">
        <v>2.1</v>
      </c>
      <c r="F2263">
        <v>0</v>
      </c>
      <c r="G2263">
        <v>0</v>
      </c>
      <c r="H2263">
        <v>0</v>
      </c>
      <c r="I2263">
        <v>0</v>
      </c>
      <c r="J2263">
        <v>0</v>
      </c>
      <c r="K2263">
        <v>0</v>
      </c>
      <c r="L2263">
        <v>0</v>
      </c>
      <c r="M2263">
        <v>0</v>
      </c>
      <c r="N2263">
        <v>101061</v>
      </c>
      <c r="O2263">
        <v>94369</v>
      </c>
      <c r="P2263">
        <v>411</v>
      </c>
      <c r="Q2263">
        <v>0</v>
      </c>
      <c r="R2263">
        <v>2</v>
      </c>
      <c r="S2263">
        <v>0</v>
      </c>
      <c r="T2263">
        <v>5</v>
      </c>
      <c r="U2263">
        <v>11</v>
      </c>
    </row>
    <row r="2264" spans="1:21" x14ac:dyDescent="0.35">
      <c r="A2264" t="s">
        <v>21</v>
      </c>
      <c r="B2264" s="1">
        <v>44366</v>
      </c>
      <c r="C2264" t="s">
        <v>23</v>
      </c>
      <c r="D2264">
        <v>7</v>
      </c>
      <c r="E2264">
        <v>0</v>
      </c>
      <c r="F2264">
        <v>0</v>
      </c>
      <c r="G2264">
        <v>0</v>
      </c>
      <c r="H2264">
        <v>0</v>
      </c>
      <c r="I2264">
        <v>0</v>
      </c>
      <c r="J2264">
        <v>0</v>
      </c>
      <c r="K2264">
        <v>0</v>
      </c>
      <c r="L2264">
        <v>0</v>
      </c>
      <c r="M2264">
        <v>0</v>
      </c>
      <c r="N2264">
        <v>114456</v>
      </c>
      <c r="O2264">
        <v>287354</v>
      </c>
      <c r="P2264">
        <v>0</v>
      </c>
      <c r="Q2264">
        <v>8</v>
      </c>
      <c r="R2264">
        <v>0</v>
      </c>
      <c r="S2264">
        <v>0</v>
      </c>
      <c r="T2264">
        <v>50</v>
      </c>
      <c r="U2264">
        <v>64</v>
      </c>
    </row>
    <row r="2265" spans="1:21" x14ac:dyDescent="0.35">
      <c r="A2265" t="s">
        <v>28</v>
      </c>
      <c r="B2265" s="1">
        <v>44737</v>
      </c>
      <c r="C2265" t="s">
        <v>31</v>
      </c>
      <c r="D2265">
        <v>223.3</v>
      </c>
      <c r="E2265">
        <v>157.1</v>
      </c>
      <c r="F2265">
        <v>177.8</v>
      </c>
      <c r="G2265">
        <v>1.4</v>
      </c>
      <c r="H2265">
        <v>1.3</v>
      </c>
      <c r="I2265">
        <v>0</v>
      </c>
      <c r="J2265">
        <v>0</v>
      </c>
      <c r="K2265">
        <v>0</v>
      </c>
      <c r="L2265">
        <v>0</v>
      </c>
      <c r="M2265">
        <v>0</v>
      </c>
      <c r="N2265">
        <v>46578</v>
      </c>
      <c r="O2265">
        <v>46462</v>
      </c>
      <c r="P2265">
        <v>167052</v>
      </c>
      <c r="Q2265">
        <v>104</v>
      </c>
      <c r="R2265">
        <v>73</v>
      </c>
      <c r="S2265">
        <v>297</v>
      </c>
      <c r="T2265">
        <v>65</v>
      </c>
      <c r="U2265">
        <v>79</v>
      </c>
    </row>
    <row r="2266" spans="1:21" x14ac:dyDescent="0.35">
      <c r="A2266" t="s">
        <v>26</v>
      </c>
      <c r="B2266" s="1">
        <v>44562</v>
      </c>
      <c r="C2266" t="s">
        <v>29</v>
      </c>
      <c r="D2266">
        <v>102.1</v>
      </c>
      <c r="E2266">
        <v>27.4</v>
      </c>
      <c r="F2266">
        <v>8.4</v>
      </c>
      <c r="G2266">
        <v>3.7</v>
      </c>
      <c r="H2266">
        <v>12.2</v>
      </c>
      <c r="I2266">
        <v>0</v>
      </c>
      <c r="J2266">
        <v>0</v>
      </c>
      <c r="K2266">
        <v>0</v>
      </c>
      <c r="L2266">
        <v>0</v>
      </c>
      <c r="M2266">
        <v>0</v>
      </c>
      <c r="N2266">
        <v>168393</v>
      </c>
      <c r="O2266">
        <v>380138</v>
      </c>
      <c r="P2266">
        <v>202387</v>
      </c>
      <c r="Q2266">
        <v>172</v>
      </c>
      <c r="R2266">
        <v>104</v>
      </c>
      <c r="S2266">
        <v>17</v>
      </c>
      <c r="T2266">
        <v>30</v>
      </c>
      <c r="U2266">
        <v>49</v>
      </c>
    </row>
    <row r="2267" spans="1:21" x14ac:dyDescent="0.35">
      <c r="A2267" t="s">
        <v>21</v>
      </c>
      <c r="B2267" s="1">
        <v>45199</v>
      </c>
      <c r="C2267" t="s">
        <v>25</v>
      </c>
      <c r="D2267">
        <v>0</v>
      </c>
      <c r="E2267">
        <v>0</v>
      </c>
      <c r="F2267">
        <v>0</v>
      </c>
      <c r="G2267">
        <v>0</v>
      </c>
      <c r="H2267">
        <v>0</v>
      </c>
      <c r="I2267">
        <v>0</v>
      </c>
      <c r="J2267">
        <v>0</v>
      </c>
      <c r="K2267">
        <v>0</v>
      </c>
      <c r="L2267">
        <v>0</v>
      </c>
      <c r="M2267">
        <v>0</v>
      </c>
      <c r="N2267">
        <v>72503</v>
      </c>
      <c r="O2267">
        <v>214130</v>
      </c>
      <c r="P2267">
        <v>161728</v>
      </c>
      <c r="Q2267">
        <v>0</v>
      </c>
      <c r="R2267">
        <v>0</v>
      </c>
      <c r="S2267">
        <v>0</v>
      </c>
      <c r="T2267">
        <v>18</v>
      </c>
      <c r="U2267">
        <v>29</v>
      </c>
    </row>
    <row r="2268" spans="1:21" x14ac:dyDescent="0.35">
      <c r="A2268" t="s">
        <v>21</v>
      </c>
      <c r="B2268" s="1">
        <v>45129</v>
      </c>
      <c r="C2268" t="s">
        <v>25</v>
      </c>
      <c r="D2268">
        <v>0</v>
      </c>
      <c r="E2268">
        <v>0</v>
      </c>
      <c r="F2268">
        <v>0</v>
      </c>
      <c r="G2268">
        <v>0</v>
      </c>
      <c r="H2268">
        <v>0</v>
      </c>
      <c r="I2268">
        <v>0</v>
      </c>
      <c r="J2268">
        <v>0</v>
      </c>
      <c r="K2268">
        <v>0</v>
      </c>
      <c r="L2268">
        <v>0</v>
      </c>
      <c r="M2268">
        <v>0</v>
      </c>
      <c r="N2268">
        <v>73902</v>
      </c>
      <c r="O2268">
        <v>214135</v>
      </c>
      <c r="P2268">
        <v>161709</v>
      </c>
      <c r="Q2268">
        <v>0</v>
      </c>
      <c r="R2268">
        <v>0</v>
      </c>
      <c r="S2268">
        <v>0</v>
      </c>
      <c r="T2268">
        <v>18</v>
      </c>
      <c r="U2268">
        <v>29</v>
      </c>
    </row>
    <row r="2269" spans="1:21" x14ac:dyDescent="0.35">
      <c r="A2269" t="s">
        <v>26</v>
      </c>
      <c r="B2269" s="1">
        <v>44657</v>
      </c>
      <c r="C2269" t="s">
        <v>25</v>
      </c>
      <c r="D2269">
        <v>11.6</v>
      </c>
      <c r="E2269">
        <v>3.7</v>
      </c>
      <c r="F2269">
        <v>2</v>
      </c>
      <c r="G2269">
        <v>3.1</v>
      </c>
      <c r="H2269">
        <v>5.8</v>
      </c>
      <c r="I2269">
        <v>0</v>
      </c>
      <c r="J2269">
        <v>0</v>
      </c>
      <c r="K2269">
        <v>0</v>
      </c>
      <c r="L2269">
        <v>0</v>
      </c>
      <c r="M2269">
        <v>0</v>
      </c>
      <c r="N2269">
        <v>94995</v>
      </c>
      <c r="O2269">
        <v>215928</v>
      </c>
      <c r="P2269">
        <v>153584</v>
      </c>
      <c r="Q2269">
        <v>11</v>
      </c>
      <c r="R2269">
        <v>8</v>
      </c>
      <c r="S2269">
        <v>3</v>
      </c>
      <c r="T2269">
        <v>18</v>
      </c>
      <c r="U2269">
        <v>29</v>
      </c>
    </row>
    <row r="2270" spans="1:21" x14ac:dyDescent="0.35">
      <c r="A2270" t="s">
        <v>28</v>
      </c>
      <c r="B2270" s="1">
        <v>44674</v>
      </c>
      <c r="C2270" t="s">
        <v>29</v>
      </c>
      <c r="D2270">
        <v>162.19999999999999</v>
      </c>
      <c r="E2270">
        <v>104.2</v>
      </c>
      <c r="F2270">
        <v>301.10000000000002</v>
      </c>
      <c r="G2270">
        <v>1.6</v>
      </c>
      <c r="H2270">
        <v>0.5</v>
      </c>
      <c r="I2270">
        <v>0</v>
      </c>
      <c r="J2270">
        <v>0</v>
      </c>
      <c r="K2270">
        <v>0</v>
      </c>
      <c r="L2270">
        <v>0</v>
      </c>
      <c r="M2270">
        <v>0</v>
      </c>
      <c r="N2270">
        <v>131359</v>
      </c>
      <c r="O2270">
        <v>287869</v>
      </c>
      <c r="P2270">
        <v>329404</v>
      </c>
      <c r="Q2270">
        <v>213</v>
      </c>
      <c r="R2270">
        <v>300</v>
      </c>
      <c r="S2270">
        <v>992</v>
      </c>
      <c r="T2270">
        <v>30</v>
      </c>
      <c r="U2270">
        <v>49</v>
      </c>
    </row>
    <row r="2271" spans="1:21" x14ac:dyDescent="0.35">
      <c r="A2271" t="s">
        <v>26</v>
      </c>
      <c r="B2271" s="1">
        <v>44513</v>
      </c>
      <c r="C2271" t="s">
        <v>23</v>
      </c>
      <c r="D2271">
        <v>44.7</v>
      </c>
      <c r="E2271">
        <v>4.2</v>
      </c>
      <c r="F2271">
        <v>0</v>
      </c>
      <c r="G2271">
        <v>10.6</v>
      </c>
      <c r="H2271">
        <v>0</v>
      </c>
      <c r="I2271">
        <v>0</v>
      </c>
      <c r="J2271">
        <v>0</v>
      </c>
      <c r="K2271">
        <v>0</v>
      </c>
      <c r="L2271">
        <v>0</v>
      </c>
      <c r="M2271">
        <v>0</v>
      </c>
      <c r="N2271">
        <v>69301</v>
      </c>
      <c r="O2271">
        <v>308448</v>
      </c>
      <c r="P2271">
        <v>36865</v>
      </c>
      <c r="Q2271">
        <v>31</v>
      </c>
      <c r="R2271">
        <v>13</v>
      </c>
      <c r="S2271">
        <v>0</v>
      </c>
      <c r="T2271">
        <v>50</v>
      </c>
      <c r="U2271">
        <v>64</v>
      </c>
    </row>
    <row r="2272" spans="1:21" x14ac:dyDescent="0.35">
      <c r="A2272" t="s">
        <v>26</v>
      </c>
      <c r="B2272" s="1">
        <v>44457</v>
      </c>
      <c r="C2272" t="s">
        <v>22</v>
      </c>
      <c r="D2272">
        <v>15.8</v>
      </c>
      <c r="E2272">
        <v>3.2</v>
      </c>
      <c r="F2272">
        <v>0</v>
      </c>
      <c r="G2272">
        <v>4.9000000000000004</v>
      </c>
      <c r="H2272">
        <v>0</v>
      </c>
      <c r="I2272">
        <v>23.7</v>
      </c>
      <c r="J2272">
        <v>2.4</v>
      </c>
      <c r="K2272">
        <v>0</v>
      </c>
      <c r="L2272">
        <v>9.8000000000000007</v>
      </c>
      <c r="M2272">
        <v>0</v>
      </c>
      <c r="N2272">
        <v>1033219</v>
      </c>
      <c r="O2272">
        <v>1487228</v>
      </c>
      <c r="P2272">
        <v>0</v>
      </c>
      <c r="Q2272">
        <v>163</v>
      </c>
      <c r="R2272">
        <v>47</v>
      </c>
      <c r="S2272">
        <v>0</v>
      </c>
      <c r="T2272">
        <v>999</v>
      </c>
      <c r="U2272">
        <v>999</v>
      </c>
    </row>
    <row r="2273" spans="1:21" x14ac:dyDescent="0.35">
      <c r="A2273" t="s">
        <v>26</v>
      </c>
      <c r="B2273" s="1">
        <v>44891</v>
      </c>
      <c r="C2273" t="s">
        <v>24</v>
      </c>
      <c r="D2273">
        <v>0</v>
      </c>
      <c r="E2273">
        <v>0</v>
      </c>
      <c r="F2273">
        <v>0</v>
      </c>
      <c r="G2273">
        <v>0</v>
      </c>
      <c r="H2273">
        <v>0</v>
      </c>
      <c r="I2273">
        <v>0</v>
      </c>
      <c r="J2273">
        <v>0</v>
      </c>
      <c r="K2273">
        <v>0</v>
      </c>
      <c r="L2273">
        <v>0</v>
      </c>
      <c r="M2273">
        <v>0</v>
      </c>
      <c r="N2273">
        <v>93076</v>
      </c>
      <c r="O2273">
        <v>81025</v>
      </c>
      <c r="P2273">
        <v>21098</v>
      </c>
      <c r="Q2273">
        <v>0</v>
      </c>
      <c r="R2273">
        <v>0</v>
      </c>
      <c r="S2273">
        <v>0</v>
      </c>
      <c r="T2273">
        <v>5</v>
      </c>
      <c r="U2273">
        <v>11</v>
      </c>
    </row>
    <row r="2274" spans="1:21" x14ac:dyDescent="0.35">
      <c r="A2274" t="s">
        <v>21</v>
      </c>
      <c r="B2274" s="1">
        <v>44512</v>
      </c>
      <c r="C2274" t="s">
        <v>25</v>
      </c>
      <c r="D2274">
        <v>0.7</v>
      </c>
      <c r="E2274">
        <v>0</v>
      </c>
      <c r="F2274">
        <v>0</v>
      </c>
      <c r="G2274">
        <v>0</v>
      </c>
      <c r="H2274">
        <v>0</v>
      </c>
      <c r="I2274">
        <v>0</v>
      </c>
      <c r="J2274">
        <v>0</v>
      </c>
      <c r="K2274">
        <v>0</v>
      </c>
      <c r="L2274">
        <v>0</v>
      </c>
      <c r="M2274">
        <v>0</v>
      </c>
      <c r="N2274">
        <v>147702</v>
      </c>
      <c r="O2274">
        <v>295416</v>
      </c>
      <c r="P2274">
        <v>37772</v>
      </c>
      <c r="Q2274">
        <v>1</v>
      </c>
      <c r="R2274">
        <v>0</v>
      </c>
      <c r="S2274">
        <v>0</v>
      </c>
      <c r="T2274">
        <v>18</v>
      </c>
      <c r="U2274">
        <v>29</v>
      </c>
    </row>
    <row r="2275" spans="1:21" x14ac:dyDescent="0.35">
      <c r="A2275" t="s">
        <v>28</v>
      </c>
      <c r="B2275" s="1">
        <v>44331</v>
      </c>
      <c r="C2275" t="s">
        <v>27</v>
      </c>
      <c r="D2275">
        <v>120.5</v>
      </c>
      <c r="E2275">
        <v>0</v>
      </c>
      <c r="F2275">
        <v>0</v>
      </c>
      <c r="G2275">
        <v>0</v>
      </c>
      <c r="H2275">
        <v>0</v>
      </c>
      <c r="I2275">
        <v>0</v>
      </c>
      <c r="J2275">
        <v>0</v>
      </c>
      <c r="K2275">
        <v>0</v>
      </c>
      <c r="L2275">
        <v>0</v>
      </c>
      <c r="M2275">
        <v>0</v>
      </c>
      <c r="N2275">
        <v>152721</v>
      </c>
      <c r="O2275">
        <v>0</v>
      </c>
      <c r="P2275">
        <v>0</v>
      </c>
      <c r="Q2275">
        <v>184</v>
      </c>
      <c r="R2275">
        <v>0</v>
      </c>
      <c r="S2275">
        <v>0</v>
      </c>
      <c r="T2275">
        <v>12</v>
      </c>
      <c r="U2275">
        <v>17</v>
      </c>
    </row>
    <row r="2276" spans="1:21" x14ac:dyDescent="0.35">
      <c r="A2276" t="s">
        <v>21</v>
      </c>
      <c r="B2276" s="1">
        <v>45220</v>
      </c>
      <c r="C2276" t="s">
        <v>23</v>
      </c>
      <c r="D2276">
        <v>0</v>
      </c>
      <c r="E2276">
        <v>0</v>
      </c>
      <c r="F2276">
        <v>0</v>
      </c>
      <c r="G2276">
        <v>0</v>
      </c>
      <c r="H2276">
        <v>0</v>
      </c>
      <c r="I2276">
        <v>0</v>
      </c>
      <c r="J2276">
        <v>0</v>
      </c>
      <c r="K2276">
        <v>0</v>
      </c>
      <c r="L2276">
        <v>0</v>
      </c>
      <c r="M2276">
        <v>0</v>
      </c>
      <c r="N2276">
        <v>31095</v>
      </c>
      <c r="O2276">
        <v>125782</v>
      </c>
      <c r="P2276">
        <v>247254</v>
      </c>
      <c r="Q2276">
        <v>0</v>
      </c>
      <c r="R2276">
        <v>0</v>
      </c>
      <c r="S2276">
        <v>0</v>
      </c>
      <c r="T2276">
        <v>50</v>
      </c>
      <c r="U2276">
        <v>64</v>
      </c>
    </row>
    <row r="2277" spans="1:21" x14ac:dyDescent="0.35">
      <c r="A2277" t="s">
        <v>28</v>
      </c>
      <c r="B2277" s="1">
        <v>44629</v>
      </c>
      <c r="C2277" t="s">
        <v>30</v>
      </c>
      <c r="D2277">
        <v>148.80000000000001</v>
      </c>
      <c r="E2277">
        <v>209.3</v>
      </c>
      <c r="F2277">
        <v>230.2</v>
      </c>
      <c r="G2277">
        <v>0.7</v>
      </c>
      <c r="H2277">
        <v>0.6</v>
      </c>
      <c r="I2277">
        <v>0</v>
      </c>
      <c r="J2277">
        <v>0</v>
      </c>
      <c r="K2277">
        <v>0</v>
      </c>
      <c r="L2277">
        <v>0</v>
      </c>
      <c r="M2277">
        <v>0</v>
      </c>
      <c r="N2277">
        <v>26205</v>
      </c>
      <c r="O2277">
        <v>11466</v>
      </c>
      <c r="P2277">
        <v>46907</v>
      </c>
      <c r="Q2277">
        <v>39</v>
      </c>
      <c r="R2277">
        <v>24</v>
      </c>
      <c r="S2277">
        <v>108</v>
      </c>
      <c r="T2277">
        <v>80</v>
      </c>
      <c r="U2277">
        <v>200</v>
      </c>
    </row>
    <row r="2278" spans="1:21" x14ac:dyDescent="0.35">
      <c r="A2278" t="s">
        <v>21</v>
      </c>
      <c r="B2278" s="1">
        <v>44476</v>
      </c>
      <c r="C2278" t="s">
        <v>22</v>
      </c>
      <c r="D2278">
        <v>0.7</v>
      </c>
      <c r="E2278">
        <v>0</v>
      </c>
      <c r="F2278">
        <v>0</v>
      </c>
      <c r="G2278">
        <v>0</v>
      </c>
      <c r="H2278">
        <v>0</v>
      </c>
      <c r="I2278">
        <v>1</v>
      </c>
      <c r="J2278">
        <v>0</v>
      </c>
      <c r="K2278">
        <v>0</v>
      </c>
      <c r="L2278">
        <v>0</v>
      </c>
      <c r="M2278">
        <v>0</v>
      </c>
      <c r="N2278">
        <v>1194853</v>
      </c>
      <c r="O2278">
        <v>1348222</v>
      </c>
      <c r="P2278">
        <v>0</v>
      </c>
      <c r="Q2278">
        <v>8</v>
      </c>
      <c r="R2278">
        <v>0</v>
      </c>
      <c r="S2278">
        <v>0</v>
      </c>
      <c r="T2278">
        <v>999</v>
      </c>
      <c r="U2278">
        <v>999</v>
      </c>
    </row>
    <row r="2279" spans="1:21" x14ac:dyDescent="0.35">
      <c r="A2279" t="s">
        <v>26</v>
      </c>
      <c r="B2279" s="1">
        <v>44401</v>
      </c>
      <c r="C2279" t="s">
        <v>23</v>
      </c>
      <c r="D2279">
        <v>17.600000000000001</v>
      </c>
      <c r="E2279">
        <v>1</v>
      </c>
      <c r="F2279">
        <v>0</v>
      </c>
      <c r="G2279">
        <v>17.600000000000001</v>
      </c>
      <c r="H2279">
        <v>0</v>
      </c>
      <c r="I2279">
        <v>0</v>
      </c>
      <c r="J2279">
        <v>0</v>
      </c>
      <c r="K2279">
        <v>0</v>
      </c>
      <c r="L2279">
        <v>0</v>
      </c>
      <c r="M2279">
        <v>0</v>
      </c>
      <c r="N2279">
        <v>102426</v>
      </c>
      <c r="O2279">
        <v>311064</v>
      </c>
      <c r="P2279">
        <v>0</v>
      </c>
      <c r="Q2279">
        <v>18</v>
      </c>
      <c r="R2279">
        <v>3</v>
      </c>
      <c r="S2279">
        <v>0</v>
      </c>
      <c r="T2279">
        <v>50</v>
      </c>
      <c r="U2279">
        <v>64</v>
      </c>
    </row>
    <row r="2280" spans="1:21" x14ac:dyDescent="0.35">
      <c r="A2280" t="s">
        <v>26</v>
      </c>
      <c r="B2280" s="1">
        <v>45178</v>
      </c>
      <c r="C2280" t="s">
        <v>31</v>
      </c>
      <c r="D2280">
        <v>28.1</v>
      </c>
      <c r="E2280">
        <v>13.8</v>
      </c>
      <c r="F2280">
        <v>18.600000000000001</v>
      </c>
      <c r="G2280">
        <v>2</v>
      </c>
      <c r="H2280">
        <v>1.5</v>
      </c>
      <c r="I2280">
        <v>0</v>
      </c>
      <c r="J2280">
        <v>0</v>
      </c>
      <c r="K2280">
        <v>0</v>
      </c>
      <c r="L2280">
        <v>0</v>
      </c>
      <c r="M2280">
        <v>0</v>
      </c>
      <c r="N2280">
        <v>39140</v>
      </c>
      <c r="O2280">
        <v>43415</v>
      </c>
      <c r="P2280">
        <v>171755</v>
      </c>
      <c r="Q2280">
        <v>11</v>
      </c>
      <c r="R2280">
        <v>6</v>
      </c>
      <c r="S2280">
        <v>32</v>
      </c>
      <c r="T2280">
        <v>65</v>
      </c>
      <c r="U2280">
        <v>79</v>
      </c>
    </row>
    <row r="2281" spans="1:21" x14ac:dyDescent="0.35">
      <c r="A2281" t="s">
        <v>21</v>
      </c>
      <c r="B2281" s="1">
        <v>45205</v>
      </c>
      <c r="C2281" t="s">
        <v>31</v>
      </c>
      <c r="D2281">
        <v>0</v>
      </c>
      <c r="E2281">
        <v>0</v>
      </c>
      <c r="F2281">
        <v>1.2</v>
      </c>
      <c r="G2281">
        <v>0</v>
      </c>
      <c r="H2281">
        <v>0</v>
      </c>
      <c r="I2281">
        <v>0</v>
      </c>
      <c r="J2281">
        <v>0</v>
      </c>
      <c r="K2281">
        <v>0</v>
      </c>
      <c r="L2281">
        <v>0</v>
      </c>
      <c r="M2281">
        <v>0</v>
      </c>
      <c r="N2281">
        <v>39441</v>
      </c>
      <c r="O2281">
        <v>43434</v>
      </c>
      <c r="P2281">
        <v>171732</v>
      </c>
      <c r="Q2281">
        <v>0</v>
      </c>
      <c r="R2281">
        <v>0</v>
      </c>
      <c r="S2281">
        <v>2</v>
      </c>
      <c r="T2281">
        <v>65</v>
      </c>
      <c r="U2281">
        <v>79</v>
      </c>
    </row>
    <row r="2282" spans="1:21" x14ac:dyDescent="0.35">
      <c r="A2282" t="s">
        <v>28</v>
      </c>
      <c r="B2282" s="1">
        <v>44513</v>
      </c>
      <c r="C2282" t="s">
        <v>25</v>
      </c>
      <c r="D2282">
        <v>246</v>
      </c>
      <c r="E2282">
        <v>102.9</v>
      </c>
      <c r="F2282">
        <v>27.9</v>
      </c>
      <c r="G2282">
        <v>2.4</v>
      </c>
      <c r="H2282">
        <v>8.8000000000000007</v>
      </c>
      <c r="I2282">
        <v>0</v>
      </c>
      <c r="J2282">
        <v>0</v>
      </c>
      <c r="K2282">
        <v>0</v>
      </c>
      <c r="L2282">
        <v>0</v>
      </c>
      <c r="M2282">
        <v>0</v>
      </c>
      <c r="N2282">
        <v>160183</v>
      </c>
      <c r="O2282">
        <v>311808</v>
      </c>
      <c r="P2282">
        <v>14313</v>
      </c>
      <c r="Q2282">
        <v>394</v>
      </c>
      <c r="R2282">
        <v>321</v>
      </c>
      <c r="S2282">
        <v>4</v>
      </c>
      <c r="T2282">
        <v>18</v>
      </c>
      <c r="U2282">
        <v>29</v>
      </c>
    </row>
    <row r="2283" spans="1:21" x14ac:dyDescent="0.35">
      <c r="A2283" t="s">
        <v>26</v>
      </c>
      <c r="B2283" s="1">
        <v>44683</v>
      </c>
      <c r="C2283" t="s">
        <v>23</v>
      </c>
      <c r="D2283">
        <v>36.9</v>
      </c>
      <c r="E2283">
        <v>7.6</v>
      </c>
      <c r="F2283">
        <v>9.4</v>
      </c>
      <c r="G2283">
        <v>4.9000000000000004</v>
      </c>
      <c r="H2283">
        <v>3.9</v>
      </c>
      <c r="I2283">
        <v>0</v>
      </c>
      <c r="J2283">
        <v>0</v>
      </c>
      <c r="K2283">
        <v>0</v>
      </c>
      <c r="L2283">
        <v>0</v>
      </c>
      <c r="M2283">
        <v>0</v>
      </c>
      <c r="N2283">
        <v>48776</v>
      </c>
      <c r="O2283">
        <v>157818</v>
      </c>
      <c r="P2283">
        <v>201587</v>
      </c>
      <c r="Q2283">
        <v>18</v>
      </c>
      <c r="R2283">
        <v>12</v>
      </c>
      <c r="S2283">
        <v>19</v>
      </c>
      <c r="T2283">
        <v>50</v>
      </c>
      <c r="U2283">
        <v>64</v>
      </c>
    </row>
    <row r="2284" spans="1:21" x14ac:dyDescent="0.35">
      <c r="A2284" t="s">
        <v>26</v>
      </c>
      <c r="B2284" s="1">
        <v>45003</v>
      </c>
      <c r="C2284" t="s">
        <v>24</v>
      </c>
      <c r="D2284">
        <v>0</v>
      </c>
      <c r="E2284">
        <v>0</v>
      </c>
      <c r="F2284">
        <v>0</v>
      </c>
      <c r="G2284">
        <v>0</v>
      </c>
      <c r="H2284">
        <v>0</v>
      </c>
      <c r="I2284">
        <v>0</v>
      </c>
      <c r="J2284">
        <v>0</v>
      </c>
      <c r="K2284">
        <v>0</v>
      </c>
      <c r="L2284">
        <v>0</v>
      </c>
      <c r="M2284">
        <v>0</v>
      </c>
      <c r="N2284">
        <v>91300</v>
      </c>
      <c r="O2284">
        <v>82368</v>
      </c>
      <c r="P2284">
        <v>21212</v>
      </c>
      <c r="Q2284">
        <v>0</v>
      </c>
      <c r="R2284">
        <v>0</v>
      </c>
      <c r="S2284">
        <v>0</v>
      </c>
      <c r="T2284">
        <v>5</v>
      </c>
      <c r="U2284">
        <v>11</v>
      </c>
    </row>
    <row r="2285" spans="1:21" x14ac:dyDescent="0.35">
      <c r="A2285" t="s">
        <v>21</v>
      </c>
      <c r="B2285" s="1">
        <v>44884</v>
      </c>
      <c r="C2285" t="s">
        <v>25</v>
      </c>
      <c r="D2285">
        <v>0</v>
      </c>
      <c r="E2285">
        <v>0</v>
      </c>
      <c r="F2285">
        <v>0</v>
      </c>
      <c r="G2285">
        <v>0</v>
      </c>
      <c r="H2285">
        <v>0</v>
      </c>
      <c r="I2285">
        <v>0</v>
      </c>
      <c r="J2285">
        <v>0</v>
      </c>
      <c r="K2285">
        <v>0</v>
      </c>
      <c r="L2285">
        <v>0</v>
      </c>
      <c r="M2285">
        <v>0</v>
      </c>
      <c r="N2285">
        <v>82036</v>
      </c>
      <c r="O2285">
        <v>212422</v>
      </c>
      <c r="P2285">
        <v>161555</v>
      </c>
      <c r="Q2285">
        <v>0</v>
      </c>
      <c r="R2285">
        <v>0</v>
      </c>
      <c r="S2285">
        <v>0</v>
      </c>
      <c r="T2285">
        <v>18</v>
      </c>
      <c r="U2285">
        <v>29</v>
      </c>
    </row>
    <row r="2286" spans="1:21" x14ac:dyDescent="0.35">
      <c r="A2286" t="s">
        <v>26</v>
      </c>
      <c r="B2286" s="1">
        <v>44509</v>
      </c>
      <c r="C2286" t="s">
        <v>22</v>
      </c>
      <c r="D2286">
        <v>16.3</v>
      </c>
      <c r="E2286">
        <v>3.8</v>
      </c>
      <c r="F2286">
        <v>0</v>
      </c>
      <c r="G2286">
        <v>4.3</v>
      </c>
      <c r="H2286">
        <v>0</v>
      </c>
      <c r="I2286">
        <v>23</v>
      </c>
      <c r="J2286">
        <v>3</v>
      </c>
      <c r="K2286">
        <v>0</v>
      </c>
      <c r="L2286">
        <v>7.8</v>
      </c>
      <c r="M2286">
        <v>0</v>
      </c>
      <c r="N2286">
        <v>1046939</v>
      </c>
      <c r="O2286">
        <v>1475716</v>
      </c>
      <c r="P2286">
        <v>0</v>
      </c>
      <c r="Q2286">
        <v>171</v>
      </c>
      <c r="R2286">
        <v>56</v>
      </c>
      <c r="S2286">
        <v>0</v>
      </c>
      <c r="T2286">
        <v>999</v>
      </c>
      <c r="U2286">
        <v>999</v>
      </c>
    </row>
    <row r="2287" spans="1:21" x14ac:dyDescent="0.35">
      <c r="A2287" t="s">
        <v>28</v>
      </c>
      <c r="B2287" s="1">
        <v>44933</v>
      </c>
      <c r="C2287" t="s">
        <v>27</v>
      </c>
      <c r="D2287">
        <v>6.2</v>
      </c>
      <c r="E2287">
        <v>1.2</v>
      </c>
      <c r="F2287">
        <v>2.2000000000000002</v>
      </c>
      <c r="G2287">
        <v>5.2</v>
      </c>
      <c r="H2287">
        <v>2.8</v>
      </c>
      <c r="I2287">
        <v>0</v>
      </c>
      <c r="J2287">
        <v>0</v>
      </c>
      <c r="K2287">
        <v>0</v>
      </c>
      <c r="L2287">
        <v>0</v>
      </c>
      <c r="M2287">
        <v>0</v>
      </c>
      <c r="N2287">
        <v>32274</v>
      </c>
      <c r="O2287">
        <v>86578</v>
      </c>
      <c r="P2287">
        <v>44588</v>
      </c>
      <c r="Q2287">
        <v>2</v>
      </c>
      <c r="R2287">
        <v>1</v>
      </c>
      <c r="S2287">
        <v>1</v>
      </c>
      <c r="T2287">
        <v>12</v>
      </c>
      <c r="U2287">
        <v>17</v>
      </c>
    </row>
    <row r="2288" spans="1:21" x14ac:dyDescent="0.35">
      <c r="A2288" t="s">
        <v>26</v>
      </c>
      <c r="B2288" s="1">
        <v>44548</v>
      </c>
      <c r="C2288" t="s">
        <v>29</v>
      </c>
      <c r="D2288">
        <v>53.8</v>
      </c>
      <c r="E2288">
        <v>8.4</v>
      </c>
      <c r="F2288">
        <v>3.4</v>
      </c>
      <c r="G2288">
        <v>6.4</v>
      </c>
      <c r="H2288">
        <v>15.8</v>
      </c>
      <c r="I2288">
        <v>0</v>
      </c>
      <c r="J2288">
        <v>0</v>
      </c>
      <c r="K2288">
        <v>0</v>
      </c>
      <c r="L2288">
        <v>0</v>
      </c>
      <c r="M2288">
        <v>0</v>
      </c>
      <c r="N2288">
        <v>176574</v>
      </c>
      <c r="O2288">
        <v>429933</v>
      </c>
      <c r="P2288">
        <v>147317</v>
      </c>
      <c r="Q2288">
        <v>95</v>
      </c>
      <c r="R2288">
        <v>36</v>
      </c>
      <c r="S2288">
        <v>5</v>
      </c>
      <c r="T2288">
        <v>30</v>
      </c>
      <c r="U2288">
        <v>49</v>
      </c>
    </row>
    <row r="2289" spans="1:21" x14ac:dyDescent="0.35">
      <c r="A2289" t="s">
        <v>26</v>
      </c>
      <c r="B2289" s="1">
        <v>44331</v>
      </c>
      <c r="C2289" t="s">
        <v>23</v>
      </c>
      <c r="D2289">
        <v>44.6</v>
      </c>
      <c r="E2289">
        <v>2.7</v>
      </c>
      <c r="F2289">
        <v>0</v>
      </c>
      <c r="G2289">
        <v>16.5</v>
      </c>
      <c r="H2289">
        <v>0</v>
      </c>
      <c r="I2289">
        <v>0</v>
      </c>
      <c r="J2289">
        <v>0</v>
      </c>
      <c r="K2289">
        <v>0</v>
      </c>
      <c r="L2289">
        <v>0</v>
      </c>
      <c r="M2289">
        <v>0</v>
      </c>
      <c r="N2289">
        <v>139168</v>
      </c>
      <c r="O2289">
        <v>218624</v>
      </c>
      <c r="P2289">
        <v>0</v>
      </c>
      <c r="Q2289">
        <v>62</v>
      </c>
      <c r="R2289">
        <v>6</v>
      </c>
      <c r="S2289">
        <v>0</v>
      </c>
      <c r="T2289">
        <v>50</v>
      </c>
      <c r="U2289">
        <v>64</v>
      </c>
    </row>
    <row r="2290" spans="1:21" x14ac:dyDescent="0.35">
      <c r="A2290" t="s">
        <v>26</v>
      </c>
      <c r="B2290" s="1">
        <v>44856</v>
      </c>
      <c r="C2290" t="s">
        <v>24</v>
      </c>
      <c r="D2290">
        <v>2.1</v>
      </c>
      <c r="E2290">
        <v>0</v>
      </c>
      <c r="F2290">
        <v>0</v>
      </c>
      <c r="G2290">
        <v>0</v>
      </c>
      <c r="H2290">
        <v>0</v>
      </c>
      <c r="I2290">
        <v>0</v>
      </c>
      <c r="J2290">
        <v>0</v>
      </c>
      <c r="K2290">
        <v>0</v>
      </c>
      <c r="L2290">
        <v>0</v>
      </c>
      <c r="M2290">
        <v>0</v>
      </c>
      <c r="N2290">
        <v>94103</v>
      </c>
      <c r="O2290">
        <v>80652</v>
      </c>
      <c r="P2290">
        <v>20656</v>
      </c>
      <c r="Q2290">
        <v>2</v>
      </c>
      <c r="R2290">
        <v>0</v>
      </c>
      <c r="S2290">
        <v>0</v>
      </c>
      <c r="T2290">
        <v>5</v>
      </c>
      <c r="U2290">
        <v>11</v>
      </c>
    </row>
    <row r="2291" spans="1:21" x14ac:dyDescent="0.35">
      <c r="A2291" t="s">
        <v>21</v>
      </c>
      <c r="B2291" s="1">
        <v>44366</v>
      </c>
      <c r="C2291" t="s">
        <v>31</v>
      </c>
      <c r="D2291">
        <v>2.7</v>
      </c>
      <c r="E2291">
        <v>1.1000000000000001</v>
      </c>
      <c r="F2291">
        <v>0</v>
      </c>
      <c r="G2291">
        <v>2.5</v>
      </c>
      <c r="H2291">
        <v>0</v>
      </c>
      <c r="I2291">
        <v>0</v>
      </c>
      <c r="J2291">
        <v>0</v>
      </c>
      <c r="K2291">
        <v>0</v>
      </c>
      <c r="L2291">
        <v>0</v>
      </c>
      <c r="M2291">
        <v>0</v>
      </c>
      <c r="N2291">
        <v>74281</v>
      </c>
      <c r="O2291">
        <v>183897</v>
      </c>
      <c r="P2291">
        <v>0</v>
      </c>
      <c r="Q2291">
        <v>2</v>
      </c>
      <c r="R2291">
        <v>2</v>
      </c>
      <c r="S2291">
        <v>0</v>
      </c>
      <c r="T2291">
        <v>65</v>
      </c>
      <c r="U2291">
        <v>79</v>
      </c>
    </row>
    <row r="2292" spans="1:21" x14ac:dyDescent="0.35">
      <c r="A2292" t="s">
        <v>28</v>
      </c>
      <c r="B2292" s="1">
        <v>44683</v>
      </c>
      <c r="C2292" t="s">
        <v>24</v>
      </c>
      <c r="D2292">
        <v>189.6</v>
      </c>
      <c r="E2292">
        <v>327.9</v>
      </c>
      <c r="F2292">
        <v>0</v>
      </c>
      <c r="G2292">
        <v>0.6</v>
      </c>
      <c r="H2292">
        <v>0</v>
      </c>
      <c r="I2292">
        <v>0</v>
      </c>
      <c r="J2292">
        <v>0</v>
      </c>
      <c r="K2292">
        <v>0</v>
      </c>
      <c r="L2292">
        <v>0</v>
      </c>
      <c r="M2292">
        <v>0</v>
      </c>
      <c r="N2292">
        <v>112371</v>
      </c>
      <c r="O2292">
        <v>63443</v>
      </c>
      <c r="P2292">
        <v>0</v>
      </c>
      <c r="Q2292">
        <v>213</v>
      </c>
      <c r="R2292">
        <v>208</v>
      </c>
      <c r="S2292">
        <v>0</v>
      </c>
      <c r="T2292">
        <v>5</v>
      </c>
      <c r="U2292">
        <v>11</v>
      </c>
    </row>
    <row r="2293" spans="1:21" x14ac:dyDescent="0.35">
      <c r="A2293" t="s">
        <v>28</v>
      </c>
      <c r="B2293" s="1">
        <v>45268</v>
      </c>
      <c r="C2293" t="s">
        <v>22</v>
      </c>
      <c r="D2293">
        <v>39.5</v>
      </c>
      <c r="E2293">
        <v>16.7</v>
      </c>
      <c r="F2293">
        <v>32.1</v>
      </c>
      <c r="G2293">
        <v>2.4</v>
      </c>
      <c r="H2293">
        <v>1.2</v>
      </c>
      <c r="I2293">
        <v>44.9</v>
      </c>
      <c r="J2293">
        <v>17.600000000000001</v>
      </c>
      <c r="K2293">
        <v>27.4</v>
      </c>
      <c r="L2293">
        <v>2.5</v>
      </c>
      <c r="M2293">
        <v>1.6</v>
      </c>
      <c r="N2293">
        <v>528906</v>
      </c>
      <c r="O2293">
        <v>860313</v>
      </c>
      <c r="P2293">
        <v>1040782</v>
      </c>
      <c r="Q2293">
        <v>209</v>
      </c>
      <c r="R2293">
        <v>144</v>
      </c>
      <c r="S2293">
        <v>334</v>
      </c>
      <c r="T2293">
        <v>999</v>
      </c>
      <c r="U2293">
        <v>999</v>
      </c>
    </row>
    <row r="2294" spans="1:21" x14ac:dyDescent="0.35">
      <c r="A2294" t="s">
        <v>21</v>
      </c>
      <c r="B2294" s="1">
        <v>44629</v>
      </c>
      <c r="C2294" t="s">
        <v>31</v>
      </c>
      <c r="D2294">
        <v>4.4000000000000004</v>
      </c>
      <c r="E2294">
        <v>0</v>
      </c>
      <c r="F2294">
        <v>0</v>
      </c>
      <c r="G2294">
        <v>0</v>
      </c>
      <c r="H2294">
        <v>0</v>
      </c>
      <c r="I2294">
        <v>0</v>
      </c>
      <c r="J2294">
        <v>0</v>
      </c>
      <c r="K2294">
        <v>0</v>
      </c>
      <c r="L2294">
        <v>0</v>
      </c>
      <c r="M2294">
        <v>0</v>
      </c>
      <c r="N2294">
        <v>45582</v>
      </c>
      <c r="O2294">
        <v>43748</v>
      </c>
      <c r="P2294">
        <v>170866</v>
      </c>
      <c r="Q2294">
        <v>2</v>
      </c>
      <c r="R2294">
        <v>0</v>
      </c>
      <c r="S2294">
        <v>0</v>
      </c>
      <c r="T2294">
        <v>65</v>
      </c>
      <c r="U2294">
        <v>79</v>
      </c>
    </row>
    <row r="2295" spans="1:21" x14ac:dyDescent="0.35">
      <c r="A2295" t="s">
        <v>21</v>
      </c>
      <c r="B2295" s="1">
        <v>44783</v>
      </c>
      <c r="C2295" t="s">
        <v>29</v>
      </c>
      <c r="D2295">
        <v>0</v>
      </c>
      <c r="E2295">
        <v>0.4</v>
      </c>
      <c r="F2295">
        <v>0.3</v>
      </c>
      <c r="G2295">
        <v>0</v>
      </c>
      <c r="H2295">
        <v>0</v>
      </c>
      <c r="I2295">
        <v>0</v>
      </c>
      <c r="J2295">
        <v>0</v>
      </c>
      <c r="K2295">
        <v>0</v>
      </c>
      <c r="L2295">
        <v>0</v>
      </c>
      <c r="M2295">
        <v>0</v>
      </c>
      <c r="N2295">
        <v>121106</v>
      </c>
      <c r="O2295">
        <v>276136</v>
      </c>
      <c r="P2295">
        <v>346953</v>
      </c>
      <c r="Q2295">
        <v>0</v>
      </c>
      <c r="R2295">
        <v>1</v>
      </c>
      <c r="S2295">
        <v>1</v>
      </c>
      <c r="T2295">
        <v>30</v>
      </c>
      <c r="U2295">
        <v>49</v>
      </c>
    </row>
    <row r="2296" spans="1:21" x14ac:dyDescent="0.35">
      <c r="A2296" t="s">
        <v>21</v>
      </c>
      <c r="B2296" s="1">
        <v>44536</v>
      </c>
      <c r="C2296" t="s">
        <v>22</v>
      </c>
      <c r="D2296">
        <v>2.1</v>
      </c>
      <c r="E2296">
        <v>0.2</v>
      </c>
      <c r="F2296">
        <v>0</v>
      </c>
      <c r="G2296">
        <v>10.5</v>
      </c>
      <c r="H2296">
        <v>0</v>
      </c>
      <c r="I2296">
        <v>3.3</v>
      </c>
      <c r="J2296">
        <v>0.1</v>
      </c>
      <c r="K2296">
        <v>0</v>
      </c>
      <c r="L2296">
        <v>24.5</v>
      </c>
      <c r="M2296">
        <v>0</v>
      </c>
      <c r="N2296">
        <v>1257017</v>
      </c>
      <c r="O2296">
        <v>1201445</v>
      </c>
      <c r="P2296">
        <v>0</v>
      </c>
      <c r="Q2296">
        <v>27</v>
      </c>
      <c r="R2296">
        <v>2</v>
      </c>
      <c r="S2296">
        <v>0</v>
      </c>
      <c r="T2296">
        <v>999</v>
      </c>
      <c r="U2296">
        <v>999</v>
      </c>
    </row>
    <row r="2297" spans="1:21" x14ac:dyDescent="0.35">
      <c r="A2297" t="s">
        <v>28</v>
      </c>
      <c r="B2297" s="1">
        <v>45054</v>
      </c>
      <c r="C2297" t="s">
        <v>22</v>
      </c>
      <c r="D2297">
        <v>28.9</v>
      </c>
      <c r="E2297">
        <v>13.1</v>
      </c>
      <c r="F2297">
        <v>25.2</v>
      </c>
      <c r="G2297">
        <v>2.2000000000000002</v>
      </c>
      <c r="H2297">
        <v>1.1000000000000001</v>
      </c>
      <c r="I2297">
        <v>33.299999999999997</v>
      </c>
      <c r="J2297">
        <v>14.7</v>
      </c>
      <c r="K2297">
        <v>20.100000000000001</v>
      </c>
      <c r="L2297">
        <v>2.2999999999999998</v>
      </c>
      <c r="M2297">
        <v>1.7</v>
      </c>
      <c r="N2297">
        <v>529533</v>
      </c>
      <c r="O2297">
        <v>860315</v>
      </c>
      <c r="P2297">
        <v>1040778</v>
      </c>
      <c r="Q2297">
        <v>153</v>
      </c>
      <c r="R2297">
        <v>113</v>
      </c>
      <c r="S2297">
        <v>262</v>
      </c>
      <c r="T2297">
        <v>999</v>
      </c>
      <c r="U2297">
        <v>999</v>
      </c>
    </row>
    <row r="2298" spans="1:21" x14ac:dyDescent="0.35">
      <c r="A2298" t="s">
        <v>26</v>
      </c>
      <c r="B2298" s="1">
        <v>44611</v>
      </c>
      <c r="C2298" t="s">
        <v>27</v>
      </c>
      <c r="D2298">
        <v>0</v>
      </c>
      <c r="E2298">
        <v>0</v>
      </c>
      <c r="F2298">
        <v>0</v>
      </c>
      <c r="G2298">
        <v>0</v>
      </c>
      <c r="H2298">
        <v>0</v>
      </c>
      <c r="I2298">
        <v>0</v>
      </c>
      <c r="J2298">
        <v>0</v>
      </c>
      <c r="K2298">
        <v>0</v>
      </c>
      <c r="L2298">
        <v>0</v>
      </c>
      <c r="M2298">
        <v>0</v>
      </c>
      <c r="N2298">
        <v>40355</v>
      </c>
      <c r="O2298">
        <v>95758</v>
      </c>
      <c r="P2298">
        <v>23968</v>
      </c>
      <c r="Q2298">
        <v>0</v>
      </c>
      <c r="R2298">
        <v>0</v>
      </c>
      <c r="S2298">
        <v>0</v>
      </c>
      <c r="T2298">
        <v>12</v>
      </c>
      <c r="U2298">
        <v>17</v>
      </c>
    </row>
    <row r="2299" spans="1:21" x14ac:dyDescent="0.35">
      <c r="A2299" t="s">
        <v>28</v>
      </c>
      <c r="B2299" s="1">
        <v>44772</v>
      </c>
      <c r="C2299" t="s">
        <v>30</v>
      </c>
      <c r="D2299">
        <v>152</v>
      </c>
      <c r="E2299">
        <v>219.2</v>
      </c>
      <c r="F2299">
        <v>252.3</v>
      </c>
      <c r="G2299">
        <v>0.7</v>
      </c>
      <c r="H2299">
        <v>0.6</v>
      </c>
      <c r="I2299">
        <v>0</v>
      </c>
      <c r="J2299">
        <v>0</v>
      </c>
      <c r="K2299">
        <v>0</v>
      </c>
      <c r="L2299">
        <v>0</v>
      </c>
      <c r="M2299">
        <v>0</v>
      </c>
      <c r="N2299">
        <v>26322</v>
      </c>
      <c r="O2299">
        <v>11862</v>
      </c>
      <c r="P2299">
        <v>46378</v>
      </c>
      <c r="Q2299">
        <v>40</v>
      </c>
      <c r="R2299">
        <v>26</v>
      </c>
      <c r="S2299">
        <v>117</v>
      </c>
      <c r="T2299">
        <v>80</v>
      </c>
      <c r="U2299">
        <v>200</v>
      </c>
    </row>
    <row r="2300" spans="1:21" x14ac:dyDescent="0.35">
      <c r="A2300" t="s">
        <v>28</v>
      </c>
      <c r="B2300" s="1">
        <v>45241</v>
      </c>
      <c r="C2300" t="s">
        <v>31</v>
      </c>
      <c r="D2300">
        <v>77.099999999999994</v>
      </c>
      <c r="E2300">
        <v>58.9</v>
      </c>
      <c r="F2300">
        <v>67.3</v>
      </c>
      <c r="G2300">
        <v>1.3</v>
      </c>
      <c r="H2300">
        <v>1.1000000000000001</v>
      </c>
      <c r="I2300">
        <v>0</v>
      </c>
      <c r="J2300">
        <v>0</v>
      </c>
      <c r="K2300">
        <v>0</v>
      </c>
      <c r="L2300">
        <v>0</v>
      </c>
      <c r="M2300">
        <v>0</v>
      </c>
      <c r="N2300">
        <v>37622</v>
      </c>
      <c r="O2300">
        <v>44141</v>
      </c>
      <c r="P2300">
        <v>172402</v>
      </c>
      <c r="Q2300">
        <v>29</v>
      </c>
      <c r="R2300">
        <v>26</v>
      </c>
      <c r="S2300">
        <v>116</v>
      </c>
      <c r="T2300">
        <v>65</v>
      </c>
      <c r="U2300">
        <v>79</v>
      </c>
    </row>
    <row r="2301" spans="1:21" x14ac:dyDescent="0.35">
      <c r="A2301" t="s">
        <v>28</v>
      </c>
      <c r="B2301" s="1">
        <v>45233</v>
      </c>
      <c r="C2301" t="s">
        <v>31</v>
      </c>
      <c r="D2301">
        <v>97.5</v>
      </c>
      <c r="E2301">
        <v>94.4</v>
      </c>
      <c r="F2301">
        <v>95.5</v>
      </c>
      <c r="G2301">
        <v>1</v>
      </c>
      <c r="H2301">
        <v>1</v>
      </c>
      <c r="I2301">
        <v>0</v>
      </c>
      <c r="J2301">
        <v>0</v>
      </c>
      <c r="K2301">
        <v>0</v>
      </c>
      <c r="L2301">
        <v>0</v>
      </c>
      <c r="M2301">
        <v>0</v>
      </c>
      <c r="N2301">
        <v>40003</v>
      </c>
      <c r="O2301">
        <v>43418</v>
      </c>
      <c r="P2301">
        <v>171704</v>
      </c>
      <c r="Q2301">
        <v>39</v>
      </c>
      <c r="R2301">
        <v>41</v>
      </c>
      <c r="S2301">
        <v>164</v>
      </c>
      <c r="T2301">
        <v>65</v>
      </c>
      <c r="U2301">
        <v>79</v>
      </c>
    </row>
    <row r="2302" spans="1:21" x14ac:dyDescent="0.35">
      <c r="A2302" t="s">
        <v>26</v>
      </c>
      <c r="B2302" s="1">
        <v>45241</v>
      </c>
      <c r="C2302" t="s">
        <v>24</v>
      </c>
      <c r="D2302">
        <v>2.2999999999999998</v>
      </c>
      <c r="E2302">
        <v>1.2</v>
      </c>
      <c r="F2302">
        <v>0</v>
      </c>
      <c r="G2302">
        <v>1.9</v>
      </c>
      <c r="H2302">
        <v>0</v>
      </c>
      <c r="I2302">
        <v>0</v>
      </c>
      <c r="J2302">
        <v>0</v>
      </c>
      <c r="K2302">
        <v>0</v>
      </c>
      <c r="L2302">
        <v>0</v>
      </c>
      <c r="M2302">
        <v>0</v>
      </c>
      <c r="N2302">
        <v>88571</v>
      </c>
      <c r="O2302">
        <v>82151</v>
      </c>
      <c r="P2302">
        <v>21989</v>
      </c>
      <c r="Q2302">
        <v>2</v>
      </c>
      <c r="R2302">
        <v>1</v>
      </c>
      <c r="S2302">
        <v>0</v>
      </c>
      <c r="T2302">
        <v>5</v>
      </c>
      <c r="U2302">
        <v>11</v>
      </c>
    </row>
    <row r="2303" spans="1:21" x14ac:dyDescent="0.35">
      <c r="A2303" t="s">
        <v>26</v>
      </c>
      <c r="B2303" s="1">
        <v>45019</v>
      </c>
      <c r="C2303" t="s">
        <v>24</v>
      </c>
      <c r="D2303">
        <v>0</v>
      </c>
      <c r="E2303">
        <v>0</v>
      </c>
      <c r="F2303">
        <v>0</v>
      </c>
      <c r="G2303">
        <v>0</v>
      </c>
      <c r="H2303">
        <v>0</v>
      </c>
      <c r="I2303">
        <v>0</v>
      </c>
      <c r="J2303">
        <v>0</v>
      </c>
      <c r="K2303">
        <v>0</v>
      </c>
      <c r="L2303">
        <v>0</v>
      </c>
      <c r="M2303">
        <v>0</v>
      </c>
      <c r="N2303">
        <v>91467</v>
      </c>
      <c r="O2303">
        <v>82250</v>
      </c>
      <c r="P2303">
        <v>21203</v>
      </c>
      <c r="Q2303">
        <v>0</v>
      </c>
      <c r="R2303">
        <v>0</v>
      </c>
      <c r="S2303">
        <v>0</v>
      </c>
      <c r="T2303">
        <v>5</v>
      </c>
      <c r="U2303">
        <v>11</v>
      </c>
    </row>
    <row r="2304" spans="1:21" x14ac:dyDescent="0.35">
      <c r="A2304" t="s">
        <v>28</v>
      </c>
      <c r="B2304" s="1">
        <v>45027</v>
      </c>
      <c r="C2304" t="s">
        <v>29</v>
      </c>
      <c r="D2304">
        <v>58</v>
      </c>
      <c r="E2304">
        <v>21.5</v>
      </c>
      <c r="F2304">
        <v>21.8</v>
      </c>
      <c r="G2304">
        <v>2.7</v>
      </c>
      <c r="H2304">
        <v>2.7</v>
      </c>
      <c r="I2304">
        <v>0</v>
      </c>
      <c r="J2304">
        <v>0</v>
      </c>
      <c r="K2304">
        <v>0</v>
      </c>
      <c r="L2304">
        <v>0</v>
      </c>
      <c r="M2304">
        <v>0</v>
      </c>
      <c r="N2304">
        <v>101766</v>
      </c>
      <c r="O2304">
        <v>279203</v>
      </c>
      <c r="P2304">
        <v>348427</v>
      </c>
      <c r="Q2304">
        <v>59</v>
      </c>
      <c r="R2304">
        <v>60</v>
      </c>
      <c r="S2304">
        <v>76</v>
      </c>
      <c r="T2304">
        <v>30</v>
      </c>
      <c r="U2304">
        <v>49</v>
      </c>
    </row>
    <row r="2305" spans="1:21" x14ac:dyDescent="0.35">
      <c r="A2305" t="s">
        <v>21</v>
      </c>
      <c r="B2305" s="1">
        <v>45019</v>
      </c>
      <c r="C2305" t="s">
        <v>31</v>
      </c>
      <c r="D2305">
        <v>0</v>
      </c>
      <c r="E2305">
        <v>0</v>
      </c>
      <c r="F2305">
        <v>2.9</v>
      </c>
      <c r="G2305">
        <v>0</v>
      </c>
      <c r="H2305">
        <v>0</v>
      </c>
      <c r="I2305">
        <v>0</v>
      </c>
      <c r="J2305">
        <v>0</v>
      </c>
      <c r="K2305">
        <v>0</v>
      </c>
      <c r="L2305">
        <v>0</v>
      </c>
      <c r="M2305">
        <v>0</v>
      </c>
      <c r="N2305">
        <v>40040</v>
      </c>
      <c r="O2305">
        <v>43409</v>
      </c>
      <c r="P2305">
        <v>171702</v>
      </c>
      <c r="Q2305">
        <v>0</v>
      </c>
      <c r="R2305">
        <v>0</v>
      </c>
      <c r="S2305">
        <v>5</v>
      </c>
      <c r="T2305">
        <v>65</v>
      </c>
      <c r="U2305">
        <v>79</v>
      </c>
    </row>
    <row r="2306" spans="1:21" x14ac:dyDescent="0.35">
      <c r="A2306" t="s">
        <v>28</v>
      </c>
      <c r="B2306" s="1">
        <v>44906</v>
      </c>
      <c r="C2306" t="s">
        <v>27</v>
      </c>
      <c r="D2306">
        <v>160.6</v>
      </c>
      <c r="E2306">
        <v>67.400000000000006</v>
      </c>
      <c r="F2306">
        <v>80.900000000000006</v>
      </c>
      <c r="G2306">
        <v>2.4</v>
      </c>
      <c r="H2306">
        <v>2</v>
      </c>
      <c r="I2306">
        <v>0</v>
      </c>
      <c r="J2306">
        <v>0</v>
      </c>
      <c r="K2306">
        <v>0</v>
      </c>
      <c r="L2306">
        <v>0</v>
      </c>
      <c r="M2306">
        <v>0</v>
      </c>
      <c r="N2306">
        <v>34246</v>
      </c>
      <c r="O2306">
        <v>86007</v>
      </c>
      <c r="P2306">
        <v>44506</v>
      </c>
      <c r="Q2306">
        <v>55</v>
      </c>
      <c r="R2306">
        <v>58</v>
      </c>
      <c r="S2306">
        <v>36</v>
      </c>
      <c r="T2306">
        <v>12</v>
      </c>
      <c r="U2306">
        <v>17</v>
      </c>
    </row>
    <row r="2307" spans="1:21" x14ac:dyDescent="0.35">
      <c r="A2307" t="s">
        <v>26</v>
      </c>
      <c r="B2307" s="1">
        <v>44709</v>
      </c>
      <c r="C2307" t="s">
        <v>30</v>
      </c>
      <c r="D2307">
        <v>48.8</v>
      </c>
      <c r="E2307">
        <v>70.5</v>
      </c>
      <c r="F2307">
        <v>44.4</v>
      </c>
      <c r="G2307">
        <v>0.7</v>
      </c>
      <c r="H2307">
        <v>1.1000000000000001</v>
      </c>
      <c r="I2307">
        <v>0</v>
      </c>
      <c r="J2307">
        <v>0</v>
      </c>
      <c r="K2307">
        <v>0</v>
      </c>
      <c r="L2307">
        <v>0</v>
      </c>
      <c r="M2307">
        <v>0</v>
      </c>
      <c r="N2307">
        <v>26624</v>
      </c>
      <c r="O2307">
        <v>12774</v>
      </c>
      <c r="P2307">
        <v>45035</v>
      </c>
      <c r="Q2307">
        <v>13</v>
      </c>
      <c r="R2307">
        <v>9</v>
      </c>
      <c r="S2307">
        <v>20</v>
      </c>
      <c r="T2307">
        <v>80</v>
      </c>
      <c r="U2307">
        <v>200</v>
      </c>
    </row>
    <row r="2308" spans="1:21" x14ac:dyDescent="0.35">
      <c r="A2308" t="s">
        <v>26</v>
      </c>
      <c r="B2308" s="1">
        <v>45255</v>
      </c>
      <c r="C2308" t="s">
        <v>27</v>
      </c>
      <c r="D2308">
        <v>0</v>
      </c>
      <c r="E2308">
        <v>1.2</v>
      </c>
      <c r="F2308">
        <v>0</v>
      </c>
      <c r="G2308">
        <v>0</v>
      </c>
      <c r="H2308">
        <v>0</v>
      </c>
      <c r="I2308">
        <v>0</v>
      </c>
      <c r="J2308">
        <v>0</v>
      </c>
      <c r="K2308">
        <v>0</v>
      </c>
      <c r="L2308">
        <v>0</v>
      </c>
      <c r="M2308">
        <v>0</v>
      </c>
      <c r="N2308">
        <v>31452</v>
      </c>
      <c r="O2308">
        <v>86469</v>
      </c>
      <c r="P2308">
        <v>44749</v>
      </c>
      <c r="Q2308">
        <v>0</v>
      </c>
      <c r="R2308">
        <v>1</v>
      </c>
      <c r="S2308">
        <v>0</v>
      </c>
      <c r="T2308">
        <v>12</v>
      </c>
      <c r="U2308">
        <v>17</v>
      </c>
    </row>
    <row r="2309" spans="1:21" x14ac:dyDescent="0.35">
      <c r="A2309" t="s">
        <v>28</v>
      </c>
      <c r="B2309" s="1">
        <v>44513</v>
      </c>
      <c r="C2309" t="s">
        <v>23</v>
      </c>
      <c r="D2309">
        <v>274.2</v>
      </c>
      <c r="E2309">
        <v>87.9</v>
      </c>
      <c r="F2309">
        <v>24.4</v>
      </c>
      <c r="G2309">
        <v>3.1</v>
      </c>
      <c r="H2309">
        <v>11.2</v>
      </c>
      <c r="I2309">
        <v>0</v>
      </c>
      <c r="J2309">
        <v>0</v>
      </c>
      <c r="K2309">
        <v>0</v>
      </c>
      <c r="L2309">
        <v>0</v>
      </c>
      <c r="M2309">
        <v>0</v>
      </c>
      <c r="N2309">
        <v>69301</v>
      </c>
      <c r="O2309">
        <v>308448</v>
      </c>
      <c r="P2309">
        <v>36865</v>
      </c>
      <c r="Q2309">
        <v>190</v>
      </c>
      <c r="R2309">
        <v>271</v>
      </c>
      <c r="S2309">
        <v>9</v>
      </c>
      <c r="T2309">
        <v>50</v>
      </c>
      <c r="U2309">
        <v>64</v>
      </c>
    </row>
    <row r="2310" spans="1:21" x14ac:dyDescent="0.35">
      <c r="A2310" t="s">
        <v>28</v>
      </c>
      <c r="B2310" s="1">
        <v>44828</v>
      </c>
      <c r="C2310" t="s">
        <v>31</v>
      </c>
      <c r="D2310">
        <v>127.3</v>
      </c>
      <c r="E2310">
        <v>82.9</v>
      </c>
      <c r="F2310">
        <v>103.9</v>
      </c>
      <c r="G2310">
        <v>1.5</v>
      </c>
      <c r="H2310">
        <v>1.2</v>
      </c>
      <c r="I2310">
        <v>0</v>
      </c>
      <c r="J2310">
        <v>0</v>
      </c>
      <c r="K2310">
        <v>0</v>
      </c>
      <c r="L2310">
        <v>0</v>
      </c>
      <c r="M2310">
        <v>0</v>
      </c>
      <c r="N2310">
        <v>44762</v>
      </c>
      <c r="O2310">
        <v>43407</v>
      </c>
      <c r="P2310">
        <v>171353</v>
      </c>
      <c r="Q2310">
        <v>57</v>
      </c>
      <c r="R2310">
        <v>36</v>
      </c>
      <c r="S2310">
        <v>178</v>
      </c>
      <c r="T2310">
        <v>65</v>
      </c>
      <c r="U2310">
        <v>79</v>
      </c>
    </row>
    <row r="2311" spans="1:21" x14ac:dyDescent="0.35">
      <c r="A2311" t="s">
        <v>26</v>
      </c>
      <c r="B2311" s="1">
        <v>45268</v>
      </c>
      <c r="C2311" t="s">
        <v>25</v>
      </c>
      <c r="D2311">
        <v>1.4</v>
      </c>
      <c r="E2311">
        <v>0.9</v>
      </c>
      <c r="F2311">
        <v>1.2</v>
      </c>
      <c r="G2311">
        <v>1.6</v>
      </c>
      <c r="H2311">
        <v>1.2</v>
      </c>
      <c r="I2311">
        <v>0</v>
      </c>
      <c r="J2311">
        <v>0</v>
      </c>
      <c r="K2311">
        <v>0</v>
      </c>
      <c r="L2311">
        <v>0</v>
      </c>
      <c r="M2311">
        <v>0</v>
      </c>
      <c r="N2311">
        <v>73575</v>
      </c>
      <c r="O2311">
        <v>214133</v>
      </c>
      <c r="P2311">
        <v>161715</v>
      </c>
      <c r="Q2311">
        <v>1</v>
      </c>
      <c r="R2311">
        <v>2</v>
      </c>
      <c r="S2311">
        <v>2</v>
      </c>
      <c r="T2311">
        <v>18</v>
      </c>
      <c r="U2311">
        <v>29</v>
      </c>
    </row>
    <row r="2312" spans="1:21" x14ac:dyDescent="0.35">
      <c r="A2312" t="s">
        <v>26</v>
      </c>
      <c r="B2312" s="1">
        <v>45019</v>
      </c>
      <c r="C2312" t="s">
        <v>31</v>
      </c>
      <c r="D2312">
        <v>32.5</v>
      </c>
      <c r="E2312">
        <v>32.299999999999997</v>
      </c>
      <c r="F2312">
        <v>11.1</v>
      </c>
      <c r="G2312">
        <v>1</v>
      </c>
      <c r="H2312">
        <v>2.9</v>
      </c>
      <c r="I2312">
        <v>0</v>
      </c>
      <c r="J2312">
        <v>0</v>
      </c>
      <c r="K2312">
        <v>0</v>
      </c>
      <c r="L2312">
        <v>0</v>
      </c>
      <c r="M2312">
        <v>0</v>
      </c>
      <c r="N2312">
        <v>40040</v>
      </c>
      <c r="O2312">
        <v>43409</v>
      </c>
      <c r="P2312">
        <v>171702</v>
      </c>
      <c r="Q2312">
        <v>13</v>
      </c>
      <c r="R2312">
        <v>14</v>
      </c>
      <c r="S2312">
        <v>19</v>
      </c>
      <c r="T2312">
        <v>65</v>
      </c>
      <c r="U2312">
        <v>79</v>
      </c>
    </row>
    <row r="2313" spans="1:21" x14ac:dyDescent="0.35">
      <c r="A2313" t="s">
        <v>21</v>
      </c>
      <c r="B2313" s="1">
        <v>44720</v>
      </c>
      <c r="C2313" t="s">
        <v>29</v>
      </c>
      <c r="D2313">
        <v>0</v>
      </c>
      <c r="E2313">
        <v>0</v>
      </c>
      <c r="F2313">
        <v>0</v>
      </c>
      <c r="G2313">
        <v>0</v>
      </c>
      <c r="H2313">
        <v>0</v>
      </c>
      <c r="I2313">
        <v>0</v>
      </c>
      <c r="J2313">
        <v>0</v>
      </c>
      <c r="K2313">
        <v>0</v>
      </c>
      <c r="L2313">
        <v>0</v>
      </c>
      <c r="M2313">
        <v>0</v>
      </c>
      <c r="N2313">
        <v>126294</v>
      </c>
      <c r="O2313">
        <v>278159</v>
      </c>
      <c r="P2313">
        <v>343405</v>
      </c>
      <c r="Q2313">
        <v>0</v>
      </c>
      <c r="R2313">
        <v>0</v>
      </c>
      <c r="S2313">
        <v>0</v>
      </c>
      <c r="T2313">
        <v>30</v>
      </c>
      <c r="U2313">
        <v>49</v>
      </c>
    </row>
    <row r="2314" spans="1:21" x14ac:dyDescent="0.35">
      <c r="A2314" t="s">
        <v>21</v>
      </c>
      <c r="B2314" s="1">
        <v>44583</v>
      </c>
      <c r="C2314" t="s">
        <v>31</v>
      </c>
      <c r="D2314">
        <v>65.400000000000006</v>
      </c>
      <c r="E2314">
        <v>28.8</v>
      </c>
      <c r="F2314">
        <v>2.1</v>
      </c>
      <c r="G2314">
        <v>2.2999999999999998</v>
      </c>
      <c r="H2314">
        <v>31.1</v>
      </c>
      <c r="I2314">
        <v>0</v>
      </c>
      <c r="J2314">
        <v>0</v>
      </c>
      <c r="K2314">
        <v>0</v>
      </c>
      <c r="L2314">
        <v>0</v>
      </c>
      <c r="M2314">
        <v>0</v>
      </c>
      <c r="N2314">
        <v>50480</v>
      </c>
      <c r="O2314">
        <v>66009</v>
      </c>
      <c r="P2314">
        <v>141953</v>
      </c>
      <c r="Q2314">
        <v>33</v>
      </c>
      <c r="R2314">
        <v>19</v>
      </c>
      <c r="S2314">
        <v>3</v>
      </c>
      <c r="T2314">
        <v>65</v>
      </c>
      <c r="U2314">
        <v>79</v>
      </c>
    </row>
    <row r="2315" spans="1:21" x14ac:dyDescent="0.35">
      <c r="A2315" t="s">
        <v>21</v>
      </c>
      <c r="B2315" s="1">
        <v>44828</v>
      </c>
      <c r="C2315" t="s">
        <v>30</v>
      </c>
      <c r="D2315">
        <v>3.8</v>
      </c>
      <c r="E2315">
        <v>17.600000000000001</v>
      </c>
      <c r="F2315">
        <v>6.4</v>
      </c>
      <c r="G2315">
        <v>0.2</v>
      </c>
      <c r="H2315">
        <v>0.6</v>
      </c>
      <c r="I2315">
        <v>0</v>
      </c>
      <c r="J2315">
        <v>0</v>
      </c>
      <c r="K2315">
        <v>0</v>
      </c>
      <c r="L2315">
        <v>0</v>
      </c>
      <c r="M2315">
        <v>0</v>
      </c>
      <c r="N2315">
        <v>25995</v>
      </c>
      <c r="O2315">
        <v>11376</v>
      </c>
      <c r="P2315">
        <v>47037</v>
      </c>
      <c r="Q2315">
        <v>1</v>
      </c>
      <c r="R2315">
        <v>2</v>
      </c>
      <c r="S2315">
        <v>3</v>
      </c>
      <c r="T2315">
        <v>80</v>
      </c>
      <c r="U2315">
        <v>200</v>
      </c>
    </row>
    <row r="2316" spans="1:21" x14ac:dyDescent="0.35">
      <c r="A2316" t="s">
        <v>26</v>
      </c>
      <c r="B2316" s="1">
        <v>44373</v>
      </c>
      <c r="C2316" t="s">
        <v>22</v>
      </c>
      <c r="D2316">
        <v>2.6</v>
      </c>
      <c r="E2316">
        <v>0.5</v>
      </c>
      <c r="F2316">
        <v>0</v>
      </c>
      <c r="G2316">
        <v>5.2</v>
      </c>
      <c r="H2316">
        <v>0</v>
      </c>
      <c r="I2316">
        <v>3.3</v>
      </c>
      <c r="J2316">
        <v>0.4</v>
      </c>
      <c r="K2316">
        <v>0</v>
      </c>
      <c r="L2316">
        <v>8.8000000000000007</v>
      </c>
      <c r="M2316">
        <v>0</v>
      </c>
      <c r="N2316">
        <v>1221600</v>
      </c>
      <c r="O2316">
        <v>1290050</v>
      </c>
      <c r="P2316">
        <v>0</v>
      </c>
      <c r="Q2316">
        <v>32</v>
      </c>
      <c r="R2316">
        <v>7</v>
      </c>
      <c r="S2316">
        <v>0</v>
      </c>
      <c r="T2316">
        <v>999</v>
      </c>
      <c r="U2316">
        <v>999</v>
      </c>
    </row>
    <row r="2317" spans="1:21" x14ac:dyDescent="0.35">
      <c r="A2317" t="s">
        <v>26</v>
      </c>
      <c r="B2317" s="1">
        <v>44618</v>
      </c>
      <c r="C2317" t="s">
        <v>29</v>
      </c>
      <c r="D2317">
        <v>7.3</v>
      </c>
      <c r="E2317">
        <v>1.3</v>
      </c>
      <c r="F2317">
        <v>2.2999999999999998</v>
      </c>
      <c r="G2317">
        <v>5.6</v>
      </c>
      <c r="H2317">
        <v>3.2</v>
      </c>
      <c r="I2317">
        <v>0</v>
      </c>
      <c r="J2317">
        <v>0</v>
      </c>
      <c r="K2317">
        <v>0</v>
      </c>
      <c r="L2317">
        <v>0</v>
      </c>
      <c r="M2317">
        <v>0</v>
      </c>
      <c r="N2317">
        <v>136458</v>
      </c>
      <c r="O2317">
        <v>296367</v>
      </c>
      <c r="P2317">
        <v>310294</v>
      </c>
      <c r="Q2317">
        <v>10</v>
      </c>
      <c r="R2317">
        <v>4</v>
      </c>
      <c r="S2317">
        <v>7</v>
      </c>
      <c r="T2317">
        <v>30</v>
      </c>
      <c r="U2317">
        <v>49</v>
      </c>
    </row>
    <row r="2318" spans="1:21" x14ac:dyDescent="0.35">
      <c r="A2318" t="s">
        <v>28</v>
      </c>
      <c r="B2318" s="1">
        <v>44338</v>
      </c>
      <c r="C2318" t="s">
        <v>23</v>
      </c>
      <c r="D2318">
        <v>185.4</v>
      </c>
      <c r="E2318">
        <v>13.5</v>
      </c>
      <c r="F2318">
        <v>0</v>
      </c>
      <c r="G2318">
        <v>13.7</v>
      </c>
      <c r="H2318">
        <v>0</v>
      </c>
      <c r="I2318">
        <v>0</v>
      </c>
      <c r="J2318">
        <v>0</v>
      </c>
      <c r="K2318">
        <v>0</v>
      </c>
      <c r="L2318">
        <v>0</v>
      </c>
      <c r="M2318">
        <v>0</v>
      </c>
      <c r="N2318">
        <v>131081</v>
      </c>
      <c r="O2318">
        <v>237808</v>
      </c>
      <c r="P2318">
        <v>0</v>
      </c>
      <c r="Q2318">
        <v>243</v>
      </c>
      <c r="R2318">
        <v>32</v>
      </c>
      <c r="S2318">
        <v>0</v>
      </c>
      <c r="T2318">
        <v>50</v>
      </c>
      <c r="U2318">
        <v>64</v>
      </c>
    </row>
    <row r="2319" spans="1:21" x14ac:dyDescent="0.35">
      <c r="A2319" t="s">
        <v>26</v>
      </c>
      <c r="B2319" s="1">
        <v>44966</v>
      </c>
      <c r="C2319" t="s">
        <v>22</v>
      </c>
      <c r="D2319">
        <v>4</v>
      </c>
      <c r="E2319">
        <v>2.4</v>
      </c>
      <c r="F2319">
        <v>4.7</v>
      </c>
      <c r="G2319">
        <v>1.7</v>
      </c>
      <c r="H2319">
        <v>0.9</v>
      </c>
      <c r="I2319">
        <v>5.4</v>
      </c>
      <c r="J2319">
        <v>3.7</v>
      </c>
      <c r="K2319">
        <v>3.4</v>
      </c>
      <c r="L2319">
        <v>1.5</v>
      </c>
      <c r="M2319">
        <v>1.6</v>
      </c>
      <c r="N2319">
        <v>527182</v>
      </c>
      <c r="O2319">
        <v>860288</v>
      </c>
      <c r="P2319">
        <v>1040815</v>
      </c>
      <c r="Q2319">
        <v>21</v>
      </c>
      <c r="R2319">
        <v>21</v>
      </c>
      <c r="S2319">
        <v>49</v>
      </c>
      <c r="T2319">
        <v>999</v>
      </c>
      <c r="U2319">
        <v>999</v>
      </c>
    </row>
    <row r="2320" spans="1:21" x14ac:dyDescent="0.35">
      <c r="A2320" t="s">
        <v>26</v>
      </c>
      <c r="B2320" s="1">
        <v>44295</v>
      </c>
      <c r="C2320" t="s">
        <v>31</v>
      </c>
      <c r="D2320">
        <v>39.9</v>
      </c>
      <c r="E2320">
        <v>7.2</v>
      </c>
      <c r="F2320">
        <v>0</v>
      </c>
      <c r="G2320">
        <v>5.5</v>
      </c>
      <c r="H2320">
        <v>0</v>
      </c>
      <c r="I2320">
        <v>0</v>
      </c>
      <c r="J2320">
        <v>0</v>
      </c>
      <c r="K2320">
        <v>0</v>
      </c>
      <c r="L2320">
        <v>0</v>
      </c>
      <c r="M2320">
        <v>0</v>
      </c>
      <c r="N2320">
        <v>65150</v>
      </c>
      <c r="O2320">
        <v>194427</v>
      </c>
      <c r="P2320">
        <v>0</v>
      </c>
      <c r="Q2320">
        <v>26</v>
      </c>
      <c r="R2320">
        <v>14</v>
      </c>
      <c r="S2320">
        <v>0</v>
      </c>
      <c r="T2320">
        <v>65</v>
      </c>
      <c r="U2320">
        <v>79</v>
      </c>
    </row>
    <row r="2321" spans="1:21" x14ac:dyDescent="0.35">
      <c r="A2321" t="s">
        <v>21</v>
      </c>
      <c r="B2321" s="1">
        <v>44629</v>
      </c>
      <c r="C2321" t="s">
        <v>30</v>
      </c>
      <c r="D2321">
        <v>3.8</v>
      </c>
      <c r="E2321">
        <v>0</v>
      </c>
      <c r="F2321">
        <v>4.3</v>
      </c>
      <c r="G2321">
        <v>0</v>
      </c>
      <c r="H2321">
        <v>0.9</v>
      </c>
      <c r="I2321">
        <v>0</v>
      </c>
      <c r="J2321">
        <v>0</v>
      </c>
      <c r="K2321">
        <v>0</v>
      </c>
      <c r="L2321">
        <v>0</v>
      </c>
      <c r="M2321">
        <v>0</v>
      </c>
      <c r="N2321">
        <v>26205</v>
      </c>
      <c r="O2321">
        <v>11466</v>
      </c>
      <c r="P2321">
        <v>46907</v>
      </c>
      <c r="Q2321">
        <v>1</v>
      </c>
      <c r="R2321">
        <v>0</v>
      </c>
      <c r="S2321">
        <v>2</v>
      </c>
      <c r="T2321">
        <v>80</v>
      </c>
      <c r="U2321">
        <v>200</v>
      </c>
    </row>
    <row r="2322" spans="1:21" x14ac:dyDescent="0.35">
      <c r="A2322" t="s">
        <v>26</v>
      </c>
      <c r="B2322" s="1">
        <v>45027</v>
      </c>
      <c r="C2322" t="s">
        <v>30</v>
      </c>
      <c r="D2322">
        <v>16.600000000000001</v>
      </c>
      <c r="E2322">
        <v>51.9</v>
      </c>
      <c r="F2322">
        <v>25.4</v>
      </c>
      <c r="G2322">
        <v>0.3</v>
      </c>
      <c r="H2322">
        <v>0.7</v>
      </c>
      <c r="I2322">
        <v>0</v>
      </c>
      <c r="J2322">
        <v>0</v>
      </c>
      <c r="K2322">
        <v>0</v>
      </c>
      <c r="L2322">
        <v>0</v>
      </c>
      <c r="M2322">
        <v>0</v>
      </c>
      <c r="N2322">
        <v>24080</v>
      </c>
      <c r="O2322">
        <v>11553</v>
      </c>
      <c r="P2322">
        <v>47261</v>
      </c>
      <c r="Q2322">
        <v>4</v>
      </c>
      <c r="R2322">
        <v>6</v>
      </c>
      <c r="S2322">
        <v>12</v>
      </c>
      <c r="T2322">
        <v>80</v>
      </c>
      <c r="U2322">
        <v>200</v>
      </c>
    </row>
    <row r="2323" spans="1:21" x14ac:dyDescent="0.35">
      <c r="A2323" t="s">
        <v>26</v>
      </c>
      <c r="B2323" s="1">
        <v>45129</v>
      </c>
      <c r="C2323" t="s">
        <v>23</v>
      </c>
      <c r="D2323">
        <v>9.1999999999999993</v>
      </c>
      <c r="E2323">
        <v>0</v>
      </c>
      <c r="F2323">
        <v>0.8</v>
      </c>
      <c r="G2323">
        <v>0</v>
      </c>
      <c r="H2323">
        <v>11.5</v>
      </c>
      <c r="I2323">
        <v>0</v>
      </c>
      <c r="J2323">
        <v>0</v>
      </c>
      <c r="K2323">
        <v>0</v>
      </c>
      <c r="L2323">
        <v>0</v>
      </c>
      <c r="M2323">
        <v>0</v>
      </c>
      <c r="N2323">
        <v>32565</v>
      </c>
      <c r="O2323">
        <v>125729</v>
      </c>
      <c r="P2323">
        <v>246933</v>
      </c>
      <c r="Q2323">
        <v>3</v>
      </c>
      <c r="R2323">
        <v>0</v>
      </c>
      <c r="S2323">
        <v>2</v>
      </c>
      <c r="T2323">
        <v>50</v>
      </c>
      <c r="U2323">
        <v>64</v>
      </c>
    </row>
    <row r="2324" spans="1:21" x14ac:dyDescent="0.35">
      <c r="A2324" t="s">
        <v>28</v>
      </c>
      <c r="B2324" s="1">
        <v>45094</v>
      </c>
      <c r="C2324" t="s">
        <v>25</v>
      </c>
      <c r="D2324">
        <v>8.1</v>
      </c>
      <c r="E2324">
        <v>3.7</v>
      </c>
      <c r="F2324">
        <v>6.8</v>
      </c>
      <c r="G2324">
        <v>2.2000000000000002</v>
      </c>
      <c r="H2324">
        <v>1.2</v>
      </c>
      <c r="I2324">
        <v>0</v>
      </c>
      <c r="J2324">
        <v>0</v>
      </c>
      <c r="K2324">
        <v>0</v>
      </c>
      <c r="L2324">
        <v>0</v>
      </c>
      <c r="M2324">
        <v>0</v>
      </c>
      <c r="N2324">
        <v>74493</v>
      </c>
      <c r="O2324">
        <v>214135</v>
      </c>
      <c r="P2324">
        <v>161700</v>
      </c>
      <c r="Q2324">
        <v>6</v>
      </c>
      <c r="R2324">
        <v>8</v>
      </c>
      <c r="S2324">
        <v>11</v>
      </c>
      <c r="T2324">
        <v>18</v>
      </c>
      <c r="U2324">
        <v>29</v>
      </c>
    </row>
    <row r="2325" spans="1:21" x14ac:dyDescent="0.35">
      <c r="A2325" t="s">
        <v>28</v>
      </c>
      <c r="B2325" s="1">
        <v>44457</v>
      </c>
      <c r="C2325" t="s">
        <v>25</v>
      </c>
      <c r="D2325">
        <v>235</v>
      </c>
      <c r="E2325">
        <v>71.900000000000006</v>
      </c>
      <c r="F2325">
        <v>0</v>
      </c>
      <c r="G2325">
        <v>3.3</v>
      </c>
      <c r="H2325">
        <v>0</v>
      </c>
      <c r="I2325">
        <v>0</v>
      </c>
      <c r="J2325">
        <v>0</v>
      </c>
      <c r="K2325">
        <v>0</v>
      </c>
      <c r="L2325">
        <v>0</v>
      </c>
      <c r="M2325">
        <v>0</v>
      </c>
      <c r="N2325">
        <v>181678</v>
      </c>
      <c r="O2325">
        <v>301822</v>
      </c>
      <c r="P2325">
        <v>0</v>
      </c>
      <c r="Q2325">
        <v>427</v>
      </c>
      <c r="R2325">
        <v>217</v>
      </c>
      <c r="S2325">
        <v>0</v>
      </c>
      <c r="T2325">
        <v>18</v>
      </c>
      <c r="U2325">
        <v>29</v>
      </c>
    </row>
    <row r="2326" spans="1:21" x14ac:dyDescent="0.35">
      <c r="A2326" t="s">
        <v>21</v>
      </c>
      <c r="B2326" s="1">
        <v>44237</v>
      </c>
      <c r="C2326" t="s">
        <v>23</v>
      </c>
      <c r="D2326">
        <v>5.0999999999999996</v>
      </c>
      <c r="E2326">
        <v>0.3</v>
      </c>
      <c r="F2326">
        <v>0</v>
      </c>
      <c r="G2326">
        <v>17</v>
      </c>
      <c r="H2326">
        <v>0</v>
      </c>
      <c r="I2326">
        <v>0</v>
      </c>
      <c r="J2326">
        <v>0</v>
      </c>
      <c r="K2326">
        <v>0</v>
      </c>
      <c r="L2326">
        <v>0</v>
      </c>
      <c r="M2326">
        <v>0</v>
      </c>
      <c r="N2326">
        <v>79080</v>
      </c>
      <c r="O2326">
        <v>330032</v>
      </c>
      <c r="P2326">
        <v>0</v>
      </c>
      <c r="Q2326">
        <v>4</v>
      </c>
      <c r="R2326">
        <v>1</v>
      </c>
      <c r="S2326">
        <v>0</v>
      </c>
      <c r="T2326">
        <v>50</v>
      </c>
      <c r="U2326">
        <v>64</v>
      </c>
    </row>
    <row r="2327" spans="1:21" x14ac:dyDescent="0.35">
      <c r="A2327" t="s">
        <v>26</v>
      </c>
      <c r="B2327" s="1">
        <v>44555</v>
      </c>
      <c r="C2327" t="s">
        <v>30</v>
      </c>
      <c r="D2327">
        <v>196</v>
      </c>
      <c r="E2327">
        <v>211.6</v>
      </c>
      <c r="F2327">
        <v>32.9</v>
      </c>
      <c r="G2327">
        <v>0.9</v>
      </c>
      <c r="H2327">
        <v>6</v>
      </c>
      <c r="I2327">
        <v>0</v>
      </c>
      <c r="J2327">
        <v>0</v>
      </c>
      <c r="K2327">
        <v>0</v>
      </c>
      <c r="L2327">
        <v>0</v>
      </c>
      <c r="M2327">
        <v>0</v>
      </c>
      <c r="N2327">
        <v>28067</v>
      </c>
      <c r="O2327">
        <v>22679</v>
      </c>
      <c r="P2327">
        <v>33427</v>
      </c>
      <c r="Q2327">
        <v>55</v>
      </c>
      <c r="R2327">
        <v>48</v>
      </c>
      <c r="S2327">
        <v>11</v>
      </c>
      <c r="T2327">
        <v>80</v>
      </c>
      <c r="U2327">
        <v>200</v>
      </c>
    </row>
    <row r="2328" spans="1:21" x14ac:dyDescent="0.35">
      <c r="A2328" t="s">
        <v>28</v>
      </c>
      <c r="B2328" s="1">
        <v>45268</v>
      </c>
      <c r="C2328" t="s">
        <v>27</v>
      </c>
      <c r="D2328">
        <v>18.8</v>
      </c>
      <c r="E2328">
        <v>6.9</v>
      </c>
      <c r="F2328">
        <v>15.7</v>
      </c>
      <c r="G2328">
        <v>2.7</v>
      </c>
      <c r="H2328">
        <v>1.2</v>
      </c>
      <c r="I2328">
        <v>0</v>
      </c>
      <c r="J2328">
        <v>0</v>
      </c>
      <c r="K2328">
        <v>0</v>
      </c>
      <c r="L2328">
        <v>0</v>
      </c>
      <c r="M2328">
        <v>0</v>
      </c>
      <c r="N2328">
        <v>31954</v>
      </c>
      <c r="O2328">
        <v>86577</v>
      </c>
      <c r="P2328">
        <v>44592</v>
      </c>
      <c r="Q2328">
        <v>6</v>
      </c>
      <c r="R2328">
        <v>6</v>
      </c>
      <c r="S2328">
        <v>7</v>
      </c>
      <c r="T2328">
        <v>12</v>
      </c>
      <c r="U2328">
        <v>17</v>
      </c>
    </row>
    <row r="2329" spans="1:21" x14ac:dyDescent="0.35">
      <c r="A2329" t="s">
        <v>28</v>
      </c>
      <c r="B2329" s="1">
        <v>44629</v>
      </c>
      <c r="C2329" t="s">
        <v>29</v>
      </c>
      <c r="D2329">
        <v>236.5</v>
      </c>
      <c r="E2329">
        <v>114</v>
      </c>
      <c r="F2329">
        <v>159.80000000000001</v>
      </c>
      <c r="G2329">
        <v>2.1</v>
      </c>
      <c r="H2329">
        <v>1.5</v>
      </c>
      <c r="I2329">
        <v>0</v>
      </c>
      <c r="J2329">
        <v>0</v>
      </c>
      <c r="K2329">
        <v>0</v>
      </c>
      <c r="L2329">
        <v>0</v>
      </c>
      <c r="M2329">
        <v>0</v>
      </c>
      <c r="N2329">
        <v>125170</v>
      </c>
      <c r="O2329">
        <v>276368</v>
      </c>
      <c r="P2329">
        <v>345994</v>
      </c>
      <c r="Q2329">
        <v>296</v>
      </c>
      <c r="R2329">
        <v>315</v>
      </c>
      <c r="S2329">
        <v>553</v>
      </c>
      <c r="T2329">
        <v>30</v>
      </c>
      <c r="U2329">
        <v>49</v>
      </c>
    </row>
    <row r="2330" spans="1:21" x14ac:dyDescent="0.35">
      <c r="A2330" t="s">
        <v>28</v>
      </c>
      <c r="B2330" s="1">
        <v>44555</v>
      </c>
      <c r="C2330" t="s">
        <v>22</v>
      </c>
      <c r="D2330">
        <v>1662.3</v>
      </c>
      <c r="E2330">
        <v>1359.4</v>
      </c>
      <c r="F2330">
        <v>815.3</v>
      </c>
      <c r="G2330">
        <v>1.2</v>
      </c>
      <c r="H2330">
        <v>2</v>
      </c>
      <c r="I2330">
        <v>1926.4</v>
      </c>
      <c r="J2330">
        <v>1161.2</v>
      </c>
      <c r="K2330">
        <v>782</v>
      </c>
      <c r="L2330">
        <v>1.7</v>
      </c>
      <c r="M2330">
        <v>2.5</v>
      </c>
      <c r="N2330">
        <v>814632</v>
      </c>
      <c r="O2330">
        <v>1161444</v>
      </c>
      <c r="P2330">
        <v>517372</v>
      </c>
      <c r="Q2330">
        <v>13542</v>
      </c>
      <c r="R2330">
        <v>15789</v>
      </c>
      <c r="S2330">
        <v>4218</v>
      </c>
      <c r="T2330">
        <v>999</v>
      </c>
      <c r="U2330">
        <v>999</v>
      </c>
    </row>
    <row r="2331" spans="1:21" x14ac:dyDescent="0.35">
      <c r="A2331" t="s">
        <v>26</v>
      </c>
      <c r="B2331" s="1">
        <v>45045</v>
      </c>
      <c r="C2331" t="s">
        <v>27</v>
      </c>
      <c r="D2331">
        <v>0</v>
      </c>
      <c r="E2331">
        <v>0</v>
      </c>
      <c r="F2331">
        <v>0</v>
      </c>
      <c r="G2331">
        <v>0</v>
      </c>
      <c r="H2331">
        <v>0</v>
      </c>
      <c r="I2331">
        <v>0</v>
      </c>
      <c r="J2331">
        <v>0</v>
      </c>
      <c r="K2331">
        <v>0</v>
      </c>
      <c r="L2331">
        <v>0</v>
      </c>
      <c r="M2331">
        <v>0</v>
      </c>
      <c r="N2331">
        <v>32734</v>
      </c>
      <c r="O2331">
        <v>86571</v>
      </c>
      <c r="P2331">
        <v>44574</v>
      </c>
      <c r="Q2331">
        <v>0</v>
      </c>
      <c r="R2331">
        <v>0</v>
      </c>
      <c r="S2331">
        <v>0</v>
      </c>
      <c r="T2331">
        <v>12</v>
      </c>
      <c r="U2331">
        <v>17</v>
      </c>
    </row>
    <row r="2332" spans="1:21" x14ac:dyDescent="0.35">
      <c r="A2332" t="s">
        <v>21</v>
      </c>
      <c r="B2332" s="1">
        <v>44947</v>
      </c>
      <c r="C2332" t="s">
        <v>25</v>
      </c>
      <c r="D2332">
        <v>0</v>
      </c>
      <c r="E2332">
        <v>0</v>
      </c>
      <c r="F2332">
        <v>0</v>
      </c>
      <c r="G2332">
        <v>0</v>
      </c>
      <c r="H2332">
        <v>0</v>
      </c>
      <c r="I2332">
        <v>0</v>
      </c>
      <c r="J2332">
        <v>0</v>
      </c>
      <c r="K2332">
        <v>0</v>
      </c>
      <c r="L2332">
        <v>0</v>
      </c>
      <c r="M2332">
        <v>0</v>
      </c>
      <c r="N2332">
        <v>78128</v>
      </c>
      <c r="O2332">
        <v>213123</v>
      </c>
      <c r="P2332">
        <v>161635</v>
      </c>
      <c r="Q2332">
        <v>0</v>
      </c>
      <c r="R2332">
        <v>0</v>
      </c>
      <c r="S2332">
        <v>0</v>
      </c>
      <c r="T2332">
        <v>18</v>
      </c>
      <c r="U2332">
        <v>29</v>
      </c>
    </row>
    <row r="2333" spans="1:21" x14ac:dyDescent="0.35">
      <c r="A2333" t="s">
        <v>21</v>
      </c>
      <c r="B2333" s="1">
        <v>44310</v>
      </c>
      <c r="C2333" t="s">
        <v>22</v>
      </c>
      <c r="D2333">
        <v>2.5</v>
      </c>
      <c r="E2333">
        <v>0.3</v>
      </c>
      <c r="F2333">
        <v>0</v>
      </c>
      <c r="G2333">
        <v>8.3000000000000007</v>
      </c>
      <c r="H2333">
        <v>0</v>
      </c>
      <c r="I2333">
        <v>3.5</v>
      </c>
      <c r="J2333">
        <v>0.2</v>
      </c>
      <c r="K2333">
        <v>0</v>
      </c>
      <c r="L2333">
        <v>18.100000000000001</v>
      </c>
      <c r="M2333">
        <v>0</v>
      </c>
      <c r="N2333">
        <v>1530109</v>
      </c>
      <c r="O2333">
        <v>593621</v>
      </c>
      <c r="P2333">
        <v>0</v>
      </c>
      <c r="Q2333">
        <v>38</v>
      </c>
      <c r="R2333">
        <v>2</v>
      </c>
      <c r="S2333">
        <v>0</v>
      </c>
      <c r="T2333">
        <v>999</v>
      </c>
      <c r="U2333">
        <v>999</v>
      </c>
    </row>
    <row r="2334" spans="1:21" x14ac:dyDescent="0.35">
      <c r="A2334" t="s">
        <v>21</v>
      </c>
      <c r="B2334" s="1">
        <v>44338</v>
      </c>
      <c r="C2334" t="s">
        <v>31</v>
      </c>
      <c r="D2334">
        <v>21.4</v>
      </c>
      <c r="E2334">
        <v>0</v>
      </c>
      <c r="F2334">
        <v>0</v>
      </c>
      <c r="G2334">
        <v>0</v>
      </c>
      <c r="H2334">
        <v>0</v>
      </c>
      <c r="I2334">
        <v>0</v>
      </c>
      <c r="J2334">
        <v>0</v>
      </c>
      <c r="K2334">
        <v>0</v>
      </c>
      <c r="L2334">
        <v>0</v>
      </c>
      <c r="M2334">
        <v>0</v>
      </c>
      <c r="N2334">
        <v>79541</v>
      </c>
      <c r="O2334">
        <v>171129</v>
      </c>
      <c r="P2334">
        <v>0</v>
      </c>
      <c r="Q2334">
        <v>17</v>
      </c>
      <c r="R2334">
        <v>0</v>
      </c>
      <c r="S2334">
        <v>0</v>
      </c>
      <c r="T2334">
        <v>65</v>
      </c>
      <c r="U2334">
        <v>79</v>
      </c>
    </row>
    <row r="2335" spans="1:21" x14ac:dyDescent="0.35">
      <c r="A2335" t="s">
        <v>26</v>
      </c>
      <c r="B2335" s="1">
        <v>44828</v>
      </c>
      <c r="C2335" t="s">
        <v>27</v>
      </c>
      <c r="D2335">
        <v>2.9</v>
      </c>
      <c r="E2335">
        <v>0</v>
      </c>
      <c r="F2335">
        <v>0</v>
      </c>
      <c r="G2335">
        <v>0</v>
      </c>
      <c r="H2335">
        <v>0</v>
      </c>
      <c r="I2335">
        <v>0</v>
      </c>
      <c r="J2335">
        <v>0</v>
      </c>
      <c r="K2335">
        <v>0</v>
      </c>
      <c r="L2335">
        <v>0</v>
      </c>
      <c r="M2335">
        <v>0</v>
      </c>
      <c r="N2335">
        <v>34979</v>
      </c>
      <c r="O2335">
        <v>85783</v>
      </c>
      <c r="P2335">
        <v>44379</v>
      </c>
      <c r="Q2335">
        <v>1</v>
      </c>
      <c r="R2335">
        <v>0</v>
      </c>
      <c r="S2335">
        <v>0</v>
      </c>
      <c r="T2335">
        <v>12</v>
      </c>
      <c r="U2335">
        <v>17</v>
      </c>
    </row>
    <row r="2336" spans="1:21" x14ac:dyDescent="0.35">
      <c r="A2336" t="s">
        <v>26</v>
      </c>
      <c r="B2336" s="1">
        <v>44413</v>
      </c>
      <c r="C2336" t="s">
        <v>31</v>
      </c>
      <c r="D2336">
        <v>63</v>
      </c>
      <c r="E2336">
        <v>5.6</v>
      </c>
      <c r="F2336">
        <v>0</v>
      </c>
      <c r="G2336">
        <v>11.2</v>
      </c>
      <c r="H2336">
        <v>0</v>
      </c>
      <c r="I2336">
        <v>0</v>
      </c>
      <c r="J2336">
        <v>0</v>
      </c>
      <c r="K2336">
        <v>0</v>
      </c>
      <c r="L2336">
        <v>0</v>
      </c>
      <c r="M2336">
        <v>0</v>
      </c>
      <c r="N2336">
        <v>84155</v>
      </c>
      <c r="O2336">
        <v>160587</v>
      </c>
      <c r="P2336">
        <v>0</v>
      </c>
      <c r="Q2336">
        <v>53</v>
      </c>
      <c r="R2336">
        <v>9</v>
      </c>
      <c r="S2336">
        <v>0</v>
      </c>
      <c r="T2336">
        <v>65</v>
      </c>
      <c r="U2336">
        <v>79</v>
      </c>
    </row>
    <row r="2337" spans="1:21" x14ac:dyDescent="0.35">
      <c r="A2337" t="s">
        <v>21</v>
      </c>
      <c r="B2337" s="1">
        <v>44800</v>
      </c>
      <c r="C2337" t="s">
        <v>30</v>
      </c>
      <c r="D2337">
        <v>11.4</v>
      </c>
      <c r="E2337">
        <v>17.3</v>
      </c>
      <c r="F2337">
        <v>2.1</v>
      </c>
      <c r="G2337">
        <v>0.7</v>
      </c>
      <c r="H2337">
        <v>5.4</v>
      </c>
      <c r="I2337">
        <v>0</v>
      </c>
      <c r="J2337">
        <v>0</v>
      </c>
      <c r="K2337">
        <v>0</v>
      </c>
      <c r="L2337">
        <v>0</v>
      </c>
      <c r="M2337">
        <v>0</v>
      </c>
      <c r="N2337">
        <v>26217</v>
      </c>
      <c r="O2337">
        <v>11529</v>
      </c>
      <c r="P2337">
        <v>46830</v>
      </c>
      <c r="Q2337">
        <v>3</v>
      </c>
      <c r="R2337">
        <v>2</v>
      </c>
      <c r="S2337">
        <v>1</v>
      </c>
      <c r="T2337">
        <v>80</v>
      </c>
      <c r="U2337">
        <v>200</v>
      </c>
    </row>
    <row r="2338" spans="1:21" x14ac:dyDescent="0.35">
      <c r="A2338" t="s">
        <v>21</v>
      </c>
      <c r="B2338" s="1">
        <v>44667</v>
      </c>
      <c r="C2338" t="s">
        <v>31</v>
      </c>
      <c r="D2338">
        <v>0</v>
      </c>
      <c r="E2338">
        <v>0</v>
      </c>
      <c r="F2338">
        <v>0.6</v>
      </c>
      <c r="G2338">
        <v>0</v>
      </c>
      <c r="H2338">
        <v>0</v>
      </c>
      <c r="I2338">
        <v>0</v>
      </c>
      <c r="J2338">
        <v>0</v>
      </c>
      <c r="K2338">
        <v>0</v>
      </c>
      <c r="L2338">
        <v>0</v>
      </c>
      <c r="M2338">
        <v>0</v>
      </c>
      <c r="N2338">
        <v>48067</v>
      </c>
      <c r="O2338">
        <v>50646</v>
      </c>
      <c r="P2338">
        <v>160443</v>
      </c>
      <c r="Q2338">
        <v>0</v>
      </c>
      <c r="R2338">
        <v>0</v>
      </c>
      <c r="S2338">
        <v>1</v>
      </c>
      <c r="T2338">
        <v>65</v>
      </c>
      <c r="U2338">
        <v>79</v>
      </c>
    </row>
    <row r="2339" spans="1:21" x14ac:dyDescent="0.35">
      <c r="A2339" t="s">
        <v>26</v>
      </c>
      <c r="B2339" s="1">
        <v>44709</v>
      </c>
      <c r="C2339" t="s">
        <v>29</v>
      </c>
      <c r="D2339">
        <v>14.7</v>
      </c>
      <c r="E2339">
        <v>2.8</v>
      </c>
      <c r="F2339">
        <v>3.6</v>
      </c>
      <c r="G2339">
        <v>5.2</v>
      </c>
      <c r="H2339">
        <v>4.0999999999999996</v>
      </c>
      <c r="I2339">
        <v>0</v>
      </c>
      <c r="J2339">
        <v>0</v>
      </c>
      <c r="K2339">
        <v>0</v>
      </c>
      <c r="L2339">
        <v>0</v>
      </c>
      <c r="M2339">
        <v>0</v>
      </c>
      <c r="N2339">
        <v>129368</v>
      </c>
      <c r="O2339">
        <v>283855</v>
      </c>
      <c r="P2339">
        <v>335115</v>
      </c>
      <c r="Q2339">
        <v>19</v>
      </c>
      <c r="R2339">
        <v>8</v>
      </c>
      <c r="S2339">
        <v>12</v>
      </c>
      <c r="T2339">
        <v>30</v>
      </c>
      <c r="U2339">
        <v>49</v>
      </c>
    </row>
    <row r="2340" spans="1:21" x14ac:dyDescent="0.35">
      <c r="A2340" t="s">
        <v>26</v>
      </c>
      <c r="B2340" s="1">
        <v>44646</v>
      </c>
      <c r="C2340" t="s">
        <v>25</v>
      </c>
      <c r="D2340">
        <v>2</v>
      </c>
      <c r="E2340">
        <v>0.5</v>
      </c>
      <c r="F2340">
        <v>0.7</v>
      </c>
      <c r="G2340">
        <v>4</v>
      </c>
      <c r="H2340">
        <v>2.9</v>
      </c>
      <c r="I2340">
        <v>0</v>
      </c>
      <c r="J2340">
        <v>0</v>
      </c>
      <c r="K2340">
        <v>0</v>
      </c>
      <c r="L2340">
        <v>0</v>
      </c>
      <c r="M2340">
        <v>0</v>
      </c>
      <c r="N2340">
        <v>99220</v>
      </c>
      <c r="O2340">
        <v>220462</v>
      </c>
      <c r="P2340">
        <v>145029</v>
      </c>
      <c r="Q2340">
        <v>2</v>
      </c>
      <c r="R2340">
        <v>1</v>
      </c>
      <c r="S2340">
        <v>1</v>
      </c>
      <c r="T2340">
        <v>18</v>
      </c>
      <c r="U2340">
        <v>29</v>
      </c>
    </row>
    <row r="2341" spans="1:21" x14ac:dyDescent="0.35">
      <c r="A2341" t="s">
        <v>28</v>
      </c>
      <c r="B2341" s="1">
        <v>45248</v>
      </c>
      <c r="C2341" t="s">
        <v>32</v>
      </c>
      <c r="D2341">
        <v>51</v>
      </c>
      <c r="E2341">
        <v>1.8</v>
      </c>
      <c r="F2341">
        <v>0</v>
      </c>
      <c r="G2341">
        <v>28.3</v>
      </c>
      <c r="H2341">
        <v>0</v>
      </c>
      <c r="I2341">
        <v>0</v>
      </c>
      <c r="J2341">
        <v>0</v>
      </c>
      <c r="K2341">
        <v>0</v>
      </c>
      <c r="L2341">
        <v>0</v>
      </c>
      <c r="M2341">
        <v>0</v>
      </c>
      <c r="N2341">
        <v>162642</v>
      </c>
      <c r="O2341">
        <v>0</v>
      </c>
      <c r="P2341">
        <v>0</v>
      </c>
      <c r="Q2341">
        <v>83</v>
      </c>
      <c r="R2341">
        <v>3</v>
      </c>
      <c r="S2341">
        <v>0</v>
      </c>
      <c r="T2341">
        <v>0</v>
      </c>
      <c r="U2341">
        <v>4</v>
      </c>
    </row>
    <row r="2342" spans="1:21" x14ac:dyDescent="0.35">
      <c r="A2342" t="s">
        <v>21</v>
      </c>
      <c r="B2342" s="1">
        <v>44571</v>
      </c>
      <c r="C2342" t="s">
        <v>29</v>
      </c>
      <c r="D2342">
        <v>0</v>
      </c>
      <c r="E2342">
        <v>0</v>
      </c>
      <c r="F2342">
        <v>0.3</v>
      </c>
      <c r="G2342">
        <v>0</v>
      </c>
      <c r="H2342">
        <v>0</v>
      </c>
      <c r="I2342">
        <v>0</v>
      </c>
      <c r="J2342">
        <v>0</v>
      </c>
      <c r="K2342">
        <v>0</v>
      </c>
      <c r="L2342">
        <v>0</v>
      </c>
      <c r="M2342">
        <v>0</v>
      </c>
      <c r="N2342">
        <v>122014</v>
      </c>
      <c r="O2342">
        <v>276030</v>
      </c>
      <c r="P2342">
        <v>346933</v>
      </c>
      <c r="Q2342">
        <v>0</v>
      </c>
      <c r="R2342">
        <v>0</v>
      </c>
      <c r="S2342">
        <v>1</v>
      </c>
      <c r="T2342">
        <v>30</v>
      </c>
      <c r="U2342">
        <v>49</v>
      </c>
    </row>
    <row r="2343" spans="1:21" x14ac:dyDescent="0.35">
      <c r="A2343" t="s">
        <v>26</v>
      </c>
      <c r="B2343" s="1">
        <v>45031</v>
      </c>
      <c r="C2343" t="s">
        <v>30</v>
      </c>
      <c r="D2343">
        <v>8.1</v>
      </c>
      <c r="E2343">
        <v>26.4</v>
      </c>
      <c r="F2343">
        <v>38.200000000000003</v>
      </c>
      <c r="G2343">
        <v>0.3</v>
      </c>
      <c r="H2343">
        <v>0.2</v>
      </c>
      <c r="I2343">
        <v>0</v>
      </c>
      <c r="J2343">
        <v>0</v>
      </c>
      <c r="K2343">
        <v>0</v>
      </c>
      <c r="L2343">
        <v>0</v>
      </c>
      <c r="M2343">
        <v>0</v>
      </c>
      <c r="N2343">
        <v>24612</v>
      </c>
      <c r="O2343">
        <v>11385</v>
      </c>
      <c r="P2343">
        <v>47126</v>
      </c>
      <c r="Q2343">
        <v>2</v>
      </c>
      <c r="R2343">
        <v>3</v>
      </c>
      <c r="S2343">
        <v>18</v>
      </c>
      <c r="T2343">
        <v>80</v>
      </c>
      <c r="U2343">
        <v>200</v>
      </c>
    </row>
    <row r="2344" spans="1:21" x14ac:dyDescent="0.35">
      <c r="A2344" t="s">
        <v>21</v>
      </c>
      <c r="B2344" s="1">
        <v>44562</v>
      </c>
      <c r="C2344" t="s">
        <v>22</v>
      </c>
      <c r="D2344">
        <v>8.9</v>
      </c>
      <c r="E2344">
        <v>2.6</v>
      </c>
      <c r="F2344">
        <v>1.4</v>
      </c>
      <c r="G2344">
        <v>3.4</v>
      </c>
      <c r="H2344">
        <v>6.4</v>
      </c>
      <c r="I2344">
        <v>12.7</v>
      </c>
      <c r="J2344">
        <v>3.4</v>
      </c>
      <c r="K2344">
        <v>0.7</v>
      </c>
      <c r="L2344">
        <v>3.7</v>
      </c>
      <c r="M2344">
        <v>18.399999999999999</v>
      </c>
      <c r="N2344">
        <v>797277</v>
      </c>
      <c r="O2344">
        <v>1104766</v>
      </c>
      <c r="P2344">
        <v>587380</v>
      </c>
      <c r="Q2344">
        <v>71</v>
      </c>
      <c r="R2344">
        <v>29</v>
      </c>
      <c r="S2344">
        <v>8</v>
      </c>
      <c r="T2344">
        <v>999</v>
      </c>
      <c r="U2344">
        <v>999</v>
      </c>
    </row>
    <row r="2345" spans="1:21" x14ac:dyDescent="0.35">
      <c r="A2345" t="s">
        <v>26</v>
      </c>
      <c r="B2345" s="1">
        <v>44774</v>
      </c>
      <c r="C2345" t="s">
        <v>29</v>
      </c>
      <c r="D2345">
        <v>91</v>
      </c>
      <c r="E2345">
        <v>28.2</v>
      </c>
      <c r="F2345">
        <v>10.8</v>
      </c>
      <c r="G2345">
        <v>3.2</v>
      </c>
      <c r="H2345">
        <v>8.4</v>
      </c>
      <c r="I2345">
        <v>0</v>
      </c>
      <c r="J2345">
        <v>0</v>
      </c>
      <c r="K2345">
        <v>0</v>
      </c>
      <c r="L2345">
        <v>0</v>
      </c>
      <c r="M2345">
        <v>0</v>
      </c>
      <c r="N2345">
        <v>161589</v>
      </c>
      <c r="O2345">
        <v>361224</v>
      </c>
      <c r="P2345">
        <v>223160</v>
      </c>
      <c r="Q2345">
        <v>147</v>
      </c>
      <c r="R2345">
        <v>102</v>
      </c>
      <c r="S2345">
        <v>24</v>
      </c>
      <c r="T2345">
        <v>30</v>
      </c>
      <c r="U2345">
        <v>49</v>
      </c>
    </row>
    <row r="2346" spans="1:21" x14ac:dyDescent="0.35">
      <c r="A2346" t="s">
        <v>21</v>
      </c>
      <c r="B2346" s="1">
        <v>44926</v>
      </c>
      <c r="C2346" t="s">
        <v>31</v>
      </c>
      <c r="D2346">
        <v>7.4</v>
      </c>
      <c r="E2346">
        <v>0</v>
      </c>
      <c r="F2346">
        <v>0.6</v>
      </c>
      <c r="G2346">
        <v>0</v>
      </c>
      <c r="H2346">
        <v>12.3</v>
      </c>
      <c r="I2346">
        <v>0</v>
      </c>
      <c r="J2346">
        <v>0</v>
      </c>
      <c r="K2346">
        <v>0</v>
      </c>
      <c r="L2346">
        <v>0</v>
      </c>
      <c r="M2346">
        <v>0</v>
      </c>
      <c r="N2346">
        <v>40666</v>
      </c>
      <c r="O2346">
        <v>43359</v>
      </c>
      <c r="P2346">
        <v>171676</v>
      </c>
      <c r="Q2346">
        <v>3</v>
      </c>
      <c r="R2346">
        <v>0</v>
      </c>
      <c r="S2346">
        <v>1</v>
      </c>
      <c r="T2346">
        <v>65</v>
      </c>
      <c r="U2346">
        <v>79</v>
      </c>
    </row>
    <row r="2347" spans="1:21" x14ac:dyDescent="0.35">
      <c r="A2347" t="s">
        <v>21</v>
      </c>
      <c r="B2347" s="1">
        <v>45268</v>
      </c>
      <c r="C2347" t="s">
        <v>30</v>
      </c>
      <c r="D2347">
        <v>0</v>
      </c>
      <c r="E2347">
        <v>0</v>
      </c>
      <c r="F2347">
        <v>0</v>
      </c>
      <c r="G2347">
        <v>0</v>
      </c>
      <c r="H2347">
        <v>0</v>
      </c>
      <c r="I2347">
        <v>0</v>
      </c>
      <c r="J2347">
        <v>0</v>
      </c>
      <c r="K2347">
        <v>0</v>
      </c>
      <c r="L2347">
        <v>0</v>
      </c>
      <c r="M2347">
        <v>0</v>
      </c>
      <c r="N2347">
        <v>24472</v>
      </c>
      <c r="O2347">
        <v>11382</v>
      </c>
      <c r="P2347">
        <v>47131</v>
      </c>
      <c r="Q2347">
        <v>0</v>
      </c>
      <c r="R2347">
        <v>0</v>
      </c>
      <c r="S2347">
        <v>0</v>
      </c>
      <c r="T2347">
        <v>80</v>
      </c>
      <c r="U2347">
        <v>200</v>
      </c>
    </row>
    <row r="2348" spans="1:21" x14ac:dyDescent="0.35">
      <c r="A2348" t="s">
        <v>26</v>
      </c>
      <c r="B2348" s="1">
        <v>45185</v>
      </c>
      <c r="C2348" t="s">
        <v>27</v>
      </c>
      <c r="D2348">
        <v>0</v>
      </c>
      <c r="E2348">
        <v>0</v>
      </c>
      <c r="F2348">
        <v>0</v>
      </c>
      <c r="G2348">
        <v>0</v>
      </c>
      <c r="H2348">
        <v>0</v>
      </c>
      <c r="I2348">
        <v>0</v>
      </c>
      <c r="J2348">
        <v>0</v>
      </c>
      <c r="K2348">
        <v>0</v>
      </c>
      <c r="L2348">
        <v>0</v>
      </c>
      <c r="M2348">
        <v>0</v>
      </c>
      <c r="N2348">
        <v>31696</v>
      </c>
      <c r="O2348">
        <v>86574</v>
      </c>
      <c r="P2348">
        <v>44597</v>
      </c>
      <c r="Q2348">
        <v>0</v>
      </c>
      <c r="R2348">
        <v>0</v>
      </c>
      <c r="S2348">
        <v>0</v>
      </c>
      <c r="T2348">
        <v>12</v>
      </c>
      <c r="U2348">
        <v>17</v>
      </c>
    </row>
    <row r="2349" spans="1:21" x14ac:dyDescent="0.35">
      <c r="A2349" t="s">
        <v>26</v>
      </c>
      <c r="B2349" s="1">
        <v>44702</v>
      </c>
      <c r="C2349" t="s">
        <v>29</v>
      </c>
      <c r="D2349">
        <v>7.7</v>
      </c>
      <c r="E2349">
        <v>4.5999999999999996</v>
      </c>
      <c r="F2349">
        <v>2.4</v>
      </c>
      <c r="G2349">
        <v>1.7</v>
      </c>
      <c r="H2349">
        <v>3.2</v>
      </c>
      <c r="I2349">
        <v>0</v>
      </c>
      <c r="J2349">
        <v>0</v>
      </c>
      <c r="K2349">
        <v>0</v>
      </c>
      <c r="L2349">
        <v>0</v>
      </c>
      <c r="M2349">
        <v>0</v>
      </c>
      <c r="N2349">
        <v>129750</v>
      </c>
      <c r="O2349">
        <v>284685</v>
      </c>
      <c r="P2349">
        <v>334000</v>
      </c>
      <c r="Q2349">
        <v>10</v>
      </c>
      <c r="R2349">
        <v>13</v>
      </c>
      <c r="S2349">
        <v>8</v>
      </c>
      <c r="T2349">
        <v>30</v>
      </c>
      <c r="U2349">
        <v>49</v>
      </c>
    </row>
    <row r="2350" spans="1:21" x14ac:dyDescent="0.35">
      <c r="A2350" t="s">
        <v>26</v>
      </c>
      <c r="B2350" s="1">
        <v>44926</v>
      </c>
      <c r="C2350" t="s">
        <v>31</v>
      </c>
      <c r="D2350">
        <v>44.3</v>
      </c>
      <c r="E2350">
        <v>39.200000000000003</v>
      </c>
      <c r="F2350">
        <v>33.799999999999997</v>
      </c>
      <c r="G2350">
        <v>1.1000000000000001</v>
      </c>
      <c r="H2350">
        <v>1.3</v>
      </c>
      <c r="I2350">
        <v>0</v>
      </c>
      <c r="J2350">
        <v>0</v>
      </c>
      <c r="K2350">
        <v>0</v>
      </c>
      <c r="L2350">
        <v>0</v>
      </c>
      <c r="M2350">
        <v>0</v>
      </c>
      <c r="N2350">
        <v>40666</v>
      </c>
      <c r="O2350">
        <v>43359</v>
      </c>
      <c r="P2350">
        <v>171676</v>
      </c>
      <c r="Q2350">
        <v>18</v>
      </c>
      <c r="R2350">
        <v>17</v>
      </c>
      <c r="S2350">
        <v>58</v>
      </c>
      <c r="T2350">
        <v>65</v>
      </c>
      <c r="U2350">
        <v>79</v>
      </c>
    </row>
    <row r="2351" spans="1:21" x14ac:dyDescent="0.35">
      <c r="A2351" t="s">
        <v>26</v>
      </c>
      <c r="B2351" s="1">
        <v>44422</v>
      </c>
      <c r="C2351" t="s">
        <v>27</v>
      </c>
      <c r="D2351">
        <v>4.7</v>
      </c>
      <c r="E2351">
        <v>0</v>
      </c>
      <c r="F2351">
        <v>0</v>
      </c>
      <c r="G2351">
        <v>0</v>
      </c>
      <c r="H2351">
        <v>0</v>
      </c>
      <c r="I2351">
        <v>0</v>
      </c>
      <c r="J2351">
        <v>0</v>
      </c>
      <c r="K2351">
        <v>0</v>
      </c>
      <c r="L2351">
        <v>0</v>
      </c>
      <c r="M2351">
        <v>0</v>
      </c>
      <c r="N2351">
        <v>85815</v>
      </c>
      <c r="O2351">
        <v>69935</v>
      </c>
      <c r="P2351">
        <v>0</v>
      </c>
      <c r="Q2351">
        <v>4</v>
      </c>
      <c r="R2351">
        <v>0</v>
      </c>
      <c r="S2351">
        <v>0</v>
      </c>
      <c r="T2351">
        <v>12</v>
      </c>
      <c r="U2351">
        <v>17</v>
      </c>
    </row>
    <row r="2352" spans="1:21" x14ac:dyDescent="0.35">
      <c r="A2352" t="s">
        <v>21</v>
      </c>
      <c r="B2352" s="1">
        <v>44667</v>
      </c>
      <c r="C2352" t="s">
        <v>25</v>
      </c>
      <c r="D2352">
        <v>0</v>
      </c>
      <c r="E2352">
        <v>0</v>
      </c>
      <c r="F2352">
        <v>0</v>
      </c>
      <c r="G2352">
        <v>0</v>
      </c>
      <c r="H2352">
        <v>0</v>
      </c>
      <c r="I2352">
        <v>0</v>
      </c>
      <c r="J2352">
        <v>0</v>
      </c>
      <c r="K2352">
        <v>0</v>
      </c>
      <c r="L2352">
        <v>0</v>
      </c>
      <c r="M2352">
        <v>0</v>
      </c>
      <c r="N2352">
        <v>97780</v>
      </c>
      <c r="O2352">
        <v>218922</v>
      </c>
      <c r="P2352">
        <v>148408</v>
      </c>
      <c r="Q2352">
        <v>0</v>
      </c>
      <c r="R2352">
        <v>0</v>
      </c>
      <c r="S2352">
        <v>0</v>
      </c>
      <c r="T2352">
        <v>18</v>
      </c>
      <c r="U2352">
        <v>29</v>
      </c>
    </row>
    <row r="2353" spans="1:21" x14ac:dyDescent="0.35">
      <c r="A2353" t="s">
        <v>28</v>
      </c>
      <c r="B2353" s="1">
        <v>44485</v>
      </c>
      <c r="C2353" t="s">
        <v>29</v>
      </c>
      <c r="D2353">
        <v>159.69999999999999</v>
      </c>
      <c r="E2353">
        <v>57.7</v>
      </c>
      <c r="F2353">
        <v>0</v>
      </c>
      <c r="G2353">
        <v>2.8</v>
      </c>
      <c r="H2353">
        <v>0</v>
      </c>
      <c r="I2353">
        <v>0</v>
      </c>
      <c r="J2353">
        <v>0</v>
      </c>
      <c r="K2353">
        <v>0</v>
      </c>
      <c r="L2353">
        <v>0</v>
      </c>
      <c r="M2353">
        <v>0</v>
      </c>
      <c r="N2353">
        <v>210412</v>
      </c>
      <c r="O2353">
        <v>535672</v>
      </c>
      <c r="P2353">
        <v>0</v>
      </c>
      <c r="Q2353">
        <v>336</v>
      </c>
      <c r="R2353">
        <v>309</v>
      </c>
      <c r="S2353">
        <v>0</v>
      </c>
      <c r="T2353">
        <v>30</v>
      </c>
      <c r="U2353">
        <v>49</v>
      </c>
    </row>
    <row r="2354" spans="1:21" x14ac:dyDescent="0.35">
      <c r="A2354" t="s">
        <v>21</v>
      </c>
      <c r="B2354" s="1">
        <v>44828</v>
      </c>
      <c r="C2354" t="s">
        <v>24</v>
      </c>
      <c r="D2354">
        <v>0</v>
      </c>
      <c r="E2354">
        <v>0</v>
      </c>
      <c r="F2354">
        <v>0</v>
      </c>
      <c r="G2354">
        <v>0</v>
      </c>
      <c r="H2354">
        <v>0</v>
      </c>
      <c r="I2354">
        <v>0</v>
      </c>
      <c r="J2354">
        <v>0</v>
      </c>
      <c r="K2354">
        <v>0</v>
      </c>
      <c r="L2354">
        <v>0</v>
      </c>
      <c r="M2354">
        <v>0</v>
      </c>
      <c r="N2354">
        <v>94919</v>
      </c>
      <c r="O2354">
        <v>81672</v>
      </c>
      <c r="P2354">
        <v>18722</v>
      </c>
      <c r="Q2354">
        <v>0</v>
      </c>
      <c r="R2354">
        <v>0</v>
      </c>
      <c r="S2354">
        <v>0</v>
      </c>
      <c r="T2354">
        <v>5</v>
      </c>
      <c r="U2354">
        <v>11</v>
      </c>
    </row>
    <row r="2355" spans="1:21" x14ac:dyDescent="0.35">
      <c r="A2355" t="s">
        <v>28</v>
      </c>
      <c r="B2355" s="1">
        <v>44906</v>
      </c>
      <c r="C2355" t="s">
        <v>23</v>
      </c>
      <c r="D2355">
        <v>240.7</v>
      </c>
      <c r="E2355">
        <v>85.4</v>
      </c>
      <c r="F2355">
        <v>135.4</v>
      </c>
      <c r="G2355">
        <v>2.8</v>
      </c>
      <c r="H2355">
        <v>1.8</v>
      </c>
      <c r="I2355">
        <v>0</v>
      </c>
      <c r="J2355">
        <v>0</v>
      </c>
      <c r="K2355">
        <v>0</v>
      </c>
      <c r="L2355">
        <v>0</v>
      </c>
      <c r="M2355">
        <v>0</v>
      </c>
      <c r="N2355">
        <v>36564</v>
      </c>
      <c r="O2355">
        <v>125287</v>
      </c>
      <c r="P2355">
        <v>246697</v>
      </c>
      <c r="Q2355">
        <v>88</v>
      </c>
      <c r="R2355">
        <v>107</v>
      </c>
      <c r="S2355">
        <v>334</v>
      </c>
      <c r="T2355">
        <v>50</v>
      </c>
      <c r="U2355">
        <v>64</v>
      </c>
    </row>
    <row r="2356" spans="1:21" x14ac:dyDescent="0.35">
      <c r="A2356" t="s">
        <v>21</v>
      </c>
      <c r="B2356" s="1">
        <v>44695</v>
      </c>
      <c r="C2356" t="s">
        <v>27</v>
      </c>
      <c r="D2356">
        <v>0</v>
      </c>
      <c r="E2356">
        <v>0</v>
      </c>
      <c r="F2356">
        <v>0</v>
      </c>
      <c r="G2356">
        <v>0</v>
      </c>
      <c r="H2356">
        <v>0</v>
      </c>
      <c r="I2356">
        <v>0</v>
      </c>
      <c r="J2356">
        <v>0</v>
      </c>
      <c r="K2356">
        <v>0</v>
      </c>
      <c r="L2356">
        <v>0</v>
      </c>
      <c r="M2356">
        <v>0</v>
      </c>
      <c r="N2356">
        <v>37341</v>
      </c>
      <c r="O2356">
        <v>94014</v>
      </c>
      <c r="P2356">
        <v>34086</v>
      </c>
      <c r="Q2356">
        <v>0</v>
      </c>
      <c r="R2356">
        <v>0</v>
      </c>
      <c r="S2356">
        <v>0</v>
      </c>
      <c r="T2356">
        <v>12</v>
      </c>
      <c r="U2356">
        <v>17</v>
      </c>
    </row>
    <row r="2357" spans="1:21" x14ac:dyDescent="0.35">
      <c r="A2357" t="s">
        <v>21</v>
      </c>
      <c r="B2357" s="1">
        <v>45268</v>
      </c>
      <c r="C2357" t="s">
        <v>29</v>
      </c>
      <c r="D2357">
        <v>0</v>
      </c>
      <c r="E2357">
        <v>0</v>
      </c>
      <c r="F2357">
        <v>0</v>
      </c>
      <c r="G2357">
        <v>0</v>
      </c>
      <c r="H2357">
        <v>0</v>
      </c>
      <c r="I2357">
        <v>0</v>
      </c>
      <c r="J2357">
        <v>0</v>
      </c>
      <c r="K2357">
        <v>0</v>
      </c>
      <c r="L2357">
        <v>0</v>
      </c>
      <c r="M2357">
        <v>0</v>
      </c>
      <c r="N2357">
        <v>107297</v>
      </c>
      <c r="O2357">
        <v>278401</v>
      </c>
      <c r="P2357">
        <v>347314</v>
      </c>
      <c r="Q2357">
        <v>0</v>
      </c>
      <c r="R2357">
        <v>0</v>
      </c>
      <c r="S2357">
        <v>0</v>
      </c>
      <c r="T2357">
        <v>30</v>
      </c>
      <c r="U2357">
        <v>49</v>
      </c>
    </row>
    <row r="2358" spans="1:21" x14ac:dyDescent="0.35">
      <c r="A2358" t="s">
        <v>21</v>
      </c>
      <c r="B2358" s="1">
        <v>45094</v>
      </c>
      <c r="C2358" t="s">
        <v>32</v>
      </c>
      <c r="D2358">
        <v>0</v>
      </c>
      <c r="E2358">
        <v>0</v>
      </c>
      <c r="F2358">
        <v>0</v>
      </c>
      <c r="G2358">
        <v>0</v>
      </c>
      <c r="H2358">
        <v>0</v>
      </c>
      <c r="I2358">
        <v>0</v>
      </c>
      <c r="J2358">
        <v>0</v>
      </c>
      <c r="K2358">
        <v>0</v>
      </c>
      <c r="L2358">
        <v>0</v>
      </c>
      <c r="M2358">
        <v>0</v>
      </c>
      <c r="N2358">
        <v>162642</v>
      </c>
      <c r="O2358">
        <v>0</v>
      </c>
      <c r="P2358">
        <v>0</v>
      </c>
      <c r="Q2358">
        <v>0</v>
      </c>
      <c r="R2358">
        <v>0</v>
      </c>
      <c r="S2358">
        <v>0</v>
      </c>
      <c r="T2358">
        <v>0</v>
      </c>
      <c r="U2358">
        <v>4</v>
      </c>
    </row>
    <row r="2359" spans="1:21" x14ac:dyDescent="0.35">
      <c r="A2359" t="s">
        <v>28</v>
      </c>
      <c r="B2359" s="1">
        <v>45122</v>
      </c>
      <c r="C2359" t="s">
        <v>25</v>
      </c>
      <c r="D2359">
        <v>23</v>
      </c>
      <c r="E2359">
        <v>5.6</v>
      </c>
      <c r="F2359">
        <v>8.6999999999999993</v>
      </c>
      <c r="G2359">
        <v>4.0999999999999996</v>
      </c>
      <c r="H2359">
        <v>2.6</v>
      </c>
      <c r="I2359">
        <v>0</v>
      </c>
      <c r="J2359">
        <v>0</v>
      </c>
      <c r="K2359">
        <v>0</v>
      </c>
      <c r="L2359">
        <v>0</v>
      </c>
      <c r="M2359">
        <v>0</v>
      </c>
      <c r="N2359">
        <v>74031</v>
      </c>
      <c r="O2359">
        <v>214138</v>
      </c>
      <c r="P2359">
        <v>161706</v>
      </c>
      <c r="Q2359">
        <v>17</v>
      </c>
      <c r="R2359">
        <v>12</v>
      </c>
      <c r="S2359">
        <v>14</v>
      </c>
      <c r="T2359">
        <v>18</v>
      </c>
      <c r="U2359">
        <v>29</v>
      </c>
    </row>
    <row r="2360" spans="1:21" x14ac:dyDescent="0.35">
      <c r="A2360" t="s">
        <v>26</v>
      </c>
      <c r="B2360" s="1">
        <v>45122</v>
      </c>
      <c r="C2360" t="s">
        <v>31</v>
      </c>
      <c r="D2360">
        <v>10.199999999999999</v>
      </c>
      <c r="E2360">
        <v>2.2999999999999998</v>
      </c>
      <c r="F2360">
        <v>1.2</v>
      </c>
      <c r="G2360">
        <v>4.4000000000000004</v>
      </c>
      <c r="H2360">
        <v>8.5</v>
      </c>
      <c r="I2360">
        <v>0</v>
      </c>
      <c r="J2360">
        <v>0</v>
      </c>
      <c r="K2360">
        <v>0</v>
      </c>
      <c r="L2360">
        <v>0</v>
      </c>
      <c r="M2360">
        <v>0</v>
      </c>
      <c r="N2360">
        <v>39336</v>
      </c>
      <c r="O2360">
        <v>43424</v>
      </c>
      <c r="P2360">
        <v>171745</v>
      </c>
      <c r="Q2360">
        <v>4</v>
      </c>
      <c r="R2360">
        <v>1</v>
      </c>
      <c r="S2360">
        <v>2</v>
      </c>
      <c r="T2360">
        <v>65</v>
      </c>
      <c r="U2360">
        <v>79</v>
      </c>
    </row>
    <row r="2361" spans="1:21" x14ac:dyDescent="0.35">
      <c r="A2361" t="s">
        <v>26</v>
      </c>
      <c r="B2361" s="1">
        <v>45232</v>
      </c>
      <c r="C2361" t="s">
        <v>30</v>
      </c>
      <c r="D2361">
        <v>28.3</v>
      </c>
      <c r="E2361">
        <v>44</v>
      </c>
      <c r="F2361">
        <v>36.1</v>
      </c>
      <c r="G2361">
        <v>0.6</v>
      </c>
      <c r="H2361">
        <v>0.8</v>
      </c>
      <c r="I2361">
        <v>0</v>
      </c>
      <c r="J2361">
        <v>0</v>
      </c>
      <c r="K2361">
        <v>0</v>
      </c>
      <c r="L2361">
        <v>0</v>
      </c>
      <c r="M2361">
        <v>0</v>
      </c>
      <c r="N2361">
        <v>24710</v>
      </c>
      <c r="O2361">
        <v>11376</v>
      </c>
      <c r="P2361">
        <v>47122</v>
      </c>
      <c r="Q2361">
        <v>7</v>
      </c>
      <c r="R2361">
        <v>5</v>
      </c>
      <c r="S2361">
        <v>17</v>
      </c>
      <c r="T2361">
        <v>80</v>
      </c>
      <c r="U2361">
        <v>200</v>
      </c>
    </row>
    <row r="2362" spans="1:21" x14ac:dyDescent="0.35">
      <c r="A2362" t="s">
        <v>21</v>
      </c>
      <c r="B2362" s="1">
        <v>45059</v>
      </c>
      <c r="C2362" t="s">
        <v>29</v>
      </c>
      <c r="D2362">
        <v>0</v>
      </c>
      <c r="E2362">
        <v>0</v>
      </c>
      <c r="F2362">
        <v>0</v>
      </c>
      <c r="G2362">
        <v>0</v>
      </c>
      <c r="H2362">
        <v>0</v>
      </c>
      <c r="I2362">
        <v>0</v>
      </c>
      <c r="J2362">
        <v>0</v>
      </c>
      <c r="K2362">
        <v>0</v>
      </c>
      <c r="L2362">
        <v>0</v>
      </c>
      <c r="M2362">
        <v>0</v>
      </c>
      <c r="N2362">
        <v>108868</v>
      </c>
      <c r="O2362">
        <v>278401</v>
      </c>
      <c r="P2362">
        <v>347295</v>
      </c>
      <c r="Q2362">
        <v>0</v>
      </c>
      <c r="R2362">
        <v>0</v>
      </c>
      <c r="S2362">
        <v>0</v>
      </c>
      <c r="T2362">
        <v>30</v>
      </c>
      <c r="U2362">
        <v>49</v>
      </c>
    </row>
    <row r="2363" spans="1:21" x14ac:dyDescent="0.35">
      <c r="A2363" t="s">
        <v>28</v>
      </c>
      <c r="B2363" s="1">
        <v>45178</v>
      </c>
      <c r="C2363" t="s">
        <v>22</v>
      </c>
      <c r="D2363">
        <v>63.4</v>
      </c>
      <c r="E2363">
        <v>27.4</v>
      </c>
      <c r="F2363">
        <v>50.8</v>
      </c>
      <c r="G2363">
        <v>2.2999999999999998</v>
      </c>
      <c r="H2363">
        <v>1.2</v>
      </c>
      <c r="I2363">
        <v>70.099999999999994</v>
      </c>
      <c r="J2363">
        <v>27.9</v>
      </c>
      <c r="K2363">
        <v>40.200000000000003</v>
      </c>
      <c r="L2363">
        <v>2.5</v>
      </c>
      <c r="M2363">
        <v>1.7</v>
      </c>
      <c r="N2363">
        <v>526704</v>
      </c>
      <c r="O2363">
        <v>860292</v>
      </c>
      <c r="P2363">
        <v>1040817</v>
      </c>
      <c r="Q2363">
        <v>334</v>
      </c>
      <c r="R2363">
        <v>236</v>
      </c>
      <c r="S2363">
        <v>529</v>
      </c>
      <c r="T2363">
        <v>999</v>
      </c>
      <c r="U2363">
        <v>999</v>
      </c>
    </row>
    <row r="2364" spans="1:21" x14ac:dyDescent="0.35">
      <c r="A2364" t="s">
        <v>21</v>
      </c>
      <c r="B2364" s="1">
        <v>44906</v>
      </c>
      <c r="C2364" t="s">
        <v>29</v>
      </c>
      <c r="D2364">
        <v>0</v>
      </c>
      <c r="E2364">
        <v>0</v>
      </c>
      <c r="F2364">
        <v>0</v>
      </c>
      <c r="G2364">
        <v>0</v>
      </c>
      <c r="H2364">
        <v>0</v>
      </c>
      <c r="I2364">
        <v>0</v>
      </c>
      <c r="J2364">
        <v>0</v>
      </c>
      <c r="K2364">
        <v>0</v>
      </c>
      <c r="L2364">
        <v>0</v>
      </c>
      <c r="M2364">
        <v>0</v>
      </c>
      <c r="N2364">
        <v>116651</v>
      </c>
      <c r="O2364">
        <v>276645</v>
      </c>
      <c r="P2364">
        <v>347072</v>
      </c>
      <c r="Q2364">
        <v>0</v>
      </c>
      <c r="R2364">
        <v>0</v>
      </c>
      <c r="S2364">
        <v>0</v>
      </c>
      <c r="T2364">
        <v>30</v>
      </c>
      <c r="U2364">
        <v>49</v>
      </c>
    </row>
    <row r="2365" spans="1:21" x14ac:dyDescent="0.35">
      <c r="A2365" t="s">
        <v>28</v>
      </c>
      <c r="B2365" s="1">
        <v>44783</v>
      </c>
      <c r="C2365" t="s">
        <v>27</v>
      </c>
      <c r="D2365">
        <v>161</v>
      </c>
      <c r="E2365">
        <v>69.900000000000006</v>
      </c>
      <c r="F2365">
        <v>51.8</v>
      </c>
      <c r="G2365">
        <v>2.2999999999999998</v>
      </c>
      <c r="H2365">
        <v>3.1</v>
      </c>
      <c r="I2365">
        <v>0</v>
      </c>
      <c r="J2365">
        <v>0</v>
      </c>
      <c r="K2365">
        <v>0</v>
      </c>
      <c r="L2365">
        <v>0</v>
      </c>
      <c r="M2365">
        <v>0</v>
      </c>
      <c r="N2365">
        <v>34773</v>
      </c>
      <c r="O2365">
        <v>85834</v>
      </c>
      <c r="P2365">
        <v>44443</v>
      </c>
      <c r="Q2365">
        <v>56</v>
      </c>
      <c r="R2365">
        <v>60</v>
      </c>
      <c r="S2365">
        <v>23</v>
      </c>
      <c r="T2365">
        <v>12</v>
      </c>
      <c r="U2365">
        <v>17</v>
      </c>
    </row>
    <row r="2366" spans="1:21" x14ac:dyDescent="0.35">
      <c r="A2366" t="s">
        <v>28</v>
      </c>
      <c r="B2366" s="1">
        <v>45255</v>
      </c>
      <c r="C2366" t="s">
        <v>32</v>
      </c>
      <c r="D2366">
        <v>67</v>
      </c>
      <c r="E2366">
        <v>1.2</v>
      </c>
      <c r="F2366">
        <v>0</v>
      </c>
      <c r="G2366">
        <v>55.8</v>
      </c>
      <c r="H2366">
        <v>0</v>
      </c>
      <c r="I2366">
        <v>0</v>
      </c>
      <c r="J2366">
        <v>0</v>
      </c>
      <c r="K2366">
        <v>0</v>
      </c>
      <c r="L2366">
        <v>0</v>
      </c>
      <c r="M2366">
        <v>0</v>
      </c>
      <c r="N2366">
        <v>162642</v>
      </c>
      <c r="O2366">
        <v>0</v>
      </c>
      <c r="P2366">
        <v>0</v>
      </c>
      <c r="Q2366">
        <v>109</v>
      </c>
      <c r="R2366">
        <v>2</v>
      </c>
      <c r="S2366">
        <v>0</v>
      </c>
      <c r="T2366">
        <v>0</v>
      </c>
      <c r="U2366">
        <v>4</v>
      </c>
    </row>
    <row r="2367" spans="1:21" x14ac:dyDescent="0.35">
      <c r="A2367" t="s">
        <v>26</v>
      </c>
      <c r="B2367" s="1">
        <v>45164</v>
      </c>
      <c r="C2367" t="s">
        <v>31</v>
      </c>
      <c r="D2367">
        <v>20.399999999999999</v>
      </c>
      <c r="E2367">
        <v>9.1999999999999993</v>
      </c>
      <c r="F2367">
        <v>11.6</v>
      </c>
      <c r="G2367">
        <v>2.2000000000000002</v>
      </c>
      <c r="H2367">
        <v>1.8</v>
      </c>
      <c r="I2367">
        <v>0</v>
      </c>
      <c r="J2367">
        <v>0</v>
      </c>
      <c r="K2367">
        <v>0</v>
      </c>
      <c r="L2367">
        <v>0</v>
      </c>
      <c r="M2367">
        <v>0</v>
      </c>
      <c r="N2367">
        <v>39187</v>
      </c>
      <c r="O2367">
        <v>43414</v>
      </c>
      <c r="P2367">
        <v>171755</v>
      </c>
      <c r="Q2367">
        <v>8</v>
      </c>
      <c r="R2367">
        <v>4</v>
      </c>
      <c r="S2367">
        <v>20</v>
      </c>
      <c r="T2367">
        <v>65</v>
      </c>
      <c r="U2367">
        <v>79</v>
      </c>
    </row>
    <row r="2368" spans="1:21" x14ac:dyDescent="0.35">
      <c r="A2368" t="s">
        <v>26</v>
      </c>
      <c r="B2368" s="1">
        <v>44476</v>
      </c>
      <c r="C2368" t="s">
        <v>29</v>
      </c>
      <c r="D2368">
        <v>4.3</v>
      </c>
      <c r="E2368">
        <v>0.4</v>
      </c>
      <c r="F2368">
        <v>0</v>
      </c>
      <c r="G2368">
        <v>10.8</v>
      </c>
      <c r="H2368">
        <v>0</v>
      </c>
      <c r="I2368">
        <v>0</v>
      </c>
      <c r="J2368">
        <v>0</v>
      </c>
      <c r="K2368">
        <v>0</v>
      </c>
      <c r="L2368">
        <v>0</v>
      </c>
      <c r="M2368">
        <v>0</v>
      </c>
      <c r="N2368">
        <v>280996</v>
      </c>
      <c r="O2368">
        <v>481217</v>
      </c>
      <c r="P2368">
        <v>0</v>
      </c>
      <c r="Q2368">
        <v>12</v>
      </c>
      <c r="R2368">
        <v>2</v>
      </c>
      <c r="S2368">
        <v>0</v>
      </c>
      <c r="T2368">
        <v>30</v>
      </c>
      <c r="U2368">
        <v>49</v>
      </c>
    </row>
    <row r="2369" spans="1:21" x14ac:dyDescent="0.35">
      <c r="A2369" t="s">
        <v>28</v>
      </c>
      <c r="B2369" s="1">
        <v>45038</v>
      </c>
      <c r="C2369" t="s">
        <v>24</v>
      </c>
      <c r="D2369">
        <v>41.8</v>
      </c>
      <c r="E2369">
        <v>42.4</v>
      </c>
      <c r="F2369">
        <v>94.2</v>
      </c>
      <c r="G2369">
        <v>1</v>
      </c>
      <c r="H2369">
        <v>0.4</v>
      </c>
      <c r="I2369">
        <v>0</v>
      </c>
      <c r="J2369">
        <v>0</v>
      </c>
      <c r="K2369">
        <v>0</v>
      </c>
      <c r="L2369">
        <v>0</v>
      </c>
      <c r="M2369">
        <v>0</v>
      </c>
      <c r="N2369">
        <v>90975</v>
      </c>
      <c r="O2369">
        <v>82623</v>
      </c>
      <c r="P2369">
        <v>21231</v>
      </c>
      <c r="Q2369">
        <v>38</v>
      </c>
      <c r="R2369">
        <v>35</v>
      </c>
      <c r="S2369">
        <v>20</v>
      </c>
      <c r="T2369">
        <v>5</v>
      </c>
      <c r="U2369">
        <v>11</v>
      </c>
    </row>
    <row r="2370" spans="1:21" x14ac:dyDescent="0.35">
      <c r="A2370" t="s">
        <v>26</v>
      </c>
      <c r="B2370" s="1">
        <v>44632</v>
      </c>
      <c r="C2370" t="s">
        <v>22</v>
      </c>
      <c r="D2370">
        <v>19.5</v>
      </c>
      <c r="E2370">
        <v>9.5</v>
      </c>
      <c r="F2370">
        <v>10.6</v>
      </c>
      <c r="G2370">
        <v>2.1</v>
      </c>
      <c r="H2370">
        <v>1.8</v>
      </c>
      <c r="I2370">
        <v>25.6</v>
      </c>
      <c r="J2370">
        <v>13.4</v>
      </c>
      <c r="K2370">
        <v>7.3</v>
      </c>
      <c r="L2370">
        <v>1.9</v>
      </c>
      <c r="M2370">
        <v>3.5</v>
      </c>
      <c r="N2370">
        <v>562883</v>
      </c>
      <c r="O2370">
        <v>851081</v>
      </c>
      <c r="P2370">
        <v>1039826</v>
      </c>
      <c r="Q2370">
        <v>110</v>
      </c>
      <c r="R2370">
        <v>81</v>
      </c>
      <c r="S2370">
        <v>110</v>
      </c>
      <c r="T2370">
        <v>999</v>
      </c>
      <c r="U2370">
        <v>999</v>
      </c>
    </row>
    <row r="2371" spans="1:21" x14ac:dyDescent="0.35">
      <c r="A2371" t="s">
        <v>28</v>
      </c>
      <c r="B2371" s="1">
        <v>44969</v>
      </c>
      <c r="C2371" t="s">
        <v>25</v>
      </c>
      <c r="D2371">
        <v>109.1</v>
      </c>
      <c r="E2371">
        <v>35.700000000000003</v>
      </c>
      <c r="F2371">
        <v>29.5</v>
      </c>
      <c r="G2371">
        <v>3.1</v>
      </c>
      <c r="H2371">
        <v>3.7</v>
      </c>
      <c r="I2371">
        <v>0</v>
      </c>
      <c r="J2371">
        <v>0</v>
      </c>
      <c r="K2371">
        <v>0</v>
      </c>
      <c r="L2371">
        <v>0</v>
      </c>
      <c r="M2371">
        <v>0</v>
      </c>
      <c r="N2371">
        <v>67857</v>
      </c>
      <c r="O2371">
        <v>215628</v>
      </c>
      <c r="P2371">
        <v>162973</v>
      </c>
      <c r="Q2371">
        <v>74</v>
      </c>
      <c r="R2371">
        <v>77</v>
      </c>
      <c r="S2371">
        <v>48</v>
      </c>
      <c r="T2371">
        <v>18</v>
      </c>
      <c r="U2371">
        <v>29</v>
      </c>
    </row>
    <row r="2372" spans="1:21" x14ac:dyDescent="0.35">
      <c r="A2372" t="s">
        <v>28</v>
      </c>
      <c r="B2372" s="1">
        <v>44683</v>
      </c>
      <c r="C2372" t="s">
        <v>25</v>
      </c>
      <c r="D2372">
        <v>253.7</v>
      </c>
      <c r="E2372">
        <v>91.4</v>
      </c>
      <c r="F2372">
        <v>152.5</v>
      </c>
      <c r="G2372">
        <v>2.8</v>
      </c>
      <c r="H2372">
        <v>1.7</v>
      </c>
      <c r="I2372">
        <v>0</v>
      </c>
      <c r="J2372">
        <v>0</v>
      </c>
      <c r="K2372">
        <v>0</v>
      </c>
      <c r="L2372">
        <v>0</v>
      </c>
      <c r="M2372">
        <v>0</v>
      </c>
      <c r="N2372">
        <v>108394</v>
      </c>
      <c r="O2372">
        <v>225478</v>
      </c>
      <c r="P2372">
        <v>122651</v>
      </c>
      <c r="Q2372">
        <v>275</v>
      </c>
      <c r="R2372">
        <v>206</v>
      </c>
      <c r="S2372">
        <v>187</v>
      </c>
      <c r="T2372">
        <v>18</v>
      </c>
      <c r="U2372">
        <v>29</v>
      </c>
    </row>
    <row r="2373" spans="1:21" x14ac:dyDescent="0.35">
      <c r="A2373" t="s">
        <v>28</v>
      </c>
      <c r="B2373" s="1">
        <v>44783</v>
      </c>
      <c r="C2373" t="s">
        <v>25</v>
      </c>
      <c r="D2373">
        <v>119.3</v>
      </c>
      <c r="E2373">
        <v>43</v>
      </c>
      <c r="F2373">
        <v>71.2</v>
      </c>
      <c r="G2373">
        <v>2.8</v>
      </c>
      <c r="H2373">
        <v>1.7</v>
      </c>
      <c r="I2373">
        <v>0</v>
      </c>
      <c r="J2373">
        <v>0</v>
      </c>
      <c r="K2373">
        <v>0</v>
      </c>
      <c r="L2373">
        <v>0</v>
      </c>
      <c r="M2373">
        <v>0</v>
      </c>
      <c r="N2373">
        <v>87155</v>
      </c>
      <c r="O2373">
        <v>211790</v>
      </c>
      <c r="P2373">
        <v>161468</v>
      </c>
      <c r="Q2373">
        <v>104</v>
      </c>
      <c r="R2373">
        <v>91</v>
      </c>
      <c r="S2373">
        <v>115</v>
      </c>
      <c r="T2373">
        <v>18</v>
      </c>
      <c r="U2373">
        <v>29</v>
      </c>
    </row>
    <row r="2374" spans="1:21" x14ac:dyDescent="0.35">
      <c r="A2374" t="s">
        <v>26</v>
      </c>
      <c r="B2374" s="1">
        <v>45129</v>
      </c>
      <c r="C2374" t="s">
        <v>22</v>
      </c>
      <c r="D2374">
        <v>1.9</v>
      </c>
      <c r="E2374">
        <v>0.5</v>
      </c>
      <c r="F2374">
        <v>1.3</v>
      </c>
      <c r="G2374">
        <v>3.8</v>
      </c>
      <c r="H2374">
        <v>1.5</v>
      </c>
      <c r="I2374">
        <v>3</v>
      </c>
      <c r="J2374">
        <v>0.7</v>
      </c>
      <c r="K2374">
        <v>0.9</v>
      </c>
      <c r="L2374">
        <v>4.3</v>
      </c>
      <c r="M2374">
        <v>3.5</v>
      </c>
      <c r="N2374">
        <v>530682</v>
      </c>
      <c r="O2374">
        <v>860314</v>
      </c>
      <c r="P2374">
        <v>1040764</v>
      </c>
      <c r="Q2374">
        <v>10</v>
      </c>
      <c r="R2374">
        <v>4</v>
      </c>
      <c r="S2374">
        <v>14</v>
      </c>
      <c r="T2374">
        <v>999</v>
      </c>
      <c r="U2374">
        <v>999</v>
      </c>
    </row>
    <row r="2375" spans="1:21" x14ac:dyDescent="0.35">
      <c r="A2375" t="s">
        <v>21</v>
      </c>
      <c r="B2375" s="1">
        <v>44683</v>
      </c>
      <c r="C2375" t="s">
        <v>30</v>
      </c>
      <c r="D2375">
        <v>58.4</v>
      </c>
      <c r="E2375">
        <v>81.2</v>
      </c>
      <c r="F2375">
        <v>2.5</v>
      </c>
      <c r="G2375">
        <v>0.7</v>
      </c>
      <c r="H2375">
        <v>23.4</v>
      </c>
      <c r="I2375">
        <v>0</v>
      </c>
      <c r="J2375">
        <v>0</v>
      </c>
      <c r="K2375">
        <v>0</v>
      </c>
      <c r="L2375">
        <v>0</v>
      </c>
      <c r="M2375">
        <v>0</v>
      </c>
      <c r="N2375">
        <v>27390</v>
      </c>
      <c r="O2375">
        <v>16013</v>
      </c>
      <c r="P2375">
        <v>40692</v>
      </c>
      <c r="Q2375">
        <v>16</v>
      </c>
      <c r="R2375">
        <v>13</v>
      </c>
      <c r="S2375">
        <v>1</v>
      </c>
      <c r="T2375">
        <v>80</v>
      </c>
      <c r="U2375">
        <v>200</v>
      </c>
    </row>
    <row r="2376" spans="1:21" x14ac:dyDescent="0.35">
      <c r="A2376" t="s">
        <v>21</v>
      </c>
      <c r="B2376" s="1">
        <v>44982</v>
      </c>
      <c r="C2376" t="s">
        <v>31</v>
      </c>
      <c r="D2376">
        <v>2.5</v>
      </c>
      <c r="E2376">
        <v>4.5999999999999996</v>
      </c>
      <c r="F2376">
        <v>0.6</v>
      </c>
      <c r="G2376">
        <v>0.5</v>
      </c>
      <c r="H2376">
        <v>4.2</v>
      </c>
      <c r="I2376">
        <v>0</v>
      </c>
      <c r="J2376">
        <v>0</v>
      </c>
      <c r="K2376">
        <v>0</v>
      </c>
      <c r="L2376">
        <v>0</v>
      </c>
      <c r="M2376">
        <v>0</v>
      </c>
      <c r="N2376">
        <v>40075</v>
      </c>
      <c r="O2376">
        <v>43402</v>
      </c>
      <c r="P2376">
        <v>171700</v>
      </c>
      <c r="Q2376">
        <v>1</v>
      </c>
      <c r="R2376">
        <v>2</v>
      </c>
      <c r="S2376">
        <v>1</v>
      </c>
      <c r="T2376">
        <v>65</v>
      </c>
      <c r="U2376">
        <v>79</v>
      </c>
    </row>
    <row r="2377" spans="1:21" x14ac:dyDescent="0.35">
      <c r="A2377" t="s">
        <v>28</v>
      </c>
      <c r="B2377" s="1">
        <v>44774</v>
      </c>
      <c r="C2377" t="s">
        <v>22</v>
      </c>
      <c r="D2377">
        <v>2211.1999999999998</v>
      </c>
      <c r="E2377">
        <v>1608.9</v>
      </c>
      <c r="F2377">
        <v>1136.0999999999999</v>
      </c>
      <c r="G2377">
        <v>1.4</v>
      </c>
      <c r="H2377">
        <v>1.9</v>
      </c>
      <c r="I2377">
        <v>2492.5</v>
      </c>
      <c r="J2377">
        <v>1510.1</v>
      </c>
      <c r="K2377">
        <v>996.1</v>
      </c>
      <c r="L2377">
        <v>1.7</v>
      </c>
      <c r="M2377">
        <v>2.5</v>
      </c>
      <c r="N2377">
        <v>771844</v>
      </c>
      <c r="O2377">
        <v>1058475</v>
      </c>
      <c r="P2377">
        <v>641998</v>
      </c>
      <c r="Q2377">
        <v>17067</v>
      </c>
      <c r="R2377">
        <v>17030</v>
      </c>
      <c r="S2377">
        <v>7294</v>
      </c>
      <c r="T2377">
        <v>999</v>
      </c>
      <c r="U2377">
        <v>999</v>
      </c>
    </row>
    <row r="2378" spans="1:21" x14ac:dyDescent="0.35">
      <c r="A2378" t="s">
        <v>26</v>
      </c>
      <c r="B2378" s="1">
        <v>44492</v>
      </c>
      <c r="C2378" t="s">
        <v>29</v>
      </c>
      <c r="D2378">
        <v>11.6</v>
      </c>
      <c r="E2378">
        <v>0.7</v>
      </c>
      <c r="F2378">
        <v>0</v>
      </c>
      <c r="G2378">
        <v>16.600000000000001</v>
      </c>
      <c r="H2378">
        <v>0</v>
      </c>
      <c r="I2378">
        <v>0</v>
      </c>
      <c r="J2378">
        <v>0</v>
      </c>
      <c r="K2378">
        <v>0</v>
      </c>
      <c r="L2378">
        <v>0</v>
      </c>
      <c r="M2378">
        <v>0</v>
      </c>
      <c r="N2378">
        <v>207114</v>
      </c>
      <c r="O2378">
        <v>534216</v>
      </c>
      <c r="P2378">
        <v>17244</v>
      </c>
      <c r="Q2378">
        <v>24</v>
      </c>
      <c r="R2378">
        <v>4</v>
      </c>
      <c r="S2378">
        <v>0</v>
      </c>
      <c r="T2378">
        <v>30</v>
      </c>
      <c r="U2378">
        <v>49</v>
      </c>
    </row>
    <row r="2379" spans="1:21" x14ac:dyDescent="0.35">
      <c r="A2379" t="s">
        <v>21</v>
      </c>
      <c r="B2379" s="1">
        <v>44429</v>
      </c>
      <c r="C2379" t="s">
        <v>31</v>
      </c>
      <c r="D2379">
        <v>6</v>
      </c>
      <c r="E2379">
        <v>1</v>
      </c>
      <c r="F2379">
        <v>0</v>
      </c>
      <c r="G2379">
        <v>6</v>
      </c>
      <c r="H2379">
        <v>0</v>
      </c>
      <c r="I2379">
        <v>0</v>
      </c>
      <c r="J2379">
        <v>0</v>
      </c>
      <c r="K2379">
        <v>0</v>
      </c>
      <c r="L2379">
        <v>0</v>
      </c>
      <c r="M2379">
        <v>0</v>
      </c>
      <c r="N2379">
        <v>66724</v>
      </c>
      <c r="O2379">
        <v>194251</v>
      </c>
      <c r="P2379">
        <v>0</v>
      </c>
      <c r="Q2379">
        <v>4</v>
      </c>
      <c r="R2379">
        <v>2</v>
      </c>
      <c r="S2379">
        <v>0</v>
      </c>
      <c r="T2379">
        <v>65</v>
      </c>
      <c r="U2379">
        <v>79</v>
      </c>
    </row>
    <row r="2380" spans="1:21" x14ac:dyDescent="0.35">
      <c r="A2380" t="s">
        <v>28</v>
      </c>
      <c r="B2380" s="1">
        <v>44366</v>
      </c>
      <c r="C2380" t="s">
        <v>29</v>
      </c>
      <c r="D2380">
        <v>29.2</v>
      </c>
      <c r="E2380">
        <v>5.3</v>
      </c>
      <c r="F2380">
        <v>0</v>
      </c>
      <c r="G2380">
        <v>5.5</v>
      </c>
      <c r="H2380">
        <v>0</v>
      </c>
      <c r="I2380">
        <v>0</v>
      </c>
      <c r="J2380">
        <v>0</v>
      </c>
      <c r="K2380">
        <v>0</v>
      </c>
      <c r="L2380">
        <v>0</v>
      </c>
      <c r="M2380">
        <v>0</v>
      </c>
      <c r="N2380">
        <v>294504</v>
      </c>
      <c r="O2380">
        <v>450450</v>
      </c>
      <c r="P2380">
        <v>0</v>
      </c>
      <c r="Q2380">
        <v>86</v>
      </c>
      <c r="R2380">
        <v>24</v>
      </c>
      <c r="S2380">
        <v>0</v>
      </c>
      <c r="T2380">
        <v>30</v>
      </c>
      <c r="U2380">
        <v>49</v>
      </c>
    </row>
    <row r="2381" spans="1:21" x14ac:dyDescent="0.35">
      <c r="A2381" t="s">
        <v>28</v>
      </c>
      <c r="B2381" s="1">
        <v>44429</v>
      </c>
      <c r="C2381" t="s">
        <v>27</v>
      </c>
      <c r="D2381">
        <v>182.3</v>
      </c>
      <c r="E2381">
        <v>23.4</v>
      </c>
      <c r="F2381">
        <v>0</v>
      </c>
      <c r="G2381">
        <v>7.8</v>
      </c>
      <c r="H2381">
        <v>0</v>
      </c>
      <c r="I2381">
        <v>0</v>
      </c>
      <c r="J2381">
        <v>0</v>
      </c>
      <c r="K2381">
        <v>0</v>
      </c>
      <c r="L2381">
        <v>0</v>
      </c>
      <c r="M2381">
        <v>0</v>
      </c>
      <c r="N2381">
        <v>81744</v>
      </c>
      <c r="O2381">
        <v>72763</v>
      </c>
      <c r="P2381">
        <v>0</v>
      </c>
      <c r="Q2381">
        <v>149</v>
      </c>
      <c r="R2381">
        <v>17</v>
      </c>
      <c r="S2381">
        <v>0</v>
      </c>
      <c r="T2381">
        <v>12</v>
      </c>
      <c r="U2381">
        <v>17</v>
      </c>
    </row>
    <row r="2382" spans="1:21" x14ac:dyDescent="0.35">
      <c r="A2382" t="s">
        <v>28</v>
      </c>
      <c r="B2382" s="1">
        <v>44786</v>
      </c>
      <c r="C2382" t="s">
        <v>30</v>
      </c>
      <c r="D2382">
        <v>137.1</v>
      </c>
      <c r="E2382">
        <v>274.3</v>
      </c>
      <c r="F2382">
        <v>293.7</v>
      </c>
      <c r="G2382">
        <v>0.5</v>
      </c>
      <c r="H2382">
        <v>0.5</v>
      </c>
      <c r="I2382">
        <v>0</v>
      </c>
      <c r="J2382">
        <v>0</v>
      </c>
      <c r="K2382">
        <v>0</v>
      </c>
      <c r="L2382">
        <v>0</v>
      </c>
      <c r="M2382">
        <v>0</v>
      </c>
      <c r="N2382">
        <v>26264</v>
      </c>
      <c r="O2382">
        <v>11664</v>
      </c>
      <c r="P2382">
        <v>46650</v>
      </c>
      <c r="Q2382">
        <v>36</v>
      </c>
      <c r="R2382">
        <v>32</v>
      </c>
      <c r="S2382">
        <v>137</v>
      </c>
      <c r="T2382">
        <v>80</v>
      </c>
      <c r="U2382">
        <v>200</v>
      </c>
    </row>
    <row r="2383" spans="1:21" x14ac:dyDescent="0.35">
      <c r="A2383" t="s">
        <v>21</v>
      </c>
      <c r="B2383" s="1">
        <v>44295</v>
      </c>
      <c r="C2383" t="s">
        <v>27</v>
      </c>
      <c r="D2383">
        <v>0</v>
      </c>
      <c r="E2383">
        <v>0</v>
      </c>
      <c r="F2383">
        <v>0</v>
      </c>
      <c r="G2383">
        <v>0</v>
      </c>
      <c r="H2383">
        <v>0</v>
      </c>
      <c r="I2383">
        <v>0</v>
      </c>
      <c r="J2383">
        <v>0</v>
      </c>
      <c r="K2383">
        <v>0</v>
      </c>
      <c r="L2383">
        <v>0</v>
      </c>
      <c r="M2383">
        <v>0</v>
      </c>
      <c r="N2383">
        <v>75470</v>
      </c>
      <c r="O2383">
        <v>79801</v>
      </c>
      <c r="P2383">
        <v>0</v>
      </c>
      <c r="Q2383">
        <v>0</v>
      </c>
      <c r="R2383">
        <v>0</v>
      </c>
      <c r="S2383">
        <v>0</v>
      </c>
      <c r="T2383">
        <v>12</v>
      </c>
      <c r="U2383">
        <v>17</v>
      </c>
    </row>
    <row r="2384" spans="1:21" x14ac:dyDescent="0.35">
      <c r="A2384" t="s">
        <v>28</v>
      </c>
      <c r="B2384" s="1">
        <v>44891</v>
      </c>
      <c r="C2384" t="s">
        <v>32</v>
      </c>
      <c r="D2384">
        <v>71.900000000000006</v>
      </c>
      <c r="E2384">
        <v>3.1</v>
      </c>
      <c r="F2384">
        <v>0</v>
      </c>
      <c r="G2384">
        <v>23.2</v>
      </c>
      <c r="H2384">
        <v>0</v>
      </c>
      <c r="I2384">
        <v>0</v>
      </c>
      <c r="J2384">
        <v>0</v>
      </c>
      <c r="K2384">
        <v>0</v>
      </c>
      <c r="L2384">
        <v>0</v>
      </c>
      <c r="M2384">
        <v>0</v>
      </c>
      <c r="N2384">
        <v>162642</v>
      </c>
      <c r="O2384">
        <v>0</v>
      </c>
      <c r="P2384">
        <v>0</v>
      </c>
      <c r="Q2384">
        <v>117</v>
      </c>
      <c r="R2384">
        <v>5</v>
      </c>
      <c r="S2384">
        <v>0</v>
      </c>
      <c r="T2384">
        <v>0</v>
      </c>
      <c r="U2384">
        <v>4</v>
      </c>
    </row>
    <row r="2385" spans="1:21" x14ac:dyDescent="0.35">
      <c r="A2385" t="s">
        <v>21</v>
      </c>
      <c r="B2385" s="1">
        <v>45232</v>
      </c>
      <c r="C2385" t="s">
        <v>27</v>
      </c>
      <c r="D2385">
        <v>0</v>
      </c>
      <c r="E2385">
        <v>0</v>
      </c>
      <c r="F2385">
        <v>0</v>
      </c>
      <c r="G2385">
        <v>0</v>
      </c>
      <c r="H2385">
        <v>0</v>
      </c>
      <c r="I2385">
        <v>0</v>
      </c>
      <c r="J2385">
        <v>0</v>
      </c>
      <c r="K2385">
        <v>0</v>
      </c>
      <c r="L2385">
        <v>0</v>
      </c>
      <c r="M2385">
        <v>0</v>
      </c>
      <c r="N2385">
        <v>33305</v>
      </c>
      <c r="O2385">
        <v>86332</v>
      </c>
      <c r="P2385">
        <v>44556</v>
      </c>
      <c r="Q2385">
        <v>0</v>
      </c>
      <c r="R2385">
        <v>0</v>
      </c>
      <c r="S2385">
        <v>0</v>
      </c>
      <c r="T2385">
        <v>12</v>
      </c>
      <c r="U2385">
        <v>17</v>
      </c>
    </row>
    <row r="2386" spans="1:21" x14ac:dyDescent="0.35">
      <c r="A2386" t="s">
        <v>26</v>
      </c>
      <c r="B2386" s="1">
        <v>44338</v>
      </c>
      <c r="C2386" t="s">
        <v>31</v>
      </c>
      <c r="D2386">
        <v>49</v>
      </c>
      <c r="E2386">
        <v>4.7</v>
      </c>
      <c r="F2386">
        <v>0</v>
      </c>
      <c r="G2386">
        <v>10.4</v>
      </c>
      <c r="H2386">
        <v>0</v>
      </c>
      <c r="I2386">
        <v>0</v>
      </c>
      <c r="J2386">
        <v>0</v>
      </c>
      <c r="K2386">
        <v>0</v>
      </c>
      <c r="L2386">
        <v>0</v>
      </c>
      <c r="M2386">
        <v>0</v>
      </c>
      <c r="N2386">
        <v>79541</v>
      </c>
      <c r="O2386">
        <v>171129</v>
      </c>
      <c r="P2386">
        <v>0</v>
      </c>
      <c r="Q2386">
        <v>39</v>
      </c>
      <c r="R2386">
        <v>8</v>
      </c>
      <c r="S2386">
        <v>0</v>
      </c>
      <c r="T2386">
        <v>65</v>
      </c>
      <c r="U2386">
        <v>79</v>
      </c>
    </row>
    <row r="2387" spans="1:21" x14ac:dyDescent="0.35">
      <c r="A2387" t="s">
        <v>26</v>
      </c>
      <c r="B2387" s="1">
        <v>44884</v>
      </c>
      <c r="C2387" t="s">
        <v>22</v>
      </c>
      <c r="D2387">
        <v>12.9</v>
      </c>
      <c r="E2387">
        <v>5.8</v>
      </c>
      <c r="F2387">
        <v>9.4</v>
      </c>
      <c r="G2387">
        <v>2.2000000000000002</v>
      </c>
      <c r="H2387">
        <v>1.4</v>
      </c>
      <c r="I2387">
        <v>16.5</v>
      </c>
      <c r="J2387">
        <v>9.1</v>
      </c>
      <c r="K2387">
        <v>6.4</v>
      </c>
      <c r="L2387">
        <v>1.8</v>
      </c>
      <c r="M2387">
        <v>2.6</v>
      </c>
      <c r="N2387">
        <v>567313</v>
      </c>
      <c r="O2387">
        <v>849096</v>
      </c>
      <c r="P2387">
        <v>1039651</v>
      </c>
      <c r="Q2387">
        <v>73</v>
      </c>
      <c r="R2387">
        <v>49</v>
      </c>
      <c r="S2387">
        <v>98</v>
      </c>
      <c r="T2387">
        <v>999</v>
      </c>
      <c r="U2387">
        <v>999</v>
      </c>
    </row>
    <row r="2388" spans="1:21" x14ac:dyDescent="0.35">
      <c r="A2388" t="s">
        <v>28</v>
      </c>
      <c r="B2388" s="1">
        <v>45142</v>
      </c>
      <c r="C2388" t="s">
        <v>31</v>
      </c>
      <c r="D2388">
        <v>72.8</v>
      </c>
      <c r="E2388">
        <v>57.6</v>
      </c>
      <c r="F2388">
        <v>78.599999999999994</v>
      </c>
      <c r="G2388">
        <v>1.3</v>
      </c>
      <c r="H2388">
        <v>0.9</v>
      </c>
      <c r="I2388">
        <v>0</v>
      </c>
      <c r="J2388">
        <v>0</v>
      </c>
      <c r="K2388">
        <v>0</v>
      </c>
      <c r="L2388">
        <v>0</v>
      </c>
      <c r="M2388">
        <v>0</v>
      </c>
      <c r="N2388">
        <v>39837</v>
      </c>
      <c r="O2388">
        <v>43431</v>
      </c>
      <c r="P2388">
        <v>171716</v>
      </c>
      <c r="Q2388">
        <v>29</v>
      </c>
      <c r="R2388">
        <v>25</v>
      </c>
      <c r="S2388">
        <v>135</v>
      </c>
      <c r="T2388">
        <v>65</v>
      </c>
      <c r="U2388">
        <v>79</v>
      </c>
    </row>
    <row r="2389" spans="1:21" x14ac:dyDescent="0.35">
      <c r="A2389" t="s">
        <v>21</v>
      </c>
      <c r="B2389" s="1">
        <v>44358</v>
      </c>
      <c r="C2389" t="s">
        <v>29</v>
      </c>
      <c r="D2389">
        <v>2</v>
      </c>
      <c r="E2389">
        <v>0</v>
      </c>
      <c r="F2389">
        <v>0</v>
      </c>
      <c r="G2389">
        <v>0</v>
      </c>
      <c r="H2389">
        <v>0</v>
      </c>
      <c r="I2389">
        <v>0</v>
      </c>
      <c r="J2389">
        <v>0</v>
      </c>
      <c r="K2389">
        <v>0</v>
      </c>
      <c r="L2389">
        <v>0</v>
      </c>
      <c r="M2389">
        <v>0</v>
      </c>
      <c r="N2389">
        <v>199928</v>
      </c>
      <c r="O2389">
        <v>527699</v>
      </c>
      <c r="P2389">
        <v>31898</v>
      </c>
      <c r="Q2389">
        <v>4</v>
      </c>
      <c r="R2389">
        <v>0</v>
      </c>
      <c r="S2389">
        <v>0</v>
      </c>
      <c r="T2389">
        <v>30</v>
      </c>
      <c r="U2389">
        <v>49</v>
      </c>
    </row>
    <row r="2390" spans="1:21" x14ac:dyDescent="0.35">
      <c r="A2390" t="s">
        <v>26</v>
      </c>
      <c r="B2390" s="1">
        <v>45136</v>
      </c>
      <c r="C2390" t="s">
        <v>30</v>
      </c>
      <c r="D2390">
        <v>4.0999999999999996</v>
      </c>
      <c r="E2390">
        <v>70.3</v>
      </c>
      <c r="F2390">
        <v>25.5</v>
      </c>
      <c r="G2390">
        <v>0.1</v>
      </c>
      <c r="H2390">
        <v>0.2</v>
      </c>
      <c r="I2390">
        <v>0</v>
      </c>
      <c r="J2390">
        <v>0</v>
      </c>
      <c r="K2390">
        <v>0</v>
      </c>
      <c r="L2390">
        <v>0</v>
      </c>
      <c r="M2390">
        <v>0</v>
      </c>
      <c r="N2390">
        <v>24479</v>
      </c>
      <c r="O2390">
        <v>11383</v>
      </c>
      <c r="P2390">
        <v>47130</v>
      </c>
      <c r="Q2390">
        <v>1</v>
      </c>
      <c r="R2390">
        <v>8</v>
      </c>
      <c r="S2390">
        <v>12</v>
      </c>
      <c r="T2390">
        <v>80</v>
      </c>
      <c r="U2390">
        <v>200</v>
      </c>
    </row>
    <row r="2391" spans="1:21" x14ac:dyDescent="0.35">
      <c r="A2391" t="s">
        <v>26</v>
      </c>
      <c r="B2391" s="1">
        <v>45255</v>
      </c>
      <c r="C2391" t="s">
        <v>32</v>
      </c>
      <c r="D2391">
        <v>4.9000000000000004</v>
      </c>
      <c r="E2391">
        <v>0</v>
      </c>
      <c r="F2391">
        <v>0</v>
      </c>
      <c r="G2391">
        <v>0</v>
      </c>
      <c r="H2391">
        <v>0</v>
      </c>
      <c r="I2391">
        <v>0</v>
      </c>
      <c r="J2391">
        <v>0</v>
      </c>
      <c r="K2391">
        <v>0</v>
      </c>
      <c r="L2391">
        <v>0</v>
      </c>
      <c r="M2391">
        <v>0</v>
      </c>
      <c r="N2391">
        <v>162642</v>
      </c>
      <c r="O2391">
        <v>0</v>
      </c>
      <c r="P2391">
        <v>0</v>
      </c>
      <c r="Q2391">
        <v>8</v>
      </c>
      <c r="R2391">
        <v>0</v>
      </c>
      <c r="S2391">
        <v>0</v>
      </c>
      <c r="T2391">
        <v>0</v>
      </c>
      <c r="U2391">
        <v>4</v>
      </c>
    </row>
    <row r="2392" spans="1:21" x14ac:dyDescent="0.35">
      <c r="A2392" t="s">
        <v>21</v>
      </c>
      <c r="B2392" s="1">
        <v>44919</v>
      </c>
      <c r="C2392" t="s">
        <v>30</v>
      </c>
      <c r="D2392">
        <v>0</v>
      </c>
      <c r="E2392">
        <v>8.8000000000000007</v>
      </c>
      <c r="F2392">
        <v>17</v>
      </c>
      <c r="G2392">
        <v>0</v>
      </c>
      <c r="H2392">
        <v>0</v>
      </c>
      <c r="I2392">
        <v>0</v>
      </c>
      <c r="J2392">
        <v>0</v>
      </c>
      <c r="K2392">
        <v>0</v>
      </c>
      <c r="L2392">
        <v>0</v>
      </c>
      <c r="M2392">
        <v>0</v>
      </c>
      <c r="N2392">
        <v>24842</v>
      </c>
      <c r="O2392">
        <v>11369</v>
      </c>
      <c r="P2392">
        <v>47114</v>
      </c>
      <c r="Q2392">
        <v>0</v>
      </c>
      <c r="R2392">
        <v>1</v>
      </c>
      <c r="S2392">
        <v>8</v>
      </c>
      <c r="T2392">
        <v>80</v>
      </c>
      <c r="U2392">
        <v>200</v>
      </c>
    </row>
    <row r="2393" spans="1:21" x14ac:dyDescent="0.35">
      <c r="A2393" t="s">
        <v>26</v>
      </c>
      <c r="B2393" s="1">
        <v>45157</v>
      </c>
      <c r="C2393" t="s">
        <v>27</v>
      </c>
      <c r="D2393">
        <v>0</v>
      </c>
      <c r="E2393">
        <v>1.2</v>
      </c>
      <c r="F2393">
        <v>2.2000000000000002</v>
      </c>
      <c r="G2393">
        <v>0</v>
      </c>
      <c r="H2393">
        <v>0</v>
      </c>
      <c r="I2393">
        <v>0</v>
      </c>
      <c r="J2393">
        <v>0</v>
      </c>
      <c r="K2393">
        <v>0</v>
      </c>
      <c r="L2393">
        <v>0</v>
      </c>
      <c r="M2393">
        <v>0</v>
      </c>
      <c r="N2393">
        <v>31883</v>
      </c>
      <c r="O2393">
        <v>86575</v>
      </c>
      <c r="P2393">
        <v>44594</v>
      </c>
      <c r="Q2393">
        <v>0</v>
      </c>
      <c r="R2393">
        <v>1</v>
      </c>
      <c r="S2393">
        <v>1</v>
      </c>
      <c r="T2393">
        <v>12</v>
      </c>
      <c r="U2393">
        <v>17</v>
      </c>
    </row>
    <row r="2394" spans="1:21" x14ac:dyDescent="0.35">
      <c r="A2394" t="s">
        <v>21</v>
      </c>
      <c r="B2394" s="1">
        <v>45094</v>
      </c>
      <c r="C2394" t="s">
        <v>30</v>
      </c>
      <c r="D2394">
        <v>0</v>
      </c>
      <c r="E2394">
        <v>0</v>
      </c>
      <c r="F2394">
        <v>2.1</v>
      </c>
      <c r="G2394">
        <v>0</v>
      </c>
      <c r="H2394">
        <v>0</v>
      </c>
      <c r="I2394">
        <v>0</v>
      </c>
      <c r="J2394">
        <v>0</v>
      </c>
      <c r="K2394">
        <v>0</v>
      </c>
      <c r="L2394">
        <v>0</v>
      </c>
      <c r="M2394">
        <v>0</v>
      </c>
      <c r="N2394">
        <v>24516</v>
      </c>
      <c r="O2394">
        <v>11383</v>
      </c>
      <c r="P2394">
        <v>47130</v>
      </c>
      <c r="Q2394">
        <v>0</v>
      </c>
      <c r="R2394">
        <v>0</v>
      </c>
      <c r="S2394">
        <v>1</v>
      </c>
      <c r="T2394">
        <v>80</v>
      </c>
      <c r="U2394">
        <v>200</v>
      </c>
    </row>
    <row r="2395" spans="1:21" x14ac:dyDescent="0.35">
      <c r="A2395" t="s">
        <v>26</v>
      </c>
      <c r="B2395" s="1">
        <v>44401</v>
      </c>
      <c r="C2395" t="s">
        <v>29</v>
      </c>
      <c r="D2395">
        <v>8.8000000000000007</v>
      </c>
      <c r="E2395">
        <v>0.6</v>
      </c>
      <c r="F2395">
        <v>0</v>
      </c>
      <c r="G2395">
        <v>14.7</v>
      </c>
      <c r="H2395">
        <v>0</v>
      </c>
      <c r="I2395">
        <v>0</v>
      </c>
      <c r="J2395">
        <v>0</v>
      </c>
      <c r="K2395">
        <v>0</v>
      </c>
      <c r="L2395">
        <v>0</v>
      </c>
      <c r="M2395">
        <v>0</v>
      </c>
      <c r="N2395">
        <v>272185</v>
      </c>
      <c r="O2395">
        <v>492321</v>
      </c>
      <c r="P2395">
        <v>0</v>
      </c>
      <c r="Q2395">
        <v>24</v>
      </c>
      <c r="R2395">
        <v>3</v>
      </c>
      <c r="S2395">
        <v>0</v>
      </c>
      <c r="T2395">
        <v>30</v>
      </c>
      <c r="U2395">
        <v>49</v>
      </c>
    </row>
    <row r="2396" spans="1:21" x14ac:dyDescent="0.35">
      <c r="A2396" t="s">
        <v>21</v>
      </c>
      <c r="B2396" s="1">
        <v>45178</v>
      </c>
      <c r="C2396" t="s">
        <v>22</v>
      </c>
      <c r="D2396">
        <v>0.2</v>
      </c>
      <c r="E2396">
        <v>0</v>
      </c>
      <c r="F2396">
        <v>0</v>
      </c>
      <c r="G2396">
        <v>0</v>
      </c>
      <c r="H2396">
        <v>0</v>
      </c>
      <c r="I2396">
        <v>0.2</v>
      </c>
      <c r="J2396">
        <v>0</v>
      </c>
      <c r="K2396">
        <v>0</v>
      </c>
      <c r="L2396">
        <v>0</v>
      </c>
      <c r="M2396">
        <v>0</v>
      </c>
      <c r="N2396">
        <v>526704</v>
      </c>
      <c r="O2396">
        <v>860292</v>
      </c>
      <c r="P2396">
        <v>1040817</v>
      </c>
      <c r="Q2396">
        <v>1</v>
      </c>
      <c r="R2396">
        <v>0</v>
      </c>
      <c r="S2396">
        <v>0</v>
      </c>
      <c r="T2396">
        <v>999</v>
      </c>
      <c r="U2396">
        <v>999</v>
      </c>
    </row>
    <row r="2397" spans="1:21" x14ac:dyDescent="0.35">
      <c r="A2397" t="s">
        <v>21</v>
      </c>
      <c r="B2397" s="1">
        <v>44422</v>
      </c>
      <c r="C2397" t="s">
        <v>22</v>
      </c>
      <c r="D2397">
        <v>1.9</v>
      </c>
      <c r="E2397">
        <v>0</v>
      </c>
      <c r="F2397">
        <v>0</v>
      </c>
      <c r="G2397">
        <v>0</v>
      </c>
      <c r="H2397">
        <v>0</v>
      </c>
      <c r="I2397">
        <v>3</v>
      </c>
      <c r="J2397">
        <v>0</v>
      </c>
      <c r="K2397">
        <v>0</v>
      </c>
      <c r="L2397">
        <v>0</v>
      </c>
      <c r="M2397">
        <v>0</v>
      </c>
      <c r="N2397">
        <v>1110584</v>
      </c>
      <c r="O2397">
        <v>1424722</v>
      </c>
      <c r="P2397">
        <v>0</v>
      </c>
      <c r="Q2397">
        <v>21</v>
      </c>
      <c r="R2397">
        <v>0</v>
      </c>
      <c r="S2397">
        <v>0</v>
      </c>
      <c r="T2397">
        <v>999</v>
      </c>
      <c r="U2397">
        <v>999</v>
      </c>
    </row>
    <row r="2398" spans="1:21" x14ac:dyDescent="0.35">
      <c r="A2398" t="s">
        <v>28</v>
      </c>
      <c r="B2398" s="1">
        <v>44849</v>
      </c>
      <c r="C2398" t="s">
        <v>25</v>
      </c>
      <c r="D2398">
        <v>114.8</v>
      </c>
      <c r="E2398">
        <v>32.1</v>
      </c>
      <c r="F2398">
        <v>76.8</v>
      </c>
      <c r="G2398">
        <v>3.6</v>
      </c>
      <c r="H2398">
        <v>1.5</v>
      </c>
      <c r="I2398">
        <v>0</v>
      </c>
      <c r="J2398">
        <v>0</v>
      </c>
      <c r="K2398">
        <v>0</v>
      </c>
      <c r="L2398">
        <v>0</v>
      </c>
      <c r="M2398">
        <v>0</v>
      </c>
      <c r="N2398">
        <v>86242</v>
      </c>
      <c r="O2398">
        <v>211934</v>
      </c>
      <c r="P2398">
        <v>161484</v>
      </c>
      <c r="Q2398">
        <v>99</v>
      </c>
      <c r="R2398">
        <v>68</v>
      </c>
      <c r="S2398">
        <v>124</v>
      </c>
      <c r="T2398">
        <v>18</v>
      </c>
      <c r="U2398">
        <v>29</v>
      </c>
    </row>
    <row r="2399" spans="1:21" x14ac:dyDescent="0.35">
      <c r="A2399" t="s">
        <v>26</v>
      </c>
      <c r="B2399" s="1">
        <v>44800</v>
      </c>
      <c r="C2399" t="s">
        <v>31</v>
      </c>
      <c r="D2399">
        <v>39.4</v>
      </c>
      <c r="E2399">
        <v>36.4</v>
      </c>
      <c r="F2399">
        <v>19.899999999999999</v>
      </c>
      <c r="G2399">
        <v>1.1000000000000001</v>
      </c>
      <c r="H2399">
        <v>2</v>
      </c>
      <c r="I2399">
        <v>0</v>
      </c>
      <c r="J2399">
        <v>0</v>
      </c>
      <c r="K2399">
        <v>0</v>
      </c>
      <c r="L2399">
        <v>0</v>
      </c>
      <c r="M2399">
        <v>0</v>
      </c>
      <c r="N2399">
        <v>45631</v>
      </c>
      <c r="O2399">
        <v>43956</v>
      </c>
      <c r="P2399">
        <v>170603</v>
      </c>
      <c r="Q2399">
        <v>18</v>
      </c>
      <c r="R2399">
        <v>16</v>
      </c>
      <c r="S2399">
        <v>34</v>
      </c>
      <c r="T2399">
        <v>65</v>
      </c>
      <c r="U2399">
        <v>79</v>
      </c>
    </row>
    <row r="2400" spans="1:21" x14ac:dyDescent="0.35">
      <c r="A2400" t="s">
        <v>21</v>
      </c>
      <c r="B2400" s="1">
        <v>44991</v>
      </c>
      <c r="C2400" t="s">
        <v>30</v>
      </c>
      <c r="D2400">
        <v>0</v>
      </c>
      <c r="E2400">
        <v>0</v>
      </c>
      <c r="F2400">
        <v>2.1</v>
      </c>
      <c r="G2400">
        <v>0</v>
      </c>
      <c r="H2400">
        <v>0</v>
      </c>
      <c r="I2400">
        <v>0</v>
      </c>
      <c r="J2400">
        <v>0</v>
      </c>
      <c r="K2400">
        <v>0</v>
      </c>
      <c r="L2400">
        <v>0</v>
      </c>
      <c r="M2400">
        <v>0</v>
      </c>
      <c r="N2400">
        <v>24536</v>
      </c>
      <c r="O2400">
        <v>11384</v>
      </c>
      <c r="P2400">
        <v>47129</v>
      </c>
      <c r="Q2400">
        <v>0</v>
      </c>
      <c r="R2400">
        <v>0</v>
      </c>
      <c r="S2400">
        <v>1</v>
      </c>
      <c r="T2400">
        <v>80</v>
      </c>
      <c r="U2400">
        <v>200</v>
      </c>
    </row>
    <row r="2401" spans="1:21" x14ac:dyDescent="0.35">
      <c r="A2401" t="s">
        <v>26</v>
      </c>
      <c r="B2401" s="1">
        <v>44373</v>
      </c>
      <c r="C2401" t="s">
        <v>29</v>
      </c>
      <c r="D2401">
        <v>3.5</v>
      </c>
      <c r="E2401">
        <v>0.6</v>
      </c>
      <c r="F2401">
        <v>0</v>
      </c>
      <c r="G2401">
        <v>5.8</v>
      </c>
      <c r="H2401">
        <v>0</v>
      </c>
      <c r="I2401">
        <v>0</v>
      </c>
      <c r="J2401">
        <v>0</v>
      </c>
      <c r="K2401">
        <v>0</v>
      </c>
      <c r="L2401">
        <v>0</v>
      </c>
      <c r="M2401">
        <v>0</v>
      </c>
      <c r="N2401">
        <v>289323</v>
      </c>
      <c r="O2401">
        <v>463639</v>
      </c>
      <c r="P2401">
        <v>0</v>
      </c>
      <c r="Q2401">
        <v>10</v>
      </c>
      <c r="R2401">
        <v>3</v>
      </c>
      <c r="S2401">
        <v>0</v>
      </c>
      <c r="T2401">
        <v>30</v>
      </c>
      <c r="U2401">
        <v>49</v>
      </c>
    </row>
    <row r="2402" spans="1:21" x14ac:dyDescent="0.35">
      <c r="A2402" t="s">
        <v>26</v>
      </c>
      <c r="B2402" s="1">
        <v>44747</v>
      </c>
      <c r="C2402" t="s">
        <v>31</v>
      </c>
      <c r="D2402">
        <v>21</v>
      </c>
      <c r="E2402">
        <v>16.2</v>
      </c>
      <c r="F2402">
        <v>10.4</v>
      </c>
      <c r="G2402">
        <v>1.3</v>
      </c>
      <c r="H2402">
        <v>2</v>
      </c>
      <c r="I2402">
        <v>0</v>
      </c>
      <c r="J2402">
        <v>0</v>
      </c>
      <c r="K2402">
        <v>0</v>
      </c>
      <c r="L2402">
        <v>0</v>
      </c>
      <c r="M2402">
        <v>0</v>
      </c>
      <c r="N2402">
        <v>47611</v>
      </c>
      <c r="O2402">
        <v>49260</v>
      </c>
      <c r="P2402">
        <v>162746</v>
      </c>
      <c r="Q2402">
        <v>10</v>
      </c>
      <c r="R2402">
        <v>8</v>
      </c>
      <c r="S2402">
        <v>17</v>
      </c>
      <c r="T2402">
        <v>65</v>
      </c>
      <c r="U2402">
        <v>79</v>
      </c>
    </row>
    <row r="2403" spans="1:21" x14ac:dyDescent="0.35">
      <c r="A2403" t="s">
        <v>21</v>
      </c>
      <c r="B2403" s="1">
        <v>44811</v>
      </c>
      <c r="C2403" t="s">
        <v>27</v>
      </c>
      <c r="D2403">
        <v>0</v>
      </c>
      <c r="E2403">
        <v>0</v>
      </c>
      <c r="F2403">
        <v>0</v>
      </c>
      <c r="G2403">
        <v>0</v>
      </c>
      <c r="H2403">
        <v>0</v>
      </c>
      <c r="I2403">
        <v>0</v>
      </c>
      <c r="J2403">
        <v>0</v>
      </c>
      <c r="K2403">
        <v>0</v>
      </c>
      <c r="L2403">
        <v>0</v>
      </c>
      <c r="M2403">
        <v>0</v>
      </c>
      <c r="N2403">
        <v>36376</v>
      </c>
      <c r="O2403">
        <v>91174</v>
      </c>
      <c r="P2403">
        <v>37907</v>
      </c>
      <c r="Q2403">
        <v>0</v>
      </c>
      <c r="R2403">
        <v>0</v>
      </c>
      <c r="S2403">
        <v>0</v>
      </c>
      <c r="T2403">
        <v>12</v>
      </c>
      <c r="U2403">
        <v>17</v>
      </c>
    </row>
    <row r="2404" spans="1:21" x14ac:dyDescent="0.35">
      <c r="A2404" t="s">
        <v>28</v>
      </c>
      <c r="B2404" s="1">
        <v>45010</v>
      </c>
      <c r="C2404" t="s">
        <v>27</v>
      </c>
      <c r="D2404">
        <v>81.900000000000006</v>
      </c>
      <c r="E2404">
        <v>42.8</v>
      </c>
      <c r="F2404">
        <v>47.1</v>
      </c>
      <c r="G2404">
        <v>1.9</v>
      </c>
      <c r="H2404">
        <v>1.7</v>
      </c>
      <c r="I2404">
        <v>0</v>
      </c>
      <c r="J2404">
        <v>0</v>
      </c>
      <c r="K2404">
        <v>0</v>
      </c>
      <c r="L2404">
        <v>0</v>
      </c>
      <c r="M2404">
        <v>0</v>
      </c>
      <c r="N2404">
        <v>32972</v>
      </c>
      <c r="O2404">
        <v>86480</v>
      </c>
      <c r="P2404">
        <v>44563</v>
      </c>
      <c r="Q2404">
        <v>27</v>
      </c>
      <c r="R2404">
        <v>37</v>
      </c>
      <c r="S2404">
        <v>21</v>
      </c>
      <c r="T2404">
        <v>12</v>
      </c>
      <c r="U2404">
        <v>17</v>
      </c>
    </row>
    <row r="2405" spans="1:21" x14ac:dyDescent="0.35">
      <c r="A2405" t="s">
        <v>28</v>
      </c>
      <c r="B2405" s="1">
        <v>45066</v>
      </c>
      <c r="C2405" t="s">
        <v>22</v>
      </c>
      <c r="D2405">
        <v>34.5</v>
      </c>
      <c r="E2405">
        <v>12.6</v>
      </c>
      <c r="F2405">
        <v>21.8</v>
      </c>
      <c r="G2405">
        <v>2.7</v>
      </c>
      <c r="H2405">
        <v>1.6</v>
      </c>
      <c r="I2405">
        <v>40.9</v>
      </c>
      <c r="J2405">
        <v>12.9</v>
      </c>
      <c r="K2405">
        <v>17.5</v>
      </c>
      <c r="L2405">
        <v>3.2</v>
      </c>
      <c r="M2405">
        <v>2.2999999999999998</v>
      </c>
      <c r="N2405">
        <v>535909</v>
      </c>
      <c r="O2405">
        <v>860356</v>
      </c>
      <c r="P2405">
        <v>1040655</v>
      </c>
      <c r="Q2405">
        <v>185</v>
      </c>
      <c r="R2405">
        <v>108</v>
      </c>
      <c r="S2405">
        <v>227</v>
      </c>
      <c r="T2405">
        <v>999</v>
      </c>
      <c r="U2405">
        <v>999</v>
      </c>
    </row>
    <row r="2406" spans="1:21" x14ac:dyDescent="0.35">
      <c r="A2406" t="s">
        <v>26</v>
      </c>
      <c r="B2406" s="1">
        <v>44485</v>
      </c>
      <c r="C2406" t="s">
        <v>22</v>
      </c>
      <c r="D2406">
        <v>11.5</v>
      </c>
      <c r="E2406">
        <v>2.9</v>
      </c>
      <c r="F2406">
        <v>0</v>
      </c>
      <c r="G2406">
        <v>4</v>
      </c>
      <c r="H2406">
        <v>0</v>
      </c>
      <c r="I2406">
        <v>17.7</v>
      </c>
      <c r="J2406">
        <v>2.2999999999999998</v>
      </c>
      <c r="K2406">
        <v>0</v>
      </c>
      <c r="L2406">
        <v>7.7</v>
      </c>
      <c r="M2406">
        <v>0</v>
      </c>
      <c r="N2406">
        <v>987934</v>
      </c>
      <c r="O2406">
        <v>1507974</v>
      </c>
      <c r="P2406">
        <v>0</v>
      </c>
      <c r="Q2406">
        <v>114</v>
      </c>
      <c r="R2406">
        <v>44</v>
      </c>
      <c r="S2406">
        <v>0</v>
      </c>
      <c r="T2406">
        <v>999</v>
      </c>
      <c r="U2406">
        <v>999</v>
      </c>
    </row>
    <row r="2407" spans="1:21" x14ac:dyDescent="0.35">
      <c r="A2407" t="s">
        <v>21</v>
      </c>
      <c r="B2407" s="1">
        <v>45082</v>
      </c>
      <c r="C2407" t="s">
        <v>29</v>
      </c>
      <c r="D2407">
        <v>0</v>
      </c>
      <c r="E2407">
        <v>0</v>
      </c>
      <c r="F2407">
        <v>0</v>
      </c>
      <c r="G2407">
        <v>0</v>
      </c>
      <c r="H2407">
        <v>0</v>
      </c>
      <c r="I2407">
        <v>0</v>
      </c>
      <c r="J2407">
        <v>0</v>
      </c>
      <c r="K2407">
        <v>0</v>
      </c>
      <c r="L2407">
        <v>0</v>
      </c>
      <c r="M2407">
        <v>0</v>
      </c>
      <c r="N2407">
        <v>109056</v>
      </c>
      <c r="O2407">
        <v>278396</v>
      </c>
      <c r="P2407">
        <v>347295</v>
      </c>
      <c r="Q2407">
        <v>0</v>
      </c>
      <c r="R2407">
        <v>0</v>
      </c>
      <c r="S2407">
        <v>0</v>
      </c>
      <c r="T2407">
        <v>30</v>
      </c>
      <c r="U2407">
        <v>49</v>
      </c>
    </row>
    <row r="2408" spans="1:21" x14ac:dyDescent="0.35">
      <c r="A2408" t="s">
        <v>28</v>
      </c>
      <c r="B2408" s="1">
        <v>45003</v>
      </c>
      <c r="C2408" t="s">
        <v>22</v>
      </c>
      <c r="D2408">
        <v>88.3</v>
      </c>
      <c r="E2408">
        <v>49.7</v>
      </c>
      <c r="F2408">
        <v>65.7</v>
      </c>
      <c r="G2408">
        <v>1.8</v>
      </c>
      <c r="H2408">
        <v>1.3</v>
      </c>
      <c r="I2408">
        <v>102.1</v>
      </c>
      <c r="J2408">
        <v>48.9</v>
      </c>
      <c r="K2408">
        <v>66</v>
      </c>
      <c r="L2408">
        <v>2.1</v>
      </c>
      <c r="M2408">
        <v>1.5</v>
      </c>
      <c r="N2408">
        <v>542688</v>
      </c>
      <c r="O2408">
        <v>858373</v>
      </c>
      <c r="P2408">
        <v>1040492</v>
      </c>
      <c r="Q2408">
        <v>479</v>
      </c>
      <c r="R2408">
        <v>427</v>
      </c>
      <c r="S2408">
        <v>684</v>
      </c>
      <c r="T2408">
        <v>999</v>
      </c>
      <c r="U2408">
        <v>999</v>
      </c>
    </row>
    <row r="2409" spans="1:21" x14ac:dyDescent="0.35">
      <c r="A2409" t="s">
        <v>21</v>
      </c>
      <c r="B2409" s="1">
        <v>44684</v>
      </c>
      <c r="C2409" t="s">
        <v>22</v>
      </c>
      <c r="D2409">
        <v>1.2</v>
      </c>
      <c r="E2409">
        <v>0.9</v>
      </c>
      <c r="F2409">
        <v>0.4</v>
      </c>
      <c r="G2409">
        <v>1.3</v>
      </c>
      <c r="H2409">
        <v>3</v>
      </c>
      <c r="I2409">
        <v>1.3</v>
      </c>
      <c r="J2409">
        <v>1.7</v>
      </c>
      <c r="K2409">
        <v>0.3</v>
      </c>
      <c r="L2409">
        <v>0.8</v>
      </c>
      <c r="M2409">
        <v>4.4000000000000004</v>
      </c>
      <c r="N2409">
        <v>668131</v>
      </c>
      <c r="O2409">
        <v>908622</v>
      </c>
      <c r="P2409">
        <v>900419</v>
      </c>
      <c r="Q2409">
        <v>8</v>
      </c>
      <c r="R2409">
        <v>8</v>
      </c>
      <c r="S2409">
        <v>4</v>
      </c>
      <c r="T2409">
        <v>999</v>
      </c>
      <c r="U2409">
        <v>999</v>
      </c>
    </row>
    <row r="2410" spans="1:21" x14ac:dyDescent="0.35">
      <c r="A2410" t="s">
        <v>26</v>
      </c>
      <c r="B2410" s="1">
        <v>45117</v>
      </c>
      <c r="C2410" t="s">
        <v>24</v>
      </c>
      <c r="D2410">
        <v>1.1000000000000001</v>
      </c>
      <c r="E2410">
        <v>0</v>
      </c>
      <c r="F2410">
        <v>0</v>
      </c>
      <c r="G2410">
        <v>0</v>
      </c>
      <c r="H2410">
        <v>0</v>
      </c>
      <c r="I2410">
        <v>0</v>
      </c>
      <c r="J2410">
        <v>0</v>
      </c>
      <c r="K2410">
        <v>0</v>
      </c>
      <c r="L2410">
        <v>0</v>
      </c>
      <c r="M2410">
        <v>0</v>
      </c>
      <c r="N2410">
        <v>89345</v>
      </c>
      <c r="O2410">
        <v>82666</v>
      </c>
      <c r="P2410">
        <v>21271</v>
      </c>
      <c r="Q2410">
        <v>1</v>
      </c>
      <c r="R2410">
        <v>0</v>
      </c>
      <c r="S2410">
        <v>0</v>
      </c>
      <c r="T2410">
        <v>5</v>
      </c>
      <c r="U2410">
        <v>11</v>
      </c>
    </row>
    <row r="2411" spans="1:21" x14ac:dyDescent="0.35">
      <c r="A2411" t="s">
        <v>21</v>
      </c>
      <c r="B2411" s="1">
        <v>44849</v>
      </c>
      <c r="C2411" t="s">
        <v>25</v>
      </c>
      <c r="D2411">
        <v>0</v>
      </c>
      <c r="E2411">
        <v>0</v>
      </c>
      <c r="F2411">
        <v>0</v>
      </c>
      <c r="G2411">
        <v>0</v>
      </c>
      <c r="H2411">
        <v>0</v>
      </c>
      <c r="I2411">
        <v>0</v>
      </c>
      <c r="J2411">
        <v>0</v>
      </c>
      <c r="K2411">
        <v>0</v>
      </c>
      <c r="L2411">
        <v>0</v>
      </c>
      <c r="M2411">
        <v>0</v>
      </c>
      <c r="N2411">
        <v>86242</v>
      </c>
      <c r="O2411">
        <v>211934</v>
      </c>
      <c r="P2411">
        <v>161484</v>
      </c>
      <c r="Q2411">
        <v>0</v>
      </c>
      <c r="R2411">
        <v>0</v>
      </c>
      <c r="S2411">
        <v>0</v>
      </c>
      <c r="T2411">
        <v>18</v>
      </c>
      <c r="U2411">
        <v>29</v>
      </c>
    </row>
    <row r="2412" spans="1:21" x14ac:dyDescent="0.35">
      <c r="A2412" t="s">
        <v>28</v>
      </c>
      <c r="B2412" s="1">
        <v>44562</v>
      </c>
      <c r="C2412" t="s">
        <v>22</v>
      </c>
      <c r="D2412">
        <v>2442.1999999999998</v>
      </c>
      <c r="E2412">
        <v>1834.6</v>
      </c>
      <c r="F2412">
        <v>1063.9000000000001</v>
      </c>
      <c r="G2412">
        <v>1.3</v>
      </c>
      <c r="H2412">
        <v>2.2999999999999998</v>
      </c>
      <c r="I2412">
        <v>2749</v>
      </c>
      <c r="J2412">
        <v>1671.1</v>
      </c>
      <c r="K2412">
        <v>915.8</v>
      </c>
      <c r="L2412">
        <v>1.6</v>
      </c>
      <c r="M2412">
        <v>3</v>
      </c>
      <c r="N2412">
        <v>797277</v>
      </c>
      <c r="O2412">
        <v>1104766</v>
      </c>
      <c r="P2412">
        <v>587380</v>
      </c>
      <c r="Q2412">
        <v>19471</v>
      </c>
      <c r="R2412">
        <v>20268</v>
      </c>
      <c r="S2412">
        <v>6249</v>
      </c>
      <c r="T2412">
        <v>999</v>
      </c>
      <c r="U2412">
        <v>999</v>
      </c>
    </row>
    <row r="2413" spans="1:21" x14ac:dyDescent="0.35">
      <c r="A2413" t="s">
        <v>26</v>
      </c>
      <c r="B2413" s="1">
        <v>44512</v>
      </c>
      <c r="C2413" t="s">
        <v>25</v>
      </c>
      <c r="D2413">
        <v>21.7</v>
      </c>
      <c r="E2413">
        <v>0.3</v>
      </c>
      <c r="F2413">
        <v>0</v>
      </c>
      <c r="G2413">
        <v>72.3</v>
      </c>
      <c r="H2413">
        <v>0</v>
      </c>
      <c r="I2413">
        <v>0</v>
      </c>
      <c r="J2413">
        <v>0</v>
      </c>
      <c r="K2413">
        <v>0</v>
      </c>
      <c r="L2413">
        <v>0</v>
      </c>
      <c r="M2413">
        <v>0</v>
      </c>
      <c r="N2413">
        <v>147702</v>
      </c>
      <c r="O2413">
        <v>295416</v>
      </c>
      <c r="P2413">
        <v>37772</v>
      </c>
      <c r="Q2413">
        <v>32</v>
      </c>
      <c r="R2413">
        <v>1</v>
      </c>
      <c r="S2413">
        <v>0</v>
      </c>
      <c r="T2413">
        <v>18</v>
      </c>
      <c r="U2413">
        <v>29</v>
      </c>
    </row>
    <row r="2414" spans="1:21" x14ac:dyDescent="0.35">
      <c r="A2414" t="s">
        <v>21</v>
      </c>
      <c r="B2414" s="1">
        <v>45010</v>
      </c>
      <c r="C2414" t="s">
        <v>31</v>
      </c>
      <c r="D2414">
        <v>2.5</v>
      </c>
      <c r="E2414">
        <v>0</v>
      </c>
      <c r="F2414">
        <v>1.2</v>
      </c>
      <c r="G2414">
        <v>0</v>
      </c>
      <c r="H2414">
        <v>2.1</v>
      </c>
      <c r="I2414">
        <v>0</v>
      </c>
      <c r="J2414">
        <v>0</v>
      </c>
      <c r="K2414">
        <v>0</v>
      </c>
      <c r="L2414">
        <v>0</v>
      </c>
      <c r="M2414">
        <v>0</v>
      </c>
      <c r="N2414">
        <v>39930</v>
      </c>
      <c r="O2414">
        <v>43424</v>
      </c>
      <c r="P2414">
        <v>171711</v>
      </c>
      <c r="Q2414">
        <v>1</v>
      </c>
      <c r="R2414">
        <v>0</v>
      </c>
      <c r="S2414">
        <v>2</v>
      </c>
      <c r="T2414">
        <v>65</v>
      </c>
      <c r="U2414">
        <v>79</v>
      </c>
    </row>
    <row r="2415" spans="1:21" x14ac:dyDescent="0.35">
      <c r="A2415" t="s">
        <v>21</v>
      </c>
      <c r="B2415" s="1">
        <v>44843</v>
      </c>
      <c r="C2415" t="s">
        <v>25</v>
      </c>
      <c r="D2415">
        <v>0</v>
      </c>
      <c r="E2415">
        <v>0</v>
      </c>
      <c r="F2415">
        <v>0</v>
      </c>
      <c r="G2415">
        <v>0</v>
      </c>
      <c r="H2415">
        <v>0</v>
      </c>
      <c r="I2415">
        <v>0</v>
      </c>
      <c r="J2415">
        <v>0</v>
      </c>
      <c r="K2415">
        <v>0</v>
      </c>
      <c r="L2415">
        <v>0</v>
      </c>
      <c r="M2415">
        <v>0</v>
      </c>
      <c r="N2415">
        <v>90487</v>
      </c>
      <c r="O2415">
        <v>211509</v>
      </c>
      <c r="P2415">
        <v>161187</v>
      </c>
      <c r="Q2415">
        <v>0</v>
      </c>
      <c r="R2415">
        <v>0</v>
      </c>
      <c r="S2415">
        <v>0</v>
      </c>
      <c r="T2415">
        <v>18</v>
      </c>
      <c r="U2415">
        <v>29</v>
      </c>
    </row>
    <row r="2416" spans="1:21" x14ac:dyDescent="0.35">
      <c r="A2416" t="s">
        <v>21</v>
      </c>
      <c r="B2416" s="1">
        <v>45031</v>
      </c>
      <c r="C2416" t="s">
        <v>25</v>
      </c>
      <c r="D2416">
        <v>0</v>
      </c>
      <c r="E2416">
        <v>0</v>
      </c>
      <c r="F2416">
        <v>0</v>
      </c>
      <c r="G2416">
        <v>0</v>
      </c>
      <c r="H2416">
        <v>0</v>
      </c>
      <c r="I2416">
        <v>0</v>
      </c>
      <c r="J2416">
        <v>0</v>
      </c>
      <c r="K2416">
        <v>0</v>
      </c>
      <c r="L2416">
        <v>0</v>
      </c>
      <c r="M2416">
        <v>0</v>
      </c>
      <c r="N2416">
        <v>75787</v>
      </c>
      <c r="O2416">
        <v>213968</v>
      </c>
      <c r="P2416">
        <v>161682</v>
      </c>
      <c r="Q2416">
        <v>0</v>
      </c>
      <c r="R2416">
        <v>0</v>
      </c>
      <c r="S2416">
        <v>0</v>
      </c>
      <c r="T2416">
        <v>18</v>
      </c>
      <c r="U2416">
        <v>29</v>
      </c>
    </row>
    <row r="2417" spans="1:21" x14ac:dyDescent="0.35">
      <c r="A2417" t="s">
        <v>28</v>
      </c>
      <c r="B2417" s="1">
        <v>44599</v>
      </c>
      <c r="C2417" t="s">
        <v>25</v>
      </c>
      <c r="D2417">
        <v>389.3</v>
      </c>
      <c r="E2417">
        <v>121.6</v>
      </c>
      <c r="F2417">
        <v>291.89999999999998</v>
      </c>
      <c r="G2417">
        <v>3.2</v>
      </c>
      <c r="H2417">
        <v>1.3</v>
      </c>
      <c r="I2417">
        <v>0</v>
      </c>
      <c r="J2417">
        <v>0</v>
      </c>
      <c r="K2417">
        <v>0</v>
      </c>
      <c r="L2417">
        <v>0</v>
      </c>
      <c r="M2417">
        <v>0</v>
      </c>
      <c r="N2417">
        <v>93769</v>
      </c>
      <c r="O2417">
        <v>214617</v>
      </c>
      <c r="P2417">
        <v>155854</v>
      </c>
      <c r="Q2417">
        <v>365</v>
      </c>
      <c r="R2417">
        <v>261</v>
      </c>
      <c r="S2417">
        <v>455</v>
      </c>
      <c r="T2417">
        <v>18</v>
      </c>
      <c r="U2417">
        <v>29</v>
      </c>
    </row>
    <row r="2418" spans="1:21" x14ac:dyDescent="0.35">
      <c r="A2418" t="s">
        <v>26</v>
      </c>
      <c r="B2418" s="1">
        <v>45205</v>
      </c>
      <c r="C2418" t="s">
        <v>32</v>
      </c>
      <c r="D2418">
        <v>0</v>
      </c>
      <c r="E2418">
        <v>0</v>
      </c>
      <c r="F2418">
        <v>0</v>
      </c>
      <c r="G2418">
        <v>0</v>
      </c>
      <c r="H2418">
        <v>0</v>
      </c>
      <c r="I2418">
        <v>0</v>
      </c>
      <c r="J2418">
        <v>0</v>
      </c>
      <c r="K2418">
        <v>0</v>
      </c>
      <c r="L2418">
        <v>0</v>
      </c>
      <c r="M2418">
        <v>0</v>
      </c>
      <c r="N2418">
        <v>162642</v>
      </c>
      <c r="O2418">
        <v>0</v>
      </c>
      <c r="P2418">
        <v>0</v>
      </c>
      <c r="Q2418">
        <v>0</v>
      </c>
      <c r="R2418">
        <v>0</v>
      </c>
      <c r="S2418">
        <v>0</v>
      </c>
      <c r="T2418">
        <v>0</v>
      </c>
      <c r="U2418">
        <v>4</v>
      </c>
    </row>
    <row r="2419" spans="1:21" x14ac:dyDescent="0.35">
      <c r="A2419" t="s">
        <v>28</v>
      </c>
      <c r="B2419" s="1">
        <v>45003</v>
      </c>
      <c r="C2419" t="s">
        <v>23</v>
      </c>
      <c r="D2419">
        <v>121.9</v>
      </c>
      <c r="E2419">
        <v>54.9</v>
      </c>
      <c r="F2419">
        <v>77.400000000000006</v>
      </c>
      <c r="G2419">
        <v>2.2000000000000002</v>
      </c>
      <c r="H2419">
        <v>1.6</v>
      </c>
      <c r="I2419">
        <v>0</v>
      </c>
      <c r="J2419">
        <v>0</v>
      </c>
      <c r="K2419">
        <v>0</v>
      </c>
      <c r="L2419">
        <v>0</v>
      </c>
      <c r="M2419">
        <v>0</v>
      </c>
      <c r="N2419">
        <v>33625</v>
      </c>
      <c r="O2419">
        <v>125634</v>
      </c>
      <c r="P2419">
        <v>246883</v>
      </c>
      <c r="Q2419">
        <v>41</v>
      </c>
      <c r="R2419">
        <v>69</v>
      </c>
      <c r="S2419">
        <v>191</v>
      </c>
      <c r="T2419">
        <v>50</v>
      </c>
      <c r="U2419">
        <v>64</v>
      </c>
    </row>
    <row r="2420" spans="1:21" x14ac:dyDescent="0.35">
      <c r="A2420" t="s">
        <v>21</v>
      </c>
      <c r="B2420" s="1">
        <v>44473</v>
      </c>
      <c r="C2420" t="s">
        <v>31</v>
      </c>
      <c r="D2420">
        <v>7</v>
      </c>
      <c r="E2420">
        <v>0.9</v>
      </c>
      <c r="F2420">
        <v>0</v>
      </c>
      <c r="G2420">
        <v>7.8</v>
      </c>
      <c r="H2420">
        <v>0</v>
      </c>
      <c r="I2420">
        <v>0</v>
      </c>
      <c r="J2420">
        <v>0</v>
      </c>
      <c r="K2420">
        <v>0</v>
      </c>
      <c r="L2420">
        <v>0</v>
      </c>
      <c r="M2420">
        <v>0</v>
      </c>
      <c r="N2420">
        <v>99368</v>
      </c>
      <c r="O2420">
        <v>107437</v>
      </c>
      <c r="P2420">
        <v>0</v>
      </c>
      <c r="Q2420">
        <v>7</v>
      </c>
      <c r="R2420">
        <v>1</v>
      </c>
      <c r="S2420">
        <v>0</v>
      </c>
      <c r="T2420">
        <v>65</v>
      </c>
      <c r="U2420">
        <v>79</v>
      </c>
    </row>
    <row r="2421" spans="1:21" x14ac:dyDescent="0.35">
      <c r="A2421" t="s">
        <v>26</v>
      </c>
      <c r="B2421" s="1">
        <v>44702</v>
      </c>
      <c r="C2421" t="s">
        <v>31</v>
      </c>
      <c r="D2421">
        <v>36</v>
      </c>
      <c r="E2421">
        <v>35.1</v>
      </c>
      <c r="F2421">
        <v>16.5</v>
      </c>
      <c r="G2421">
        <v>1</v>
      </c>
      <c r="H2421">
        <v>2.2000000000000002</v>
      </c>
      <c r="I2421">
        <v>0</v>
      </c>
      <c r="J2421">
        <v>0</v>
      </c>
      <c r="K2421">
        <v>0</v>
      </c>
      <c r="L2421">
        <v>0</v>
      </c>
      <c r="M2421">
        <v>0</v>
      </c>
      <c r="N2421">
        <v>47243</v>
      </c>
      <c r="O2421">
        <v>48398</v>
      </c>
      <c r="P2421">
        <v>164100</v>
      </c>
      <c r="Q2421">
        <v>17</v>
      </c>
      <c r="R2421">
        <v>17</v>
      </c>
      <c r="S2421">
        <v>27</v>
      </c>
      <c r="T2421">
        <v>65</v>
      </c>
      <c r="U2421">
        <v>79</v>
      </c>
    </row>
    <row r="2422" spans="1:21" x14ac:dyDescent="0.35">
      <c r="A2422" t="s">
        <v>21</v>
      </c>
      <c r="B2422" s="1">
        <v>44863</v>
      </c>
      <c r="C2422" t="s">
        <v>31</v>
      </c>
      <c r="D2422">
        <v>0</v>
      </c>
      <c r="E2422">
        <v>4.5999999999999996</v>
      </c>
      <c r="F2422">
        <v>1.2</v>
      </c>
      <c r="G2422">
        <v>0</v>
      </c>
      <c r="H2422">
        <v>0</v>
      </c>
      <c r="I2422">
        <v>0</v>
      </c>
      <c r="J2422">
        <v>0</v>
      </c>
      <c r="K2422">
        <v>0</v>
      </c>
      <c r="L2422">
        <v>0</v>
      </c>
      <c r="M2422">
        <v>0</v>
      </c>
      <c r="N2422">
        <v>42620</v>
      </c>
      <c r="O2422">
        <v>43357</v>
      </c>
      <c r="P2422">
        <v>171513</v>
      </c>
      <c r="Q2422">
        <v>0</v>
      </c>
      <c r="R2422">
        <v>2</v>
      </c>
      <c r="S2422">
        <v>2</v>
      </c>
      <c r="T2422">
        <v>65</v>
      </c>
      <c r="U2422">
        <v>79</v>
      </c>
    </row>
    <row r="2423" spans="1:21" x14ac:dyDescent="0.35">
      <c r="A2423" t="s">
        <v>26</v>
      </c>
      <c r="B2423" s="1">
        <v>44413</v>
      </c>
      <c r="C2423" t="s">
        <v>23</v>
      </c>
      <c r="D2423">
        <v>67.599999999999994</v>
      </c>
      <c r="E2423">
        <v>4.0999999999999996</v>
      </c>
      <c r="F2423">
        <v>0</v>
      </c>
      <c r="G2423">
        <v>16.5</v>
      </c>
      <c r="H2423">
        <v>0</v>
      </c>
      <c r="I2423">
        <v>0</v>
      </c>
      <c r="J2423">
        <v>0</v>
      </c>
      <c r="K2423">
        <v>0</v>
      </c>
      <c r="L2423">
        <v>0</v>
      </c>
      <c r="M2423">
        <v>0</v>
      </c>
      <c r="N2423">
        <v>146538</v>
      </c>
      <c r="O2423">
        <v>195911</v>
      </c>
      <c r="P2423">
        <v>0</v>
      </c>
      <c r="Q2423">
        <v>99</v>
      </c>
      <c r="R2423">
        <v>8</v>
      </c>
      <c r="S2423">
        <v>0</v>
      </c>
      <c r="T2423">
        <v>50</v>
      </c>
      <c r="U2423">
        <v>64</v>
      </c>
    </row>
    <row r="2424" spans="1:21" x14ac:dyDescent="0.35">
      <c r="A2424" t="s">
        <v>26</v>
      </c>
      <c r="B2424" s="1">
        <v>45199</v>
      </c>
      <c r="C2424" t="s">
        <v>22</v>
      </c>
      <c r="D2424">
        <v>5</v>
      </c>
      <c r="E2424">
        <v>1.7</v>
      </c>
      <c r="F2424">
        <v>3.8</v>
      </c>
      <c r="G2424">
        <v>2.9</v>
      </c>
      <c r="H2424">
        <v>1.3</v>
      </c>
      <c r="I2424">
        <v>6.6</v>
      </c>
      <c r="J2424">
        <v>2.2999999999999998</v>
      </c>
      <c r="K2424">
        <v>2.9</v>
      </c>
      <c r="L2424">
        <v>2.9</v>
      </c>
      <c r="M2424">
        <v>2.2999999999999998</v>
      </c>
      <c r="N2424">
        <v>524196</v>
      </c>
      <c r="O2424">
        <v>860280</v>
      </c>
      <c r="P2424">
        <v>1040855</v>
      </c>
      <c r="Q2424">
        <v>26</v>
      </c>
      <c r="R2424">
        <v>15</v>
      </c>
      <c r="S2424">
        <v>40</v>
      </c>
      <c r="T2424">
        <v>999</v>
      </c>
      <c r="U2424">
        <v>999</v>
      </c>
    </row>
    <row r="2425" spans="1:21" x14ac:dyDescent="0.35">
      <c r="A2425" t="s">
        <v>28</v>
      </c>
      <c r="B2425" s="1">
        <v>45059</v>
      </c>
      <c r="C2425" t="s">
        <v>23</v>
      </c>
      <c r="D2425">
        <v>124.2</v>
      </c>
      <c r="E2425">
        <v>19.899999999999999</v>
      </c>
      <c r="F2425">
        <v>30.8</v>
      </c>
      <c r="G2425">
        <v>6.2</v>
      </c>
      <c r="H2425">
        <v>4</v>
      </c>
      <c r="I2425">
        <v>0</v>
      </c>
      <c r="J2425">
        <v>0</v>
      </c>
      <c r="K2425">
        <v>0</v>
      </c>
      <c r="L2425">
        <v>0</v>
      </c>
      <c r="M2425">
        <v>0</v>
      </c>
      <c r="N2425">
        <v>33018</v>
      </c>
      <c r="O2425">
        <v>125743</v>
      </c>
      <c r="P2425">
        <v>246910</v>
      </c>
      <c r="Q2425">
        <v>41</v>
      </c>
      <c r="R2425">
        <v>25</v>
      </c>
      <c r="S2425">
        <v>76</v>
      </c>
      <c r="T2425">
        <v>50</v>
      </c>
      <c r="U2425">
        <v>64</v>
      </c>
    </row>
    <row r="2426" spans="1:21" x14ac:dyDescent="0.35">
      <c r="A2426" t="s">
        <v>26</v>
      </c>
      <c r="B2426" s="1">
        <v>44674</v>
      </c>
      <c r="C2426" t="s">
        <v>25</v>
      </c>
      <c r="D2426">
        <v>6.2</v>
      </c>
      <c r="E2426">
        <v>3.2</v>
      </c>
      <c r="F2426">
        <v>1.3</v>
      </c>
      <c r="G2426">
        <v>1.9</v>
      </c>
      <c r="H2426">
        <v>4.8</v>
      </c>
      <c r="I2426">
        <v>0</v>
      </c>
      <c r="J2426">
        <v>0</v>
      </c>
      <c r="K2426">
        <v>0</v>
      </c>
      <c r="L2426">
        <v>0</v>
      </c>
      <c r="M2426">
        <v>0</v>
      </c>
      <c r="N2426">
        <v>97360</v>
      </c>
      <c r="O2426">
        <v>218531</v>
      </c>
      <c r="P2426">
        <v>149251</v>
      </c>
      <c r="Q2426">
        <v>6</v>
      </c>
      <c r="R2426">
        <v>7</v>
      </c>
      <c r="S2426">
        <v>2</v>
      </c>
      <c r="T2426">
        <v>18</v>
      </c>
      <c r="U2426">
        <v>29</v>
      </c>
    </row>
    <row r="2427" spans="1:21" x14ac:dyDescent="0.35">
      <c r="A2427" t="s">
        <v>28</v>
      </c>
      <c r="B2427" s="1">
        <v>44513</v>
      </c>
      <c r="C2427" t="s">
        <v>29</v>
      </c>
      <c r="D2427">
        <v>299.2</v>
      </c>
      <c r="E2427">
        <v>112.8</v>
      </c>
      <c r="F2427">
        <v>36.5</v>
      </c>
      <c r="G2427">
        <v>2.7</v>
      </c>
      <c r="H2427">
        <v>8.1999999999999993</v>
      </c>
      <c r="I2427">
        <v>0</v>
      </c>
      <c r="J2427">
        <v>0</v>
      </c>
      <c r="K2427">
        <v>0</v>
      </c>
      <c r="L2427">
        <v>0</v>
      </c>
      <c r="M2427">
        <v>0</v>
      </c>
      <c r="N2427">
        <v>196498</v>
      </c>
      <c r="O2427">
        <v>516743</v>
      </c>
      <c r="P2427">
        <v>46608</v>
      </c>
      <c r="Q2427">
        <v>588</v>
      </c>
      <c r="R2427">
        <v>583</v>
      </c>
      <c r="S2427">
        <v>17</v>
      </c>
      <c r="T2427">
        <v>30</v>
      </c>
      <c r="U2427">
        <v>49</v>
      </c>
    </row>
    <row r="2428" spans="1:21" x14ac:dyDescent="0.35">
      <c r="A2428" t="s">
        <v>26</v>
      </c>
      <c r="B2428" s="1">
        <v>44966</v>
      </c>
      <c r="C2428" t="s">
        <v>24</v>
      </c>
      <c r="D2428">
        <v>1.1000000000000001</v>
      </c>
      <c r="E2428">
        <v>2.4</v>
      </c>
      <c r="F2428">
        <v>0</v>
      </c>
      <c r="G2428">
        <v>0.5</v>
      </c>
      <c r="H2428">
        <v>0</v>
      </c>
      <c r="I2428">
        <v>0</v>
      </c>
      <c r="J2428">
        <v>0</v>
      </c>
      <c r="K2428">
        <v>0</v>
      </c>
      <c r="L2428">
        <v>0</v>
      </c>
      <c r="M2428">
        <v>0</v>
      </c>
      <c r="N2428">
        <v>89489</v>
      </c>
      <c r="O2428">
        <v>82669</v>
      </c>
      <c r="P2428">
        <v>21265</v>
      </c>
      <c r="Q2428">
        <v>1</v>
      </c>
      <c r="R2428">
        <v>2</v>
      </c>
      <c r="S2428">
        <v>0</v>
      </c>
      <c r="T2428">
        <v>5</v>
      </c>
      <c r="U2428">
        <v>11</v>
      </c>
    </row>
    <row r="2429" spans="1:21" x14ac:dyDescent="0.35">
      <c r="A2429" t="s">
        <v>26</v>
      </c>
      <c r="B2429" s="1">
        <v>44338</v>
      </c>
      <c r="C2429" t="s">
        <v>29</v>
      </c>
      <c r="D2429">
        <v>21.6</v>
      </c>
      <c r="E2429">
        <v>1.4</v>
      </c>
      <c r="F2429">
        <v>0</v>
      </c>
      <c r="G2429">
        <v>15.4</v>
      </c>
      <c r="H2429">
        <v>0</v>
      </c>
      <c r="I2429">
        <v>0</v>
      </c>
      <c r="J2429">
        <v>0</v>
      </c>
      <c r="K2429">
        <v>0</v>
      </c>
      <c r="L2429">
        <v>0</v>
      </c>
      <c r="M2429">
        <v>0</v>
      </c>
      <c r="N2429">
        <v>324620</v>
      </c>
      <c r="O2429">
        <v>366867</v>
      </c>
      <c r="P2429">
        <v>0</v>
      </c>
      <c r="Q2429">
        <v>70</v>
      </c>
      <c r="R2429">
        <v>5</v>
      </c>
      <c r="S2429">
        <v>0</v>
      </c>
      <c r="T2429">
        <v>30</v>
      </c>
      <c r="U2429">
        <v>49</v>
      </c>
    </row>
    <row r="2430" spans="1:21" x14ac:dyDescent="0.35">
      <c r="A2430" t="s">
        <v>26</v>
      </c>
      <c r="B2430" s="1">
        <v>45122</v>
      </c>
      <c r="C2430" t="s">
        <v>30</v>
      </c>
      <c r="D2430">
        <v>4.0999999999999996</v>
      </c>
      <c r="E2430">
        <v>0</v>
      </c>
      <c r="F2430">
        <v>2.1</v>
      </c>
      <c r="G2430">
        <v>0</v>
      </c>
      <c r="H2430">
        <v>2</v>
      </c>
      <c r="I2430">
        <v>0</v>
      </c>
      <c r="J2430">
        <v>0</v>
      </c>
      <c r="K2430">
        <v>0</v>
      </c>
      <c r="L2430">
        <v>0</v>
      </c>
      <c r="M2430">
        <v>0</v>
      </c>
      <c r="N2430">
        <v>24489</v>
      </c>
      <c r="O2430">
        <v>11383</v>
      </c>
      <c r="P2430">
        <v>47130</v>
      </c>
      <c r="Q2430">
        <v>1</v>
      </c>
      <c r="R2430">
        <v>0</v>
      </c>
      <c r="S2430">
        <v>1</v>
      </c>
      <c r="T2430">
        <v>80</v>
      </c>
      <c r="U2430">
        <v>200</v>
      </c>
    </row>
    <row r="2431" spans="1:21" x14ac:dyDescent="0.35">
      <c r="A2431" t="s">
        <v>28</v>
      </c>
      <c r="B2431" s="1">
        <v>45129</v>
      </c>
      <c r="C2431" t="s">
        <v>29</v>
      </c>
      <c r="D2431">
        <v>27.9</v>
      </c>
      <c r="E2431">
        <v>12.9</v>
      </c>
      <c r="F2431">
        <v>15</v>
      </c>
      <c r="G2431">
        <v>2.2000000000000002</v>
      </c>
      <c r="H2431">
        <v>1.9</v>
      </c>
      <c r="I2431">
        <v>0</v>
      </c>
      <c r="J2431">
        <v>0</v>
      </c>
      <c r="K2431">
        <v>0</v>
      </c>
      <c r="L2431">
        <v>0</v>
      </c>
      <c r="M2431">
        <v>0</v>
      </c>
      <c r="N2431">
        <v>107614</v>
      </c>
      <c r="O2431">
        <v>278401</v>
      </c>
      <c r="P2431">
        <v>347312</v>
      </c>
      <c r="Q2431">
        <v>30</v>
      </c>
      <c r="R2431">
        <v>36</v>
      </c>
      <c r="S2431">
        <v>52</v>
      </c>
      <c r="T2431">
        <v>30</v>
      </c>
      <c r="U2431">
        <v>49</v>
      </c>
    </row>
    <row r="2432" spans="1:21" x14ac:dyDescent="0.35">
      <c r="A2432" t="s">
        <v>26</v>
      </c>
      <c r="B2432" s="1">
        <v>44674</v>
      </c>
      <c r="C2432" t="s">
        <v>24</v>
      </c>
      <c r="D2432">
        <v>0</v>
      </c>
      <c r="E2432">
        <v>1.1000000000000001</v>
      </c>
      <c r="F2432">
        <v>0</v>
      </c>
      <c r="G2432">
        <v>0</v>
      </c>
      <c r="H2432">
        <v>0</v>
      </c>
      <c r="I2432">
        <v>0</v>
      </c>
      <c r="J2432">
        <v>0</v>
      </c>
      <c r="K2432">
        <v>0</v>
      </c>
      <c r="L2432">
        <v>0</v>
      </c>
      <c r="M2432">
        <v>0</v>
      </c>
      <c r="N2432">
        <v>102360</v>
      </c>
      <c r="O2432">
        <v>92950</v>
      </c>
      <c r="P2432">
        <v>0</v>
      </c>
      <c r="Q2432">
        <v>0</v>
      </c>
      <c r="R2432">
        <v>1</v>
      </c>
      <c r="S2432">
        <v>0</v>
      </c>
      <c r="T2432">
        <v>5</v>
      </c>
      <c r="U2432">
        <v>11</v>
      </c>
    </row>
    <row r="2433" spans="1:21" x14ac:dyDescent="0.35">
      <c r="A2433" t="s">
        <v>21</v>
      </c>
      <c r="B2433" s="1">
        <v>44772</v>
      </c>
      <c r="C2433" t="s">
        <v>30</v>
      </c>
      <c r="D2433">
        <v>3.8</v>
      </c>
      <c r="E2433">
        <v>8.4</v>
      </c>
      <c r="F2433">
        <v>6.5</v>
      </c>
      <c r="G2433">
        <v>0.5</v>
      </c>
      <c r="H2433">
        <v>0.6</v>
      </c>
      <c r="I2433">
        <v>0</v>
      </c>
      <c r="J2433">
        <v>0</v>
      </c>
      <c r="K2433">
        <v>0</v>
      </c>
      <c r="L2433">
        <v>0</v>
      </c>
      <c r="M2433">
        <v>0</v>
      </c>
      <c r="N2433">
        <v>26322</v>
      </c>
      <c r="O2433">
        <v>11862</v>
      </c>
      <c r="P2433">
        <v>46378</v>
      </c>
      <c r="Q2433">
        <v>1</v>
      </c>
      <c r="R2433">
        <v>1</v>
      </c>
      <c r="S2433">
        <v>3</v>
      </c>
      <c r="T2433">
        <v>80</v>
      </c>
      <c r="U2433">
        <v>200</v>
      </c>
    </row>
    <row r="2434" spans="1:21" x14ac:dyDescent="0.35">
      <c r="A2434" t="s">
        <v>26</v>
      </c>
      <c r="B2434" s="1">
        <v>44476</v>
      </c>
      <c r="C2434" t="s">
        <v>23</v>
      </c>
      <c r="D2434">
        <v>4.7</v>
      </c>
      <c r="E2434">
        <v>0.3</v>
      </c>
      <c r="F2434">
        <v>0</v>
      </c>
      <c r="G2434">
        <v>15.7</v>
      </c>
      <c r="H2434">
        <v>0</v>
      </c>
      <c r="I2434">
        <v>0</v>
      </c>
      <c r="J2434">
        <v>0</v>
      </c>
      <c r="K2434">
        <v>0</v>
      </c>
      <c r="L2434">
        <v>0</v>
      </c>
      <c r="M2434">
        <v>0</v>
      </c>
      <c r="N2434">
        <v>107073</v>
      </c>
      <c r="O2434">
        <v>304806</v>
      </c>
      <c r="P2434">
        <v>0</v>
      </c>
      <c r="Q2434">
        <v>5</v>
      </c>
      <c r="R2434">
        <v>1</v>
      </c>
      <c r="S2434">
        <v>0</v>
      </c>
      <c r="T2434">
        <v>50</v>
      </c>
      <c r="U2434">
        <v>64</v>
      </c>
    </row>
    <row r="2435" spans="1:21" x14ac:dyDescent="0.35">
      <c r="A2435" t="s">
        <v>28</v>
      </c>
      <c r="B2435" s="1">
        <v>44512</v>
      </c>
      <c r="C2435" t="s">
        <v>22</v>
      </c>
      <c r="D2435">
        <v>504.4</v>
      </c>
      <c r="E2435">
        <v>212</v>
      </c>
      <c r="F2435">
        <v>59.3</v>
      </c>
      <c r="G2435">
        <v>2.4</v>
      </c>
      <c r="H2435">
        <v>8.5</v>
      </c>
      <c r="I2435">
        <v>576.9</v>
      </c>
      <c r="J2435">
        <v>173.5</v>
      </c>
      <c r="K2435">
        <v>54.8</v>
      </c>
      <c r="L2435">
        <v>3.3</v>
      </c>
      <c r="M2435">
        <v>10.5</v>
      </c>
      <c r="N2435">
        <v>847199</v>
      </c>
      <c r="O2435">
        <v>1247588</v>
      </c>
      <c r="P2435">
        <v>380994</v>
      </c>
      <c r="Q2435">
        <v>4273</v>
      </c>
      <c r="R2435">
        <v>2645</v>
      </c>
      <c r="S2435">
        <v>226</v>
      </c>
      <c r="T2435">
        <v>999</v>
      </c>
      <c r="U2435">
        <v>999</v>
      </c>
    </row>
    <row r="2436" spans="1:21" x14ac:dyDescent="0.35">
      <c r="A2436" t="s">
        <v>28</v>
      </c>
      <c r="B2436" s="1">
        <v>45233</v>
      </c>
      <c r="C2436" t="s">
        <v>23</v>
      </c>
      <c r="D2436">
        <v>213.6</v>
      </c>
      <c r="E2436">
        <v>70.8</v>
      </c>
      <c r="F2436">
        <v>87.9</v>
      </c>
      <c r="G2436">
        <v>3</v>
      </c>
      <c r="H2436">
        <v>2.4</v>
      </c>
      <c r="I2436">
        <v>0</v>
      </c>
      <c r="J2436">
        <v>0</v>
      </c>
      <c r="K2436">
        <v>0</v>
      </c>
      <c r="L2436">
        <v>0</v>
      </c>
      <c r="M2436">
        <v>0</v>
      </c>
      <c r="N2436">
        <v>33710</v>
      </c>
      <c r="O2436">
        <v>125621</v>
      </c>
      <c r="P2436">
        <v>246881</v>
      </c>
      <c r="Q2436">
        <v>72</v>
      </c>
      <c r="R2436">
        <v>89</v>
      </c>
      <c r="S2436">
        <v>217</v>
      </c>
      <c r="T2436">
        <v>50</v>
      </c>
      <c r="U2436">
        <v>64</v>
      </c>
    </row>
    <row r="2437" spans="1:21" x14ac:dyDescent="0.35">
      <c r="A2437" t="s">
        <v>26</v>
      </c>
      <c r="B2437" s="1">
        <v>44429</v>
      </c>
      <c r="C2437" t="s">
        <v>29</v>
      </c>
      <c r="D2437">
        <v>22.1</v>
      </c>
      <c r="E2437">
        <v>2</v>
      </c>
      <c r="F2437">
        <v>0</v>
      </c>
      <c r="G2437">
        <v>11</v>
      </c>
      <c r="H2437">
        <v>0</v>
      </c>
      <c r="I2437">
        <v>0</v>
      </c>
      <c r="J2437">
        <v>0</v>
      </c>
      <c r="K2437">
        <v>0</v>
      </c>
      <c r="L2437">
        <v>0</v>
      </c>
      <c r="M2437">
        <v>0</v>
      </c>
      <c r="N2437">
        <v>249126</v>
      </c>
      <c r="O2437">
        <v>508434</v>
      </c>
      <c r="P2437">
        <v>0</v>
      </c>
      <c r="Q2437">
        <v>55</v>
      </c>
      <c r="R2437">
        <v>10</v>
      </c>
      <c r="S2437">
        <v>0</v>
      </c>
      <c r="T2437">
        <v>30</v>
      </c>
      <c r="U2437">
        <v>49</v>
      </c>
    </row>
    <row r="2438" spans="1:21" x14ac:dyDescent="0.35">
      <c r="A2438" t="s">
        <v>28</v>
      </c>
      <c r="B2438" s="1">
        <v>45019</v>
      </c>
      <c r="C2438" t="s">
        <v>22</v>
      </c>
      <c r="D2438">
        <v>118.5</v>
      </c>
      <c r="E2438">
        <v>68.400000000000006</v>
      </c>
      <c r="F2438">
        <v>93.2</v>
      </c>
      <c r="G2438">
        <v>1.7</v>
      </c>
      <c r="H2438">
        <v>1.3</v>
      </c>
      <c r="I2438">
        <v>133.69999999999999</v>
      </c>
      <c r="J2438">
        <v>70</v>
      </c>
      <c r="K2438">
        <v>93.6</v>
      </c>
      <c r="L2438">
        <v>1.9</v>
      </c>
      <c r="M2438">
        <v>1.4</v>
      </c>
      <c r="N2438">
        <v>544398</v>
      </c>
      <c r="O2438">
        <v>857702</v>
      </c>
      <c r="P2438">
        <v>1040439</v>
      </c>
      <c r="Q2438">
        <v>645</v>
      </c>
      <c r="R2438">
        <v>587</v>
      </c>
      <c r="S2438">
        <v>970</v>
      </c>
      <c r="T2438">
        <v>999</v>
      </c>
      <c r="U2438">
        <v>999</v>
      </c>
    </row>
    <row r="2439" spans="1:21" x14ac:dyDescent="0.35">
      <c r="A2439" t="s">
        <v>28</v>
      </c>
      <c r="B2439" s="1">
        <v>44583</v>
      </c>
      <c r="C2439" t="s">
        <v>22</v>
      </c>
      <c r="D2439">
        <v>654.1</v>
      </c>
      <c r="E2439">
        <v>448.4</v>
      </c>
      <c r="F2439">
        <v>372.4</v>
      </c>
      <c r="G2439">
        <v>1.5</v>
      </c>
      <c r="H2439">
        <v>1.8</v>
      </c>
      <c r="I2439">
        <v>718</v>
      </c>
      <c r="J2439">
        <v>444.5</v>
      </c>
      <c r="K2439">
        <v>316.5</v>
      </c>
      <c r="L2439">
        <v>1.6</v>
      </c>
      <c r="M2439">
        <v>2.2999999999999998</v>
      </c>
      <c r="N2439">
        <v>724665</v>
      </c>
      <c r="O2439">
        <v>989128</v>
      </c>
      <c r="P2439">
        <v>733279</v>
      </c>
      <c r="Q2439">
        <v>4740</v>
      </c>
      <c r="R2439">
        <v>4435</v>
      </c>
      <c r="S2439">
        <v>2731</v>
      </c>
      <c r="T2439">
        <v>999</v>
      </c>
      <c r="U2439">
        <v>999</v>
      </c>
    </row>
    <row r="2440" spans="1:21" x14ac:dyDescent="0.35">
      <c r="A2440" t="s">
        <v>28</v>
      </c>
      <c r="B2440" s="1">
        <v>44464</v>
      </c>
      <c r="C2440" t="s">
        <v>27</v>
      </c>
      <c r="D2440">
        <v>233</v>
      </c>
      <c r="E2440">
        <v>29.9</v>
      </c>
      <c r="F2440">
        <v>0</v>
      </c>
      <c r="G2440">
        <v>7.8</v>
      </c>
      <c r="H2440">
        <v>0</v>
      </c>
      <c r="I2440">
        <v>0</v>
      </c>
      <c r="J2440">
        <v>0</v>
      </c>
      <c r="K2440">
        <v>0</v>
      </c>
      <c r="L2440">
        <v>0</v>
      </c>
      <c r="M2440">
        <v>0</v>
      </c>
      <c r="N2440">
        <v>69960</v>
      </c>
      <c r="O2440">
        <v>90234</v>
      </c>
      <c r="P2440">
        <v>0</v>
      </c>
      <c r="Q2440">
        <v>163</v>
      </c>
      <c r="R2440">
        <v>27</v>
      </c>
      <c r="S2440">
        <v>0</v>
      </c>
      <c r="T2440">
        <v>12</v>
      </c>
      <c r="U2440">
        <v>17</v>
      </c>
    </row>
    <row r="2441" spans="1:21" x14ac:dyDescent="0.35">
      <c r="A2441" t="s">
        <v>26</v>
      </c>
      <c r="B2441" s="1">
        <v>45185</v>
      </c>
      <c r="C2441" t="s">
        <v>29</v>
      </c>
      <c r="D2441">
        <v>2.8</v>
      </c>
      <c r="E2441">
        <v>1.8</v>
      </c>
      <c r="F2441">
        <v>0.6</v>
      </c>
      <c r="G2441">
        <v>1.6</v>
      </c>
      <c r="H2441">
        <v>4.7</v>
      </c>
      <c r="I2441">
        <v>0</v>
      </c>
      <c r="J2441">
        <v>0</v>
      </c>
      <c r="K2441">
        <v>0</v>
      </c>
      <c r="L2441">
        <v>0</v>
      </c>
      <c r="M2441">
        <v>0</v>
      </c>
      <c r="N2441">
        <v>106807</v>
      </c>
      <c r="O2441">
        <v>278395</v>
      </c>
      <c r="P2441">
        <v>347325</v>
      </c>
      <c r="Q2441">
        <v>3</v>
      </c>
      <c r="R2441">
        <v>5</v>
      </c>
      <c r="S2441">
        <v>2</v>
      </c>
      <c r="T2441">
        <v>30</v>
      </c>
      <c r="U2441">
        <v>49</v>
      </c>
    </row>
    <row r="2442" spans="1:21" x14ac:dyDescent="0.35">
      <c r="A2442" t="s">
        <v>28</v>
      </c>
      <c r="B2442" s="1">
        <v>44849</v>
      </c>
      <c r="C2442" t="s">
        <v>31</v>
      </c>
      <c r="D2442">
        <v>126.4</v>
      </c>
      <c r="E2442">
        <v>112.9</v>
      </c>
      <c r="F2442">
        <v>113.7</v>
      </c>
      <c r="G2442">
        <v>1.1000000000000001</v>
      </c>
      <c r="H2442">
        <v>1.1000000000000001</v>
      </c>
      <c r="I2442">
        <v>0</v>
      </c>
      <c r="J2442">
        <v>0</v>
      </c>
      <c r="K2442">
        <v>0</v>
      </c>
      <c r="L2442">
        <v>0</v>
      </c>
      <c r="M2442">
        <v>0</v>
      </c>
      <c r="N2442">
        <v>43523</v>
      </c>
      <c r="O2442">
        <v>43397</v>
      </c>
      <c r="P2442">
        <v>171429</v>
      </c>
      <c r="Q2442">
        <v>55</v>
      </c>
      <c r="R2442">
        <v>49</v>
      </c>
      <c r="S2442">
        <v>195</v>
      </c>
      <c r="T2442">
        <v>65</v>
      </c>
      <c r="U2442">
        <v>79</v>
      </c>
    </row>
    <row r="2443" spans="1:21" x14ac:dyDescent="0.35">
      <c r="A2443" t="s">
        <v>26</v>
      </c>
      <c r="B2443" s="1">
        <v>44576</v>
      </c>
      <c r="C2443" t="s">
        <v>25</v>
      </c>
      <c r="D2443">
        <v>48.5</v>
      </c>
      <c r="E2443">
        <v>13.7</v>
      </c>
      <c r="F2443">
        <v>7.5</v>
      </c>
      <c r="G2443">
        <v>3.5</v>
      </c>
      <c r="H2443">
        <v>6.5</v>
      </c>
      <c r="I2443">
        <v>0</v>
      </c>
      <c r="J2443">
        <v>0</v>
      </c>
      <c r="K2443">
        <v>0</v>
      </c>
      <c r="L2443">
        <v>0</v>
      </c>
      <c r="M2443">
        <v>0</v>
      </c>
      <c r="N2443">
        <v>121679</v>
      </c>
      <c r="O2443">
        <v>248007</v>
      </c>
      <c r="P2443">
        <v>93335</v>
      </c>
      <c r="Q2443">
        <v>59</v>
      </c>
      <c r="R2443">
        <v>34</v>
      </c>
      <c r="S2443">
        <v>7</v>
      </c>
      <c r="T2443">
        <v>18</v>
      </c>
      <c r="U2443">
        <v>29</v>
      </c>
    </row>
    <row r="2444" spans="1:21" x14ac:dyDescent="0.35">
      <c r="A2444" t="s">
        <v>26</v>
      </c>
      <c r="B2444" s="1">
        <v>45248</v>
      </c>
      <c r="C2444" t="s">
        <v>30</v>
      </c>
      <c r="D2444">
        <v>37.6</v>
      </c>
      <c r="E2444">
        <v>43</v>
      </c>
      <c r="F2444">
        <v>29.6</v>
      </c>
      <c r="G2444">
        <v>0.9</v>
      </c>
      <c r="H2444">
        <v>1.3</v>
      </c>
      <c r="I2444">
        <v>0</v>
      </c>
      <c r="J2444">
        <v>0</v>
      </c>
      <c r="K2444">
        <v>0</v>
      </c>
      <c r="L2444">
        <v>0</v>
      </c>
      <c r="M2444">
        <v>0</v>
      </c>
      <c r="N2444">
        <v>23945</v>
      </c>
      <c r="O2444">
        <v>11637</v>
      </c>
      <c r="P2444">
        <v>47321</v>
      </c>
      <c r="Q2444">
        <v>9</v>
      </c>
      <c r="R2444">
        <v>5</v>
      </c>
      <c r="S2444">
        <v>14</v>
      </c>
      <c r="T2444">
        <v>80</v>
      </c>
      <c r="U2444">
        <v>200</v>
      </c>
    </row>
    <row r="2445" spans="1:21" x14ac:dyDescent="0.35">
      <c r="A2445" t="s">
        <v>26</v>
      </c>
      <c r="B2445" s="1">
        <v>44730</v>
      </c>
      <c r="C2445" t="s">
        <v>27</v>
      </c>
      <c r="D2445">
        <v>2.7</v>
      </c>
      <c r="E2445">
        <v>4.3</v>
      </c>
      <c r="F2445">
        <v>0</v>
      </c>
      <c r="G2445">
        <v>0.6</v>
      </c>
      <c r="H2445">
        <v>0</v>
      </c>
      <c r="I2445">
        <v>0</v>
      </c>
      <c r="J2445">
        <v>0</v>
      </c>
      <c r="K2445">
        <v>0</v>
      </c>
      <c r="L2445">
        <v>0</v>
      </c>
      <c r="M2445">
        <v>0</v>
      </c>
      <c r="N2445">
        <v>36709</v>
      </c>
      <c r="O2445">
        <v>92398</v>
      </c>
      <c r="P2445">
        <v>36325</v>
      </c>
      <c r="Q2445">
        <v>1</v>
      </c>
      <c r="R2445">
        <v>4</v>
      </c>
      <c r="S2445">
        <v>0</v>
      </c>
      <c r="T2445">
        <v>12</v>
      </c>
      <c r="U2445">
        <v>17</v>
      </c>
    </row>
    <row r="2446" spans="1:21" x14ac:dyDescent="0.35">
      <c r="A2446" t="s">
        <v>26</v>
      </c>
      <c r="B2446" s="1">
        <v>44940</v>
      </c>
      <c r="C2446" t="s">
        <v>24</v>
      </c>
      <c r="D2446">
        <v>1.1000000000000001</v>
      </c>
      <c r="E2446">
        <v>1.2</v>
      </c>
      <c r="F2446">
        <v>0</v>
      </c>
      <c r="G2446">
        <v>0.9</v>
      </c>
      <c r="H2446">
        <v>0</v>
      </c>
      <c r="I2446">
        <v>0</v>
      </c>
      <c r="J2446">
        <v>0</v>
      </c>
      <c r="K2446">
        <v>0</v>
      </c>
      <c r="L2446">
        <v>0</v>
      </c>
      <c r="M2446">
        <v>0</v>
      </c>
      <c r="N2446">
        <v>92141</v>
      </c>
      <c r="O2446">
        <v>81692</v>
      </c>
      <c r="P2446">
        <v>21167</v>
      </c>
      <c r="Q2446">
        <v>1</v>
      </c>
      <c r="R2446">
        <v>1</v>
      </c>
      <c r="S2446">
        <v>0</v>
      </c>
      <c r="T2446">
        <v>5</v>
      </c>
      <c r="U2446">
        <v>11</v>
      </c>
    </row>
    <row r="2447" spans="1:21" x14ac:dyDescent="0.35">
      <c r="A2447" t="s">
        <v>28</v>
      </c>
      <c r="B2447" s="1">
        <v>45136</v>
      </c>
      <c r="C2447" t="s">
        <v>25</v>
      </c>
      <c r="D2447">
        <v>35.200000000000003</v>
      </c>
      <c r="E2447">
        <v>10.7</v>
      </c>
      <c r="F2447">
        <v>16.7</v>
      </c>
      <c r="G2447">
        <v>3.3</v>
      </c>
      <c r="H2447">
        <v>2.1</v>
      </c>
      <c r="I2447">
        <v>0</v>
      </c>
      <c r="J2447">
        <v>0</v>
      </c>
      <c r="K2447">
        <v>0</v>
      </c>
      <c r="L2447">
        <v>0</v>
      </c>
      <c r="M2447">
        <v>0</v>
      </c>
      <c r="N2447">
        <v>73789</v>
      </c>
      <c r="O2447">
        <v>214134</v>
      </c>
      <c r="P2447">
        <v>161712</v>
      </c>
      <c r="Q2447">
        <v>26</v>
      </c>
      <c r="R2447">
        <v>23</v>
      </c>
      <c r="S2447">
        <v>27</v>
      </c>
      <c r="T2447">
        <v>18</v>
      </c>
      <c r="U2447">
        <v>29</v>
      </c>
    </row>
    <row r="2448" spans="1:21" x14ac:dyDescent="0.35">
      <c r="A2448" t="s">
        <v>21</v>
      </c>
      <c r="B2448" s="1">
        <v>45038</v>
      </c>
      <c r="C2448" t="s">
        <v>24</v>
      </c>
      <c r="D2448">
        <v>0</v>
      </c>
      <c r="E2448">
        <v>0</v>
      </c>
      <c r="F2448">
        <v>0</v>
      </c>
      <c r="G2448">
        <v>0</v>
      </c>
      <c r="H2448">
        <v>0</v>
      </c>
      <c r="I2448">
        <v>0</v>
      </c>
      <c r="J2448">
        <v>0</v>
      </c>
      <c r="K2448">
        <v>0</v>
      </c>
      <c r="L2448">
        <v>0</v>
      </c>
      <c r="M2448">
        <v>0</v>
      </c>
      <c r="N2448">
        <v>90975</v>
      </c>
      <c r="O2448">
        <v>82623</v>
      </c>
      <c r="P2448">
        <v>21231</v>
      </c>
      <c r="Q2448">
        <v>0</v>
      </c>
      <c r="R2448">
        <v>0</v>
      </c>
      <c r="S2448">
        <v>0</v>
      </c>
      <c r="T2448">
        <v>5</v>
      </c>
      <c r="U2448">
        <v>11</v>
      </c>
    </row>
    <row r="2449" spans="1:21" x14ac:dyDescent="0.35">
      <c r="A2449" t="s">
        <v>26</v>
      </c>
      <c r="B2449" s="1">
        <v>44583</v>
      </c>
      <c r="C2449" t="s">
        <v>22</v>
      </c>
      <c r="D2449">
        <v>54.6</v>
      </c>
      <c r="E2449">
        <v>25</v>
      </c>
      <c r="F2449">
        <v>16.5</v>
      </c>
      <c r="G2449">
        <v>2.2000000000000002</v>
      </c>
      <c r="H2449">
        <v>3.3</v>
      </c>
      <c r="I2449">
        <v>73.7</v>
      </c>
      <c r="J2449">
        <v>30.8</v>
      </c>
      <c r="K2449">
        <v>11.1</v>
      </c>
      <c r="L2449">
        <v>2.4</v>
      </c>
      <c r="M2449">
        <v>6.6</v>
      </c>
      <c r="N2449">
        <v>724665</v>
      </c>
      <c r="O2449">
        <v>989128</v>
      </c>
      <c r="P2449">
        <v>733279</v>
      </c>
      <c r="Q2449">
        <v>396</v>
      </c>
      <c r="R2449">
        <v>247</v>
      </c>
      <c r="S2449">
        <v>121</v>
      </c>
      <c r="T2449">
        <v>999</v>
      </c>
      <c r="U2449">
        <v>999</v>
      </c>
    </row>
    <row r="2450" spans="1:21" x14ac:dyDescent="0.35">
      <c r="A2450" t="s">
        <v>28</v>
      </c>
      <c r="B2450" s="1">
        <v>44695</v>
      </c>
      <c r="C2450" t="s">
        <v>27</v>
      </c>
      <c r="D2450">
        <v>624</v>
      </c>
      <c r="E2450">
        <v>322.3</v>
      </c>
      <c r="F2450">
        <v>498.7</v>
      </c>
      <c r="G2450">
        <v>1.9</v>
      </c>
      <c r="H2450">
        <v>1.3</v>
      </c>
      <c r="I2450">
        <v>0</v>
      </c>
      <c r="J2450">
        <v>0</v>
      </c>
      <c r="K2450">
        <v>0</v>
      </c>
      <c r="L2450">
        <v>0</v>
      </c>
      <c r="M2450">
        <v>0</v>
      </c>
      <c r="N2450">
        <v>37341</v>
      </c>
      <c r="O2450">
        <v>94014</v>
      </c>
      <c r="P2450">
        <v>34086</v>
      </c>
      <c r="Q2450">
        <v>233</v>
      </c>
      <c r="R2450">
        <v>303</v>
      </c>
      <c r="S2450">
        <v>170</v>
      </c>
      <c r="T2450">
        <v>12</v>
      </c>
      <c r="U2450">
        <v>17</v>
      </c>
    </row>
    <row r="2451" spans="1:21" x14ac:dyDescent="0.35">
      <c r="A2451" t="s">
        <v>28</v>
      </c>
      <c r="B2451" s="1">
        <v>45108</v>
      </c>
      <c r="C2451" t="s">
        <v>25</v>
      </c>
      <c r="D2451">
        <v>163.6</v>
      </c>
      <c r="E2451">
        <v>62.4</v>
      </c>
      <c r="F2451">
        <v>82.9</v>
      </c>
      <c r="G2451">
        <v>2.6</v>
      </c>
      <c r="H2451">
        <v>2</v>
      </c>
      <c r="I2451">
        <v>0</v>
      </c>
      <c r="J2451">
        <v>0</v>
      </c>
      <c r="K2451">
        <v>0</v>
      </c>
      <c r="L2451">
        <v>0</v>
      </c>
      <c r="M2451">
        <v>0</v>
      </c>
      <c r="N2451">
        <v>78851</v>
      </c>
      <c r="O2451">
        <v>212977</v>
      </c>
      <c r="P2451">
        <v>161629</v>
      </c>
      <c r="Q2451">
        <v>129</v>
      </c>
      <c r="R2451">
        <v>133</v>
      </c>
      <c r="S2451">
        <v>134</v>
      </c>
      <c r="T2451">
        <v>18</v>
      </c>
      <c r="U2451">
        <v>29</v>
      </c>
    </row>
    <row r="2452" spans="1:21" x14ac:dyDescent="0.35">
      <c r="A2452" t="s">
        <v>28</v>
      </c>
      <c r="B2452" s="1">
        <v>45031</v>
      </c>
      <c r="C2452" t="s">
        <v>29</v>
      </c>
      <c r="D2452">
        <v>69.400000000000006</v>
      </c>
      <c r="E2452">
        <v>32.700000000000003</v>
      </c>
      <c r="F2452">
        <v>40.9</v>
      </c>
      <c r="G2452">
        <v>2.1</v>
      </c>
      <c r="H2452">
        <v>1.7</v>
      </c>
      <c r="I2452">
        <v>0</v>
      </c>
      <c r="J2452">
        <v>0</v>
      </c>
      <c r="K2452">
        <v>0</v>
      </c>
      <c r="L2452">
        <v>0</v>
      </c>
      <c r="M2452">
        <v>0</v>
      </c>
      <c r="N2452">
        <v>109559</v>
      </c>
      <c r="O2452">
        <v>278257</v>
      </c>
      <c r="P2452">
        <v>347286</v>
      </c>
      <c r="Q2452">
        <v>76</v>
      </c>
      <c r="R2452">
        <v>91</v>
      </c>
      <c r="S2452">
        <v>142</v>
      </c>
      <c r="T2452">
        <v>30</v>
      </c>
      <c r="U2452">
        <v>49</v>
      </c>
    </row>
    <row r="2453" spans="1:21" x14ac:dyDescent="0.35">
      <c r="A2453" t="s">
        <v>21</v>
      </c>
      <c r="B2453" s="1">
        <v>44298</v>
      </c>
      <c r="C2453" t="s">
        <v>31</v>
      </c>
      <c r="D2453">
        <v>23.7</v>
      </c>
      <c r="E2453">
        <v>2.7</v>
      </c>
      <c r="F2453">
        <v>0</v>
      </c>
      <c r="G2453">
        <v>8.8000000000000007</v>
      </c>
      <c r="H2453">
        <v>0</v>
      </c>
      <c r="I2453">
        <v>0</v>
      </c>
      <c r="J2453">
        <v>0</v>
      </c>
      <c r="K2453">
        <v>0</v>
      </c>
      <c r="L2453">
        <v>0</v>
      </c>
      <c r="M2453">
        <v>0</v>
      </c>
      <c r="N2453">
        <v>54957</v>
      </c>
      <c r="O2453">
        <v>111079</v>
      </c>
      <c r="P2453">
        <v>93634</v>
      </c>
      <c r="Q2453">
        <v>13</v>
      </c>
      <c r="R2453">
        <v>3</v>
      </c>
      <c r="S2453">
        <v>0</v>
      </c>
      <c r="T2453">
        <v>65</v>
      </c>
      <c r="U2453">
        <v>79</v>
      </c>
    </row>
    <row r="2454" spans="1:21" x14ac:dyDescent="0.35">
      <c r="A2454" t="s">
        <v>28</v>
      </c>
      <c r="B2454" s="1">
        <v>44295</v>
      </c>
      <c r="C2454" t="s">
        <v>23</v>
      </c>
      <c r="D2454">
        <v>252.3</v>
      </c>
      <c r="E2454">
        <v>66.099999999999994</v>
      </c>
      <c r="F2454">
        <v>0</v>
      </c>
      <c r="G2454">
        <v>3.8</v>
      </c>
      <c r="H2454">
        <v>0</v>
      </c>
      <c r="I2454">
        <v>0</v>
      </c>
      <c r="J2454">
        <v>0</v>
      </c>
      <c r="K2454">
        <v>0</v>
      </c>
      <c r="L2454">
        <v>0</v>
      </c>
      <c r="M2454">
        <v>0</v>
      </c>
      <c r="N2454">
        <v>86807</v>
      </c>
      <c r="O2454">
        <v>323733</v>
      </c>
      <c r="P2454">
        <v>0</v>
      </c>
      <c r="Q2454">
        <v>219</v>
      </c>
      <c r="R2454">
        <v>214</v>
      </c>
      <c r="S2454">
        <v>0</v>
      </c>
      <c r="T2454">
        <v>50</v>
      </c>
      <c r="U2454">
        <v>64</v>
      </c>
    </row>
    <row r="2455" spans="1:21" x14ac:dyDescent="0.35">
      <c r="A2455" t="s">
        <v>28</v>
      </c>
      <c r="B2455" s="1">
        <v>44821</v>
      </c>
      <c r="C2455" t="s">
        <v>23</v>
      </c>
      <c r="D2455">
        <v>188.6</v>
      </c>
      <c r="E2455">
        <v>93.5</v>
      </c>
      <c r="F2455">
        <v>122.9</v>
      </c>
      <c r="G2455">
        <v>2</v>
      </c>
      <c r="H2455">
        <v>1.5</v>
      </c>
      <c r="I2455">
        <v>0</v>
      </c>
      <c r="J2455">
        <v>0</v>
      </c>
      <c r="K2455">
        <v>0</v>
      </c>
      <c r="L2455">
        <v>0</v>
      </c>
      <c r="M2455">
        <v>0</v>
      </c>
      <c r="N2455">
        <v>39763</v>
      </c>
      <c r="O2455">
        <v>125132</v>
      </c>
      <c r="P2455">
        <v>246490</v>
      </c>
      <c r="Q2455">
        <v>75</v>
      </c>
      <c r="R2455">
        <v>117</v>
      </c>
      <c r="S2455">
        <v>303</v>
      </c>
      <c r="T2455">
        <v>50</v>
      </c>
      <c r="U2455">
        <v>64</v>
      </c>
    </row>
    <row r="2456" spans="1:21" x14ac:dyDescent="0.35">
      <c r="A2456" t="s">
        <v>28</v>
      </c>
      <c r="B2456" s="1">
        <v>44991</v>
      </c>
      <c r="C2456" t="s">
        <v>29</v>
      </c>
      <c r="D2456">
        <v>18.399999999999999</v>
      </c>
      <c r="E2456">
        <v>7.2</v>
      </c>
      <c r="F2456">
        <v>12.4</v>
      </c>
      <c r="G2456">
        <v>2.6</v>
      </c>
      <c r="H2456">
        <v>1.5</v>
      </c>
      <c r="I2456">
        <v>0</v>
      </c>
      <c r="J2456">
        <v>0</v>
      </c>
      <c r="K2456">
        <v>0</v>
      </c>
      <c r="L2456">
        <v>0</v>
      </c>
      <c r="M2456">
        <v>0</v>
      </c>
      <c r="N2456">
        <v>108436</v>
      </c>
      <c r="O2456">
        <v>278399</v>
      </c>
      <c r="P2456">
        <v>347302</v>
      </c>
      <c r="Q2456">
        <v>20</v>
      </c>
      <c r="R2456">
        <v>20</v>
      </c>
      <c r="S2456">
        <v>43</v>
      </c>
      <c r="T2456">
        <v>30</v>
      </c>
      <c r="U2456">
        <v>49</v>
      </c>
    </row>
    <row r="2457" spans="1:21" x14ac:dyDescent="0.35">
      <c r="A2457" t="s">
        <v>28</v>
      </c>
      <c r="B2457" s="1">
        <v>44758</v>
      </c>
      <c r="C2457" t="s">
        <v>27</v>
      </c>
      <c r="D2457">
        <v>146.4</v>
      </c>
      <c r="E2457">
        <v>103.7</v>
      </c>
      <c r="F2457">
        <v>171.4</v>
      </c>
      <c r="G2457">
        <v>1.4</v>
      </c>
      <c r="H2457">
        <v>0.9</v>
      </c>
      <c r="I2457">
        <v>0</v>
      </c>
      <c r="J2457">
        <v>0</v>
      </c>
      <c r="K2457">
        <v>0</v>
      </c>
      <c r="L2457">
        <v>0</v>
      </c>
      <c r="M2457">
        <v>0</v>
      </c>
      <c r="N2457">
        <v>36204</v>
      </c>
      <c r="O2457">
        <v>90674</v>
      </c>
      <c r="P2457">
        <v>38517</v>
      </c>
      <c r="Q2457">
        <v>53</v>
      </c>
      <c r="R2457">
        <v>94</v>
      </c>
      <c r="S2457">
        <v>66</v>
      </c>
      <c r="T2457">
        <v>12</v>
      </c>
      <c r="U2457">
        <v>17</v>
      </c>
    </row>
    <row r="2458" spans="1:21" x14ac:dyDescent="0.35">
      <c r="A2458" t="s">
        <v>28</v>
      </c>
      <c r="B2458" s="1">
        <v>45066</v>
      </c>
      <c r="C2458" t="s">
        <v>29</v>
      </c>
      <c r="D2458">
        <v>42.3</v>
      </c>
      <c r="E2458">
        <v>11.9</v>
      </c>
      <c r="F2458">
        <v>13.8</v>
      </c>
      <c r="G2458">
        <v>3.6</v>
      </c>
      <c r="H2458">
        <v>3.1</v>
      </c>
      <c r="I2458">
        <v>0</v>
      </c>
      <c r="J2458">
        <v>0</v>
      </c>
      <c r="K2458">
        <v>0</v>
      </c>
      <c r="L2458">
        <v>0</v>
      </c>
      <c r="M2458">
        <v>0</v>
      </c>
      <c r="N2458">
        <v>108712</v>
      </c>
      <c r="O2458">
        <v>278401</v>
      </c>
      <c r="P2458">
        <v>347297</v>
      </c>
      <c r="Q2458">
        <v>46</v>
      </c>
      <c r="R2458">
        <v>33</v>
      </c>
      <c r="S2458">
        <v>48</v>
      </c>
      <c r="T2458">
        <v>30</v>
      </c>
      <c r="U2458">
        <v>49</v>
      </c>
    </row>
    <row r="2459" spans="1:21" x14ac:dyDescent="0.35">
      <c r="A2459" t="s">
        <v>26</v>
      </c>
      <c r="B2459" s="1">
        <v>44811</v>
      </c>
      <c r="C2459" t="s">
        <v>27</v>
      </c>
      <c r="D2459">
        <v>2.7</v>
      </c>
      <c r="E2459">
        <v>1.1000000000000001</v>
      </c>
      <c r="F2459">
        <v>0</v>
      </c>
      <c r="G2459">
        <v>2.5</v>
      </c>
      <c r="H2459">
        <v>0</v>
      </c>
      <c r="I2459">
        <v>0</v>
      </c>
      <c r="J2459">
        <v>0</v>
      </c>
      <c r="K2459">
        <v>0</v>
      </c>
      <c r="L2459">
        <v>0</v>
      </c>
      <c r="M2459">
        <v>0</v>
      </c>
      <c r="N2459">
        <v>36376</v>
      </c>
      <c r="O2459">
        <v>91174</v>
      </c>
      <c r="P2459">
        <v>37907</v>
      </c>
      <c r="Q2459">
        <v>1</v>
      </c>
      <c r="R2459">
        <v>1</v>
      </c>
      <c r="S2459">
        <v>0</v>
      </c>
      <c r="T2459">
        <v>12</v>
      </c>
      <c r="U2459">
        <v>17</v>
      </c>
    </row>
    <row r="2460" spans="1:21" x14ac:dyDescent="0.35">
      <c r="A2460" t="s">
        <v>21</v>
      </c>
      <c r="B2460" s="1">
        <v>44800</v>
      </c>
      <c r="C2460" t="s">
        <v>22</v>
      </c>
      <c r="D2460">
        <v>1</v>
      </c>
      <c r="E2460">
        <v>0.5</v>
      </c>
      <c r="F2460">
        <v>0.2</v>
      </c>
      <c r="G2460">
        <v>2</v>
      </c>
      <c r="H2460">
        <v>5</v>
      </c>
      <c r="I2460">
        <v>1</v>
      </c>
      <c r="J2460">
        <v>0.8</v>
      </c>
      <c r="K2460">
        <v>0.1</v>
      </c>
      <c r="L2460">
        <v>1.3</v>
      </c>
      <c r="M2460">
        <v>7.9</v>
      </c>
      <c r="N2460">
        <v>606382</v>
      </c>
      <c r="O2460">
        <v>844687</v>
      </c>
      <c r="P2460">
        <v>1026640</v>
      </c>
      <c r="Q2460">
        <v>6</v>
      </c>
      <c r="R2460">
        <v>4</v>
      </c>
      <c r="S2460">
        <v>2</v>
      </c>
      <c r="T2460">
        <v>999</v>
      </c>
      <c r="U2460">
        <v>999</v>
      </c>
    </row>
    <row r="2461" spans="1:21" x14ac:dyDescent="0.35">
      <c r="A2461" t="s">
        <v>28</v>
      </c>
      <c r="B2461" s="1">
        <v>45108</v>
      </c>
      <c r="C2461" t="s">
        <v>23</v>
      </c>
      <c r="D2461">
        <v>274</v>
      </c>
      <c r="E2461">
        <v>91.7</v>
      </c>
      <c r="F2461">
        <v>136.1</v>
      </c>
      <c r="G2461">
        <v>3</v>
      </c>
      <c r="H2461">
        <v>2</v>
      </c>
      <c r="I2461">
        <v>0</v>
      </c>
      <c r="J2461">
        <v>0</v>
      </c>
      <c r="K2461">
        <v>0</v>
      </c>
      <c r="L2461">
        <v>0</v>
      </c>
      <c r="M2461">
        <v>0</v>
      </c>
      <c r="N2461">
        <v>34669</v>
      </c>
      <c r="O2461">
        <v>125434</v>
      </c>
      <c r="P2461">
        <v>246821</v>
      </c>
      <c r="Q2461">
        <v>95</v>
      </c>
      <c r="R2461">
        <v>115</v>
      </c>
      <c r="S2461">
        <v>336</v>
      </c>
      <c r="T2461">
        <v>50</v>
      </c>
      <c r="U2461">
        <v>64</v>
      </c>
    </row>
    <row r="2462" spans="1:21" x14ac:dyDescent="0.35">
      <c r="A2462" t="s">
        <v>21</v>
      </c>
      <c r="B2462" s="1">
        <v>44492</v>
      </c>
      <c r="C2462" t="s">
        <v>31</v>
      </c>
      <c r="D2462">
        <v>13.3</v>
      </c>
      <c r="E2462">
        <v>1.7</v>
      </c>
      <c r="F2462">
        <v>0</v>
      </c>
      <c r="G2462">
        <v>7.8</v>
      </c>
      <c r="H2462">
        <v>0</v>
      </c>
      <c r="I2462">
        <v>0</v>
      </c>
      <c r="J2462">
        <v>0</v>
      </c>
      <c r="K2462">
        <v>0</v>
      </c>
      <c r="L2462">
        <v>0</v>
      </c>
      <c r="M2462">
        <v>0</v>
      </c>
      <c r="N2462">
        <v>60107</v>
      </c>
      <c r="O2462">
        <v>175204</v>
      </c>
      <c r="P2462">
        <v>25507</v>
      </c>
      <c r="Q2462">
        <v>8</v>
      </c>
      <c r="R2462">
        <v>3</v>
      </c>
      <c r="S2462">
        <v>0</v>
      </c>
      <c r="T2462">
        <v>65</v>
      </c>
      <c r="U2462">
        <v>79</v>
      </c>
    </row>
    <row r="2463" spans="1:21" x14ac:dyDescent="0.35">
      <c r="A2463" t="s">
        <v>28</v>
      </c>
      <c r="B2463" s="1">
        <v>44730</v>
      </c>
      <c r="C2463" t="s">
        <v>30</v>
      </c>
      <c r="D2463">
        <v>90.5</v>
      </c>
      <c r="E2463">
        <v>266.8</v>
      </c>
      <c r="F2463">
        <v>186.2</v>
      </c>
      <c r="G2463">
        <v>0.3</v>
      </c>
      <c r="H2463">
        <v>0.5</v>
      </c>
      <c r="I2463">
        <v>0</v>
      </c>
      <c r="J2463">
        <v>0</v>
      </c>
      <c r="K2463">
        <v>0</v>
      </c>
      <c r="L2463">
        <v>0</v>
      </c>
      <c r="M2463">
        <v>0</v>
      </c>
      <c r="N2463">
        <v>26513</v>
      </c>
      <c r="O2463">
        <v>12369</v>
      </c>
      <c r="P2463">
        <v>45641</v>
      </c>
      <c r="Q2463">
        <v>24</v>
      </c>
      <c r="R2463">
        <v>33</v>
      </c>
      <c r="S2463">
        <v>85</v>
      </c>
      <c r="T2463">
        <v>80</v>
      </c>
      <c r="U2463">
        <v>200</v>
      </c>
    </row>
    <row r="2464" spans="1:21" x14ac:dyDescent="0.35">
      <c r="A2464" t="s">
        <v>26</v>
      </c>
      <c r="B2464" s="1">
        <v>44758</v>
      </c>
      <c r="C2464" t="s">
        <v>22</v>
      </c>
      <c r="D2464">
        <v>13.5</v>
      </c>
      <c r="E2464">
        <v>6.3</v>
      </c>
      <c r="F2464">
        <v>11</v>
      </c>
      <c r="G2464">
        <v>2.1</v>
      </c>
      <c r="H2464">
        <v>1.2</v>
      </c>
      <c r="I2464">
        <v>16.8</v>
      </c>
      <c r="J2464">
        <v>8.6999999999999993</v>
      </c>
      <c r="K2464">
        <v>7.7</v>
      </c>
      <c r="L2464">
        <v>1.9</v>
      </c>
      <c r="M2464">
        <v>2.2000000000000002</v>
      </c>
      <c r="N2464">
        <v>623694</v>
      </c>
      <c r="O2464">
        <v>859285</v>
      </c>
      <c r="P2464">
        <v>1001233</v>
      </c>
      <c r="Q2464">
        <v>84</v>
      </c>
      <c r="R2464">
        <v>54</v>
      </c>
      <c r="S2464">
        <v>110</v>
      </c>
      <c r="T2464">
        <v>999</v>
      </c>
      <c r="U2464">
        <v>999</v>
      </c>
    </row>
    <row r="2465" spans="1:21" x14ac:dyDescent="0.35">
      <c r="A2465" t="s">
        <v>26</v>
      </c>
      <c r="B2465" s="1">
        <v>44629</v>
      </c>
      <c r="C2465" t="s">
        <v>31</v>
      </c>
      <c r="D2465">
        <v>43.9</v>
      </c>
      <c r="E2465">
        <v>32</v>
      </c>
      <c r="F2465">
        <v>21.7</v>
      </c>
      <c r="G2465">
        <v>1.4</v>
      </c>
      <c r="H2465">
        <v>2</v>
      </c>
      <c r="I2465">
        <v>0</v>
      </c>
      <c r="J2465">
        <v>0</v>
      </c>
      <c r="K2465">
        <v>0</v>
      </c>
      <c r="L2465">
        <v>0</v>
      </c>
      <c r="M2465">
        <v>0</v>
      </c>
      <c r="N2465">
        <v>45582</v>
      </c>
      <c r="O2465">
        <v>43748</v>
      </c>
      <c r="P2465">
        <v>170866</v>
      </c>
      <c r="Q2465">
        <v>20</v>
      </c>
      <c r="R2465">
        <v>14</v>
      </c>
      <c r="S2465">
        <v>37</v>
      </c>
      <c r="T2465">
        <v>65</v>
      </c>
      <c r="U2465">
        <v>79</v>
      </c>
    </row>
    <row r="2466" spans="1:21" x14ac:dyDescent="0.35">
      <c r="A2466" t="s">
        <v>26</v>
      </c>
      <c r="B2466" s="1">
        <v>45233</v>
      </c>
      <c r="C2466" t="s">
        <v>31</v>
      </c>
      <c r="D2466">
        <v>32.5</v>
      </c>
      <c r="E2466">
        <v>18.399999999999999</v>
      </c>
      <c r="F2466">
        <v>15.7</v>
      </c>
      <c r="G2466">
        <v>1.8</v>
      </c>
      <c r="H2466">
        <v>2.1</v>
      </c>
      <c r="I2466">
        <v>0</v>
      </c>
      <c r="J2466">
        <v>0</v>
      </c>
      <c r="K2466">
        <v>0</v>
      </c>
      <c r="L2466">
        <v>0</v>
      </c>
      <c r="M2466">
        <v>0</v>
      </c>
      <c r="N2466">
        <v>40003</v>
      </c>
      <c r="O2466">
        <v>43418</v>
      </c>
      <c r="P2466">
        <v>171704</v>
      </c>
      <c r="Q2466">
        <v>13</v>
      </c>
      <c r="R2466">
        <v>8</v>
      </c>
      <c r="S2466">
        <v>27</v>
      </c>
      <c r="T2466">
        <v>65</v>
      </c>
      <c r="U2466">
        <v>79</v>
      </c>
    </row>
    <row r="2467" spans="1:21" x14ac:dyDescent="0.35">
      <c r="A2467" t="s">
        <v>26</v>
      </c>
      <c r="B2467" s="1">
        <v>45164</v>
      </c>
      <c r="C2467" t="s">
        <v>27</v>
      </c>
      <c r="D2467">
        <v>0</v>
      </c>
      <c r="E2467">
        <v>0</v>
      </c>
      <c r="F2467">
        <v>0</v>
      </c>
      <c r="G2467">
        <v>0</v>
      </c>
      <c r="H2467">
        <v>0</v>
      </c>
      <c r="I2467">
        <v>0</v>
      </c>
      <c r="J2467">
        <v>0</v>
      </c>
      <c r="K2467">
        <v>0</v>
      </c>
      <c r="L2467">
        <v>0</v>
      </c>
      <c r="M2467">
        <v>0</v>
      </c>
      <c r="N2467">
        <v>31822</v>
      </c>
      <c r="O2467">
        <v>86575</v>
      </c>
      <c r="P2467">
        <v>44594</v>
      </c>
      <c r="Q2467">
        <v>0</v>
      </c>
      <c r="R2467">
        <v>0</v>
      </c>
      <c r="S2467">
        <v>0</v>
      </c>
      <c r="T2467">
        <v>12</v>
      </c>
      <c r="U2467">
        <v>17</v>
      </c>
    </row>
    <row r="2468" spans="1:21" x14ac:dyDescent="0.35">
      <c r="A2468" t="s">
        <v>21</v>
      </c>
      <c r="B2468" s="1">
        <v>45145</v>
      </c>
      <c r="C2468" t="s">
        <v>22</v>
      </c>
      <c r="D2468">
        <v>0</v>
      </c>
      <c r="E2468">
        <v>0</v>
      </c>
      <c r="F2468">
        <v>0.2</v>
      </c>
      <c r="G2468">
        <v>0</v>
      </c>
      <c r="H2468">
        <v>0</v>
      </c>
      <c r="I2468">
        <v>0</v>
      </c>
      <c r="J2468">
        <v>0</v>
      </c>
      <c r="K2468">
        <v>0.1</v>
      </c>
      <c r="L2468">
        <v>0</v>
      </c>
      <c r="M2468">
        <v>0</v>
      </c>
      <c r="N2468">
        <v>531904</v>
      </c>
      <c r="O2468">
        <v>860327</v>
      </c>
      <c r="P2468">
        <v>1040745</v>
      </c>
      <c r="Q2468">
        <v>0</v>
      </c>
      <c r="R2468">
        <v>0</v>
      </c>
      <c r="S2468">
        <v>2</v>
      </c>
      <c r="T2468">
        <v>999</v>
      </c>
      <c r="U2468">
        <v>999</v>
      </c>
    </row>
    <row r="2469" spans="1:21" x14ac:dyDescent="0.35">
      <c r="A2469" t="s">
        <v>28</v>
      </c>
      <c r="B2469" s="1">
        <v>44555</v>
      </c>
      <c r="C2469" t="s">
        <v>27</v>
      </c>
      <c r="D2469">
        <v>1718.4</v>
      </c>
      <c r="E2469">
        <v>970.8</v>
      </c>
      <c r="F2469">
        <v>625.79999999999995</v>
      </c>
      <c r="G2469">
        <v>1.8</v>
      </c>
      <c r="H2469">
        <v>2.7</v>
      </c>
      <c r="I2469">
        <v>0</v>
      </c>
      <c r="J2469">
        <v>0</v>
      </c>
      <c r="K2469">
        <v>0</v>
      </c>
      <c r="L2469">
        <v>0</v>
      </c>
      <c r="M2469">
        <v>0</v>
      </c>
      <c r="N2469">
        <v>55052</v>
      </c>
      <c r="O2469">
        <v>108573</v>
      </c>
      <c r="P2469">
        <v>799</v>
      </c>
      <c r="Q2469">
        <v>946</v>
      </c>
      <c r="R2469">
        <v>1054</v>
      </c>
      <c r="S2469">
        <v>5</v>
      </c>
      <c r="T2469">
        <v>12</v>
      </c>
      <c r="U2469">
        <v>17</v>
      </c>
    </row>
    <row r="2470" spans="1:21" x14ac:dyDescent="0.35">
      <c r="A2470" t="s">
        <v>26</v>
      </c>
      <c r="B2470" s="1">
        <v>45059</v>
      </c>
      <c r="C2470" t="s">
        <v>24</v>
      </c>
      <c r="D2470">
        <v>0</v>
      </c>
      <c r="E2470">
        <v>0</v>
      </c>
      <c r="F2470">
        <v>0</v>
      </c>
      <c r="G2470">
        <v>0</v>
      </c>
      <c r="H2470">
        <v>0</v>
      </c>
      <c r="I2470">
        <v>0</v>
      </c>
      <c r="J2470">
        <v>0</v>
      </c>
      <c r="K2470">
        <v>0</v>
      </c>
      <c r="L2470">
        <v>0</v>
      </c>
      <c r="M2470">
        <v>0</v>
      </c>
      <c r="N2470">
        <v>90743</v>
      </c>
      <c r="O2470">
        <v>82680</v>
      </c>
      <c r="P2470">
        <v>21241</v>
      </c>
      <c r="Q2470">
        <v>0</v>
      </c>
      <c r="R2470">
        <v>0</v>
      </c>
      <c r="S2470">
        <v>0</v>
      </c>
      <c r="T2470">
        <v>5</v>
      </c>
      <c r="U2470">
        <v>11</v>
      </c>
    </row>
    <row r="2471" spans="1:21" x14ac:dyDescent="0.35">
      <c r="A2471" t="s">
        <v>21</v>
      </c>
      <c r="B2471" s="1">
        <v>44674</v>
      </c>
      <c r="C2471" t="s">
        <v>23</v>
      </c>
      <c r="D2471">
        <v>0</v>
      </c>
      <c r="E2471">
        <v>0</v>
      </c>
      <c r="F2471">
        <v>0</v>
      </c>
      <c r="G2471">
        <v>0</v>
      </c>
      <c r="H2471">
        <v>0</v>
      </c>
      <c r="I2471">
        <v>0</v>
      </c>
      <c r="J2471">
        <v>0</v>
      </c>
      <c r="K2471">
        <v>0</v>
      </c>
      <c r="L2471">
        <v>0</v>
      </c>
      <c r="M2471">
        <v>0</v>
      </c>
      <c r="N2471">
        <v>44338</v>
      </c>
      <c r="O2471">
        <v>136052</v>
      </c>
      <c r="P2471">
        <v>231012</v>
      </c>
      <c r="Q2471">
        <v>0</v>
      </c>
      <c r="R2471">
        <v>0</v>
      </c>
      <c r="S2471">
        <v>0</v>
      </c>
      <c r="T2471">
        <v>50</v>
      </c>
      <c r="U2471">
        <v>64</v>
      </c>
    </row>
    <row r="2472" spans="1:21" x14ac:dyDescent="0.35">
      <c r="A2472" t="s">
        <v>28</v>
      </c>
      <c r="B2472" s="1">
        <v>44906</v>
      </c>
      <c r="C2472" t="s">
        <v>25</v>
      </c>
      <c r="D2472">
        <v>200.5</v>
      </c>
      <c r="E2472">
        <v>70.2</v>
      </c>
      <c r="F2472">
        <v>77.400000000000006</v>
      </c>
      <c r="G2472">
        <v>2.9</v>
      </c>
      <c r="H2472">
        <v>2.6</v>
      </c>
      <c r="I2472">
        <v>0</v>
      </c>
      <c r="J2472">
        <v>0</v>
      </c>
      <c r="K2472">
        <v>0</v>
      </c>
      <c r="L2472">
        <v>0</v>
      </c>
      <c r="M2472">
        <v>0</v>
      </c>
      <c r="N2472">
        <v>82776</v>
      </c>
      <c r="O2472">
        <v>212328</v>
      </c>
      <c r="P2472">
        <v>161549</v>
      </c>
      <c r="Q2472">
        <v>166</v>
      </c>
      <c r="R2472">
        <v>149</v>
      </c>
      <c r="S2472">
        <v>125</v>
      </c>
      <c r="T2472">
        <v>18</v>
      </c>
      <c r="U2472">
        <v>29</v>
      </c>
    </row>
    <row r="2473" spans="1:21" x14ac:dyDescent="0.35">
      <c r="A2473" t="s">
        <v>28</v>
      </c>
      <c r="B2473" s="1">
        <v>44982</v>
      </c>
      <c r="C2473" t="s">
        <v>25</v>
      </c>
      <c r="D2473">
        <v>127.4</v>
      </c>
      <c r="E2473">
        <v>41.7</v>
      </c>
      <c r="F2473">
        <v>75.5</v>
      </c>
      <c r="G2473">
        <v>3.1</v>
      </c>
      <c r="H2473">
        <v>1.7</v>
      </c>
      <c r="I2473">
        <v>0</v>
      </c>
      <c r="J2473">
        <v>0</v>
      </c>
      <c r="K2473">
        <v>0</v>
      </c>
      <c r="L2473">
        <v>0</v>
      </c>
      <c r="M2473">
        <v>0</v>
      </c>
      <c r="N2473">
        <v>76945</v>
      </c>
      <c r="O2473">
        <v>213529</v>
      </c>
      <c r="P2473">
        <v>161651</v>
      </c>
      <c r="Q2473">
        <v>98</v>
      </c>
      <c r="R2473">
        <v>89</v>
      </c>
      <c r="S2473">
        <v>122</v>
      </c>
      <c r="T2473">
        <v>18</v>
      </c>
      <c r="U2473">
        <v>29</v>
      </c>
    </row>
    <row r="2474" spans="1:21" x14ac:dyDescent="0.35">
      <c r="A2474" t="s">
        <v>26</v>
      </c>
      <c r="B2474" s="1">
        <v>45164</v>
      </c>
      <c r="C2474" t="s">
        <v>30</v>
      </c>
      <c r="D2474">
        <v>16.399999999999999</v>
      </c>
      <c r="E2474">
        <v>17.600000000000001</v>
      </c>
      <c r="F2474">
        <v>27.6</v>
      </c>
      <c r="G2474">
        <v>0.9</v>
      </c>
      <c r="H2474">
        <v>0.6</v>
      </c>
      <c r="I2474">
        <v>0</v>
      </c>
      <c r="J2474">
        <v>0</v>
      </c>
      <c r="K2474">
        <v>0</v>
      </c>
      <c r="L2474">
        <v>0</v>
      </c>
      <c r="M2474">
        <v>0</v>
      </c>
      <c r="N2474">
        <v>24464</v>
      </c>
      <c r="O2474">
        <v>11380</v>
      </c>
      <c r="P2474">
        <v>47133</v>
      </c>
      <c r="Q2474">
        <v>4</v>
      </c>
      <c r="R2474">
        <v>2</v>
      </c>
      <c r="S2474">
        <v>13</v>
      </c>
      <c r="T2474">
        <v>80</v>
      </c>
      <c r="U2474">
        <v>200</v>
      </c>
    </row>
    <row r="2475" spans="1:21" x14ac:dyDescent="0.35">
      <c r="A2475" t="s">
        <v>26</v>
      </c>
      <c r="B2475" s="1">
        <v>44429</v>
      </c>
      <c r="C2475" t="s">
        <v>22</v>
      </c>
      <c r="D2475">
        <v>15.3</v>
      </c>
      <c r="E2475">
        <v>3.4</v>
      </c>
      <c r="F2475">
        <v>0</v>
      </c>
      <c r="G2475">
        <v>4.5</v>
      </c>
      <c r="H2475">
        <v>0</v>
      </c>
      <c r="I2475">
        <v>21.7</v>
      </c>
      <c r="J2475">
        <v>2.6</v>
      </c>
      <c r="K2475">
        <v>0</v>
      </c>
      <c r="L2475">
        <v>8.3000000000000007</v>
      </c>
      <c r="M2475">
        <v>0</v>
      </c>
      <c r="N2475">
        <v>1093280</v>
      </c>
      <c r="O2475">
        <v>1437082</v>
      </c>
      <c r="P2475">
        <v>0</v>
      </c>
      <c r="Q2475">
        <v>167</v>
      </c>
      <c r="R2475">
        <v>49</v>
      </c>
      <c r="S2475">
        <v>0</v>
      </c>
      <c r="T2475">
        <v>999</v>
      </c>
      <c r="U2475">
        <v>999</v>
      </c>
    </row>
    <row r="2476" spans="1:21" x14ac:dyDescent="0.35">
      <c r="A2476" t="s">
        <v>28</v>
      </c>
      <c r="B2476" s="1">
        <v>44849</v>
      </c>
      <c r="C2476" t="s">
        <v>30</v>
      </c>
      <c r="D2476">
        <v>105.4</v>
      </c>
      <c r="E2476">
        <v>263.8</v>
      </c>
      <c r="F2476">
        <v>178.5</v>
      </c>
      <c r="G2476">
        <v>0.4</v>
      </c>
      <c r="H2476">
        <v>0.6</v>
      </c>
      <c r="I2476">
        <v>0</v>
      </c>
      <c r="J2476">
        <v>0</v>
      </c>
      <c r="K2476">
        <v>0</v>
      </c>
      <c r="L2476">
        <v>0</v>
      </c>
      <c r="M2476">
        <v>0</v>
      </c>
      <c r="N2476">
        <v>25625</v>
      </c>
      <c r="O2476">
        <v>11373</v>
      </c>
      <c r="P2476">
        <v>47058</v>
      </c>
      <c r="Q2476">
        <v>27</v>
      </c>
      <c r="R2476">
        <v>30</v>
      </c>
      <c r="S2476">
        <v>84</v>
      </c>
      <c r="T2476">
        <v>80</v>
      </c>
      <c r="U2476">
        <v>200</v>
      </c>
    </row>
    <row r="2477" spans="1:21" x14ac:dyDescent="0.35">
      <c r="A2477" t="s">
        <v>28</v>
      </c>
      <c r="B2477" s="1">
        <v>45038</v>
      </c>
      <c r="C2477" t="s">
        <v>30</v>
      </c>
      <c r="D2477">
        <v>65</v>
      </c>
      <c r="E2477">
        <v>96.6</v>
      </c>
      <c r="F2477">
        <v>108.2</v>
      </c>
      <c r="G2477">
        <v>0.7</v>
      </c>
      <c r="H2477">
        <v>0.6</v>
      </c>
      <c r="I2477">
        <v>0</v>
      </c>
      <c r="J2477">
        <v>0</v>
      </c>
      <c r="K2477">
        <v>0</v>
      </c>
      <c r="L2477">
        <v>0</v>
      </c>
      <c r="M2477">
        <v>0</v>
      </c>
      <c r="N2477">
        <v>24605</v>
      </c>
      <c r="O2477">
        <v>11384</v>
      </c>
      <c r="P2477">
        <v>47127</v>
      </c>
      <c r="Q2477">
        <v>16</v>
      </c>
      <c r="R2477">
        <v>11</v>
      </c>
      <c r="S2477">
        <v>51</v>
      </c>
      <c r="T2477">
        <v>80</v>
      </c>
      <c r="U2477">
        <v>200</v>
      </c>
    </row>
    <row r="2478" spans="1:21" x14ac:dyDescent="0.35">
      <c r="A2478" t="s">
        <v>26</v>
      </c>
      <c r="B2478" s="1">
        <v>44720</v>
      </c>
      <c r="C2478" t="s">
        <v>24</v>
      </c>
      <c r="D2478">
        <v>0</v>
      </c>
      <c r="E2478">
        <v>0</v>
      </c>
      <c r="F2478">
        <v>0</v>
      </c>
      <c r="G2478">
        <v>0</v>
      </c>
      <c r="H2478">
        <v>0</v>
      </c>
      <c r="I2478">
        <v>0</v>
      </c>
      <c r="J2478">
        <v>0</v>
      </c>
      <c r="K2478">
        <v>0</v>
      </c>
      <c r="L2478">
        <v>0</v>
      </c>
      <c r="M2478">
        <v>0</v>
      </c>
      <c r="N2478">
        <v>97222</v>
      </c>
      <c r="O2478">
        <v>86190</v>
      </c>
      <c r="P2478">
        <v>11845</v>
      </c>
      <c r="Q2478">
        <v>0</v>
      </c>
      <c r="R2478">
        <v>0</v>
      </c>
      <c r="S2478">
        <v>0</v>
      </c>
      <c r="T2478">
        <v>5</v>
      </c>
      <c r="U2478">
        <v>11</v>
      </c>
    </row>
    <row r="2479" spans="1:21" x14ac:dyDescent="0.35">
      <c r="A2479" t="s">
        <v>28</v>
      </c>
      <c r="B2479" s="1">
        <v>44843</v>
      </c>
      <c r="C2479" t="s">
        <v>30</v>
      </c>
      <c r="D2479">
        <v>175.7</v>
      </c>
      <c r="E2479">
        <v>184.1</v>
      </c>
      <c r="F2479">
        <v>183</v>
      </c>
      <c r="G2479">
        <v>1</v>
      </c>
      <c r="H2479">
        <v>1</v>
      </c>
      <c r="I2479">
        <v>0</v>
      </c>
      <c r="J2479">
        <v>0</v>
      </c>
      <c r="K2479">
        <v>0</v>
      </c>
      <c r="L2479">
        <v>0</v>
      </c>
      <c r="M2479">
        <v>0</v>
      </c>
      <c r="N2479">
        <v>26174</v>
      </c>
      <c r="O2479">
        <v>11409</v>
      </c>
      <c r="P2479">
        <v>46990</v>
      </c>
      <c r="Q2479">
        <v>46</v>
      </c>
      <c r="R2479">
        <v>21</v>
      </c>
      <c r="S2479">
        <v>86</v>
      </c>
      <c r="T2479">
        <v>80</v>
      </c>
      <c r="U2479">
        <v>200</v>
      </c>
    </row>
    <row r="2480" spans="1:21" x14ac:dyDescent="0.35">
      <c r="A2480" t="s">
        <v>21</v>
      </c>
      <c r="B2480" s="1">
        <v>45136</v>
      </c>
      <c r="C2480" t="s">
        <v>22</v>
      </c>
      <c r="D2480">
        <v>0.2</v>
      </c>
      <c r="E2480">
        <v>0</v>
      </c>
      <c r="F2480">
        <v>0.2</v>
      </c>
      <c r="G2480">
        <v>0</v>
      </c>
      <c r="H2480">
        <v>1</v>
      </c>
      <c r="I2480">
        <v>0.5</v>
      </c>
      <c r="J2480">
        <v>0</v>
      </c>
      <c r="K2480">
        <v>0.1</v>
      </c>
      <c r="L2480">
        <v>0</v>
      </c>
      <c r="M2480">
        <v>3.6</v>
      </c>
      <c r="N2480">
        <v>530107</v>
      </c>
      <c r="O2480">
        <v>860315</v>
      </c>
      <c r="P2480">
        <v>1040772</v>
      </c>
      <c r="Q2480">
        <v>1</v>
      </c>
      <c r="R2480">
        <v>0</v>
      </c>
      <c r="S2480">
        <v>2</v>
      </c>
      <c r="T2480">
        <v>999</v>
      </c>
      <c r="U2480">
        <v>999</v>
      </c>
    </row>
    <row r="2481" spans="1:21" x14ac:dyDescent="0.35">
      <c r="A2481" t="s">
        <v>26</v>
      </c>
      <c r="B2481" s="1">
        <v>44783</v>
      </c>
      <c r="C2481" t="s">
        <v>23</v>
      </c>
      <c r="D2481">
        <v>31.1</v>
      </c>
      <c r="E2481">
        <v>3.2</v>
      </c>
      <c r="F2481">
        <v>7.7</v>
      </c>
      <c r="G2481">
        <v>9.6999999999999993</v>
      </c>
      <c r="H2481">
        <v>4</v>
      </c>
      <c r="I2481">
        <v>0</v>
      </c>
      <c r="J2481">
        <v>0</v>
      </c>
      <c r="K2481">
        <v>0</v>
      </c>
      <c r="L2481">
        <v>0</v>
      </c>
      <c r="M2481">
        <v>0</v>
      </c>
      <c r="N2481">
        <v>38636</v>
      </c>
      <c r="O2481">
        <v>125178</v>
      </c>
      <c r="P2481">
        <v>246593</v>
      </c>
      <c r="Q2481">
        <v>12</v>
      </c>
      <c r="R2481">
        <v>4</v>
      </c>
      <c r="S2481">
        <v>19</v>
      </c>
      <c r="T2481">
        <v>50</v>
      </c>
      <c r="U2481">
        <v>64</v>
      </c>
    </row>
    <row r="2482" spans="1:21" x14ac:dyDescent="0.35">
      <c r="A2482" t="s">
        <v>21</v>
      </c>
      <c r="B2482" s="1">
        <v>44429</v>
      </c>
      <c r="C2482" t="s">
        <v>22</v>
      </c>
      <c r="D2482">
        <v>1.7</v>
      </c>
      <c r="E2482">
        <v>0.3</v>
      </c>
      <c r="F2482">
        <v>0</v>
      </c>
      <c r="G2482">
        <v>5.7</v>
      </c>
      <c r="H2482">
        <v>0</v>
      </c>
      <c r="I2482">
        <v>2.5</v>
      </c>
      <c r="J2482">
        <v>0.2</v>
      </c>
      <c r="K2482">
        <v>0</v>
      </c>
      <c r="L2482">
        <v>11.6</v>
      </c>
      <c r="M2482">
        <v>0</v>
      </c>
      <c r="N2482">
        <v>1093280</v>
      </c>
      <c r="O2482">
        <v>1437082</v>
      </c>
      <c r="P2482">
        <v>0</v>
      </c>
      <c r="Q2482">
        <v>19</v>
      </c>
      <c r="R2482">
        <v>4</v>
      </c>
      <c r="S2482">
        <v>0</v>
      </c>
      <c r="T2482">
        <v>999</v>
      </c>
      <c r="U2482">
        <v>999</v>
      </c>
    </row>
    <row r="2483" spans="1:21" x14ac:dyDescent="0.35">
      <c r="A2483" t="s">
        <v>21</v>
      </c>
      <c r="B2483" s="1">
        <v>44843</v>
      </c>
      <c r="C2483" t="s">
        <v>22</v>
      </c>
      <c r="D2483">
        <v>0.8</v>
      </c>
      <c r="E2483">
        <v>0.5</v>
      </c>
      <c r="F2483">
        <v>0.3</v>
      </c>
      <c r="G2483">
        <v>1.6</v>
      </c>
      <c r="H2483">
        <v>2.7</v>
      </c>
      <c r="I2483">
        <v>0.7</v>
      </c>
      <c r="J2483">
        <v>0.8</v>
      </c>
      <c r="K2483">
        <v>0.2</v>
      </c>
      <c r="L2483">
        <v>0.8</v>
      </c>
      <c r="M2483">
        <v>3.8</v>
      </c>
      <c r="N2483">
        <v>602393</v>
      </c>
      <c r="O2483">
        <v>841160</v>
      </c>
      <c r="P2483">
        <v>1033881</v>
      </c>
      <c r="Q2483">
        <v>5</v>
      </c>
      <c r="R2483">
        <v>4</v>
      </c>
      <c r="S2483">
        <v>3</v>
      </c>
      <c r="T2483">
        <v>999</v>
      </c>
      <c r="U2483">
        <v>999</v>
      </c>
    </row>
    <row r="2484" spans="1:21" x14ac:dyDescent="0.35">
      <c r="A2484" t="s">
        <v>26</v>
      </c>
      <c r="B2484" s="1">
        <v>44499</v>
      </c>
      <c r="C2484" t="s">
        <v>22</v>
      </c>
      <c r="D2484">
        <v>10</v>
      </c>
      <c r="E2484">
        <v>2.2000000000000002</v>
      </c>
      <c r="F2484">
        <v>0</v>
      </c>
      <c r="G2484">
        <v>4.5</v>
      </c>
      <c r="H2484">
        <v>0</v>
      </c>
      <c r="I2484">
        <v>15.8</v>
      </c>
      <c r="J2484">
        <v>1.9</v>
      </c>
      <c r="K2484">
        <v>0</v>
      </c>
      <c r="L2484">
        <v>8.4</v>
      </c>
      <c r="M2484">
        <v>0</v>
      </c>
      <c r="N2484">
        <v>968843</v>
      </c>
      <c r="O2484">
        <v>1483650</v>
      </c>
      <c r="P2484">
        <v>92473</v>
      </c>
      <c r="Q2484">
        <v>97</v>
      </c>
      <c r="R2484">
        <v>32</v>
      </c>
      <c r="S2484">
        <v>0</v>
      </c>
      <c r="T2484">
        <v>999</v>
      </c>
      <c r="U2484">
        <v>999</v>
      </c>
    </row>
    <row r="2485" spans="1:21" x14ac:dyDescent="0.35">
      <c r="A2485" t="s">
        <v>28</v>
      </c>
      <c r="B2485" s="1">
        <v>44912</v>
      </c>
      <c r="C2485" t="s">
        <v>31</v>
      </c>
      <c r="D2485">
        <v>263.89999999999998</v>
      </c>
      <c r="E2485">
        <v>179.9</v>
      </c>
      <c r="F2485">
        <v>223.7</v>
      </c>
      <c r="G2485">
        <v>1.5</v>
      </c>
      <c r="H2485">
        <v>1.2</v>
      </c>
      <c r="I2485">
        <v>0</v>
      </c>
      <c r="J2485">
        <v>0</v>
      </c>
      <c r="K2485">
        <v>0</v>
      </c>
      <c r="L2485">
        <v>0</v>
      </c>
      <c r="M2485">
        <v>0</v>
      </c>
      <c r="N2485">
        <v>40932</v>
      </c>
      <c r="O2485">
        <v>43361</v>
      </c>
      <c r="P2485">
        <v>171648</v>
      </c>
      <c r="Q2485">
        <v>108</v>
      </c>
      <c r="R2485">
        <v>78</v>
      </c>
      <c r="S2485">
        <v>384</v>
      </c>
      <c r="T2485">
        <v>65</v>
      </c>
      <c r="U2485">
        <v>79</v>
      </c>
    </row>
    <row r="2486" spans="1:21" x14ac:dyDescent="0.35">
      <c r="A2486" t="s">
        <v>21</v>
      </c>
      <c r="B2486" s="1">
        <v>44982</v>
      </c>
      <c r="C2486" t="s">
        <v>25</v>
      </c>
      <c r="D2486">
        <v>0</v>
      </c>
      <c r="E2486">
        <v>0</v>
      </c>
      <c r="F2486">
        <v>0</v>
      </c>
      <c r="G2486">
        <v>0</v>
      </c>
      <c r="H2486">
        <v>0</v>
      </c>
      <c r="I2486">
        <v>0</v>
      </c>
      <c r="J2486">
        <v>0</v>
      </c>
      <c r="K2486">
        <v>0</v>
      </c>
      <c r="L2486">
        <v>0</v>
      </c>
      <c r="M2486">
        <v>0</v>
      </c>
      <c r="N2486">
        <v>76945</v>
      </c>
      <c r="O2486">
        <v>213529</v>
      </c>
      <c r="P2486">
        <v>161651</v>
      </c>
      <c r="Q2486">
        <v>0</v>
      </c>
      <c r="R2486">
        <v>0</v>
      </c>
      <c r="S2486">
        <v>0</v>
      </c>
      <c r="T2486">
        <v>18</v>
      </c>
      <c r="U2486">
        <v>29</v>
      </c>
    </row>
    <row r="2487" spans="1:21" x14ac:dyDescent="0.35">
      <c r="A2487" t="s">
        <v>28</v>
      </c>
      <c r="B2487" s="1">
        <v>44954</v>
      </c>
      <c r="C2487" t="s">
        <v>23</v>
      </c>
      <c r="D2487">
        <v>177.9</v>
      </c>
      <c r="E2487">
        <v>55</v>
      </c>
      <c r="F2487">
        <v>95.2</v>
      </c>
      <c r="G2487">
        <v>3.2</v>
      </c>
      <c r="H2487">
        <v>1.9</v>
      </c>
      <c r="I2487">
        <v>0</v>
      </c>
      <c r="J2487">
        <v>0</v>
      </c>
      <c r="K2487">
        <v>0</v>
      </c>
      <c r="L2487">
        <v>0</v>
      </c>
      <c r="M2487">
        <v>0</v>
      </c>
      <c r="N2487">
        <v>34286</v>
      </c>
      <c r="O2487">
        <v>125502</v>
      </c>
      <c r="P2487">
        <v>246842</v>
      </c>
      <c r="Q2487">
        <v>61</v>
      </c>
      <c r="R2487">
        <v>69</v>
      </c>
      <c r="S2487">
        <v>235</v>
      </c>
      <c r="T2487">
        <v>50</v>
      </c>
      <c r="U2487">
        <v>64</v>
      </c>
    </row>
    <row r="2488" spans="1:21" x14ac:dyDescent="0.35">
      <c r="A2488" t="s">
        <v>21</v>
      </c>
      <c r="B2488" s="1">
        <v>44684</v>
      </c>
      <c r="C2488" t="s">
        <v>30</v>
      </c>
      <c r="D2488">
        <v>14.7</v>
      </c>
      <c r="E2488">
        <v>34.299999999999997</v>
      </c>
      <c r="F2488">
        <v>7.1</v>
      </c>
      <c r="G2488">
        <v>0.4</v>
      </c>
      <c r="H2488">
        <v>2.1</v>
      </c>
      <c r="I2488">
        <v>0</v>
      </c>
      <c r="J2488">
        <v>0</v>
      </c>
      <c r="K2488">
        <v>0</v>
      </c>
      <c r="L2488">
        <v>0</v>
      </c>
      <c r="M2488">
        <v>0</v>
      </c>
      <c r="N2488">
        <v>27168</v>
      </c>
      <c r="O2488">
        <v>14574</v>
      </c>
      <c r="P2488">
        <v>42437</v>
      </c>
      <c r="Q2488">
        <v>4</v>
      </c>
      <c r="R2488">
        <v>5</v>
      </c>
      <c r="S2488">
        <v>3</v>
      </c>
      <c r="T2488">
        <v>80</v>
      </c>
      <c r="U2488">
        <v>200</v>
      </c>
    </row>
    <row r="2489" spans="1:21" x14ac:dyDescent="0.35">
      <c r="A2489" t="s">
        <v>26</v>
      </c>
      <c r="B2489" s="1">
        <v>44898</v>
      </c>
      <c r="C2489" t="s">
        <v>22</v>
      </c>
      <c r="D2489">
        <v>3.6</v>
      </c>
      <c r="E2489">
        <v>2.2000000000000002</v>
      </c>
      <c r="F2489">
        <v>2.4</v>
      </c>
      <c r="G2489">
        <v>1.6</v>
      </c>
      <c r="H2489">
        <v>1.5</v>
      </c>
      <c r="I2489">
        <v>4.5</v>
      </c>
      <c r="J2489">
        <v>2.7</v>
      </c>
      <c r="K2489">
        <v>1.6</v>
      </c>
      <c r="L2489">
        <v>1.7</v>
      </c>
      <c r="M2489">
        <v>2.8</v>
      </c>
      <c r="N2489">
        <v>664996</v>
      </c>
      <c r="O2489">
        <v>907380</v>
      </c>
      <c r="P2489">
        <v>911102</v>
      </c>
      <c r="Q2489">
        <v>24</v>
      </c>
      <c r="R2489">
        <v>20</v>
      </c>
      <c r="S2489">
        <v>22</v>
      </c>
      <c r="T2489">
        <v>999</v>
      </c>
      <c r="U2489">
        <v>999</v>
      </c>
    </row>
    <row r="2490" spans="1:21" x14ac:dyDescent="0.35">
      <c r="A2490" t="s">
        <v>26</v>
      </c>
      <c r="B2490" s="1">
        <v>44596</v>
      </c>
      <c r="C2490" t="s">
        <v>25</v>
      </c>
      <c r="D2490">
        <v>2</v>
      </c>
      <c r="E2490">
        <v>0</v>
      </c>
      <c r="F2490">
        <v>0.7</v>
      </c>
      <c r="G2490">
        <v>0</v>
      </c>
      <c r="H2490">
        <v>2.9</v>
      </c>
      <c r="I2490">
        <v>0</v>
      </c>
      <c r="J2490">
        <v>0</v>
      </c>
      <c r="K2490">
        <v>0</v>
      </c>
      <c r="L2490">
        <v>0</v>
      </c>
      <c r="M2490">
        <v>0</v>
      </c>
      <c r="N2490">
        <v>98738</v>
      </c>
      <c r="O2490">
        <v>219958</v>
      </c>
      <c r="P2490">
        <v>146325</v>
      </c>
      <c r="Q2490">
        <v>2</v>
      </c>
      <c r="R2490">
        <v>0</v>
      </c>
      <c r="S2490">
        <v>1</v>
      </c>
      <c r="T2490">
        <v>18</v>
      </c>
      <c r="U2490">
        <v>29</v>
      </c>
    </row>
    <row r="2491" spans="1:21" x14ac:dyDescent="0.35">
      <c r="A2491" t="s">
        <v>21</v>
      </c>
      <c r="B2491" s="1">
        <v>44926</v>
      </c>
      <c r="C2491" t="s">
        <v>22</v>
      </c>
      <c r="D2491">
        <v>0.9</v>
      </c>
      <c r="E2491">
        <v>0.4</v>
      </c>
      <c r="F2491">
        <v>0.4</v>
      </c>
      <c r="G2491">
        <v>2.2000000000000002</v>
      </c>
      <c r="H2491">
        <v>2.2000000000000002</v>
      </c>
      <c r="I2491">
        <v>1</v>
      </c>
      <c r="J2491">
        <v>0.7</v>
      </c>
      <c r="K2491">
        <v>0.3</v>
      </c>
      <c r="L2491">
        <v>1.4</v>
      </c>
      <c r="M2491">
        <v>3.7</v>
      </c>
      <c r="N2491">
        <v>555407</v>
      </c>
      <c r="O2491">
        <v>853931</v>
      </c>
      <c r="P2491">
        <v>1040154</v>
      </c>
      <c r="Q2491">
        <v>5</v>
      </c>
      <c r="R2491">
        <v>3</v>
      </c>
      <c r="S2491">
        <v>4</v>
      </c>
      <c r="T2491">
        <v>999</v>
      </c>
      <c r="U2491">
        <v>999</v>
      </c>
    </row>
    <row r="2492" spans="1:21" x14ac:dyDescent="0.35">
      <c r="A2492" t="s">
        <v>21</v>
      </c>
      <c r="B2492" s="1">
        <v>44919</v>
      </c>
      <c r="C2492" t="s">
        <v>22</v>
      </c>
      <c r="D2492">
        <v>0.5</v>
      </c>
      <c r="E2492">
        <v>0.1</v>
      </c>
      <c r="F2492">
        <v>1</v>
      </c>
      <c r="G2492">
        <v>5</v>
      </c>
      <c r="H2492">
        <v>0.5</v>
      </c>
      <c r="I2492">
        <v>0.9</v>
      </c>
      <c r="J2492">
        <v>0.3</v>
      </c>
      <c r="K2492">
        <v>0.7</v>
      </c>
      <c r="L2492">
        <v>3</v>
      </c>
      <c r="M2492">
        <v>1.3</v>
      </c>
      <c r="N2492">
        <v>556867</v>
      </c>
      <c r="O2492">
        <v>853365</v>
      </c>
      <c r="P2492">
        <v>1040060</v>
      </c>
      <c r="Q2492">
        <v>3</v>
      </c>
      <c r="R2492">
        <v>1</v>
      </c>
      <c r="S2492">
        <v>10</v>
      </c>
      <c r="T2492">
        <v>999</v>
      </c>
      <c r="U2492">
        <v>999</v>
      </c>
    </row>
    <row r="2493" spans="1:21" x14ac:dyDescent="0.35">
      <c r="A2493" t="s">
        <v>28</v>
      </c>
      <c r="B2493" s="1">
        <v>44394</v>
      </c>
      <c r="C2493" t="s">
        <v>25</v>
      </c>
      <c r="D2493">
        <v>66.3</v>
      </c>
      <c r="E2493">
        <v>31.6</v>
      </c>
      <c r="F2493">
        <v>0</v>
      </c>
      <c r="G2493">
        <v>2.1</v>
      </c>
      <c r="H2493">
        <v>0</v>
      </c>
      <c r="I2493">
        <v>0</v>
      </c>
      <c r="J2493">
        <v>0</v>
      </c>
      <c r="K2493">
        <v>0</v>
      </c>
      <c r="L2493">
        <v>0</v>
      </c>
      <c r="M2493">
        <v>0</v>
      </c>
      <c r="N2493">
        <v>218646</v>
      </c>
      <c r="O2493">
        <v>272102</v>
      </c>
      <c r="P2493">
        <v>0</v>
      </c>
      <c r="Q2493">
        <v>145</v>
      </c>
      <c r="R2493">
        <v>86</v>
      </c>
      <c r="S2493">
        <v>0</v>
      </c>
      <c r="T2493">
        <v>18</v>
      </c>
      <c r="U2493">
        <v>29</v>
      </c>
    </row>
    <row r="2494" spans="1:21" x14ac:dyDescent="0.35">
      <c r="A2494" t="s">
        <v>28</v>
      </c>
      <c r="B2494" s="1">
        <v>45157</v>
      </c>
      <c r="C2494" t="s">
        <v>25</v>
      </c>
      <c r="D2494">
        <v>68</v>
      </c>
      <c r="E2494">
        <v>20.100000000000001</v>
      </c>
      <c r="F2494">
        <v>26</v>
      </c>
      <c r="G2494">
        <v>3.4</v>
      </c>
      <c r="H2494">
        <v>2.6</v>
      </c>
      <c r="I2494">
        <v>0</v>
      </c>
      <c r="J2494">
        <v>0</v>
      </c>
      <c r="K2494">
        <v>0</v>
      </c>
      <c r="L2494">
        <v>0</v>
      </c>
      <c r="M2494">
        <v>0</v>
      </c>
      <c r="N2494">
        <v>73481</v>
      </c>
      <c r="O2494">
        <v>214133</v>
      </c>
      <c r="P2494">
        <v>161716</v>
      </c>
      <c r="Q2494">
        <v>50</v>
      </c>
      <c r="R2494">
        <v>43</v>
      </c>
      <c r="S2494">
        <v>42</v>
      </c>
      <c r="T2494">
        <v>18</v>
      </c>
      <c r="U2494">
        <v>29</v>
      </c>
    </row>
    <row r="2495" spans="1:21" x14ac:dyDescent="0.35">
      <c r="A2495" t="s">
        <v>28</v>
      </c>
      <c r="B2495" s="1">
        <v>44891</v>
      </c>
      <c r="C2495" t="s">
        <v>29</v>
      </c>
      <c r="D2495">
        <v>178.3</v>
      </c>
      <c r="E2495">
        <v>70.8</v>
      </c>
      <c r="F2495">
        <v>106.6</v>
      </c>
      <c r="G2495">
        <v>2.5</v>
      </c>
      <c r="H2495">
        <v>1.7</v>
      </c>
      <c r="I2495">
        <v>0</v>
      </c>
      <c r="J2495">
        <v>0</v>
      </c>
      <c r="K2495">
        <v>0</v>
      </c>
      <c r="L2495">
        <v>0</v>
      </c>
      <c r="M2495">
        <v>0</v>
      </c>
      <c r="N2495">
        <v>115507</v>
      </c>
      <c r="O2495">
        <v>276843</v>
      </c>
      <c r="P2495">
        <v>347102</v>
      </c>
      <c r="Q2495">
        <v>206</v>
      </c>
      <c r="R2495">
        <v>196</v>
      </c>
      <c r="S2495">
        <v>370</v>
      </c>
      <c r="T2495">
        <v>30</v>
      </c>
      <c r="U2495">
        <v>49</v>
      </c>
    </row>
    <row r="2496" spans="1:21" x14ac:dyDescent="0.35">
      <c r="A2496" t="s">
        <v>26</v>
      </c>
      <c r="B2496" s="1">
        <v>45108</v>
      </c>
      <c r="C2496" t="s">
        <v>27</v>
      </c>
      <c r="D2496">
        <v>6</v>
      </c>
      <c r="E2496">
        <v>0</v>
      </c>
      <c r="F2496">
        <v>0</v>
      </c>
      <c r="G2496">
        <v>0</v>
      </c>
      <c r="H2496">
        <v>0</v>
      </c>
      <c r="I2496">
        <v>0</v>
      </c>
      <c r="J2496">
        <v>0</v>
      </c>
      <c r="K2496">
        <v>0</v>
      </c>
      <c r="L2496">
        <v>0</v>
      </c>
      <c r="M2496">
        <v>0</v>
      </c>
      <c r="N2496">
        <v>33600</v>
      </c>
      <c r="O2496">
        <v>86240</v>
      </c>
      <c r="P2496">
        <v>44537</v>
      </c>
      <c r="Q2496">
        <v>2</v>
      </c>
      <c r="R2496">
        <v>0</v>
      </c>
      <c r="S2496">
        <v>0</v>
      </c>
      <c r="T2496">
        <v>12</v>
      </c>
      <c r="U2496">
        <v>17</v>
      </c>
    </row>
    <row r="2497" spans="1:21" x14ac:dyDescent="0.35">
      <c r="A2497" t="s">
        <v>21</v>
      </c>
      <c r="B2497" s="1">
        <v>44303</v>
      </c>
      <c r="C2497" t="s">
        <v>22</v>
      </c>
      <c r="D2497">
        <v>2.2000000000000002</v>
      </c>
      <c r="E2497">
        <v>0.2</v>
      </c>
      <c r="F2497">
        <v>0</v>
      </c>
      <c r="G2497">
        <v>11</v>
      </c>
      <c r="H2497">
        <v>0</v>
      </c>
      <c r="I2497">
        <v>2.9</v>
      </c>
      <c r="J2497">
        <v>0.1</v>
      </c>
      <c r="K2497">
        <v>0</v>
      </c>
      <c r="L2497">
        <v>29.9</v>
      </c>
      <c r="M2497">
        <v>0</v>
      </c>
      <c r="N2497">
        <v>1616421</v>
      </c>
      <c r="O2497">
        <v>475163</v>
      </c>
      <c r="P2497">
        <v>0</v>
      </c>
      <c r="Q2497">
        <v>35</v>
      </c>
      <c r="R2497">
        <v>1</v>
      </c>
      <c r="S2497">
        <v>0</v>
      </c>
      <c r="T2497">
        <v>999</v>
      </c>
      <c r="U2497">
        <v>999</v>
      </c>
    </row>
    <row r="2498" spans="1:21" x14ac:dyDescent="0.35">
      <c r="A2498" t="s">
        <v>21</v>
      </c>
      <c r="B2498" s="1">
        <v>44828</v>
      </c>
      <c r="C2498" t="s">
        <v>29</v>
      </c>
      <c r="D2498">
        <v>0</v>
      </c>
      <c r="E2498">
        <v>0</v>
      </c>
      <c r="F2498">
        <v>0</v>
      </c>
      <c r="G2498">
        <v>0</v>
      </c>
      <c r="H2498">
        <v>0</v>
      </c>
      <c r="I2498">
        <v>0</v>
      </c>
      <c r="J2498">
        <v>0</v>
      </c>
      <c r="K2498">
        <v>0</v>
      </c>
      <c r="L2498">
        <v>0</v>
      </c>
      <c r="M2498">
        <v>0</v>
      </c>
      <c r="N2498">
        <v>122951</v>
      </c>
      <c r="O2498">
        <v>275932</v>
      </c>
      <c r="P2498">
        <v>346890</v>
      </c>
      <c r="Q2498">
        <v>0</v>
      </c>
      <c r="R2498">
        <v>0</v>
      </c>
      <c r="S2498">
        <v>0</v>
      </c>
      <c r="T2498">
        <v>30</v>
      </c>
      <c r="U2498">
        <v>49</v>
      </c>
    </row>
    <row r="2499" spans="1:21" x14ac:dyDescent="0.35">
      <c r="A2499" t="s">
        <v>26</v>
      </c>
      <c r="B2499" s="1">
        <v>45038</v>
      </c>
      <c r="C2499" t="s">
        <v>22</v>
      </c>
      <c r="D2499">
        <v>4.8</v>
      </c>
      <c r="E2499">
        <v>1.7</v>
      </c>
      <c r="F2499">
        <v>4</v>
      </c>
      <c r="G2499">
        <v>2.8</v>
      </c>
      <c r="H2499">
        <v>1.2</v>
      </c>
      <c r="I2499">
        <v>6.9</v>
      </c>
      <c r="J2499">
        <v>3.2</v>
      </c>
      <c r="K2499">
        <v>3.1</v>
      </c>
      <c r="L2499">
        <v>2.2000000000000002</v>
      </c>
      <c r="M2499">
        <v>2.2000000000000002</v>
      </c>
      <c r="N2499">
        <v>538932</v>
      </c>
      <c r="O2499">
        <v>859890</v>
      </c>
      <c r="P2499">
        <v>1040601</v>
      </c>
      <c r="Q2499">
        <v>26</v>
      </c>
      <c r="R2499">
        <v>15</v>
      </c>
      <c r="S2499">
        <v>42</v>
      </c>
      <c r="T2499">
        <v>999</v>
      </c>
      <c r="U2499">
        <v>999</v>
      </c>
    </row>
    <row r="2500" spans="1:21" x14ac:dyDescent="0.35">
      <c r="A2500" t="s">
        <v>21</v>
      </c>
      <c r="B2500" s="1">
        <v>44871</v>
      </c>
      <c r="C2500" t="s">
        <v>24</v>
      </c>
      <c r="D2500">
        <v>0</v>
      </c>
      <c r="E2500">
        <v>0</v>
      </c>
      <c r="F2500">
        <v>0</v>
      </c>
      <c r="G2500">
        <v>0</v>
      </c>
      <c r="H2500">
        <v>0</v>
      </c>
      <c r="I2500">
        <v>0</v>
      </c>
      <c r="J2500">
        <v>0</v>
      </c>
      <c r="K2500">
        <v>0</v>
      </c>
      <c r="L2500">
        <v>0</v>
      </c>
      <c r="M2500">
        <v>0</v>
      </c>
      <c r="N2500">
        <v>100172</v>
      </c>
      <c r="O2500">
        <v>93140</v>
      </c>
      <c r="P2500">
        <v>2658</v>
      </c>
      <c r="Q2500">
        <v>0</v>
      </c>
      <c r="R2500">
        <v>0</v>
      </c>
      <c r="S2500">
        <v>0</v>
      </c>
      <c r="T2500">
        <v>5</v>
      </c>
      <c r="U2500">
        <v>11</v>
      </c>
    </row>
    <row r="2501" spans="1:21" x14ac:dyDescent="0.35">
      <c r="A2501" t="s">
        <v>21</v>
      </c>
      <c r="B2501" s="1">
        <v>44632</v>
      </c>
      <c r="C2501" t="s">
        <v>24</v>
      </c>
      <c r="D2501">
        <v>0</v>
      </c>
      <c r="E2501">
        <v>0</v>
      </c>
      <c r="F2501">
        <v>0</v>
      </c>
      <c r="G2501">
        <v>0</v>
      </c>
      <c r="H2501">
        <v>0</v>
      </c>
      <c r="I2501">
        <v>0</v>
      </c>
      <c r="J2501">
        <v>0</v>
      </c>
      <c r="K2501">
        <v>0</v>
      </c>
      <c r="L2501">
        <v>0</v>
      </c>
      <c r="M2501">
        <v>0</v>
      </c>
      <c r="N2501">
        <v>92929</v>
      </c>
      <c r="O2501">
        <v>81116</v>
      </c>
      <c r="P2501">
        <v>21117</v>
      </c>
      <c r="Q2501">
        <v>0</v>
      </c>
      <c r="R2501">
        <v>0</v>
      </c>
      <c r="S2501">
        <v>0</v>
      </c>
      <c r="T2501">
        <v>5</v>
      </c>
      <c r="U2501">
        <v>11</v>
      </c>
    </row>
    <row r="2502" spans="1:21" x14ac:dyDescent="0.35">
      <c r="A2502" t="s">
        <v>21</v>
      </c>
      <c r="B2502" s="1">
        <v>45073</v>
      </c>
      <c r="C2502" t="s">
        <v>25</v>
      </c>
      <c r="D2502">
        <v>0</v>
      </c>
      <c r="E2502">
        <v>0</v>
      </c>
      <c r="F2502">
        <v>0</v>
      </c>
      <c r="G2502">
        <v>0</v>
      </c>
      <c r="H2502">
        <v>0</v>
      </c>
      <c r="I2502">
        <v>0</v>
      </c>
      <c r="J2502">
        <v>0</v>
      </c>
      <c r="K2502">
        <v>0</v>
      </c>
      <c r="L2502">
        <v>0</v>
      </c>
      <c r="M2502">
        <v>0</v>
      </c>
      <c r="N2502">
        <v>74841</v>
      </c>
      <c r="O2502">
        <v>214134</v>
      </c>
      <c r="P2502">
        <v>161693</v>
      </c>
      <c r="Q2502">
        <v>0</v>
      </c>
      <c r="R2502">
        <v>0</v>
      </c>
      <c r="S2502">
        <v>0</v>
      </c>
      <c r="T2502">
        <v>18</v>
      </c>
      <c r="U2502">
        <v>29</v>
      </c>
    </row>
    <row r="2503" spans="1:21" x14ac:dyDescent="0.35">
      <c r="A2503" t="s">
        <v>21</v>
      </c>
      <c r="B2503" s="1">
        <v>45142</v>
      </c>
      <c r="C2503" t="s">
        <v>32</v>
      </c>
      <c r="D2503">
        <v>0</v>
      </c>
      <c r="E2503">
        <v>0</v>
      </c>
      <c r="F2503">
        <v>0</v>
      </c>
      <c r="G2503">
        <v>0</v>
      </c>
      <c r="H2503">
        <v>0</v>
      </c>
      <c r="I2503">
        <v>0</v>
      </c>
      <c r="J2503">
        <v>0</v>
      </c>
      <c r="K2503">
        <v>0</v>
      </c>
      <c r="L2503">
        <v>0</v>
      </c>
      <c r="M2503">
        <v>0</v>
      </c>
      <c r="N2503">
        <v>162642</v>
      </c>
      <c r="O2503">
        <v>0</v>
      </c>
      <c r="P2503">
        <v>0</v>
      </c>
      <c r="Q2503">
        <v>0</v>
      </c>
      <c r="R2503">
        <v>0</v>
      </c>
      <c r="S2503">
        <v>0</v>
      </c>
      <c r="T2503">
        <v>0</v>
      </c>
      <c r="U2503">
        <v>4</v>
      </c>
    </row>
    <row r="2504" spans="1:21" x14ac:dyDescent="0.35">
      <c r="A2504" t="s">
        <v>28</v>
      </c>
      <c r="B2504" s="1">
        <v>44912</v>
      </c>
      <c r="C2504" t="s">
        <v>27</v>
      </c>
      <c r="D2504">
        <v>257.39999999999998</v>
      </c>
      <c r="E2504">
        <v>126.5</v>
      </c>
      <c r="F2504">
        <v>161.69999999999999</v>
      </c>
      <c r="G2504">
        <v>2</v>
      </c>
      <c r="H2504">
        <v>1.6</v>
      </c>
      <c r="I2504">
        <v>0</v>
      </c>
      <c r="J2504">
        <v>0</v>
      </c>
      <c r="K2504">
        <v>0</v>
      </c>
      <c r="L2504">
        <v>0</v>
      </c>
      <c r="M2504">
        <v>0</v>
      </c>
      <c r="N2504">
        <v>33793</v>
      </c>
      <c r="O2504">
        <v>86155</v>
      </c>
      <c r="P2504">
        <v>44526</v>
      </c>
      <c r="Q2504">
        <v>87</v>
      </c>
      <c r="R2504">
        <v>109</v>
      </c>
      <c r="S2504">
        <v>72</v>
      </c>
      <c r="T2504">
        <v>12</v>
      </c>
      <c r="U2504">
        <v>17</v>
      </c>
    </row>
    <row r="2505" spans="1:21" x14ac:dyDescent="0.35">
      <c r="A2505" t="s">
        <v>21</v>
      </c>
      <c r="B2505" s="1">
        <v>45178</v>
      </c>
      <c r="C2505" t="s">
        <v>31</v>
      </c>
      <c r="D2505">
        <v>2.6</v>
      </c>
      <c r="E2505">
        <v>0</v>
      </c>
      <c r="F2505">
        <v>0</v>
      </c>
      <c r="G2505">
        <v>0</v>
      </c>
      <c r="H2505">
        <v>0</v>
      </c>
      <c r="I2505">
        <v>0</v>
      </c>
      <c r="J2505">
        <v>0</v>
      </c>
      <c r="K2505">
        <v>0</v>
      </c>
      <c r="L2505">
        <v>0</v>
      </c>
      <c r="M2505">
        <v>0</v>
      </c>
      <c r="N2505">
        <v>39140</v>
      </c>
      <c r="O2505">
        <v>43415</v>
      </c>
      <c r="P2505">
        <v>171755</v>
      </c>
      <c r="Q2505">
        <v>1</v>
      </c>
      <c r="R2505">
        <v>0</v>
      </c>
      <c r="S2505">
        <v>0</v>
      </c>
      <c r="T2505">
        <v>65</v>
      </c>
      <c r="U2505">
        <v>79</v>
      </c>
    </row>
    <row r="2506" spans="1:21" x14ac:dyDescent="0.35">
      <c r="A2506" t="s">
        <v>26</v>
      </c>
      <c r="B2506" s="1">
        <v>45213</v>
      </c>
      <c r="C2506" t="s">
        <v>23</v>
      </c>
      <c r="D2506">
        <v>12.7</v>
      </c>
      <c r="E2506">
        <v>4</v>
      </c>
      <c r="F2506">
        <v>2.8</v>
      </c>
      <c r="G2506">
        <v>3.2</v>
      </c>
      <c r="H2506">
        <v>4.5</v>
      </c>
      <c r="I2506">
        <v>0</v>
      </c>
      <c r="J2506">
        <v>0</v>
      </c>
      <c r="K2506">
        <v>0</v>
      </c>
      <c r="L2506">
        <v>0</v>
      </c>
      <c r="M2506">
        <v>0</v>
      </c>
      <c r="N2506">
        <v>31377</v>
      </c>
      <c r="O2506">
        <v>125742</v>
      </c>
      <c r="P2506">
        <v>247106</v>
      </c>
      <c r="Q2506">
        <v>4</v>
      </c>
      <c r="R2506">
        <v>5</v>
      </c>
      <c r="S2506">
        <v>7</v>
      </c>
      <c r="T2506">
        <v>50</v>
      </c>
      <c r="U2506">
        <v>64</v>
      </c>
    </row>
    <row r="2507" spans="1:21" x14ac:dyDescent="0.35">
      <c r="A2507" t="s">
        <v>28</v>
      </c>
      <c r="B2507" s="1">
        <v>44373</v>
      </c>
      <c r="C2507" t="s">
        <v>31</v>
      </c>
      <c r="D2507">
        <v>12.3</v>
      </c>
      <c r="E2507">
        <v>1.1000000000000001</v>
      </c>
      <c r="F2507">
        <v>0</v>
      </c>
      <c r="G2507">
        <v>11.2</v>
      </c>
      <c r="H2507">
        <v>0</v>
      </c>
      <c r="I2507">
        <v>0</v>
      </c>
      <c r="J2507">
        <v>0</v>
      </c>
      <c r="K2507">
        <v>0</v>
      </c>
      <c r="L2507">
        <v>0</v>
      </c>
      <c r="M2507">
        <v>0</v>
      </c>
      <c r="N2507">
        <v>73343</v>
      </c>
      <c r="O2507">
        <v>186066</v>
      </c>
      <c r="P2507">
        <v>0</v>
      </c>
      <c r="Q2507">
        <v>9</v>
      </c>
      <c r="R2507">
        <v>2</v>
      </c>
      <c r="S2507">
        <v>0</v>
      </c>
      <c r="T2507">
        <v>65</v>
      </c>
      <c r="U2507">
        <v>79</v>
      </c>
    </row>
    <row r="2508" spans="1:21" x14ac:dyDescent="0.35">
      <c r="A2508" t="s">
        <v>26</v>
      </c>
      <c r="B2508" s="1">
        <v>44303</v>
      </c>
      <c r="C2508" t="s">
        <v>27</v>
      </c>
      <c r="D2508">
        <v>2.2999999999999998</v>
      </c>
      <c r="E2508">
        <v>0</v>
      </c>
      <c r="F2508">
        <v>0</v>
      </c>
      <c r="G2508">
        <v>0</v>
      </c>
      <c r="H2508">
        <v>0</v>
      </c>
      <c r="I2508">
        <v>0</v>
      </c>
      <c r="J2508">
        <v>0</v>
      </c>
      <c r="K2508">
        <v>0</v>
      </c>
      <c r="L2508">
        <v>0</v>
      </c>
      <c r="M2508">
        <v>0</v>
      </c>
      <c r="N2508">
        <v>175134</v>
      </c>
      <c r="O2508">
        <v>0</v>
      </c>
      <c r="P2508">
        <v>0</v>
      </c>
      <c r="Q2508">
        <v>4</v>
      </c>
      <c r="R2508">
        <v>0</v>
      </c>
      <c r="S2508">
        <v>0</v>
      </c>
      <c r="T2508">
        <v>12</v>
      </c>
      <c r="U2508">
        <v>17</v>
      </c>
    </row>
    <row r="2509" spans="1:21" x14ac:dyDescent="0.35">
      <c r="A2509" t="s">
        <v>21</v>
      </c>
      <c r="B2509" s="1">
        <v>44695</v>
      </c>
      <c r="C2509" t="s">
        <v>29</v>
      </c>
      <c r="D2509">
        <v>0</v>
      </c>
      <c r="E2509">
        <v>0</v>
      </c>
      <c r="F2509">
        <v>0</v>
      </c>
      <c r="G2509">
        <v>0</v>
      </c>
      <c r="H2509">
        <v>0</v>
      </c>
      <c r="I2509">
        <v>0</v>
      </c>
      <c r="J2509">
        <v>0</v>
      </c>
      <c r="K2509">
        <v>0</v>
      </c>
      <c r="L2509">
        <v>0</v>
      </c>
      <c r="M2509">
        <v>0</v>
      </c>
      <c r="N2509">
        <v>130179</v>
      </c>
      <c r="O2509">
        <v>285512</v>
      </c>
      <c r="P2509">
        <v>332845</v>
      </c>
      <c r="Q2509">
        <v>0</v>
      </c>
      <c r="R2509">
        <v>0</v>
      </c>
      <c r="S2509">
        <v>0</v>
      </c>
      <c r="T2509">
        <v>30</v>
      </c>
      <c r="U2509">
        <v>49</v>
      </c>
    </row>
    <row r="2510" spans="1:21" x14ac:dyDescent="0.35">
      <c r="A2510" t="s">
        <v>28</v>
      </c>
      <c r="B2510" s="1">
        <v>44611</v>
      </c>
      <c r="C2510" t="s">
        <v>23</v>
      </c>
      <c r="D2510">
        <v>146.1</v>
      </c>
      <c r="E2510">
        <v>43.6</v>
      </c>
      <c r="F2510">
        <v>48.9</v>
      </c>
      <c r="G2510">
        <v>3.4</v>
      </c>
      <c r="H2510">
        <v>3</v>
      </c>
      <c r="I2510">
        <v>0</v>
      </c>
      <c r="J2510">
        <v>0</v>
      </c>
      <c r="K2510">
        <v>0</v>
      </c>
      <c r="L2510">
        <v>0</v>
      </c>
      <c r="M2510">
        <v>0</v>
      </c>
      <c r="N2510">
        <v>47217</v>
      </c>
      <c r="O2510">
        <v>148975</v>
      </c>
      <c r="P2510">
        <v>212791</v>
      </c>
      <c r="Q2510">
        <v>69</v>
      </c>
      <c r="R2510">
        <v>65</v>
      </c>
      <c r="S2510">
        <v>104</v>
      </c>
      <c r="T2510">
        <v>50</v>
      </c>
      <c r="U2510">
        <v>64</v>
      </c>
    </row>
    <row r="2511" spans="1:21" x14ac:dyDescent="0.35">
      <c r="A2511" t="s">
        <v>28</v>
      </c>
      <c r="B2511" s="1">
        <v>45059</v>
      </c>
      <c r="C2511" t="s">
        <v>31</v>
      </c>
      <c r="D2511">
        <v>65.7</v>
      </c>
      <c r="E2511">
        <v>46</v>
      </c>
      <c r="F2511">
        <v>41.3</v>
      </c>
      <c r="G2511">
        <v>1.4</v>
      </c>
      <c r="H2511">
        <v>1.6</v>
      </c>
      <c r="I2511">
        <v>0</v>
      </c>
      <c r="J2511">
        <v>0</v>
      </c>
      <c r="K2511">
        <v>0</v>
      </c>
      <c r="L2511">
        <v>0</v>
      </c>
      <c r="M2511">
        <v>0</v>
      </c>
      <c r="N2511">
        <v>39568</v>
      </c>
      <c r="O2511">
        <v>43436</v>
      </c>
      <c r="P2511">
        <v>171728</v>
      </c>
      <c r="Q2511">
        <v>26</v>
      </c>
      <c r="R2511">
        <v>20</v>
      </c>
      <c r="S2511">
        <v>71</v>
      </c>
      <c r="T2511">
        <v>65</v>
      </c>
      <c r="U2511">
        <v>79</v>
      </c>
    </row>
    <row r="2512" spans="1:21" x14ac:dyDescent="0.35">
      <c r="A2512" t="s">
        <v>26</v>
      </c>
      <c r="B2512" s="1">
        <v>45220</v>
      </c>
      <c r="C2512" t="s">
        <v>22</v>
      </c>
      <c r="D2512">
        <v>4.5999999999999996</v>
      </c>
      <c r="E2512">
        <v>2</v>
      </c>
      <c r="F2512">
        <v>5.9</v>
      </c>
      <c r="G2512">
        <v>2.2999999999999998</v>
      </c>
      <c r="H2512">
        <v>0.8</v>
      </c>
      <c r="I2512">
        <v>5.4</v>
      </c>
      <c r="J2512">
        <v>2.8</v>
      </c>
      <c r="K2512">
        <v>4</v>
      </c>
      <c r="L2512">
        <v>2</v>
      </c>
      <c r="M2512">
        <v>1.4</v>
      </c>
      <c r="N2512">
        <v>517086</v>
      </c>
      <c r="O2512">
        <v>861860</v>
      </c>
      <c r="P2512">
        <v>1042471</v>
      </c>
      <c r="Q2512">
        <v>24</v>
      </c>
      <c r="R2512">
        <v>17</v>
      </c>
      <c r="S2512">
        <v>62</v>
      </c>
      <c r="T2512">
        <v>999</v>
      </c>
      <c r="U2512">
        <v>999</v>
      </c>
    </row>
    <row r="2513" spans="1:21" x14ac:dyDescent="0.35">
      <c r="A2513" t="s">
        <v>21</v>
      </c>
      <c r="B2513" s="1">
        <v>45117</v>
      </c>
      <c r="C2513" t="s">
        <v>32</v>
      </c>
      <c r="D2513">
        <v>0</v>
      </c>
      <c r="E2513">
        <v>0</v>
      </c>
      <c r="F2513">
        <v>0</v>
      </c>
      <c r="G2513">
        <v>0</v>
      </c>
      <c r="H2513">
        <v>0</v>
      </c>
      <c r="I2513">
        <v>0</v>
      </c>
      <c r="J2513">
        <v>0</v>
      </c>
      <c r="K2513">
        <v>0</v>
      </c>
      <c r="L2513">
        <v>0</v>
      </c>
      <c r="M2513">
        <v>0</v>
      </c>
      <c r="N2513">
        <v>162642</v>
      </c>
      <c r="O2513">
        <v>0</v>
      </c>
      <c r="P2513">
        <v>0</v>
      </c>
      <c r="Q2513">
        <v>0</v>
      </c>
      <c r="R2513">
        <v>0</v>
      </c>
      <c r="S2513">
        <v>0</v>
      </c>
      <c r="T2513">
        <v>0</v>
      </c>
      <c r="U2513">
        <v>4</v>
      </c>
    </row>
    <row r="2514" spans="1:21" x14ac:dyDescent="0.35">
      <c r="A2514" t="s">
        <v>28</v>
      </c>
      <c r="B2514" s="1">
        <v>45122</v>
      </c>
      <c r="C2514" t="s">
        <v>22</v>
      </c>
      <c r="D2514">
        <v>14.3</v>
      </c>
      <c r="E2514">
        <v>7.2</v>
      </c>
      <c r="F2514">
        <v>12.8</v>
      </c>
      <c r="G2514">
        <v>2</v>
      </c>
      <c r="H2514">
        <v>1.1000000000000001</v>
      </c>
      <c r="I2514">
        <v>15.4</v>
      </c>
      <c r="J2514">
        <v>7.4</v>
      </c>
      <c r="K2514">
        <v>10.7</v>
      </c>
      <c r="L2514">
        <v>2.1</v>
      </c>
      <c r="M2514">
        <v>1.4</v>
      </c>
      <c r="N2514">
        <v>531292</v>
      </c>
      <c r="O2514">
        <v>860318</v>
      </c>
      <c r="P2514">
        <v>1040757</v>
      </c>
      <c r="Q2514">
        <v>76</v>
      </c>
      <c r="R2514">
        <v>62</v>
      </c>
      <c r="S2514">
        <v>133</v>
      </c>
      <c r="T2514">
        <v>999</v>
      </c>
      <c r="U2514">
        <v>999</v>
      </c>
    </row>
    <row r="2515" spans="1:21" x14ac:dyDescent="0.35">
      <c r="A2515" t="s">
        <v>26</v>
      </c>
      <c r="B2515" s="1">
        <v>45082</v>
      </c>
      <c r="C2515" t="s">
        <v>30</v>
      </c>
      <c r="D2515">
        <v>12.2</v>
      </c>
      <c r="E2515">
        <v>17.600000000000001</v>
      </c>
      <c r="F2515">
        <v>25.5</v>
      </c>
      <c r="G2515">
        <v>0.7</v>
      </c>
      <c r="H2515">
        <v>0.5</v>
      </c>
      <c r="I2515">
        <v>0</v>
      </c>
      <c r="J2515">
        <v>0</v>
      </c>
      <c r="K2515">
        <v>0</v>
      </c>
      <c r="L2515">
        <v>0</v>
      </c>
      <c r="M2515">
        <v>0</v>
      </c>
      <c r="N2515">
        <v>24581</v>
      </c>
      <c r="O2515">
        <v>11385</v>
      </c>
      <c r="P2515">
        <v>47127</v>
      </c>
      <c r="Q2515">
        <v>3</v>
      </c>
      <c r="R2515">
        <v>2</v>
      </c>
      <c r="S2515">
        <v>12</v>
      </c>
      <c r="T2515">
        <v>80</v>
      </c>
      <c r="U2515">
        <v>200</v>
      </c>
    </row>
    <row r="2516" spans="1:21" x14ac:dyDescent="0.35">
      <c r="A2516" t="s">
        <v>26</v>
      </c>
      <c r="B2516" s="1">
        <v>44843</v>
      </c>
      <c r="C2516" t="s">
        <v>24</v>
      </c>
      <c r="D2516">
        <v>2.1</v>
      </c>
      <c r="E2516">
        <v>0</v>
      </c>
      <c r="F2516">
        <v>11.3</v>
      </c>
      <c r="G2516">
        <v>0</v>
      </c>
      <c r="H2516">
        <v>0.2</v>
      </c>
      <c r="I2516">
        <v>0</v>
      </c>
      <c r="J2516">
        <v>0</v>
      </c>
      <c r="K2516">
        <v>0</v>
      </c>
      <c r="L2516">
        <v>0</v>
      </c>
      <c r="M2516">
        <v>0</v>
      </c>
      <c r="N2516">
        <v>95349</v>
      </c>
      <c r="O2516">
        <v>82126</v>
      </c>
      <c r="P2516">
        <v>17689</v>
      </c>
      <c r="Q2516">
        <v>2</v>
      </c>
      <c r="R2516">
        <v>0</v>
      </c>
      <c r="S2516">
        <v>2</v>
      </c>
      <c r="T2516">
        <v>5</v>
      </c>
      <c r="U2516">
        <v>11</v>
      </c>
    </row>
    <row r="2517" spans="1:21" x14ac:dyDescent="0.35">
      <c r="A2517" t="s">
        <v>28</v>
      </c>
      <c r="B2517" s="1">
        <v>44413</v>
      </c>
      <c r="C2517" t="s">
        <v>22</v>
      </c>
      <c r="D2517">
        <v>167.4</v>
      </c>
      <c r="E2517">
        <v>15.1</v>
      </c>
      <c r="F2517">
        <v>0</v>
      </c>
      <c r="G2517">
        <v>11.1</v>
      </c>
      <c r="H2517">
        <v>0</v>
      </c>
      <c r="I2517">
        <v>181.7</v>
      </c>
      <c r="J2517">
        <v>11.3</v>
      </c>
      <c r="K2517">
        <v>0</v>
      </c>
      <c r="L2517">
        <v>16.100000000000001</v>
      </c>
      <c r="M2517">
        <v>0</v>
      </c>
      <c r="N2517">
        <v>1432023</v>
      </c>
      <c r="O2517">
        <v>822199</v>
      </c>
      <c r="P2517">
        <v>0</v>
      </c>
      <c r="Q2517">
        <v>2397</v>
      </c>
      <c r="R2517">
        <v>124</v>
      </c>
      <c r="S2517">
        <v>0</v>
      </c>
      <c r="T2517">
        <v>999</v>
      </c>
      <c r="U2517">
        <v>999</v>
      </c>
    </row>
    <row r="2518" spans="1:21" x14ac:dyDescent="0.35">
      <c r="A2518" t="s">
        <v>28</v>
      </c>
      <c r="B2518" s="1">
        <v>44692</v>
      </c>
      <c r="C2518" t="s">
        <v>27</v>
      </c>
      <c r="D2518">
        <v>145.6</v>
      </c>
      <c r="E2518">
        <v>73.3</v>
      </c>
      <c r="F2518">
        <v>80.900000000000006</v>
      </c>
      <c r="G2518">
        <v>2</v>
      </c>
      <c r="H2518">
        <v>1.8</v>
      </c>
      <c r="I2518">
        <v>0</v>
      </c>
      <c r="J2518">
        <v>0</v>
      </c>
      <c r="K2518">
        <v>0</v>
      </c>
      <c r="L2518">
        <v>0</v>
      </c>
      <c r="M2518">
        <v>0</v>
      </c>
      <c r="N2518">
        <v>34344</v>
      </c>
      <c r="O2518">
        <v>85986</v>
      </c>
      <c r="P2518">
        <v>44495</v>
      </c>
      <c r="Q2518">
        <v>50</v>
      </c>
      <c r="R2518">
        <v>63</v>
      </c>
      <c r="S2518">
        <v>36</v>
      </c>
      <c r="T2518">
        <v>12</v>
      </c>
      <c r="U2518">
        <v>17</v>
      </c>
    </row>
    <row r="2519" spans="1:21" x14ac:dyDescent="0.35">
      <c r="A2519" t="s">
        <v>28</v>
      </c>
      <c r="B2519" s="1">
        <v>44394</v>
      </c>
      <c r="C2519" t="s">
        <v>23</v>
      </c>
      <c r="D2519">
        <v>57.1</v>
      </c>
      <c r="E2519">
        <v>13</v>
      </c>
      <c r="F2519">
        <v>0</v>
      </c>
      <c r="G2519">
        <v>4.4000000000000004</v>
      </c>
      <c r="H2519">
        <v>0</v>
      </c>
      <c r="I2519">
        <v>0</v>
      </c>
      <c r="J2519">
        <v>0</v>
      </c>
      <c r="K2519">
        <v>0</v>
      </c>
      <c r="L2519">
        <v>0</v>
      </c>
      <c r="M2519">
        <v>0</v>
      </c>
      <c r="N2519">
        <v>105017</v>
      </c>
      <c r="O2519">
        <v>308063</v>
      </c>
      <c r="P2519">
        <v>0</v>
      </c>
      <c r="Q2519">
        <v>60</v>
      </c>
      <c r="R2519">
        <v>40</v>
      </c>
      <c r="S2519">
        <v>0</v>
      </c>
      <c r="T2519">
        <v>50</v>
      </c>
      <c r="U2519">
        <v>64</v>
      </c>
    </row>
    <row r="2520" spans="1:21" x14ac:dyDescent="0.35">
      <c r="A2520" t="s">
        <v>28</v>
      </c>
      <c r="B2520" s="1">
        <v>45205</v>
      </c>
      <c r="C2520" t="s">
        <v>32</v>
      </c>
      <c r="D2520">
        <v>12.9</v>
      </c>
      <c r="E2520">
        <v>1.2</v>
      </c>
      <c r="F2520">
        <v>0</v>
      </c>
      <c r="G2520">
        <v>10.8</v>
      </c>
      <c r="H2520">
        <v>0</v>
      </c>
      <c r="I2520">
        <v>0</v>
      </c>
      <c r="J2520">
        <v>0</v>
      </c>
      <c r="K2520">
        <v>0</v>
      </c>
      <c r="L2520">
        <v>0</v>
      </c>
      <c r="M2520">
        <v>0</v>
      </c>
      <c r="N2520">
        <v>162642</v>
      </c>
      <c r="O2520">
        <v>0</v>
      </c>
      <c r="P2520">
        <v>0</v>
      </c>
      <c r="Q2520">
        <v>21</v>
      </c>
      <c r="R2520">
        <v>2</v>
      </c>
      <c r="S2520">
        <v>0</v>
      </c>
      <c r="T2520">
        <v>0</v>
      </c>
      <c r="U2520">
        <v>4</v>
      </c>
    </row>
    <row r="2521" spans="1:21" x14ac:dyDescent="0.35">
      <c r="A2521" t="s">
        <v>26</v>
      </c>
      <c r="B2521" s="1">
        <v>44737</v>
      </c>
      <c r="C2521" t="s">
        <v>23</v>
      </c>
      <c r="D2521">
        <v>28.5</v>
      </c>
      <c r="E2521">
        <v>16.100000000000001</v>
      </c>
      <c r="F2521">
        <v>7.9</v>
      </c>
      <c r="G2521">
        <v>1.8</v>
      </c>
      <c r="H2521">
        <v>3.6</v>
      </c>
      <c r="I2521">
        <v>0</v>
      </c>
      <c r="J2521">
        <v>0</v>
      </c>
      <c r="K2521">
        <v>0</v>
      </c>
      <c r="L2521">
        <v>0</v>
      </c>
      <c r="M2521">
        <v>0</v>
      </c>
      <c r="N2521">
        <v>42094</v>
      </c>
      <c r="O2521">
        <v>130098</v>
      </c>
      <c r="P2521">
        <v>239606</v>
      </c>
      <c r="Q2521">
        <v>12</v>
      </c>
      <c r="R2521">
        <v>21</v>
      </c>
      <c r="S2521">
        <v>19</v>
      </c>
      <c r="T2521">
        <v>50</v>
      </c>
      <c r="U2521">
        <v>64</v>
      </c>
    </row>
    <row r="2522" spans="1:21" x14ac:dyDescent="0.35">
      <c r="A2522" t="s">
        <v>28</v>
      </c>
      <c r="B2522" s="1">
        <v>44562</v>
      </c>
      <c r="C2522" t="s">
        <v>31</v>
      </c>
      <c r="D2522">
        <v>1702.9</v>
      </c>
      <c r="E2522">
        <v>1460.4</v>
      </c>
      <c r="F2522">
        <v>701.8</v>
      </c>
      <c r="G2522">
        <v>1.2</v>
      </c>
      <c r="H2522">
        <v>2.4</v>
      </c>
      <c r="I2522">
        <v>0</v>
      </c>
      <c r="J2522">
        <v>0</v>
      </c>
      <c r="K2522">
        <v>0</v>
      </c>
      <c r="L2522">
        <v>0</v>
      </c>
      <c r="M2522">
        <v>0</v>
      </c>
      <c r="N2522">
        <v>52264</v>
      </c>
      <c r="O2522">
        <v>79022</v>
      </c>
      <c r="P2522">
        <v>127818</v>
      </c>
      <c r="Q2522">
        <v>890</v>
      </c>
      <c r="R2522">
        <v>1154</v>
      </c>
      <c r="S2522">
        <v>897</v>
      </c>
      <c r="T2522">
        <v>65</v>
      </c>
      <c r="U2522">
        <v>79</v>
      </c>
    </row>
    <row r="2523" spans="1:21" x14ac:dyDescent="0.35">
      <c r="A2523" t="s">
        <v>21</v>
      </c>
      <c r="B2523" s="1">
        <v>45129</v>
      </c>
      <c r="C2523" t="s">
        <v>29</v>
      </c>
      <c r="D2523">
        <v>0</v>
      </c>
      <c r="E2523">
        <v>0</v>
      </c>
      <c r="F2523">
        <v>0</v>
      </c>
      <c r="G2523">
        <v>0</v>
      </c>
      <c r="H2523">
        <v>0</v>
      </c>
      <c r="I2523">
        <v>0</v>
      </c>
      <c r="J2523">
        <v>0</v>
      </c>
      <c r="K2523">
        <v>0</v>
      </c>
      <c r="L2523">
        <v>0</v>
      </c>
      <c r="M2523">
        <v>0</v>
      </c>
      <c r="N2523">
        <v>107614</v>
      </c>
      <c r="O2523">
        <v>278401</v>
      </c>
      <c r="P2523">
        <v>347312</v>
      </c>
      <c r="Q2523">
        <v>0</v>
      </c>
      <c r="R2523">
        <v>0</v>
      </c>
      <c r="S2523">
        <v>0</v>
      </c>
      <c r="T2523">
        <v>30</v>
      </c>
      <c r="U2523">
        <v>49</v>
      </c>
    </row>
    <row r="2524" spans="1:21" x14ac:dyDescent="0.35">
      <c r="A2524" t="s">
        <v>28</v>
      </c>
      <c r="B2524" s="1">
        <v>45018</v>
      </c>
      <c r="C2524" t="s">
        <v>22</v>
      </c>
      <c r="D2524">
        <v>129.30000000000001</v>
      </c>
      <c r="E2524">
        <v>72.400000000000006</v>
      </c>
      <c r="F2524">
        <v>84.6</v>
      </c>
      <c r="G2524">
        <v>1.8</v>
      </c>
      <c r="H2524">
        <v>1.5</v>
      </c>
      <c r="I2524">
        <v>143.30000000000001</v>
      </c>
      <c r="J2524">
        <v>72.7</v>
      </c>
      <c r="K2524">
        <v>89.2</v>
      </c>
      <c r="L2524">
        <v>2</v>
      </c>
      <c r="M2524">
        <v>1.6</v>
      </c>
      <c r="N2524">
        <v>548376</v>
      </c>
      <c r="O2524">
        <v>856091</v>
      </c>
      <c r="P2524">
        <v>1040343</v>
      </c>
      <c r="Q2524">
        <v>709</v>
      </c>
      <c r="R2524">
        <v>620</v>
      </c>
      <c r="S2524">
        <v>880</v>
      </c>
      <c r="T2524">
        <v>999</v>
      </c>
      <c r="U2524">
        <v>999</v>
      </c>
    </row>
    <row r="2525" spans="1:21" x14ac:dyDescent="0.35">
      <c r="A2525" t="s">
        <v>21</v>
      </c>
      <c r="B2525" s="1">
        <v>44536</v>
      </c>
      <c r="C2525" t="s">
        <v>29</v>
      </c>
      <c r="D2525">
        <v>1</v>
      </c>
      <c r="E2525">
        <v>0</v>
      </c>
      <c r="F2525">
        <v>0</v>
      </c>
      <c r="G2525">
        <v>0</v>
      </c>
      <c r="H2525">
        <v>0</v>
      </c>
      <c r="I2525">
        <v>0</v>
      </c>
      <c r="J2525">
        <v>0</v>
      </c>
      <c r="K2525">
        <v>0</v>
      </c>
      <c r="L2525">
        <v>0</v>
      </c>
      <c r="M2525">
        <v>0</v>
      </c>
      <c r="N2525">
        <v>300339</v>
      </c>
      <c r="O2525">
        <v>438852</v>
      </c>
      <c r="P2525">
        <v>0</v>
      </c>
      <c r="Q2525">
        <v>3</v>
      </c>
      <c r="R2525">
        <v>0</v>
      </c>
      <c r="S2525">
        <v>0</v>
      </c>
      <c r="T2525">
        <v>30</v>
      </c>
      <c r="U2525">
        <v>49</v>
      </c>
    </row>
    <row r="2526" spans="1:21" x14ac:dyDescent="0.35">
      <c r="A2526" t="s">
        <v>26</v>
      </c>
      <c r="B2526" s="1">
        <v>44590</v>
      </c>
      <c r="C2526" t="s">
        <v>25</v>
      </c>
      <c r="D2526">
        <v>17.899999999999999</v>
      </c>
      <c r="E2526">
        <v>2.6</v>
      </c>
      <c r="F2526">
        <v>4.4000000000000004</v>
      </c>
      <c r="G2526">
        <v>6.9</v>
      </c>
      <c r="H2526">
        <v>4.0999999999999996</v>
      </c>
      <c r="I2526">
        <v>0</v>
      </c>
      <c r="J2526">
        <v>0</v>
      </c>
      <c r="K2526">
        <v>0</v>
      </c>
      <c r="L2526">
        <v>0</v>
      </c>
      <c r="M2526">
        <v>0</v>
      </c>
      <c r="N2526">
        <v>111576</v>
      </c>
      <c r="O2526">
        <v>231646</v>
      </c>
      <c r="P2526">
        <v>114102</v>
      </c>
      <c r="Q2526">
        <v>20</v>
      </c>
      <c r="R2526">
        <v>6</v>
      </c>
      <c r="S2526">
        <v>5</v>
      </c>
      <c r="T2526">
        <v>18</v>
      </c>
      <c r="U2526">
        <v>29</v>
      </c>
    </row>
    <row r="2527" spans="1:21" x14ac:dyDescent="0.35">
      <c r="A2527" t="s">
        <v>21</v>
      </c>
      <c r="B2527" s="1">
        <v>44906</v>
      </c>
      <c r="C2527" t="s">
        <v>22</v>
      </c>
      <c r="D2527">
        <v>0</v>
      </c>
      <c r="E2527">
        <v>0.4</v>
      </c>
      <c r="F2527">
        <v>0.3</v>
      </c>
      <c r="G2527">
        <v>0</v>
      </c>
      <c r="H2527">
        <v>0</v>
      </c>
      <c r="I2527">
        <v>0</v>
      </c>
      <c r="J2527">
        <v>0.7</v>
      </c>
      <c r="K2527">
        <v>0.2</v>
      </c>
      <c r="L2527">
        <v>0</v>
      </c>
      <c r="M2527">
        <v>0</v>
      </c>
      <c r="N2527">
        <v>570386</v>
      </c>
      <c r="O2527">
        <v>848167</v>
      </c>
      <c r="P2527">
        <v>1039564</v>
      </c>
      <c r="Q2527">
        <v>0</v>
      </c>
      <c r="R2527">
        <v>3</v>
      </c>
      <c r="S2527">
        <v>3</v>
      </c>
      <c r="T2527">
        <v>999</v>
      </c>
      <c r="U2527">
        <v>999</v>
      </c>
    </row>
    <row r="2528" spans="1:21" x14ac:dyDescent="0.35">
      <c r="A2528" t="s">
        <v>21</v>
      </c>
      <c r="B2528" s="1">
        <v>44629</v>
      </c>
      <c r="C2528" t="s">
        <v>27</v>
      </c>
      <c r="D2528">
        <v>0</v>
      </c>
      <c r="E2528">
        <v>0</v>
      </c>
      <c r="F2528">
        <v>0</v>
      </c>
      <c r="G2528">
        <v>0</v>
      </c>
      <c r="H2528">
        <v>0</v>
      </c>
      <c r="I2528">
        <v>0</v>
      </c>
      <c r="J2528">
        <v>0</v>
      </c>
      <c r="K2528">
        <v>0</v>
      </c>
      <c r="L2528">
        <v>0</v>
      </c>
      <c r="M2528">
        <v>0</v>
      </c>
      <c r="N2528">
        <v>35274</v>
      </c>
      <c r="O2528">
        <v>86333</v>
      </c>
      <c r="P2528">
        <v>43599</v>
      </c>
      <c r="Q2528">
        <v>0</v>
      </c>
      <c r="R2528">
        <v>0</v>
      </c>
      <c r="S2528">
        <v>0</v>
      </c>
      <c r="T2528">
        <v>12</v>
      </c>
      <c r="U2528">
        <v>17</v>
      </c>
    </row>
    <row r="2529" spans="1:21" x14ac:dyDescent="0.35">
      <c r="A2529" t="s">
        <v>26</v>
      </c>
      <c r="B2529" s="1">
        <v>45122</v>
      </c>
      <c r="C2529" t="s">
        <v>32</v>
      </c>
      <c r="D2529">
        <v>0.6</v>
      </c>
      <c r="E2529">
        <v>0</v>
      </c>
      <c r="F2529">
        <v>0</v>
      </c>
      <c r="G2529">
        <v>0</v>
      </c>
      <c r="H2529">
        <v>0</v>
      </c>
      <c r="I2529">
        <v>0</v>
      </c>
      <c r="J2529">
        <v>0</v>
      </c>
      <c r="K2529">
        <v>0</v>
      </c>
      <c r="L2529">
        <v>0</v>
      </c>
      <c r="M2529">
        <v>0</v>
      </c>
      <c r="N2529">
        <v>162642</v>
      </c>
      <c r="O2529">
        <v>0</v>
      </c>
      <c r="P2529">
        <v>0</v>
      </c>
      <c r="Q2529">
        <v>1</v>
      </c>
      <c r="R2529">
        <v>0</v>
      </c>
      <c r="S2529">
        <v>0</v>
      </c>
      <c r="T2529">
        <v>0</v>
      </c>
      <c r="U2529">
        <v>4</v>
      </c>
    </row>
    <row r="2530" spans="1:21" x14ac:dyDescent="0.35">
      <c r="A2530" t="s">
        <v>28</v>
      </c>
      <c r="B2530" s="1">
        <v>44576</v>
      </c>
      <c r="C2530" t="s">
        <v>32</v>
      </c>
      <c r="D2530">
        <v>865.7</v>
      </c>
      <c r="E2530">
        <v>0</v>
      </c>
      <c r="F2530">
        <v>0</v>
      </c>
      <c r="G2530">
        <v>0</v>
      </c>
      <c r="H2530">
        <v>0</v>
      </c>
      <c r="I2530">
        <v>0</v>
      </c>
      <c r="J2530">
        <v>0</v>
      </c>
      <c r="K2530">
        <v>0</v>
      </c>
      <c r="L2530">
        <v>0</v>
      </c>
      <c r="M2530">
        <v>0</v>
      </c>
      <c r="N2530">
        <v>162642</v>
      </c>
      <c r="O2530">
        <v>0</v>
      </c>
      <c r="P2530">
        <v>0</v>
      </c>
      <c r="Q2530">
        <v>1408</v>
      </c>
      <c r="R2530">
        <v>0</v>
      </c>
      <c r="S2530">
        <v>0</v>
      </c>
      <c r="T2530">
        <v>0</v>
      </c>
      <c r="U2530">
        <v>4</v>
      </c>
    </row>
    <row r="2531" spans="1:21" x14ac:dyDescent="0.35">
      <c r="A2531" t="s">
        <v>28</v>
      </c>
      <c r="B2531" s="1">
        <v>45142</v>
      </c>
      <c r="C2531" t="s">
        <v>29</v>
      </c>
      <c r="D2531">
        <v>63.8</v>
      </c>
      <c r="E2531">
        <v>26.6</v>
      </c>
      <c r="F2531">
        <v>40</v>
      </c>
      <c r="G2531">
        <v>2.4</v>
      </c>
      <c r="H2531">
        <v>1.6</v>
      </c>
      <c r="I2531">
        <v>0</v>
      </c>
      <c r="J2531">
        <v>0</v>
      </c>
      <c r="K2531">
        <v>0</v>
      </c>
      <c r="L2531">
        <v>0</v>
      </c>
      <c r="M2531">
        <v>0</v>
      </c>
      <c r="N2531">
        <v>109729</v>
      </c>
      <c r="O2531">
        <v>278197</v>
      </c>
      <c r="P2531">
        <v>347283</v>
      </c>
      <c r="Q2531">
        <v>70</v>
      </c>
      <c r="R2531">
        <v>74</v>
      </c>
      <c r="S2531">
        <v>139</v>
      </c>
      <c r="T2531">
        <v>30</v>
      </c>
      <c r="U2531">
        <v>49</v>
      </c>
    </row>
    <row r="2532" spans="1:21" x14ac:dyDescent="0.35">
      <c r="A2532" t="s">
        <v>26</v>
      </c>
      <c r="B2532" s="1">
        <v>45019</v>
      </c>
      <c r="C2532" t="s">
        <v>25</v>
      </c>
      <c r="D2532">
        <v>3.9</v>
      </c>
      <c r="E2532">
        <v>2.8</v>
      </c>
      <c r="F2532">
        <v>0.6</v>
      </c>
      <c r="G2532">
        <v>1.4</v>
      </c>
      <c r="H2532">
        <v>6.5</v>
      </c>
      <c r="I2532">
        <v>0</v>
      </c>
      <c r="J2532">
        <v>0</v>
      </c>
      <c r="K2532">
        <v>0</v>
      </c>
      <c r="L2532">
        <v>0</v>
      </c>
      <c r="M2532">
        <v>0</v>
      </c>
      <c r="N2532">
        <v>76784</v>
      </c>
      <c r="O2532">
        <v>213571</v>
      </c>
      <c r="P2532">
        <v>161659</v>
      </c>
      <c r="Q2532">
        <v>3</v>
      </c>
      <c r="R2532">
        <v>6</v>
      </c>
      <c r="S2532">
        <v>1</v>
      </c>
      <c r="T2532">
        <v>18</v>
      </c>
      <c r="U2532">
        <v>29</v>
      </c>
    </row>
    <row r="2533" spans="1:21" x14ac:dyDescent="0.35">
      <c r="A2533" t="s">
        <v>26</v>
      </c>
      <c r="B2533" s="1">
        <v>44262</v>
      </c>
      <c r="C2533" t="s">
        <v>22</v>
      </c>
      <c r="D2533">
        <v>2.9</v>
      </c>
      <c r="E2533">
        <v>0.2</v>
      </c>
      <c r="F2533">
        <v>0</v>
      </c>
      <c r="G2533">
        <v>14.5</v>
      </c>
      <c r="H2533">
        <v>0</v>
      </c>
      <c r="I2533">
        <v>4</v>
      </c>
      <c r="J2533">
        <v>0.2</v>
      </c>
      <c r="K2533">
        <v>0</v>
      </c>
      <c r="L2533">
        <v>23.3</v>
      </c>
      <c r="M2533">
        <v>0</v>
      </c>
      <c r="N2533">
        <v>1207003</v>
      </c>
      <c r="O2533">
        <v>1324045</v>
      </c>
      <c r="P2533">
        <v>0</v>
      </c>
      <c r="Q2533">
        <v>35</v>
      </c>
      <c r="R2533">
        <v>3</v>
      </c>
      <c r="S2533">
        <v>0</v>
      </c>
      <c r="T2533">
        <v>999</v>
      </c>
      <c r="U2533">
        <v>999</v>
      </c>
    </row>
    <row r="2534" spans="1:21" x14ac:dyDescent="0.35">
      <c r="A2534" t="s">
        <v>21</v>
      </c>
      <c r="B2534" s="1">
        <v>45145</v>
      </c>
      <c r="C2534" t="s">
        <v>25</v>
      </c>
      <c r="D2534">
        <v>0</v>
      </c>
      <c r="E2534">
        <v>0</v>
      </c>
      <c r="F2534">
        <v>0</v>
      </c>
      <c r="G2534">
        <v>0</v>
      </c>
      <c r="H2534">
        <v>0</v>
      </c>
      <c r="I2534">
        <v>0</v>
      </c>
      <c r="J2534">
        <v>0</v>
      </c>
      <c r="K2534">
        <v>0</v>
      </c>
      <c r="L2534">
        <v>0</v>
      </c>
      <c r="M2534">
        <v>0</v>
      </c>
      <c r="N2534">
        <v>74160</v>
      </c>
      <c r="O2534">
        <v>214139</v>
      </c>
      <c r="P2534">
        <v>161703</v>
      </c>
      <c r="Q2534">
        <v>0</v>
      </c>
      <c r="R2534">
        <v>0</v>
      </c>
      <c r="S2534">
        <v>0</v>
      </c>
      <c r="T2534">
        <v>18</v>
      </c>
      <c r="U2534">
        <v>29</v>
      </c>
    </row>
    <row r="2535" spans="1:21" x14ac:dyDescent="0.35">
      <c r="A2535" t="s">
        <v>26</v>
      </c>
      <c r="B2535" s="1">
        <v>44884</v>
      </c>
      <c r="C2535" t="s">
        <v>25</v>
      </c>
      <c r="D2535">
        <v>7.3</v>
      </c>
      <c r="E2535">
        <v>3.3</v>
      </c>
      <c r="F2535">
        <v>1.9</v>
      </c>
      <c r="G2535">
        <v>2.2000000000000002</v>
      </c>
      <c r="H2535">
        <v>3.8</v>
      </c>
      <c r="I2535">
        <v>0</v>
      </c>
      <c r="J2535">
        <v>0</v>
      </c>
      <c r="K2535">
        <v>0</v>
      </c>
      <c r="L2535">
        <v>0</v>
      </c>
      <c r="M2535">
        <v>0</v>
      </c>
      <c r="N2535">
        <v>82036</v>
      </c>
      <c r="O2535">
        <v>212422</v>
      </c>
      <c r="P2535">
        <v>161555</v>
      </c>
      <c r="Q2535">
        <v>6</v>
      </c>
      <c r="R2535">
        <v>7</v>
      </c>
      <c r="S2535">
        <v>3</v>
      </c>
      <c r="T2535">
        <v>18</v>
      </c>
      <c r="U2535">
        <v>29</v>
      </c>
    </row>
    <row r="2536" spans="1:21" x14ac:dyDescent="0.35">
      <c r="A2536" t="s">
        <v>26</v>
      </c>
      <c r="B2536" s="1">
        <v>44358</v>
      </c>
      <c r="C2536" t="s">
        <v>31</v>
      </c>
      <c r="D2536">
        <v>43</v>
      </c>
      <c r="E2536">
        <v>16.2</v>
      </c>
      <c r="F2536">
        <v>4.8</v>
      </c>
      <c r="G2536">
        <v>2.7</v>
      </c>
      <c r="H2536">
        <v>9</v>
      </c>
      <c r="I2536">
        <v>0</v>
      </c>
      <c r="J2536">
        <v>0</v>
      </c>
      <c r="K2536">
        <v>0</v>
      </c>
      <c r="L2536">
        <v>0</v>
      </c>
      <c r="M2536">
        <v>0</v>
      </c>
      <c r="N2536">
        <v>58116</v>
      </c>
      <c r="O2536">
        <v>160017</v>
      </c>
      <c r="P2536">
        <v>41816</v>
      </c>
      <c r="Q2536">
        <v>25</v>
      </c>
      <c r="R2536">
        <v>26</v>
      </c>
      <c r="S2536">
        <v>2</v>
      </c>
      <c r="T2536">
        <v>65</v>
      </c>
      <c r="U2536">
        <v>79</v>
      </c>
    </row>
    <row r="2537" spans="1:21" x14ac:dyDescent="0.35">
      <c r="A2537" t="s">
        <v>21</v>
      </c>
      <c r="B2537" s="1">
        <v>44891</v>
      </c>
      <c r="C2537" t="s">
        <v>29</v>
      </c>
      <c r="D2537">
        <v>0.9</v>
      </c>
      <c r="E2537">
        <v>0</v>
      </c>
      <c r="F2537">
        <v>0</v>
      </c>
      <c r="G2537">
        <v>0</v>
      </c>
      <c r="H2537">
        <v>0</v>
      </c>
      <c r="I2537">
        <v>0</v>
      </c>
      <c r="J2537">
        <v>0</v>
      </c>
      <c r="K2537">
        <v>0</v>
      </c>
      <c r="L2537">
        <v>0</v>
      </c>
      <c r="M2537">
        <v>0</v>
      </c>
      <c r="N2537">
        <v>115507</v>
      </c>
      <c r="O2537">
        <v>276843</v>
      </c>
      <c r="P2537">
        <v>347102</v>
      </c>
      <c r="Q2537">
        <v>1</v>
      </c>
      <c r="R2537">
        <v>0</v>
      </c>
      <c r="S2537">
        <v>0</v>
      </c>
      <c r="T2537">
        <v>30</v>
      </c>
      <c r="U2537">
        <v>49</v>
      </c>
    </row>
    <row r="2538" spans="1:21" x14ac:dyDescent="0.35">
      <c r="A2538" t="s">
        <v>26</v>
      </c>
      <c r="B2538" s="1">
        <v>45122</v>
      </c>
      <c r="C2538" t="s">
        <v>27</v>
      </c>
      <c r="D2538">
        <v>0</v>
      </c>
      <c r="E2538">
        <v>0</v>
      </c>
      <c r="F2538">
        <v>0</v>
      </c>
      <c r="G2538">
        <v>0</v>
      </c>
      <c r="H2538">
        <v>0</v>
      </c>
      <c r="I2538">
        <v>0</v>
      </c>
      <c r="J2538">
        <v>0</v>
      </c>
      <c r="K2538">
        <v>0</v>
      </c>
      <c r="L2538">
        <v>0</v>
      </c>
      <c r="M2538">
        <v>0</v>
      </c>
      <c r="N2538">
        <v>32190</v>
      </c>
      <c r="O2538">
        <v>86577</v>
      </c>
      <c r="P2538">
        <v>44590</v>
      </c>
      <c r="Q2538">
        <v>0</v>
      </c>
      <c r="R2538">
        <v>0</v>
      </c>
      <c r="S2538">
        <v>0</v>
      </c>
      <c r="T2538">
        <v>12</v>
      </c>
      <c r="U2538">
        <v>17</v>
      </c>
    </row>
    <row r="2539" spans="1:21" x14ac:dyDescent="0.35">
      <c r="A2539" t="s">
        <v>21</v>
      </c>
      <c r="B2539" s="1">
        <v>44681</v>
      </c>
      <c r="C2539" t="s">
        <v>23</v>
      </c>
      <c r="D2539">
        <v>0</v>
      </c>
      <c r="E2539">
        <v>0.7</v>
      </c>
      <c r="F2539">
        <v>0</v>
      </c>
      <c r="G2539">
        <v>0</v>
      </c>
      <c r="H2539">
        <v>0</v>
      </c>
      <c r="I2539">
        <v>0</v>
      </c>
      <c r="J2539">
        <v>0</v>
      </c>
      <c r="K2539">
        <v>0</v>
      </c>
      <c r="L2539">
        <v>0</v>
      </c>
      <c r="M2539">
        <v>0</v>
      </c>
      <c r="N2539">
        <v>44059</v>
      </c>
      <c r="O2539">
        <v>135237</v>
      </c>
      <c r="P2539">
        <v>232184</v>
      </c>
      <c r="Q2539">
        <v>0</v>
      </c>
      <c r="R2539">
        <v>1</v>
      </c>
      <c r="S2539">
        <v>0</v>
      </c>
      <c r="T2539">
        <v>50</v>
      </c>
      <c r="U2539">
        <v>64</v>
      </c>
    </row>
    <row r="2540" spans="1:21" x14ac:dyDescent="0.35">
      <c r="A2540" t="s">
        <v>26</v>
      </c>
      <c r="B2540" s="1">
        <v>44821</v>
      </c>
      <c r="C2540" t="s">
        <v>23</v>
      </c>
      <c r="D2540">
        <v>17.600000000000001</v>
      </c>
      <c r="E2540">
        <v>4.8</v>
      </c>
      <c r="F2540">
        <v>4.9000000000000004</v>
      </c>
      <c r="G2540">
        <v>3.7</v>
      </c>
      <c r="H2540">
        <v>3.6</v>
      </c>
      <c r="I2540">
        <v>0</v>
      </c>
      <c r="J2540">
        <v>0</v>
      </c>
      <c r="K2540">
        <v>0</v>
      </c>
      <c r="L2540">
        <v>0</v>
      </c>
      <c r="M2540">
        <v>0</v>
      </c>
      <c r="N2540">
        <v>39763</v>
      </c>
      <c r="O2540">
        <v>125132</v>
      </c>
      <c r="P2540">
        <v>246490</v>
      </c>
      <c r="Q2540">
        <v>7</v>
      </c>
      <c r="R2540">
        <v>6</v>
      </c>
      <c r="S2540">
        <v>12</v>
      </c>
      <c r="T2540">
        <v>50</v>
      </c>
      <c r="U2540">
        <v>64</v>
      </c>
    </row>
    <row r="2541" spans="1:21" x14ac:dyDescent="0.35">
      <c r="A2541" t="s">
        <v>26</v>
      </c>
      <c r="B2541" s="1">
        <v>44793</v>
      </c>
      <c r="C2541" t="s">
        <v>29</v>
      </c>
      <c r="D2541">
        <v>15.1</v>
      </c>
      <c r="E2541">
        <v>4.7</v>
      </c>
      <c r="F2541">
        <v>4.5999999999999996</v>
      </c>
      <c r="G2541">
        <v>3.2</v>
      </c>
      <c r="H2541">
        <v>3.3</v>
      </c>
      <c r="I2541">
        <v>0</v>
      </c>
      <c r="J2541">
        <v>0</v>
      </c>
      <c r="K2541">
        <v>0</v>
      </c>
      <c r="L2541">
        <v>0</v>
      </c>
      <c r="M2541">
        <v>0</v>
      </c>
      <c r="N2541">
        <v>125684</v>
      </c>
      <c r="O2541">
        <v>277226</v>
      </c>
      <c r="P2541">
        <v>344772</v>
      </c>
      <c r="Q2541">
        <v>19</v>
      </c>
      <c r="R2541">
        <v>13</v>
      </c>
      <c r="S2541">
        <v>16</v>
      </c>
      <c r="T2541">
        <v>30</v>
      </c>
      <c r="U2541">
        <v>49</v>
      </c>
    </row>
    <row r="2542" spans="1:21" x14ac:dyDescent="0.35">
      <c r="A2542" t="s">
        <v>26</v>
      </c>
      <c r="B2542" s="1">
        <v>44499</v>
      </c>
      <c r="C2542" t="s">
        <v>23</v>
      </c>
      <c r="D2542">
        <v>49.7</v>
      </c>
      <c r="E2542">
        <v>1.2</v>
      </c>
      <c r="F2542">
        <v>0</v>
      </c>
      <c r="G2542">
        <v>41.4</v>
      </c>
      <c r="H2542">
        <v>0</v>
      </c>
      <c r="I2542">
        <v>0</v>
      </c>
      <c r="J2542">
        <v>0</v>
      </c>
      <c r="K2542">
        <v>0</v>
      </c>
      <c r="L2542">
        <v>0</v>
      </c>
      <c r="M2542">
        <v>0</v>
      </c>
      <c r="N2542">
        <v>72470</v>
      </c>
      <c r="O2542">
        <v>323521</v>
      </c>
      <c r="P2542">
        <v>18445</v>
      </c>
      <c r="Q2542">
        <v>36</v>
      </c>
      <c r="R2542">
        <v>4</v>
      </c>
      <c r="S2542">
        <v>0</v>
      </c>
      <c r="T2542">
        <v>50</v>
      </c>
      <c r="U2542">
        <v>64</v>
      </c>
    </row>
    <row r="2543" spans="1:21" x14ac:dyDescent="0.35">
      <c r="A2543" t="s">
        <v>26</v>
      </c>
      <c r="B2543" s="1">
        <v>45129</v>
      </c>
      <c r="C2543" t="s">
        <v>30</v>
      </c>
      <c r="D2543">
        <v>4.0999999999999996</v>
      </c>
      <c r="E2543">
        <v>8.8000000000000007</v>
      </c>
      <c r="F2543">
        <v>8.5</v>
      </c>
      <c r="G2543">
        <v>0.5</v>
      </c>
      <c r="H2543">
        <v>0.5</v>
      </c>
      <c r="I2543">
        <v>0</v>
      </c>
      <c r="J2543">
        <v>0</v>
      </c>
      <c r="K2543">
        <v>0</v>
      </c>
      <c r="L2543">
        <v>0</v>
      </c>
      <c r="M2543">
        <v>0</v>
      </c>
      <c r="N2543">
        <v>24486</v>
      </c>
      <c r="O2543">
        <v>11383</v>
      </c>
      <c r="P2543">
        <v>47130</v>
      </c>
      <c r="Q2543">
        <v>1</v>
      </c>
      <c r="R2543">
        <v>1</v>
      </c>
      <c r="S2543">
        <v>4</v>
      </c>
      <c r="T2543">
        <v>80</v>
      </c>
      <c r="U2543">
        <v>200</v>
      </c>
    </row>
    <row r="2544" spans="1:21" x14ac:dyDescent="0.35">
      <c r="A2544" t="s">
        <v>21</v>
      </c>
      <c r="B2544" s="1">
        <v>45145</v>
      </c>
      <c r="C2544" t="s">
        <v>32</v>
      </c>
      <c r="D2544">
        <v>0</v>
      </c>
      <c r="E2544">
        <v>0</v>
      </c>
      <c r="F2544">
        <v>0</v>
      </c>
      <c r="G2544">
        <v>0</v>
      </c>
      <c r="H2544">
        <v>0</v>
      </c>
      <c r="I2544">
        <v>0</v>
      </c>
      <c r="J2544">
        <v>0</v>
      </c>
      <c r="K2544">
        <v>0</v>
      </c>
      <c r="L2544">
        <v>0</v>
      </c>
      <c r="M2544">
        <v>0</v>
      </c>
      <c r="N2544">
        <v>162642</v>
      </c>
      <c r="O2544">
        <v>0</v>
      </c>
      <c r="P2544">
        <v>0</v>
      </c>
      <c r="Q2544">
        <v>0</v>
      </c>
      <c r="R2544">
        <v>0</v>
      </c>
      <c r="S2544">
        <v>0</v>
      </c>
      <c r="T2544">
        <v>0</v>
      </c>
      <c r="U2544">
        <v>4</v>
      </c>
    </row>
    <row r="2545" spans="1:21" x14ac:dyDescent="0.35">
      <c r="A2545" t="s">
        <v>28</v>
      </c>
      <c r="B2545" s="1">
        <v>44562</v>
      </c>
      <c r="C2545" t="s">
        <v>29</v>
      </c>
      <c r="D2545">
        <v>3171.7</v>
      </c>
      <c r="E2545">
        <v>2009.5</v>
      </c>
      <c r="F2545">
        <v>1294.0999999999999</v>
      </c>
      <c r="G2545">
        <v>1.6</v>
      </c>
      <c r="H2545">
        <v>2.5</v>
      </c>
      <c r="I2545">
        <v>0</v>
      </c>
      <c r="J2545">
        <v>0</v>
      </c>
      <c r="K2545">
        <v>0</v>
      </c>
      <c r="L2545">
        <v>0</v>
      </c>
      <c r="M2545">
        <v>0</v>
      </c>
      <c r="N2545">
        <v>168393</v>
      </c>
      <c r="O2545">
        <v>380138</v>
      </c>
      <c r="P2545">
        <v>202387</v>
      </c>
      <c r="Q2545">
        <v>5341</v>
      </c>
      <c r="R2545">
        <v>7639</v>
      </c>
      <c r="S2545">
        <v>2619</v>
      </c>
      <c r="T2545">
        <v>30</v>
      </c>
      <c r="U2545">
        <v>49</v>
      </c>
    </row>
    <row r="2546" spans="1:21" x14ac:dyDescent="0.35">
      <c r="A2546" t="s">
        <v>26</v>
      </c>
      <c r="B2546" s="1">
        <v>44571</v>
      </c>
      <c r="C2546" t="s">
        <v>29</v>
      </c>
      <c r="D2546">
        <v>4.0999999999999996</v>
      </c>
      <c r="E2546">
        <v>2.2000000000000002</v>
      </c>
      <c r="F2546">
        <v>3.5</v>
      </c>
      <c r="G2546">
        <v>1.9</v>
      </c>
      <c r="H2546">
        <v>1.2</v>
      </c>
      <c r="I2546">
        <v>0</v>
      </c>
      <c r="J2546">
        <v>0</v>
      </c>
      <c r="K2546">
        <v>0</v>
      </c>
      <c r="L2546">
        <v>0</v>
      </c>
      <c r="M2546">
        <v>0</v>
      </c>
      <c r="N2546">
        <v>122014</v>
      </c>
      <c r="O2546">
        <v>276030</v>
      </c>
      <c r="P2546">
        <v>346933</v>
      </c>
      <c r="Q2546">
        <v>5</v>
      </c>
      <c r="R2546">
        <v>6</v>
      </c>
      <c r="S2546">
        <v>12</v>
      </c>
      <c r="T2546">
        <v>30</v>
      </c>
      <c r="U2546">
        <v>49</v>
      </c>
    </row>
    <row r="2547" spans="1:21" x14ac:dyDescent="0.35">
      <c r="A2547" t="s">
        <v>26</v>
      </c>
      <c r="B2547" s="1">
        <v>44897</v>
      </c>
      <c r="C2547" t="s">
        <v>25</v>
      </c>
      <c r="D2547">
        <v>7.6</v>
      </c>
      <c r="E2547">
        <v>1.4</v>
      </c>
      <c r="F2547">
        <v>1.5</v>
      </c>
      <c r="G2547">
        <v>5.4</v>
      </c>
      <c r="H2547">
        <v>5.0999999999999996</v>
      </c>
      <c r="I2547">
        <v>0</v>
      </c>
      <c r="J2547">
        <v>0</v>
      </c>
      <c r="K2547">
        <v>0</v>
      </c>
      <c r="L2547">
        <v>0</v>
      </c>
      <c r="M2547">
        <v>0</v>
      </c>
      <c r="N2547">
        <v>105504</v>
      </c>
      <c r="O2547">
        <v>222132</v>
      </c>
      <c r="P2547">
        <v>129112</v>
      </c>
      <c r="Q2547">
        <v>8</v>
      </c>
      <c r="R2547">
        <v>3</v>
      </c>
      <c r="S2547">
        <v>2</v>
      </c>
      <c r="T2547">
        <v>18</v>
      </c>
      <c r="U2547">
        <v>29</v>
      </c>
    </row>
    <row r="2548" spans="1:21" x14ac:dyDescent="0.35">
      <c r="A2548" t="s">
        <v>26</v>
      </c>
      <c r="B2548" s="1">
        <v>45255</v>
      </c>
      <c r="C2548" t="s">
        <v>29</v>
      </c>
      <c r="D2548">
        <v>8</v>
      </c>
      <c r="E2548">
        <v>0.4</v>
      </c>
      <c r="F2548">
        <v>1.7</v>
      </c>
      <c r="G2548">
        <v>20</v>
      </c>
      <c r="H2548">
        <v>4.7</v>
      </c>
      <c r="I2548">
        <v>0</v>
      </c>
      <c r="J2548">
        <v>0</v>
      </c>
      <c r="K2548">
        <v>0</v>
      </c>
      <c r="L2548">
        <v>0</v>
      </c>
      <c r="M2548">
        <v>0</v>
      </c>
      <c r="N2548">
        <v>99562</v>
      </c>
      <c r="O2548">
        <v>279385</v>
      </c>
      <c r="P2548">
        <v>349175</v>
      </c>
      <c r="Q2548">
        <v>8</v>
      </c>
      <c r="R2548">
        <v>1</v>
      </c>
      <c r="S2548">
        <v>6</v>
      </c>
      <c r="T2548">
        <v>30</v>
      </c>
      <c r="U2548">
        <v>49</v>
      </c>
    </row>
    <row r="2549" spans="1:21" x14ac:dyDescent="0.35">
      <c r="A2549" t="s">
        <v>21</v>
      </c>
      <c r="B2549" s="1">
        <v>45142</v>
      </c>
      <c r="C2549" t="s">
        <v>29</v>
      </c>
      <c r="D2549">
        <v>0</v>
      </c>
      <c r="E2549">
        <v>0</v>
      </c>
      <c r="F2549">
        <v>0</v>
      </c>
      <c r="G2549">
        <v>0</v>
      </c>
      <c r="H2549">
        <v>0</v>
      </c>
      <c r="I2549">
        <v>0</v>
      </c>
      <c r="J2549">
        <v>0</v>
      </c>
      <c r="K2549">
        <v>0</v>
      </c>
      <c r="L2549">
        <v>0</v>
      </c>
      <c r="M2549">
        <v>0</v>
      </c>
      <c r="N2549">
        <v>109729</v>
      </c>
      <c r="O2549">
        <v>278197</v>
      </c>
      <c r="P2549">
        <v>347283</v>
      </c>
      <c r="Q2549">
        <v>0</v>
      </c>
      <c r="R2549">
        <v>0</v>
      </c>
      <c r="S2549">
        <v>0</v>
      </c>
      <c r="T2549">
        <v>30</v>
      </c>
      <c r="U2549">
        <v>49</v>
      </c>
    </row>
    <row r="2550" spans="1:21" x14ac:dyDescent="0.35">
      <c r="A2550" t="s">
        <v>26</v>
      </c>
      <c r="B2550" s="1">
        <v>45082</v>
      </c>
      <c r="C2550" t="s">
        <v>23</v>
      </c>
      <c r="D2550">
        <v>15.1</v>
      </c>
      <c r="E2550">
        <v>0.8</v>
      </c>
      <c r="F2550">
        <v>1.2</v>
      </c>
      <c r="G2550">
        <v>18.899999999999999</v>
      </c>
      <c r="H2550">
        <v>12.6</v>
      </c>
      <c r="I2550">
        <v>0</v>
      </c>
      <c r="J2550">
        <v>0</v>
      </c>
      <c r="K2550">
        <v>0</v>
      </c>
      <c r="L2550">
        <v>0</v>
      </c>
      <c r="M2550">
        <v>0</v>
      </c>
      <c r="N2550">
        <v>33091</v>
      </c>
      <c r="O2550">
        <v>125743</v>
      </c>
      <c r="P2550">
        <v>246908</v>
      </c>
      <c r="Q2550">
        <v>5</v>
      </c>
      <c r="R2550">
        <v>1</v>
      </c>
      <c r="S2550">
        <v>3</v>
      </c>
      <c r="T2550">
        <v>50</v>
      </c>
      <c r="U2550">
        <v>64</v>
      </c>
    </row>
    <row r="2551" spans="1:21" x14ac:dyDescent="0.35">
      <c r="A2551" t="s">
        <v>21</v>
      </c>
      <c r="B2551" s="1">
        <v>45185</v>
      </c>
      <c r="C2551" t="s">
        <v>27</v>
      </c>
      <c r="D2551">
        <v>0</v>
      </c>
      <c r="E2551">
        <v>0</v>
      </c>
      <c r="F2551">
        <v>0</v>
      </c>
      <c r="G2551">
        <v>0</v>
      </c>
      <c r="H2551">
        <v>0</v>
      </c>
      <c r="I2551">
        <v>0</v>
      </c>
      <c r="J2551">
        <v>0</v>
      </c>
      <c r="K2551">
        <v>0</v>
      </c>
      <c r="L2551">
        <v>0</v>
      </c>
      <c r="M2551">
        <v>0</v>
      </c>
      <c r="N2551">
        <v>31696</v>
      </c>
      <c r="O2551">
        <v>86574</v>
      </c>
      <c r="P2551">
        <v>44597</v>
      </c>
      <c r="Q2551">
        <v>0</v>
      </c>
      <c r="R2551">
        <v>0</v>
      </c>
      <c r="S2551">
        <v>0</v>
      </c>
      <c r="T2551">
        <v>12</v>
      </c>
      <c r="U2551">
        <v>17</v>
      </c>
    </row>
    <row r="2552" spans="1:21" x14ac:dyDescent="0.35">
      <c r="A2552" t="s">
        <v>28</v>
      </c>
      <c r="B2552" s="1">
        <v>44295</v>
      </c>
      <c r="C2552" t="s">
        <v>27</v>
      </c>
      <c r="D2552">
        <v>226.6</v>
      </c>
      <c r="E2552">
        <v>28.8</v>
      </c>
      <c r="F2552">
        <v>0</v>
      </c>
      <c r="G2552">
        <v>7.9</v>
      </c>
      <c r="H2552">
        <v>0</v>
      </c>
      <c r="I2552">
        <v>0</v>
      </c>
      <c r="J2552">
        <v>0</v>
      </c>
      <c r="K2552">
        <v>0</v>
      </c>
      <c r="L2552">
        <v>0</v>
      </c>
      <c r="M2552">
        <v>0</v>
      </c>
      <c r="N2552">
        <v>75470</v>
      </c>
      <c r="O2552">
        <v>79801</v>
      </c>
      <c r="P2552">
        <v>0</v>
      </c>
      <c r="Q2552">
        <v>171</v>
      </c>
      <c r="R2552">
        <v>23</v>
      </c>
      <c r="S2552">
        <v>0</v>
      </c>
      <c r="T2552">
        <v>12</v>
      </c>
      <c r="U2552">
        <v>17</v>
      </c>
    </row>
    <row r="2553" spans="1:21" x14ac:dyDescent="0.35">
      <c r="A2553" t="s">
        <v>26</v>
      </c>
      <c r="B2553" s="1">
        <v>45122</v>
      </c>
      <c r="C2553" t="s">
        <v>29</v>
      </c>
      <c r="D2553">
        <v>0</v>
      </c>
      <c r="E2553">
        <v>0</v>
      </c>
      <c r="F2553">
        <v>1.2</v>
      </c>
      <c r="G2553">
        <v>0</v>
      </c>
      <c r="H2553">
        <v>0</v>
      </c>
      <c r="I2553">
        <v>0</v>
      </c>
      <c r="J2553">
        <v>0</v>
      </c>
      <c r="K2553">
        <v>0</v>
      </c>
      <c r="L2553">
        <v>0</v>
      </c>
      <c r="M2553">
        <v>0</v>
      </c>
      <c r="N2553">
        <v>107746</v>
      </c>
      <c r="O2553">
        <v>278401</v>
      </c>
      <c r="P2553">
        <v>347311</v>
      </c>
      <c r="Q2553">
        <v>0</v>
      </c>
      <c r="R2553">
        <v>0</v>
      </c>
      <c r="S2553">
        <v>4</v>
      </c>
      <c r="T2553">
        <v>30</v>
      </c>
      <c r="U2553">
        <v>49</v>
      </c>
    </row>
    <row r="2554" spans="1:21" x14ac:dyDescent="0.35">
      <c r="A2554" t="s">
        <v>26</v>
      </c>
      <c r="B2554" s="1">
        <v>45094</v>
      </c>
      <c r="C2554" t="s">
        <v>23</v>
      </c>
      <c r="D2554">
        <v>6.1</v>
      </c>
      <c r="E2554">
        <v>1.6</v>
      </c>
      <c r="F2554">
        <v>1.2</v>
      </c>
      <c r="G2554">
        <v>3.8</v>
      </c>
      <c r="H2554">
        <v>5.0999999999999996</v>
      </c>
      <c r="I2554">
        <v>0</v>
      </c>
      <c r="J2554">
        <v>0</v>
      </c>
      <c r="K2554">
        <v>0</v>
      </c>
      <c r="L2554">
        <v>0</v>
      </c>
      <c r="M2554">
        <v>0</v>
      </c>
      <c r="N2554">
        <v>32757</v>
      </c>
      <c r="O2554">
        <v>125738</v>
      </c>
      <c r="P2554">
        <v>246922</v>
      </c>
      <c r="Q2554">
        <v>2</v>
      </c>
      <c r="R2554">
        <v>2</v>
      </c>
      <c r="S2554">
        <v>3</v>
      </c>
      <c r="T2554">
        <v>50</v>
      </c>
      <c r="U2554">
        <v>64</v>
      </c>
    </row>
    <row r="2555" spans="1:21" x14ac:dyDescent="0.35">
      <c r="A2555" t="s">
        <v>21</v>
      </c>
      <c r="B2555" s="1">
        <v>44562</v>
      </c>
      <c r="C2555" t="s">
        <v>23</v>
      </c>
      <c r="D2555">
        <v>24.6</v>
      </c>
      <c r="E2555">
        <v>3.9</v>
      </c>
      <c r="F2555">
        <v>0.7</v>
      </c>
      <c r="G2555">
        <v>6.3</v>
      </c>
      <c r="H2555">
        <v>35.1</v>
      </c>
      <c r="I2555">
        <v>0</v>
      </c>
      <c r="J2555">
        <v>0</v>
      </c>
      <c r="K2555">
        <v>0</v>
      </c>
      <c r="L2555">
        <v>0</v>
      </c>
      <c r="M2555">
        <v>0</v>
      </c>
      <c r="N2555">
        <v>56937</v>
      </c>
      <c r="O2555">
        <v>206986</v>
      </c>
      <c r="P2555">
        <v>147279</v>
      </c>
      <c r="Q2555">
        <v>14</v>
      </c>
      <c r="R2555">
        <v>8</v>
      </c>
      <c r="S2555">
        <v>1</v>
      </c>
      <c r="T2555">
        <v>50</v>
      </c>
      <c r="U2555">
        <v>64</v>
      </c>
    </row>
    <row r="2556" spans="1:21" x14ac:dyDescent="0.35">
      <c r="A2556" t="s">
        <v>26</v>
      </c>
      <c r="B2556" s="1">
        <v>44394</v>
      </c>
      <c r="C2556" t="s">
        <v>29</v>
      </c>
      <c r="D2556">
        <v>6.5</v>
      </c>
      <c r="E2556">
        <v>0</v>
      </c>
      <c r="F2556">
        <v>0</v>
      </c>
      <c r="G2556">
        <v>0</v>
      </c>
      <c r="H2556">
        <v>0</v>
      </c>
      <c r="I2556">
        <v>0</v>
      </c>
      <c r="J2556">
        <v>0</v>
      </c>
      <c r="K2556">
        <v>0</v>
      </c>
      <c r="L2556">
        <v>0</v>
      </c>
      <c r="M2556">
        <v>0</v>
      </c>
      <c r="N2556">
        <v>277043</v>
      </c>
      <c r="O2556">
        <v>487172</v>
      </c>
      <c r="P2556">
        <v>0</v>
      </c>
      <c r="Q2556">
        <v>18</v>
      </c>
      <c r="R2556">
        <v>0</v>
      </c>
      <c r="S2556">
        <v>0</v>
      </c>
      <c r="T2556">
        <v>30</v>
      </c>
      <c r="U2556">
        <v>49</v>
      </c>
    </row>
    <row r="2557" spans="1:21" x14ac:dyDescent="0.35">
      <c r="A2557" t="s">
        <v>28</v>
      </c>
      <c r="B2557" s="1">
        <v>44737</v>
      </c>
      <c r="C2557" t="s">
        <v>25</v>
      </c>
      <c r="D2557">
        <v>351.9</v>
      </c>
      <c r="E2557">
        <v>138.19999999999999</v>
      </c>
      <c r="F2557">
        <v>271.7</v>
      </c>
      <c r="G2557">
        <v>2.5</v>
      </c>
      <c r="H2557">
        <v>1.3</v>
      </c>
      <c r="I2557">
        <v>0</v>
      </c>
      <c r="J2557">
        <v>0</v>
      </c>
      <c r="K2557">
        <v>0</v>
      </c>
      <c r="L2557">
        <v>0</v>
      </c>
      <c r="M2557">
        <v>0</v>
      </c>
      <c r="N2557">
        <v>94060</v>
      </c>
      <c r="O2557">
        <v>214919</v>
      </c>
      <c r="P2557">
        <v>155323</v>
      </c>
      <c r="Q2557">
        <v>331</v>
      </c>
      <c r="R2557">
        <v>297</v>
      </c>
      <c r="S2557">
        <v>422</v>
      </c>
      <c r="T2557">
        <v>18</v>
      </c>
      <c r="U2557">
        <v>29</v>
      </c>
    </row>
    <row r="2558" spans="1:21" x14ac:dyDescent="0.35">
      <c r="A2558" t="s">
        <v>26</v>
      </c>
      <c r="B2558" s="1">
        <v>45019</v>
      </c>
      <c r="C2558" t="s">
        <v>27</v>
      </c>
      <c r="D2558">
        <v>3</v>
      </c>
      <c r="E2558">
        <v>0</v>
      </c>
      <c r="F2558">
        <v>0</v>
      </c>
      <c r="G2558">
        <v>0</v>
      </c>
      <c r="H2558">
        <v>0</v>
      </c>
      <c r="I2558">
        <v>0</v>
      </c>
      <c r="J2558">
        <v>0</v>
      </c>
      <c r="K2558">
        <v>0</v>
      </c>
      <c r="L2558">
        <v>0</v>
      </c>
      <c r="M2558">
        <v>0</v>
      </c>
      <c r="N2558">
        <v>33129</v>
      </c>
      <c r="O2558">
        <v>86403</v>
      </c>
      <c r="P2558">
        <v>44558</v>
      </c>
      <c r="Q2558">
        <v>1</v>
      </c>
      <c r="R2558">
        <v>0</v>
      </c>
      <c r="S2558">
        <v>0</v>
      </c>
      <c r="T2558">
        <v>12</v>
      </c>
      <c r="U2558">
        <v>17</v>
      </c>
    </row>
    <row r="2559" spans="1:21" x14ac:dyDescent="0.35">
      <c r="A2559" t="s">
        <v>21</v>
      </c>
      <c r="B2559" s="1">
        <v>45213</v>
      </c>
      <c r="C2559" t="s">
        <v>22</v>
      </c>
      <c r="D2559">
        <v>0</v>
      </c>
      <c r="E2559">
        <v>0.1</v>
      </c>
      <c r="F2559">
        <v>0.1</v>
      </c>
      <c r="G2559">
        <v>0</v>
      </c>
      <c r="H2559">
        <v>0</v>
      </c>
      <c r="I2559">
        <v>0</v>
      </c>
      <c r="J2559">
        <v>0.3</v>
      </c>
      <c r="K2559">
        <v>0.1</v>
      </c>
      <c r="L2559">
        <v>0</v>
      </c>
      <c r="M2559">
        <v>0</v>
      </c>
      <c r="N2559">
        <v>519565</v>
      </c>
      <c r="O2559">
        <v>861107</v>
      </c>
      <c r="P2559">
        <v>1041683</v>
      </c>
      <c r="Q2559">
        <v>0</v>
      </c>
      <c r="R2559">
        <v>1</v>
      </c>
      <c r="S2559">
        <v>1</v>
      </c>
      <c r="T2559">
        <v>999</v>
      </c>
      <c r="U2559">
        <v>999</v>
      </c>
    </row>
    <row r="2560" spans="1:21" x14ac:dyDescent="0.35">
      <c r="A2560" t="s">
        <v>26</v>
      </c>
      <c r="B2560" s="1">
        <v>44821</v>
      </c>
      <c r="C2560" t="s">
        <v>22</v>
      </c>
      <c r="D2560">
        <v>9.3000000000000007</v>
      </c>
      <c r="E2560">
        <v>4.3</v>
      </c>
      <c r="F2560">
        <v>7.1</v>
      </c>
      <c r="G2560">
        <v>2.2000000000000002</v>
      </c>
      <c r="H2560">
        <v>1.3</v>
      </c>
      <c r="I2560">
        <v>11.2</v>
      </c>
      <c r="J2560">
        <v>6.8</v>
      </c>
      <c r="K2560">
        <v>4.9000000000000004</v>
      </c>
      <c r="L2560">
        <v>1.7</v>
      </c>
      <c r="M2560">
        <v>2.2999999999999998</v>
      </c>
      <c r="N2560">
        <v>599179</v>
      </c>
      <c r="O2560">
        <v>840837</v>
      </c>
      <c r="P2560">
        <v>1035714</v>
      </c>
      <c r="Q2560">
        <v>56</v>
      </c>
      <c r="R2560">
        <v>36</v>
      </c>
      <c r="S2560">
        <v>74</v>
      </c>
      <c r="T2560">
        <v>999</v>
      </c>
      <c r="U2560">
        <v>999</v>
      </c>
    </row>
    <row r="2561" spans="1:21" x14ac:dyDescent="0.35">
      <c r="A2561" t="s">
        <v>26</v>
      </c>
      <c r="B2561" s="1">
        <v>45045</v>
      </c>
      <c r="C2561" t="s">
        <v>23</v>
      </c>
      <c r="D2561">
        <v>15.1</v>
      </c>
      <c r="E2561">
        <v>4.8</v>
      </c>
      <c r="F2561">
        <v>2.4</v>
      </c>
      <c r="G2561">
        <v>3.1</v>
      </c>
      <c r="H2561">
        <v>6.3</v>
      </c>
      <c r="I2561">
        <v>0</v>
      </c>
      <c r="J2561">
        <v>0</v>
      </c>
      <c r="K2561">
        <v>0</v>
      </c>
      <c r="L2561">
        <v>0</v>
      </c>
      <c r="M2561">
        <v>0</v>
      </c>
      <c r="N2561">
        <v>33180</v>
      </c>
      <c r="O2561">
        <v>125733</v>
      </c>
      <c r="P2561">
        <v>246904</v>
      </c>
      <c r="Q2561">
        <v>5</v>
      </c>
      <c r="R2561">
        <v>6</v>
      </c>
      <c r="S2561">
        <v>6</v>
      </c>
      <c r="T2561">
        <v>50</v>
      </c>
      <c r="U2561">
        <v>64</v>
      </c>
    </row>
    <row r="2562" spans="1:21" x14ac:dyDescent="0.35">
      <c r="A2562" t="s">
        <v>21</v>
      </c>
      <c r="B2562" s="1">
        <v>45108</v>
      </c>
      <c r="C2562" t="s">
        <v>25</v>
      </c>
      <c r="D2562">
        <v>0</v>
      </c>
      <c r="E2562">
        <v>0</v>
      </c>
      <c r="F2562">
        <v>0</v>
      </c>
      <c r="G2562">
        <v>0</v>
      </c>
      <c r="H2562">
        <v>0</v>
      </c>
      <c r="I2562">
        <v>0</v>
      </c>
      <c r="J2562">
        <v>0</v>
      </c>
      <c r="K2562">
        <v>0</v>
      </c>
      <c r="L2562">
        <v>0</v>
      </c>
      <c r="M2562">
        <v>0</v>
      </c>
      <c r="N2562">
        <v>78851</v>
      </c>
      <c r="O2562">
        <v>212977</v>
      </c>
      <c r="P2562">
        <v>161629</v>
      </c>
      <c r="Q2562">
        <v>0</v>
      </c>
      <c r="R2562">
        <v>0</v>
      </c>
      <c r="S2562">
        <v>0</v>
      </c>
      <c r="T2562">
        <v>18</v>
      </c>
      <c r="U2562">
        <v>29</v>
      </c>
    </row>
    <row r="2563" spans="1:21" x14ac:dyDescent="0.35">
      <c r="A2563" t="s">
        <v>28</v>
      </c>
      <c r="B2563" s="1">
        <v>44596</v>
      </c>
      <c r="C2563" t="s">
        <v>30</v>
      </c>
      <c r="D2563">
        <v>18.5</v>
      </c>
      <c r="E2563">
        <v>36</v>
      </c>
      <c r="F2563">
        <v>30</v>
      </c>
      <c r="G2563">
        <v>0.5</v>
      </c>
      <c r="H2563">
        <v>0.6</v>
      </c>
      <c r="I2563">
        <v>0</v>
      </c>
      <c r="J2563">
        <v>0</v>
      </c>
      <c r="K2563">
        <v>0</v>
      </c>
      <c r="L2563">
        <v>0</v>
      </c>
      <c r="M2563">
        <v>0</v>
      </c>
      <c r="N2563">
        <v>27040</v>
      </c>
      <c r="O2563">
        <v>13879</v>
      </c>
      <c r="P2563">
        <v>43312</v>
      </c>
      <c r="Q2563">
        <v>5</v>
      </c>
      <c r="R2563">
        <v>5</v>
      </c>
      <c r="S2563">
        <v>13</v>
      </c>
      <c r="T2563">
        <v>80</v>
      </c>
      <c r="U2563">
        <v>200</v>
      </c>
    </row>
    <row r="2564" spans="1:21" x14ac:dyDescent="0.35">
      <c r="A2564" t="s">
        <v>28</v>
      </c>
      <c r="B2564" s="1">
        <v>44259</v>
      </c>
      <c r="C2564" t="s">
        <v>29</v>
      </c>
      <c r="D2564">
        <v>246.1</v>
      </c>
      <c r="E2564">
        <v>27.4</v>
      </c>
      <c r="F2564">
        <v>0</v>
      </c>
      <c r="G2564">
        <v>9</v>
      </c>
      <c r="H2564">
        <v>0</v>
      </c>
      <c r="I2564">
        <v>0</v>
      </c>
      <c r="J2564">
        <v>0</v>
      </c>
      <c r="K2564">
        <v>0</v>
      </c>
      <c r="L2564">
        <v>0</v>
      </c>
      <c r="M2564">
        <v>0</v>
      </c>
      <c r="N2564">
        <v>506745</v>
      </c>
      <c r="O2564">
        <v>105885</v>
      </c>
      <c r="P2564">
        <v>0</v>
      </c>
      <c r="Q2564">
        <v>1247</v>
      </c>
      <c r="R2564">
        <v>29</v>
      </c>
      <c r="S2564">
        <v>0</v>
      </c>
      <c r="T2564">
        <v>30</v>
      </c>
      <c r="U2564">
        <v>49</v>
      </c>
    </row>
    <row r="2565" spans="1:21" x14ac:dyDescent="0.35">
      <c r="A2565" t="s">
        <v>26</v>
      </c>
      <c r="B2565" s="1">
        <v>44618</v>
      </c>
      <c r="C2565" t="s">
        <v>31</v>
      </c>
      <c r="D2565">
        <v>20.399999999999999</v>
      </c>
      <c r="E2565">
        <v>10.9</v>
      </c>
      <c r="F2565">
        <v>10.3</v>
      </c>
      <c r="G2565">
        <v>1.9</v>
      </c>
      <c r="H2565">
        <v>2</v>
      </c>
      <c r="I2565">
        <v>0</v>
      </c>
      <c r="J2565">
        <v>0</v>
      </c>
      <c r="K2565">
        <v>0</v>
      </c>
      <c r="L2565">
        <v>0</v>
      </c>
      <c r="M2565">
        <v>0</v>
      </c>
      <c r="N2565">
        <v>49070</v>
      </c>
      <c r="O2565">
        <v>54948</v>
      </c>
      <c r="P2565">
        <v>154842</v>
      </c>
      <c r="Q2565">
        <v>10</v>
      </c>
      <c r="R2565">
        <v>6</v>
      </c>
      <c r="S2565">
        <v>16</v>
      </c>
      <c r="T2565">
        <v>65</v>
      </c>
      <c r="U2565">
        <v>79</v>
      </c>
    </row>
    <row r="2566" spans="1:21" x14ac:dyDescent="0.35">
      <c r="A2566" t="s">
        <v>28</v>
      </c>
      <c r="B2566" s="1">
        <v>44513</v>
      </c>
      <c r="C2566" t="s">
        <v>22</v>
      </c>
      <c r="D2566">
        <v>228.4</v>
      </c>
      <c r="E2566">
        <v>96</v>
      </c>
      <c r="F2566">
        <v>23.6</v>
      </c>
      <c r="G2566">
        <v>2.4</v>
      </c>
      <c r="H2566">
        <v>9.6999999999999993</v>
      </c>
      <c r="I2566">
        <v>253</v>
      </c>
      <c r="J2566">
        <v>78.400000000000006</v>
      </c>
      <c r="K2566">
        <v>21.1</v>
      </c>
      <c r="L2566">
        <v>3.2</v>
      </c>
      <c r="M2566">
        <v>12</v>
      </c>
      <c r="N2566">
        <v>918456</v>
      </c>
      <c r="O2566">
        <v>1426503</v>
      </c>
      <c r="P2566">
        <v>169151</v>
      </c>
      <c r="Q2566">
        <v>2098</v>
      </c>
      <c r="R2566">
        <v>1370</v>
      </c>
      <c r="S2566">
        <v>40</v>
      </c>
      <c r="T2566">
        <v>999</v>
      </c>
      <c r="U2566">
        <v>999</v>
      </c>
    </row>
    <row r="2567" spans="1:21" x14ac:dyDescent="0.35">
      <c r="A2567" t="s">
        <v>26</v>
      </c>
      <c r="B2567" s="1">
        <v>44555</v>
      </c>
      <c r="C2567" t="s">
        <v>25</v>
      </c>
      <c r="D2567">
        <v>63.1</v>
      </c>
      <c r="E2567">
        <v>9.6999999999999993</v>
      </c>
      <c r="F2567">
        <v>3.4</v>
      </c>
      <c r="G2567">
        <v>6.5</v>
      </c>
      <c r="H2567">
        <v>18.600000000000001</v>
      </c>
      <c r="I2567">
        <v>0</v>
      </c>
      <c r="J2567">
        <v>0</v>
      </c>
      <c r="K2567">
        <v>0</v>
      </c>
      <c r="L2567">
        <v>0</v>
      </c>
      <c r="M2567">
        <v>0</v>
      </c>
      <c r="N2567">
        <v>139528</v>
      </c>
      <c r="O2567">
        <v>277971</v>
      </c>
      <c r="P2567">
        <v>58804</v>
      </c>
      <c r="Q2567">
        <v>88</v>
      </c>
      <c r="R2567">
        <v>27</v>
      </c>
      <c r="S2567">
        <v>2</v>
      </c>
      <c r="T2567">
        <v>18</v>
      </c>
      <c r="U2567">
        <v>29</v>
      </c>
    </row>
    <row r="2568" spans="1:21" x14ac:dyDescent="0.35">
      <c r="A2568" t="s">
        <v>28</v>
      </c>
      <c r="B2568" s="1">
        <v>45178</v>
      </c>
      <c r="C2568" t="s">
        <v>29</v>
      </c>
      <c r="D2568">
        <v>64.599999999999994</v>
      </c>
      <c r="E2568">
        <v>28.4</v>
      </c>
      <c r="F2568">
        <v>38.9</v>
      </c>
      <c r="G2568">
        <v>2.2999999999999998</v>
      </c>
      <c r="H2568">
        <v>1.7</v>
      </c>
      <c r="I2568">
        <v>0</v>
      </c>
      <c r="J2568">
        <v>0</v>
      </c>
      <c r="K2568">
        <v>0</v>
      </c>
      <c r="L2568">
        <v>0</v>
      </c>
      <c r="M2568">
        <v>0</v>
      </c>
      <c r="N2568">
        <v>106855</v>
      </c>
      <c r="O2568">
        <v>278397</v>
      </c>
      <c r="P2568">
        <v>347322</v>
      </c>
      <c r="Q2568">
        <v>69</v>
      </c>
      <c r="R2568">
        <v>79</v>
      </c>
      <c r="S2568">
        <v>135</v>
      </c>
      <c r="T2568">
        <v>30</v>
      </c>
      <c r="U2568">
        <v>49</v>
      </c>
    </row>
    <row r="2569" spans="1:21" x14ac:dyDescent="0.35">
      <c r="A2569" t="s">
        <v>21</v>
      </c>
      <c r="B2569" s="1">
        <v>44373</v>
      </c>
      <c r="C2569" t="s">
        <v>25</v>
      </c>
      <c r="D2569">
        <v>0</v>
      </c>
      <c r="E2569">
        <v>0</v>
      </c>
      <c r="F2569">
        <v>0</v>
      </c>
      <c r="G2569">
        <v>0</v>
      </c>
      <c r="H2569">
        <v>0</v>
      </c>
      <c r="I2569">
        <v>0</v>
      </c>
      <c r="J2569">
        <v>0</v>
      </c>
      <c r="K2569">
        <v>0</v>
      </c>
      <c r="L2569">
        <v>0</v>
      </c>
      <c r="M2569">
        <v>0</v>
      </c>
      <c r="N2569">
        <v>228136</v>
      </c>
      <c r="O2569">
        <v>254744</v>
      </c>
      <c r="P2569">
        <v>0</v>
      </c>
      <c r="Q2569">
        <v>0</v>
      </c>
      <c r="R2569">
        <v>0</v>
      </c>
      <c r="S2569">
        <v>0</v>
      </c>
      <c r="T2569">
        <v>18</v>
      </c>
      <c r="U2569">
        <v>29</v>
      </c>
    </row>
    <row r="2570" spans="1:21" x14ac:dyDescent="0.35">
      <c r="A2570" t="s">
        <v>26</v>
      </c>
      <c r="B2570" s="1">
        <v>44846</v>
      </c>
      <c r="C2570" t="s">
        <v>31</v>
      </c>
      <c r="D2570">
        <v>75.3</v>
      </c>
      <c r="E2570">
        <v>64.599999999999994</v>
      </c>
      <c r="F2570">
        <v>32</v>
      </c>
      <c r="G2570">
        <v>1.2</v>
      </c>
      <c r="H2570">
        <v>2.4</v>
      </c>
      <c r="I2570">
        <v>0</v>
      </c>
      <c r="J2570">
        <v>0</v>
      </c>
      <c r="K2570">
        <v>0</v>
      </c>
      <c r="L2570">
        <v>0</v>
      </c>
      <c r="M2570">
        <v>0</v>
      </c>
      <c r="N2570">
        <v>41147</v>
      </c>
      <c r="O2570">
        <v>43350</v>
      </c>
      <c r="P2570">
        <v>171635</v>
      </c>
      <c r="Q2570">
        <v>31</v>
      </c>
      <c r="R2570">
        <v>28</v>
      </c>
      <c r="S2570">
        <v>55</v>
      </c>
      <c r="T2570">
        <v>65</v>
      </c>
      <c r="U2570">
        <v>79</v>
      </c>
    </row>
    <row r="2571" spans="1:21" x14ac:dyDescent="0.35">
      <c r="A2571" t="s">
        <v>21</v>
      </c>
      <c r="B2571" s="1">
        <v>44849</v>
      </c>
      <c r="C2571" t="s">
        <v>29</v>
      </c>
      <c r="D2571">
        <v>0</v>
      </c>
      <c r="E2571">
        <v>0</v>
      </c>
      <c r="F2571">
        <v>0</v>
      </c>
      <c r="G2571">
        <v>0</v>
      </c>
      <c r="H2571">
        <v>0</v>
      </c>
      <c r="I2571">
        <v>0</v>
      </c>
      <c r="J2571">
        <v>0</v>
      </c>
      <c r="K2571">
        <v>0</v>
      </c>
      <c r="L2571">
        <v>0</v>
      </c>
      <c r="M2571">
        <v>0</v>
      </c>
      <c r="N2571">
        <v>119967</v>
      </c>
      <c r="O2571">
        <v>276252</v>
      </c>
      <c r="P2571">
        <v>346982</v>
      </c>
      <c r="Q2571">
        <v>0</v>
      </c>
      <c r="R2571">
        <v>0</v>
      </c>
      <c r="S2571">
        <v>0</v>
      </c>
      <c r="T2571">
        <v>30</v>
      </c>
      <c r="U2571">
        <v>49</v>
      </c>
    </row>
    <row r="2572" spans="1:21" x14ac:dyDescent="0.35">
      <c r="A2572" t="s">
        <v>21</v>
      </c>
      <c r="B2572" s="1">
        <v>45157</v>
      </c>
      <c r="C2572" t="s">
        <v>32</v>
      </c>
      <c r="D2572">
        <v>0</v>
      </c>
      <c r="E2572">
        <v>0</v>
      </c>
      <c r="F2572">
        <v>0</v>
      </c>
      <c r="G2572">
        <v>0</v>
      </c>
      <c r="H2572">
        <v>0</v>
      </c>
      <c r="I2572">
        <v>0</v>
      </c>
      <c r="J2572">
        <v>0</v>
      </c>
      <c r="K2572">
        <v>0</v>
      </c>
      <c r="L2572">
        <v>0</v>
      </c>
      <c r="M2572">
        <v>0</v>
      </c>
      <c r="N2572">
        <v>162642</v>
      </c>
      <c r="O2572">
        <v>0</v>
      </c>
      <c r="P2572">
        <v>0</v>
      </c>
      <c r="Q2572">
        <v>0</v>
      </c>
      <c r="R2572">
        <v>0</v>
      </c>
      <c r="S2572">
        <v>0</v>
      </c>
      <c r="T2572">
        <v>0</v>
      </c>
      <c r="U2572">
        <v>4</v>
      </c>
    </row>
    <row r="2573" spans="1:21" x14ac:dyDescent="0.35">
      <c r="A2573" t="s">
        <v>28</v>
      </c>
      <c r="B2573" s="1">
        <v>44897</v>
      </c>
      <c r="C2573" t="s">
        <v>29</v>
      </c>
      <c r="D2573">
        <v>157.6</v>
      </c>
      <c r="E2573">
        <v>65.900000000000006</v>
      </c>
      <c r="F2573">
        <v>119.7</v>
      </c>
      <c r="G2573">
        <v>2.4</v>
      </c>
      <c r="H2573">
        <v>1.3</v>
      </c>
      <c r="I2573">
        <v>0</v>
      </c>
      <c r="J2573">
        <v>0</v>
      </c>
      <c r="K2573">
        <v>0</v>
      </c>
      <c r="L2573">
        <v>0</v>
      </c>
      <c r="M2573">
        <v>0</v>
      </c>
      <c r="N2573">
        <v>139578</v>
      </c>
      <c r="O2573">
        <v>302103</v>
      </c>
      <c r="P2573">
        <v>296569</v>
      </c>
      <c r="Q2573">
        <v>220</v>
      </c>
      <c r="R2573">
        <v>199</v>
      </c>
      <c r="S2573">
        <v>355</v>
      </c>
      <c r="T2573">
        <v>30</v>
      </c>
      <c r="U2573">
        <v>49</v>
      </c>
    </row>
    <row r="2574" spans="1:21" x14ac:dyDescent="0.35">
      <c r="A2574" t="s">
        <v>28</v>
      </c>
      <c r="B2574" s="1">
        <v>44492</v>
      </c>
      <c r="C2574" t="s">
        <v>25</v>
      </c>
      <c r="D2574">
        <v>136.5</v>
      </c>
      <c r="E2574">
        <v>53.6</v>
      </c>
      <c r="F2574">
        <v>17.899999999999999</v>
      </c>
      <c r="G2574">
        <v>2.5</v>
      </c>
      <c r="H2574">
        <v>7.6</v>
      </c>
      <c r="I2574">
        <v>0</v>
      </c>
      <c r="J2574">
        <v>0</v>
      </c>
      <c r="K2574">
        <v>0</v>
      </c>
      <c r="L2574">
        <v>0</v>
      </c>
      <c r="M2574">
        <v>0</v>
      </c>
      <c r="N2574">
        <v>167788</v>
      </c>
      <c r="O2574">
        <v>313263</v>
      </c>
      <c r="P2574">
        <v>5594</v>
      </c>
      <c r="Q2574">
        <v>229</v>
      </c>
      <c r="R2574">
        <v>168</v>
      </c>
      <c r="S2574">
        <v>1</v>
      </c>
      <c r="T2574">
        <v>18</v>
      </c>
      <c r="U2574">
        <v>29</v>
      </c>
    </row>
    <row r="2575" spans="1:21" x14ac:dyDescent="0.35">
      <c r="A2575" t="s">
        <v>21</v>
      </c>
      <c r="B2575" s="1">
        <v>44674</v>
      </c>
      <c r="C2575" t="s">
        <v>29</v>
      </c>
      <c r="D2575">
        <v>0</v>
      </c>
      <c r="E2575">
        <v>0</v>
      </c>
      <c r="F2575">
        <v>0</v>
      </c>
      <c r="G2575">
        <v>0</v>
      </c>
      <c r="H2575">
        <v>0</v>
      </c>
      <c r="I2575">
        <v>0</v>
      </c>
      <c r="J2575">
        <v>0</v>
      </c>
      <c r="K2575">
        <v>0</v>
      </c>
      <c r="L2575">
        <v>0</v>
      </c>
      <c r="M2575">
        <v>0</v>
      </c>
      <c r="N2575">
        <v>131359</v>
      </c>
      <c r="O2575">
        <v>287869</v>
      </c>
      <c r="P2575">
        <v>329404</v>
      </c>
      <c r="Q2575">
        <v>0</v>
      </c>
      <c r="R2575">
        <v>0</v>
      </c>
      <c r="S2575">
        <v>0</v>
      </c>
      <c r="T2575">
        <v>30</v>
      </c>
      <c r="U2575">
        <v>49</v>
      </c>
    </row>
    <row r="2576" spans="1:21" x14ac:dyDescent="0.35">
      <c r="A2576" t="s">
        <v>28</v>
      </c>
      <c r="B2576" s="1">
        <v>45205</v>
      </c>
      <c r="C2576" t="s">
        <v>27</v>
      </c>
      <c r="D2576">
        <v>9.3000000000000007</v>
      </c>
      <c r="E2576">
        <v>2.2999999999999998</v>
      </c>
      <c r="F2576">
        <v>6.7</v>
      </c>
      <c r="G2576">
        <v>4</v>
      </c>
      <c r="H2576">
        <v>1.4</v>
      </c>
      <c r="I2576">
        <v>0</v>
      </c>
      <c r="J2576">
        <v>0</v>
      </c>
      <c r="K2576">
        <v>0</v>
      </c>
      <c r="L2576">
        <v>0</v>
      </c>
      <c r="M2576">
        <v>0</v>
      </c>
      <c r="N2576">
        <v>32409</v>
      </c>
      <c r="O2576">
        <v>86579</v>
      </c>
      <c r="P2576">
        <v>44583</v>
      </c>
      <c r="Q2576">
        <v>3</v>
      </c>
      <c r="R2576">
        <v>2</v>
      </c>
      <c r="S2576">
        <v>3</v>
      </c>
      <c r="T2576">
        <v>12</v>
      </c>
      <c r="U2576">
        <v>17</v>
      </c>
    </row>
    <row r="2577" spans="1:21" x14ac:dyDescent="0.35">
      <c r="A2577" t="s">
        <v>26</v>
      </c>
      <c r="B2577" s="1">
        <v>45220</v>
      </c>
      <c r="C2577" t="s">
        <v>31</v>
      </c>
      <c r="D2577">
        <v>20.9</v>
      </c>
      <c r="E2577">
        <v>11.4</v>
      </c>
      <c r="F2577">
        <v>12.8</v>
      </c>
      <c r="G2577">
        <v>1.8</v>
      </c>
      <c r="H2577">
        <v>1.6</v>
      </c>
      <c r="I2577">
        <v>0</v>
      </c>
      <c r="J2577">
        <v>0</v>
      </c>
      <c r="K2577">
        <v>0</v>
      </c>
      <c r="L2577">
        <v>0</v>
      </c>
      <c r="M2577">
        <v>0</v>
      </c>
      <c r="N2577">
        <v>38192</v>
      </c>
      <c r="O2577">
        <v>43745</v>
      </c>
      <c r="P2577">
        <v>172021</v>
      </c>
      <c r="Q2577">
        <v>8</v>
      </c>
      <c r="R2577">
        <v>5</v>
      </c>
      <c r="S2577">
        <v>22</v>
      </c>
      <c r="T2577">
        <v>65</v>
      </c>
      <c r="U2577">
        <v>79</v>
      </c>
    </row>
    <row r="2578" spans="1:21" x14ac:dyDescent="0.35">
      <c r="A2578" t="s">
        <v>28</v>
      </c>
      <c r="B2578" s="1">
        <v>44520</v>
      </c>
      <c r="C2578" t="s">
        <v>23</v>
      </c>
      <c r="D2578">
        <v>382.1</v>
      </c>
      <c r="E2578">
        <v>100.3</v>
      </c>
      <c r="F2578">
        <v>20.100000000000001</v>
      </c>
      <c r="G2578">
        <v>3.8</v>
      </c>
      <c r="H2578">
        <v>19</v>
      </c>
      <c r="I2578">
        <v>0</v>
      </c>
      <c r="J2578">
        <v>0</v>
      </c>
      <c r="K2578">
        <v>0</v>
      </c>
      <c r="L2578">
        <v>0</v>
      </c>
      <c r="M2578">
        <v>0</v>
      </c>
      <c r="N2578">
        <v>67514</v>
      </c>
      <c r="O2578">
        <v>297169</v>
      </c>
      <c r="P2578">
        <v>49704</v>
      </c>
      <c r="Q2578">
        <v>258</v>
      </c>
      <c r="R2578">
        <v>298</v>
      </c>
      <c r="S2578">
        <v>10</v>
      </c>
      <c r="T2578">
        <v>50</v>
      </c>
      <c r="U2578">
        <v>64</v>
      </c>
    </row>
    <row r="2579" spans="1:21" x14ac:dyDescent="0.35">
      <c r="A2579" t="s">
        <v>21</v>
      </c>
      <c r="B2579" s="1">
        <v>45117</v>
      </c>
      <c r="C2579" t="s">
        <v>31</v>
      </c>
      <c r="D2579">
        <v>0</v>
      </c>
      <c r="E2579">
        <v>0</v>
      </c>
      <c r="F2579">
        <v>1.2</v>
      </c>
      <c r="G2579">
        <v>0</v>
      </c>
      <c r="H2579">
        <v>0</v>
      </c>
      <c r="I2579">
        <v>0</v>
      </c>
      <c r="J2579">
        <v>0</v>
      </c>
      <c r="K2579">
        <v>0</v>
      </c>
      <c r="L2579">
        <v>0</v>
      </c>
      <c r="M2579">
        <v>0</v>
      </c>
      <c r="N2579">
        <v>38643</v>
      </c>
      <c r="O2579">
        <v>43457</v>
      </c>
      <c r="P2579">
        <v>171823</v>
      </c>
      <c r="Q2579">
        <v>0</v>
      </c>
      <c r="R2579">
        <v>0</v>
      </c>
      <c r="S2579">
        <v>2</v>
      </c>
      <c r="T2579">
        <v>65</v>
      </c>
      <c r="U2579">
        <v>79</v>
      </c>
    </row>
    <row r="2580" spans="1:21" x14ac:dyDescent="0.35">
      <c r="A2580" t="s">
        <v>21</v>
      </c>
      <c r="B2580" s="1">
        <v>45010</v>
      </c>
      <c r="C2580" t="s">
        <v>22</v>
      </c>
      <c r="D2580">
        <v>0.2</v>
      </c>
      <c r="E2580">
        <v>0.1</v>
      </c>
      <c r="F2580">
        <v>0.4</v>
      </c>
      <c r="G2580">
        <v>2</v>
      </c>
      <c r="H2580">
        <v>0.5</v>
      </c>
      <c r="I2580">
        <v>0.2</v>
      </c>
      <c r="J2580">
        <v>0.3</v>
      </c>
      <c r="K2580">
        <v>0.3</v>
      </c>
      <c r="L2580">
        <v>0.8</v>
      </c>
      <c r="M2580">
        <v>0.9</v>
      </c>
      <c r="N2580">
        <v>541869</v>
      </c>
      <c r="O2580">
        <v>858761</v>
      </c>
      <c r="P2580">
        <v>1040518</v>
      </c>
      <c r="Q2580">
        <v>1</v>
      </c>
      <c r="R2580">
        <v>1</v>
      </c>
      <c r="S2580">
        <v>4</v>
      </c>
      <c r="T2580">
        <v>999</v>
      </c>
      <c r="U2580">
        <v>999</v>
      </c>
    </row>
    <row r="2581" spans="1:21" x14ac:dyDescent="0.35">
      <c r="A2581" t="s">
        <v>26</v>
      </c>
      <c r="B2581" s="1">
        <v>44856</v>
      </c>
      <c r="C2581" t="s">
        <v>23</v>
      </c>
      <c r="D2581">
        <v>37.1</v>
      </c>
      <c r="E2581">
        <v>6.4</v>
      </c>
      <c r="F2581">
        <v>9.3000000000000007</v>
      </c>
      <c r="G2581">
        <v>5.8</v>
      </c>
      <c r="H2581">
        <v>4</v>
      </c>
      <c r="I2581">
        <v>0</v>
      </c>
      <c r="J2581">
        <v>0</v>
      </c>
      <c r="K2581">
        <v>0</v>
      </c>
      <c r="L2581">
        <v>0</v>
      </c>
      <c r="M2581">
        <v>0</v>
      </c>
      <c r="N2581">
        <v>37697</v>
      </c>
      <c r="O2581">
        <v>125220</v>
      </c>
      <c r="P2581">
        <v>246635</v>
      </c>
      <c r="Q2581">
        <v>14</v>
      </c>
      <c r="R2581">
        <v>8</v>
      </c>
      <c r="S2581">
        <v>23</v>
      </c>
      <c r="T2581">
        <v>50</v>
      </c>
      <c r="U2581">
        <v>64</v>
      </c>
    </row>
    <row r="2582" spans="1:21" x14ac:dyDescent="0.35">
      <c r="A2582" t="s">
        <v>21</v>
      </c>
      <c r="B2582" s="1">
        <v>44295</v>
      </c>
      <c r="C2582" t="s">
        <v>31</v>
      </c>
      <c r="D2582">
        <v>12.3</v>
      </c>
      <c r="E2582">
        <v>1.5</v>
      </c>
      <c r="F2582">
        <v>0</v>
      </c>
      <c r="G2582">
        <v>8.1999999999999993</v>
      </c>
      <c r="H2582">
        <v>0</v>
      </c>
      <c r="I2582">
        <v>0</v>
      </c>
      <c r="J2582">
        <v>0</v>
      </c>
      <c r="K2582">
        <v>0</v>
      </c>
      <c r="L2582">
        <v>0</v>
      </c>
      <c r="M2582">
        <v>0</v>
      </c>
      <c r="N2582">
        <v>65150</v>
      </c>
      <c r="O2582">
        <v>194427</v>
      </c>
      <c r="P2582">
        <v>0</v>
      </c>
      <c r="Q2582">
        <v>8</v>
      </c>
      <c r="R2582">
        <v>3</v>
      </c>
      <c r="S2582">
        <v>0</v>
      </c>
      <c r="T2582">
        <v>65</v>
      </c>
      <c r="U2582">
        <v>79</v>
      </c>
    </row>
    <row r="2583" spans="1:21" x14ac:dyDescent="0.35">
      <c r="A2583" t="s">
        <v>21</v>
      </c>
      <c r="B2583" s="1">
        <v>44373</v>
      </c>
      <c r="C2583" t="s">
        <v>31</v>
      </c>
      <c r="D2583">
        <v>1.4</v>
      </c>
      <c r="E2583">
        <v>0.5</v>
      </c>
      <c r="F2583">
        <v>0</v>
      </c>
      <c r="G2583">
        <v>2.8</v>
      </c>
      <c r="H2583">
        <v>0</v>
      </c>
      <c r="I2583">
        <v>0</v>
      </c>
      <c r="J2583">
        <v>0</v>
      </c>
      <c r="K2583">
        <v>0</v>
      </c>
      <c r="L2583">
        <v>0</v>
      </c>
      <c r="M2583">
        <v>0</v>
      </c>
      <c r="N2583">
        <v>73343</v>
      </c>
      <c r="O2583">
        <v>186066</v>
      </c>
      <c r="P2583">
        <v>0</v>
      </c>
      <c r="Q2583">
        <v>1</v>
      </c>
      <c r="R2583">
        <v>1</v>
      </c>
      <c r="S2583">
        <v>0</v>
      </c>
      <c r="T2583">
        <v>65</v>
      </c>
      <c r="U2583">
        <v>79</v>
      </c>
    </row>
    <row r="2584" spans="1:21" x14ac:dyDescent="0.35">
      <c r="A2584" t="s">
        <v>21</v>
      </c>
      <c r="B2584" s="1">
        <v>44646</v>
      </c>
      <c r="C2584" t="s">
        <v>22</v>
      </c>
      <c r="D2584">
        <v>0.5</v>
      </c>
      <c r="E2584">
        <v>0.4</v>
      </c>
      <c r="F2584">
        <v>0.1</v>
      </c>
      <c r="G2584">
        <v>1.2</v>
      </c>
      <c r="H2584">
        <v>5</v>
      </c>
      <c r="I2584">
        <v>0.7</v>
      </c>
      <c r="J2584">
        <v>0.8</v>
      </c>
      <c r="K2584">
        <v>0.1</v>
      </c>
      <c r="L2584">
        <v>0.9</v>
      </c>
      <c r="M2584">
        <v>12.7</v>
      </c>
      <c r="N2584">
        <v>659972</v>
      </c>
      <c r="O2584">
        <v>904268</v>
      </c>
      <c r="P2584">
        <v>925908</v>
      </c>
      <c r="Q2584">
        <v>3</v>
      </c>
      <c r="R2584">
        <v>4</v>
      </c>
      <c r="S2584">
        <v>1</v>
      </c>
      <c r="T2584">
        <v>999</v>
      </c>
      <c r="U2584">
        <v>999</v>
      </c>
    </row>
    <row r="2585" spans="1:21" x14ac:dyDescent="0.35">
      <c r="A2585" t="s">
        <v>26</v>
      </c>
      <c r="B2585" s="1">
        <v>44237</v>
      </c>
      <c r="C2585" t="s">
        <v>25</v>
      </c>
      <c r="D2585">
        <v>9.6999999999999993</v>
      </c>
      <c r="E2585">
        <v>0.6</v>
      </c>
      <c r="F2585">
        <v>0</v>
      </c>
      <c r="G2585">
        <v>16.2</v>
      </c>
      <c r="H2585">
        <v>0</v>
      </c>
      <c r="I2585">
        <v>0</v>
      </c>
      <c r="J2585">
        <v>0</v>
      </c>
      <c r="K2585">
        <v>0</v>
      </c>
      <c r="L2585">
        <v>0</v>
      </c>
      <c r="M2585">
        <v>0</v>
      </c>
      <c r="N2585">
        <v>175617</v>
      </c>
      <c r="O2585">
        <v>307962</v>
      </c>
      <c r="P2585">
        <v>0</v>
      </c>
      <c r="Q2585">
        <v>17</v>
      </c>
      <c r="R2585">
        <v>2</v>
      </c>
      <c r="S2585">
        <v>0</v>
      </c>
      <c r="T2585">
        <v>18</v>
      </c>
      <c r="U2585">
        <v>29</v>
      </c>
    </row>
    <row r="2586" spans="1:21" x14ac:dyDescent="0.35">
      <c r="A2586" t="s">
        <v>21</v>
      </c>
      <c r="B2586" s="1">
        <v>44863</v>
      </c>
      <c r="C2586" t="s">
        <v>23</v>
      </c>
      <c r="D2586">
        <v>0</v>
      </c>
      <c r="E2586">
        <v>0</v>
      </c>
      <c r="F2586">
        <v>0.4</v>
      </c>
      <c r="G2586">
        <v>0</v>
      </c>
      <c r="H2586">
        <v>0</v>
      </c>
      <c r="I2586">
        <v>0</v>
      </c>
      <c r="J2586">
        <v>0</v>
      </c>
      <c r="K2586">
        <v>0</v>
      </c>
      <c r="L2586">
        <v>0</v>
      </c>
      <c r="M2586">
        <v>0</v>
      </c>
      <c r="N2586">
        <v>37238</v>
      </c>
      <c r="O2586">
        <v>125235</v>
      </c>
      <c r="P2586">
        <v>246658</v>
      </c>
      <c r="Q2586">
        <v>0</v>
      </c>
      <c r="R2586">
        <v>0</v>
      </c>
      <c r="S2586">
        <v>1</v>
      </c>
      <c r="T2586">
        <v>50</v>
      </c>
      <c r="U2586">
        <v>64</v>
      </c>
    </row>
    <row r="2587" spans="1:21" x14ac:dyDescent="0.35">
      <c r="A2587" t="s">
        <v>26</v>
      </c>
      <c r="B2587" s="1">
        <v>45142</v>
      </c>
      <c r="C2587" t="s">
        <v>31</v>
      </c>
      <c r="D2587">
        <v>20.100000000000001</v>
      </c>
      <c r="E2587">
        <v>13.8</v>
      </c>
      <c r="F2587">
        <v>11.6</v>
      </c>
      <c r="G2587">
        <v>1.5</v>
      </c>
      <c r="H2587">
        <v>1.7</v>
      </c>
      <c r="I2587">
        <v>0</v>
      </c>
      <c r="J2587">
        <v>0</v>
      </c>
      <c r="K2587">
        <v>0</v>
      </c>
      <c r="L2587">
        <v>0</v>
      </c>
      <c r="M2587">
        <v>0</v>
      </c>
      <c r="N2587">
        <v>39837</v>
      </c>
      <c r="O2587">
        <v>43431</v>
      </c>
      <c r="P2587">
        <v>171716</v>
      </c>
      <c r="Q2587">
        <v>8</v>
      </c>
      <c r="R2587">
        <v>6</v>
      </c>
      <c r="S2587">
        <v>20</v>
      </c>
      <c r="T2587">
        <v>65</v>
      </c>
      <c r="U2587">
        <v>79</v>
      </c>
    </row>
    <row r="2588" spans="1:21" x14ac:dyDescent="0.35">
      <c r="A2588" t="s">
        <v>21</v>
      </c>
      <c r="B2588" s="1">
        <v>44657</v>
      </c>
      <c r="C2588" t="s">
        <v>25</v>
      </c>
      <c r="D2588">
        <v>0</v>
      </c>
      <c r="E2588">
        <v>0</v>
      </c>
      <c r="F2588">
        <v>0</v>
      </c>
      <c r="G2588">
        <v>0</v>
      </c>
      <c r="H2588">
        <v>0</v>
      </c>
      <c r="I2588">
        <v>0</v>
      </c>
      <c r="J2588">
        <v>0</v>
      </c>
      <c r="K2588">
        <v>0</v>
      </c>
      <c r="L2588">
        <v>0</v>
      </c>
      <c r="M2588">
        <v>0</v>
      </c>
      <c r="N2588">
        <v>94995</v>
      </c>
      <c r="O2588">
        <v>215928</v>
      </c>
      <c r="P2588">
        <v>153584</v>
      </c>
      <c r="Q2588">
        <v>0</v>
      </c>
      <c r="R2588">
        <v>0</v>
      </c>
      <c r="S2588">
        <v>0</v>
      </c>
      <c r="T2588">
        <v>18</v>
      </c>
      <c r="U2588">
        <v>29</v>
      </c>
    </row>
    <row r="2589" spans="1:21" x14ac:dyDescent="0.35">
      <c r="A2589" t="s">
        <v>21</v>
      </c>
      <c r="B2589" s="1">
        <v>44856</v>
      </c>
      <c r="C2589" t="s">
        <v>22</v>
      </c>
      <c r="D2589">
        <v>0.2</v>
      </c>
      <c r="E2589">
        <v>0.2</v>
      </c>
      <c r="F2589">
        <v>0.2</v>
      </c>
      <c r="G2589">
        <v>1</v>
      </c>
      <c r="H2589">
        <v>1</v>
      </c>
      <c r="I2589">
        <v>0.2</v>
      </c>
      <c r="J2589">
        <v>0.3</v>
      </c>
      <c r="K2589">
        <v>0.1</v>
      </c>
      <c r="L2589">
        <v>0.6</v>
      </c>
      <c r="M2589">
        <v>1.7</v>
      </c>
      <c r="N2589">
        <v>580379</v>
      </c>
      <c r="O2589">
        <v>845220</v>
      </c>
      <c r="P2589">
        <v>1038858</v>
      </c>
      <c r="Q2589">
        <v>1</v>
      </c>
      <c r="R2589">
        <v>2</v>
      </c>
      <c r="S2589">
        <v>2</v>
      </c>
      <c r="T2589">
        <v>999</v>
      </c>
      <c r="U2589">
        <v>999</v>
      </c>
    </row>
    <row r="2590" spans="1:21" x14ac:dyDescent="0.35">
      <c r="A2590" t="s">
        <v>28</v>
      </c>
      <c r="B2590" s="1">
        <v>44590</v>
      </c>
      <c r="C2590" t="s">
        <v>22</v>
      </c>
      <c r="D2590">
        <v>381.9</v>
      </c>
      <c r="E2590">
        <v>232.4</v>
      </c>
      <c r="F2590">
        <v>215.3</v>
      </c>
      <c r="G2590">
        <v>1.6</v>
      </c>
      <c r="H2590">
        <v>1.8</v>
      </c>
      <c r="I2590">
        <v>410</v>
      </c>
      <c r="J2590">
        <v>234.2</v>
      </c>
      <c r="K2590">
        <v>184.4</v>
      </c>
      <c r="L2590">
        <v>1.8</v>
      </c>
      <c r="M2590">
        <v>2.2000000000000002</v>
      </c>
      <c r="N2590">
        <v>707592</v>
      </c>
      <c r="O2590">
        <v>954511</v>
      </c>
      <c r="P2590">
        <v>779977</v>
      </c>
      <c r="Q2590">
        <v>2702</v>
      </c>
      <c r="R2590">
        <v>2218</v>
      </c>
      <c r="S2590">
        <v>1679</v>
      </c>
      <c r="T2590">
        <v>999</v>
      </c>
      <c r="U2590">
        <v>999</v>
      </c>
    </row>
    <row r="2591" spans="1:21" x14ac:dyDescent="0.35">
      <c r="A2591" t="s">
        <v>26</v>
      </c>
      <c r="B2591" s="1">
        <v>44262</v>
      </c>
      <c r="C2591" t="s">
        <v>29</v>
      </c>
      <c r="D2591">
        <v>4.5999999999999996</v>
      </c>
      <c r="E2591">
        <v>0.2</v>
      </c>
      <c r="F2591">
        <v>0</v>
      </c>
      <c r="G2591">
        <v>23</v>
      </c>
      <c r="H2591">
        <v>0</v>
      </c>
      <c r="I2591">
        <v>0</v>
      </c>
      <c r="J2591">
        <v>0</v>
      </c>
      <c r="K2591">
        <v>0</v>
      </c>
      <c r="L2591">
        <v>0</v>
      </c>
      <c r="M2591">
        <v>0</v>
      </c>
      <c r="N2591">
        <v>284806</v>
      </c>
      <c r="O2591">
        <v>473790</v>
      </c>
      <c r="P2591">
        <v>0</v>
      </c>
      <c r="Q2591">
        <v>13</v>
      </c>
      <c r="R2591">
        <v>1</v>
      </c>
      <c r="S2591">
        <v>0</v>
      </c>
      <c r="T2591">
        <v>30</v>
      </c>
      <c r="U2591">
        <v>49</v>
      </c>
    </row>
    <row r="2592" spans="1:21" x14ac:dyDescent="0.35">
      <c r="A2592" t="s">
        <v>21</v>
      </c>
      <c r="B2592" s="1">
        <v>44783</v>
      </c>
      <c r="C2592" t="s">
        <v>27</v>
      </c>
      <c r="D2592">
        <v>0</v>
      </c>
      <c r="E2592">
        <v>0</v>
      </c>
      <c r="F2592">
        <v>0</v>
      </c>
      <c r="G2592">
        <v>0</v>
      </c>
      <c r="H2592">
        <v>0</v>
      </c>
      <c r="I2592">
        <v>0</v>
      </c>
      <c r="J2592">
        <v>0</v>
      </c>
      <c r="K2592">
        <v>0</v>
      </c>
      <c r="L2592">
        <v>0</v>
      </c>
      <c r="M2592">
        <v>0</v>
      </c>
      <c r="N2592">
        <v>34773</v>
      </c>
      <c r="O2592">
        <v>85834</v>
      </c>
      <c r="P2592">
        <v>44443</v>
      </c>
      <c r="Q2592">
        <v>0</v>
      </c>
      <c r="R2592">
        <v>0</v>
      </c>
      <c r="S2592">
        <v>0</v>
      </c>
      <c r="T2592">
        <v>12</v>
      </c>
      <c r="U2592">
        <v>17</v>
      </c>
    </row>
    <row r="2593" spans="1:21" x14ac:dyDescent="0.35">
      <c r="A2593" t="s">
        <v>28</v>
      </c>
      <c r="B2593" s="1">
        <v>45003</v>
      </c>
      <c r="C2593" t="s">
        <v>29</v>
      </c>
      <c r="D2593">
        <v>109.8</v>
      </c>
      <c r="E2593">
        <v>45.7</v>
      </c>
      <c r="F2593">
        <v>55.9</v>
      </c>
      <c r="G2593">
        <v>2.4</v>
      </c>
      <c r="H2593">
        <v>2</v>
      </c>
      <c r="I2593">
        <v>0</v>
      </c>
      <c r="J2593">
        <v>0</v>
      </c>
      <c r="K2593">
        <v>0</v>
      </c>
      <c r="L2593">
        <v>0</v>
      </c>
      <c r="M2593">
        <v>0</v>
      </c>
      <c r="N2593">
        <v>110250</v>
      </c>
      <c r="O2593">
        <v>278001</v>
      </c>
      <c r="P2593">
        <v>347269</v>
      </c>
      <c r="Q2593">
        <v>121</v>
      </c>
      <c r="R2593">
        <v>127</v>
      </c>
      <c r="S2593">
        <v>194</v>
      </c>
      <c r="T2593">
        <v>30</v>
      </c>
      <c r="U2593">
        <v>49</v>
      </c>
    </row>
    <row r="2594" spans="1:21" x14ac:dyDescent="0.35">
      <c r="A2594" t="s">
        <v>28</v>
      </c>
      <c r="B2594" s="1">
        <v>44702</v>
      </c>
      <c r="C2594" t="s">
        <v>31</v>
      </c>
      <c r="D2594">
        <v>220.1</v>
      </c>
      <c r="E2594">
        <v>175.6</v>
      </c>
      <c r="F2594">
        <v>231.6</v>
      </c>
      <c r="G2594">
        <v>1.3</v>
      </c>
      <c r="H2594">
        <v>1</v>
      </c>
      <c r="I2594">
        <v>0</v>
      </c>
      <c r="J2594">
        <v>0</v>
      </c>
      <c r="K2594">
        <v>0</v>
      </c>
      <c r="L2594">
        <v>0</v>
      </c>
      <c r="M2594">
        <v>0</v>
      </c>
      <c r="N2594">
        <v>47243</v>
      </c>
      <c r="O2594">
        <v>48398</v>
      </c>
      <c r="P2594">
        <v>164100</v>
      </c>
      <c r="Q2594">
        <v>104</v>
      </c>
      <c r="R2594">
        <v>85</v>
      </c>
      <c r="S2594">
        <v>380</v>
      </c>
      <c r="T2594">
        <v>65</v>
      </c>
      <c r="U2594">
        <v>79</v>
      </c>
    </row>
    <row r="2595" spans="1:21" x14ac:dyDescent="0.35">
      <c r="A2595" t="s">
        <v>21</v>
      </c>
      <c r="B2595" s="1">
        <v>44237</v>
      </c>
      <c r="C2595" t="s">
        <v>31</v>
      </c>
      <c r="D2595">
        <v>16.100000000000001</v>
      </c>
      <c r="E2595">
        <v>1.6</v>
      </c>
      <c r="F2595">
        <v>0</v>
      </c>
      <c r="G2595">
        <v>10.1</v>
      </c>
      <c r="H2595">
        <v>0</v>
      </c>
      <c r="I2595">
        <v>0</v>
      </c>
      <c r="J2595">
        <v>0</v>
      </c>
      <c r="K2595">
        <v>0</v>
      </c>
      <c r="L2595">
        <v>0</v>
      </c>
      <c r="M2595">
        <v>0</v>
      </c>
      <c r="N2595">
        <v>62283</v>
      </c>
      <c r="O2595">
        <v>193295</v>
      </c>
      <c r="P2595">
        <v>0</v>
      </c>
      <c r="Q2595">
        <v>10</v>
      </c>
      <c r="R2595">
        <v>3</v>
      </c>
      <c r="S2595">
        <v>0</v>
      </c>
      <c r="T2595">
        <v>65</v>
      </c>
      <c r="U2595">
        <v>79</v>
      </c>
    </row>
    <row r="2596" spans="1:21" x14ac:dyDescent="0.35">
      <c r="A2596" t="s">
        <v>28</v>
      </c>
      <c r="B2596" s="1">
        <v>44898</v>
      </c>
      <c r="C2596" t="s">
        <v>24</v>
      </c>
      <c r="D2596">
        <v>44.8</v>
      </c>
      <c r="E2596">
        <v>49.8</v>
      </c>
      <c r="F2596">
        <v>0</v>
      </c>
      <c r="G2596">
        <v>0.9</v>
      </c>
      <c r="H2596">
        <v>0</v>
      </c>
      <c r="I2596">
        <v>0</v>
      </c>
      <c r="J2596">
        <v>0</v>
      </c>
      <c r="K2596">
        <v>0</v>
      </c>
      <c r="L2596">
        <v>0</v>
      </c>
      <c r="M2596">
        <v>0</v>
      </c>
      <c r="N2596">
        <v>104915</v>
      </c>
      <c r="O2596">
        <v>86398</v>
      </c>
      <c r="P2596">
        <v>0</v>
      </c>
      <c r="Q2596">
        <v>47</v>
      </c>
      <c r="R2596">
        <v>43</v>
      </c>
      <c r="S2596">
        <v>0</v>
      </c>
      <c r="T2596">
        <v>5</v>
      </c>
      <c r="U2596">
        <v>11</v>
      </c>
    </row>
    <row r="2597" spans="1:21" x14ac:dyDescent="0.35">
      <c r="A2597" t="s">
        <v>28</v>
      </c>
      <c r="B2597" s="1">
        <v>45054</v>
      </c>
      <c r="C2597" t="s">
        <v>27</v>
      </c>
      <c r="D2597">
        <v>18.7</v>
      </c>
      <c r="E2597">
        <v>4.5999999999999996</v>
      </c>
      <c r="F2597">
        <v>9</v>
      </c>
      <c r="G2597">
        <v>4.0999999999999996</v>
      </c>
      <c r="H2597">
        <v>2.1</v>
      </c>
      <c r="I2597">
        <v>0</v>
      </c>
      <c r="J2597">
        <v>0</v>
      </c>
      <c r="K2597">
        <v>0</v>
      </c>
      <c r="L2597">
        <v>0</v>
      </c>
      <c r="M2597">
        <v>0</v>
      </c>
      <c r="N2597">
        <v>32022</v>
      </c>
      <c r="O2597">
        <v>86577</v>
      </c>
      <c r="P2597">
        <v>44592</v>
      </c>
      <c r="Q2597">
        <v>6</v>
      </c>
      <c r="R2597">
        <v>4</v>
      </c>
      <c r="S2597">
        <v>4</v>
      </c>
      <c r="T2597">
        <v>12</v>
      </c>
      <c r="U2597">
        <v>17</v>
      </c>
    </row>
    <row r="2598" spans="1:21" x14ac:dyDescent="0.35">
      <c r="A2598" t="s">
        <v>21</v>
      </c>
      <c r="B2598" s="1">
        <v>45122</v>
      </c>
      <c r="C2598" t="s">
        <v>30</v>
      </c>
      <c r="D2598">
        <v>0</v>
      </c>
      <c r="E2598">
        <v>0</v>
      </c>
      <c r="F2598">
        <v>0</v>
      </c>
      <c r="G2598">
        <v>0</v>
      </c>
      <c r="H2598">
        <v>0</v>
      </c>
      <c r="I2598">
        <v>0</v>
      </c>
      <c r="J2598">
        <v>0</v>
      </c>
      <c r="K2598">
        <v>0</v>
      </c>
      <c r="L2598">
        <v>0</v>
      </c>
      <c r="M2598">
        <v>0</v>
      </c>
      <c r="N2598">
        <v>24489</v>
      </c>
      <c r="O2598">
        <v>11383</v>
      </c>
      <c r="P2598">
        <v>47130</v>
      </c>
      <c r="Q2598">
        <v>0</v>
      </c>
      <c r="R2598">
        <v>0</v>
      </c>
      <c r="S2598">
        <v>0</v>
      </c>
      <c r="T2598">
        <v>80</v>
      </c>
      <c r="U2598">
        <v>200</v>
      </c>
    </row>
    <row r="2599" spans="1:21" x14ac:dyDescent="0.35">
      <c r="A2599" t="s">
        <v>26</v>
      </c>
      <c r="B2599" s="1">
        <v>45205</v>
      </c>
      <c r="C2599" t="s">
        <v>25</v>
      </c>
      <c r="D2599">
        <v>0</v>
      </c>
      <c r="E2599">
        <v>0.5</v>
      </c>
      <c r="F2599">
        <v>0</v>
      </c>
      <c r="G2599">
        <v>0</v>
      </c>
      <c r="H2599">
        <v>0</v>
      </c>
      <c r="I2599">
        <v>0</v>
      </c>
      <c r="J2599">
        <v>0</v>
      </c>
      <c r="K2599">
        <v>0</v>
      </c>
      <c r="L2599">
        <v>0</v>
      </c>
      <c r="M2599">
        <v>0</v>
      </c>
      <c r="N2599">
        <v>74610</v>
      </c>
      <c r="O2599">
        <v>214134</v>
      </c>
      <c r="P2599">
        <v>161697</v>
      </c>
      <c r="Q2599">
        <v>0</v>
      </c>
      <c r="R2599">
        <v>1</v>
      </c>
      <c r="S2599">
        <v>0</v>
      </c>
      <c r="T2599">
        <v>18</v>
      </c>
      <c r="U2599">
        <v>29</v>
      </c>
    </row>
    <row r="2600" spans="1:21" x14ac:dyDescent="0.35">
      <c r="A2600" t="s">
        <v>21</v>
      </c>
      <c r="B2600" s="1">
        <v>45233</v>
      </c>
      <c r="C2600" t="s">
        <v>29</v>
      </c>
      <c r="D2600">
        <v>0</v>
      </c>
      <c r="E2600">
        <v>0</v>
      </c>
      <c r="F2600">
        <v>0</v>
      </c>
      <c r="G2600">
        <v>0</v>
      </c>
      <c r="H2600">
        <v>0</v>
      </c>
      <c r="I2600">
        <v>0</v>
      </c>
      <c r="J2600">
        <v>0</v>
      </c>
      <c r="K2600">
        <v>0</v>
      </c>
      <c r="L2600">
        <v>0</v>
      </c>
      <c r="M2600">
        <v>0</v>
      </c>
      <c r="N2600">
        <v>110407</v>
      </c>
      <c r="O2600">
        <v>277955</v>
      </c>
      <c r="P2600">
        <v>347264</v>
      </c>
      <c r="Q2600">
        <v>0</v>
      </c>
      <c r="R2600">
        <v>0</v>
      </c>
      <c r="S2600">
        <v>0</v>
      </c>
      <c r="T2600">
        <v>30</v>
      </c>
      <c r="U2600">
        <v>49</v>
      </c>
    </row>
    <row r="2601" spans="1:21" x14ac:dyDescent="0.35">
      <c r="A2601" t="s">
        <v>28</v>
      </c>
      <c r="B2601" s="1">
        <v>45268</v>
      </c>
      <c r="C2601" t="s">
        <v>32</v>
      </c>
      <c r="D2601">
        <v>36.9</v>
      </c>
      <c r="E2601">
        <v>0.6</v>
      </c>
      <c r="F2601">
        <v>0</v>
      </c>
      <c r="G2601">
        <v>61.5</v>
      </c>
      <c r="H2601">
        <v>0</v>
      </c>
      <c r="I2601">
        <v>0</v>
      </c>
      <c r="J2601">
        <v>0</v>
      </c>
      <c r="K2601">
        <v>0</v>
      </c>
      <c r="L2601">
        <v>0</v>
      </c>
      <c r="M2601">
        <v>0</v>
      </c>
      <c r="N2601">
        <v>162642</v>
      </c>
      <c r="O2601">
        <v>0</v>
      </c>
      <c r="P2601">
        <v>0</v>
      </c>
      <c r="Q2601">
        <v>60</v>
      </c>
      <c r="R2601">
        <v>1</v>
      </c>
      <c r="S2601">
        <v>0</v>
      </c>
      <c r="T2601">
        <v>0</v>
      </c>
      <c r="U2601">
        <v>4</v>
      </c>
    </row>
    <row r="2602" spans="1:21" x14ac:dyDescent="0.35">
      <c r="A2602" t="s">
        <v>28</v>
      </c>
      <c r="B2602" s="1">
        <v>45018</v>
      </c>
      <c r="C2602" t="s">
        <v>27</v>
      </c>
      <c r="D2602">
        <v>227.9</v>
      </c>
      <c r="E2602">
        <v>89.2</v>
      </c>
      <c r="F2602">
        <v>103.2</v>
      </c>
      <c r="G2602">
        <v>2.6</v>
      </c>
      <c r="H2602">
        <v>2.2000000000000002</v>
      </c>
      <c r="I2602">
        <v>0</v>
      </c>
      <c r="J2602">
        <v>0</v>
      </c>
      <c r="K2602">
        <v>0</v>
      </c>
      <c r="L2602">
        <v>0</v>
      </c>
      <c r="M2602">
        <v>0</v>
      </c>
      <c r="N2602">
        <v>33352</v>
      </c>
      <c r="O2602">
        <v>86315</v>
      </c>
      <c r="P2602">
        <v>44553</v>
      </c>
      <c r="Q2602">
        <v>76</v>
      </c>
      <c r="R2602">
        <v>77</v>
      </c>
      <c r="S2602">
        <v>46</v>
      </c>
      <c r="T2602">
        <v>12</v>
      </c>
      <c r="U2602">
        <v>17</v>
      </c>
    </row>
    <row r="2603" spans="1:21" x14ac:dyDescent="0.35">
      <c r="A2603" t="s">
        <v>21</v>
      </c>
      <c r="B2603" s="1">
        <v>45066</v>
      </c>
      <c r="C2603" t="s">
        <v>32</v>
      </c>
      <c r="D2603">
        <v>0</v>
      </c>
      <c r="E2603">
        <v>0</v>
      </c>
      <c r="F2603">
        <v>0</v>
      </c>
      <c r="G2603">
        <v>0</v>
      </c>
      <c r="H2603">
        <v>0</v>
      </c>
      <c r="I2603">
        <v>0</v>
      </c>
      <c r="J2603">
        <v>0</v>
      </c>
      <c r="K2603">
        <v>0</v>
      </c>
      <c r="L2603">
        <v>0</v>
      </c>
      <c r="M2603">
        <v>0</v>
      </c>
      <c r="N2603">
        <v>162642</v>
      </c>
      <c r="O2603">
        <v>0</v>
      </c>
      <c r="P2603">
        <v>0</v>
      </c>
      <c r="Q2603">
        <v>0</v>
      </c>
      <c r="R2603">
        <v>0</v>
      </c>
      <c r="S2603">
        <v>0</v>
      </c>
      <c r="T2603">
        <v>0</v>
      </c>
      <c r="U2603">
        <v>4</v>
      </c>
    </row>
    <row r="2604" spans="1:21" x14ac:dyDescent="0.35">
      <c r="A2604" t="s">
        <v>21</v>
      </c>
      <c r="B2604" s="1">
        <v>44599</v>
      </c>
      <c r="C2604" t="s">
        <v>27</v>
      </c>
      <c r="D2604">
        <v>0</v>
      </c>
      <c r="E2604">
        <v>0</v>
      </c>
      <c r="F2604">
        <v>0</v>
      </c>
      <c r="G2604">
        <v>0</v>
      </c>
      <c r="H2604">
        <v>0</v>
      </c>
      <c r="I2604">
        <v>0</v>
      </c>
      <c r="J2604">
        <v>0</v>
      </c>
      <c r="K2604">
        <v>0</v>
      </c>
      <c r="L2604">
        <v>0</v>
      </c>
      <c r="M2604">
        <v>0</v>
      </c>
      <c r="N2604">
        <v>36490</v>
      </c>
      <c r="O2604">
        <v>91639</v>
      </c>
      <c r="P2604">
        <v>37326</v>
      </c>
      <c r="Q2604">
        <v>0</v>
      </c>
      <c r="R2604">
        <v>0</v>
      </c>
      <c r="S2604">
        <v>0</v>
      </c>
      <c r="T2604">
        <v>12</v>
      </c>
      <c r="U2604">
        <v>17</v>
      </c>
    </row>
    <row r="2605" spans="1:21" x14ac:dyDescent="0.35">
      <c r="A2605" t="s">
        <v>26</v>
      </c>
      <c r="B2605" s="1">
        <v>44919</v>
      </c>
      <c r="C2605" t="s">
        <v>29</v>
      </c>
      <c r="D2605">
        <v>15</v>
      </c>
      <c r="E2605">
        <v>3.6</v>
      </c>
      <c r="F2605">
        <v>4.5999999999999996</v>
      </c>
      <c r="G2605">
        <v>4.2</v>
      </c>
      <c r="H2605">
        <v>3.3</v>
      </c>
      <c r="I2605">
        <v>0</v>
      </c>
      <c r="J2605">
        <v>0</v>
      </c>
      <c r="K2605">
        <v>0</v>
      </c>
      <c r="L2605">
        <v>0</v>
      </c>
      <c r="M2605">
        <v>0</v>
      </c>
      <c r="N2605">
        <v>113497</v>
      </c>
      <c r="O2605">
        <v>277193</v>
      </c>
      <c r="P2605">
        <v>347177</v>
      </c>
      <c r="Q2605">
        <v>17</v>
      </c>
      <c r="R2605">
        <v>10</v>
      </c>
      <c r="S2605">
        <v>16</v>
      </c>
      <c r="T2605">
        <v>30</v>
      </c>
      <c r="U2605">
        <v>49</v>
      </c>
    </row>
    <row r="2606" spans="1:21" x14ac:dyDescent="0.35">
      <c r="A2606" t="s">
        <v>21</v>
      </c>
      <c r="B2606" s="1">
        <v>44821</v>
      </c>
      <c r="C2606" t="s">
        <v>25</v>
      </c>
      <c r="D2606">
        <v>0</v>
      </c>
      <c r="E2606">
        <v>0</v>
      </c>
      <c r="F2606">
        <v>0</v>
      </c>
      <c r="G2606">
        <v>0</v>
      </c>
      <c r="H2606">
        <v>0</v>
      </c>
      <c r="I2606">
        <v>0</v>
      </c>
      <c r="J2606">
        <v>0</v>
      </c>
      <c r="K2606">
        <v>0</v>
      </c>
      <c r="L2606">
        <v>0</v>
      </c>
      <c r="M2606">
        <v>0</v>
      </c>
      <c r="N2606">
        <v>89805</v>
      </c>
      <c r="O2606">
        <v>211472</v>
      </c>
      <c r="P2606">
        <v>161406</v>
      </c>
      <c r="Q2606">
        <v>0</v>
      </c>
      <c r="R2606">
        <v>0</v>
      </c>
      <c r="S2606">
        <v>0</v>
      </c>
      <c r="T2606">
        <v>18</v>
      </c>
      <c r="U2606">
        <v>29</v>
      </c>
    </row>
    <row r="2607" spans="1:21" x14ac:dyDescent="0.35">
      <c r="A2607" t="s">
        <v>21</v>
      </c>
      <c r="B2607" s="1">
        <v>44709</v>
      </c>
      <c r="C2607" t="s">
        <v>22</v>
      </c>
      <c r="D2607">
        <v>0.5</v>
      </c>
      <c r="E2607">
        <v>0.3</v>
      </c>
      <c r="F2607">
        <v>0</v>
      </c>
      <c r="G2607">
        <v>1.7</v>
      </c>
      <c r="H2607">
        <v>0</v>
      </c>
      <c r="I2607">
        <v>0.4</v>
      </c>
      <c r="J2607">
        <v>0.5</v>
      </c>
      <c r="K2607">
        <v>0</v>
      </c>
      <c r="L2607">
        <v>0.9</v>
      </c>
      <c r="M2607">
        <v>0</v>
      </c>
      <c r="N2607">
        <v>643200</v>
      </c>
      <c r="O2607">
        <v>881598</v>
      </c>
      <c r="P2607">
        <v>969242</v>
      </c>
      <c r="Q2607">
        <v>3</v>
      </c>
      <c r="R2607">
        <v>3</v>
      </c>
      <c r="S2607">
        <v>0</v>
      </c>
      <c r="T2607">
        <v>999</v>
      </c>
      <c r="U2607">
        <v>999</v>
      </c>
    </row>
    <row r="2608" spans="1:21" x14ac:dyDescent="0.35">
      <c r="A2608" t="s">
        <v>28</v>
      </c>
      <c r="B2608" s="1">
        <v>45101</v>
      </c>
      <c r="C2608" t="s">
        <v>27</v>
      </c>
      <c r="D2608">
        <v>3.1</v>
      </c>
      <c r="E2608">
        <v>1.2</v>
      </c>
      <c r="F2608">
        <v>2.2000000000000002</v>
      </c>
      <c r="G2608">
        <v>2.6</v>
      </c>
      <c r="H2608">
        <v>1.4</v>
      </c>
      <c r="I2608">
        <v>0</v>
      </c>
      <c r="J2608">
        <v>0</v>
      </c>
      <c r="K2608">
        <v>0</v>
      </c>
      <c r="L2608">
        <v>0</v>
      </c>
      <c r="M2608">
        <v>0</v>
      </c>
      <c r="N2608">
        <v>32320</v>
      </c>
      <c r="O2608">
        <v>86578</v>
      </c>
      <c r="P2608">
        <v>44587</v>
      </c>
      <c r="Q2608">
        <v>1</v>
      </c>
      <c r="R2608">
        <v>1</v>
      </c>
      <c r="S2608">
        <v>1</v>
      </c>
      <c r="T2608">
        <v>12</v>
      </c>
      <c r="U2608">
        <v>17</v>
      </c>
    </row>
    <row r="2609" spans="1:21" x14ac:dyDescent="0.35">
      <c r="A2609" t="s">
        <v>21</v>
      </c>
      <c r="B2609" s="1">
        <v>44385</v>
      </c>
      <c r="C2609" t="s">
        <v>25</v>
      </c>
      <c r="D2609">
        <v>1.5</v>
      </c>
      <c r="E2609">
        <v>0</v>
      </c>
      <c r="F2609">
        <v>0</v>
      </c>
      <c r="G2609">
        <v>0</v>
      </c>
      <c r="H2609">
        <v>0</v>
      </c>
      <c r="I2609">
        <v>0</v>
      </c>
      <c r="J2609">
        <v>0</v>
      </c>
      <c r="K2609">
        <v>0</v>
      </c>
      <c r="L2609">
        <v>0</v>
      </c>
      <c r="M2609">
        <v>0</v>
      </c>
      <c r="N2609">
        <v>206013</v>
      </c>
      <c r="O2609">
        <v>282729</v>
      </c>
      <c r="P2609">
        <v>0</v>
      </c>
      <c r="Q2609">
        <v>3</v>
      </c>
      <c r="R2609">
        <v>0</v>
      </c>
      <c r="S2609">
        <v>0</v>
      </c>
      <c r="T2609">
        <v>18</v>
      </c>
      <c r="U2609">
        <v>29</v>
      </c>
    </row>
    <row r="2610" spans="1:21" x14ac:dyDescent="0.35">
      <c r="A2610" t="s">
        <v>21</v>
      </c>
      <c r="B2610" s="1">
        <v>44940</v>
      </c>
      <c r="C2610" t="s">
        <v>25</v>
      </c>
      <c r="D2610">
        <v>0</v>
      </c>
      <c r="E2610">
        <v>0</v>
      </c>
      <c r="F2610">
        <v>0</v>
      </c>
      <c r="G2610">
        <v>0</v>
      </c>
      <c r="H2610">
        <v>0</v>
      </c>
      <c r="I2610">
        <v>0</v>
      </c>
      <c r="J2610">
        <v>0</v>
      </c>
      <c r="K2610">
        <v>0</v>
      </c>
      <c r="L2610">
        <v>0</v>
      </c>
      <c r="M2610">
        <v>0</v>
      </c>
      <c r="N2610">
        <v>78419</v>
      </c>
      <c r="O2610">
        <v>213045</v>
      </c>
      <c r="P2610">
        <v>161631</v>
      </c>
      <c r="Q2610">
        <v>0</v>
      </c>
      <c r="R2610">
        <v>0</v>
      </c>
      <c r="S2610">
        <v>0</v>
      </c>
      <c r="T2610">
        <v>18</v>
      </c>
      <c r="U2610">
        <v>29</v>
      </c>
    </row>
    <row r="2611" spans="1:21" x14ac:dyDescent="0.35">
      <c r="A2611" t="s">
        <v>28</v>
      </c>
      <c r="B2611" s="1">
        <v>45003</v>
      </c>
      <c r="C2611" t="s">
        <v>31</v>
      </c>
      <c r="D2611">
        <v>115.1</v>
      </c>
      <c r="E2611">
        <v>53</v>
      </c>
      <c r="F2611">
        <v>73.400000000000006</v>
      </c>
      <c r="G2611">
        <v>2.2000000000000002</v>
      </c>
      <c r="H2611">
        <v>1.6</v>
      </c>
      <c r="I2611">
        <v>0</v>
      </c>
      <c r="J2611">
        <v>0</v>
      </c>
      <c r="K2611">
        <v>0</v>
      </c>
      <c r="L2611">
        <v>0</v>
      </c>
      <c r="M2611">
        <v>0</v>
      </c>
      <c r="N2611">
        <v>39970</v>
      </c>
      <c r="O2611">
        <v>43416</v>
      </c>
      <c r="P2611">
        <v>171710</v>
      </c>
      <c r="Q2611">
        <v>46</v>
      </c>
      <c r="R2611">
        <v>23</v>
      </c>
      <c r="S2611">
        <v>126</v>
      </c>
      <c r="T2611">
        <v>65</v>
      </c>
      <c r="U2611">
        <v>79</v>
      </c>
    </row>
    <row r="2612" spans="1:21" x14ac:dyDescent="0.35">
      <c r="A2612" t="s">
        <v>28</v>
      </c>
      <c r="B2612" s="1">
        <v>44695</v>
      </c>
      <c r="C2612" t="s">
        <v>29</v>
      </c>
      <c r="D2612">
        <v>388.7</v>
      </c>
      <c r="E2612">
        <v>224.2</v>
      </c>
      <c r="F2612">
        <v>522.20000000000005</v>
      </c>
      <c r="G2612">
        <v>1.7</v>
      </c>
      <c r="H2612">
        <v>0.7</v>
      </c>
      <c r="I2612">
        <v>0</v>
      </c>
      <c r="J2612">
        <v>0</v>
      </c>
      <c r="K2612">
        <v>0</v>
      </c>
      <c r="L2612">
        <v>0</v>
      </c>
      <c r="M2612">
        <v>0</v>
      </c>
      <c r="N2612">
        <v>130179</v>
      </c>
      <c r="O2612">
        <v>285512</v>
      </c>
      <c r="P2612">
        <v>332845</v>
      </c>
      <c r="Q2612">
        <v>506</v>
      </c>
      <c r="R2612">
        <v>640</v>
      </c>
      <c r="S2612">
        <v>1738</v>
      </c>
      <c r="T2612">
        <v>30</v>
      </c>
      <c r="U2612">
        <v>49</v>
      </c>
    </row>
    <row r="2613" spans="1:21" x14ac:dyDescent="0.35">
      <c r="A2613" t="s">
        <v>28</v>
      </c>
      <c r="B2613" s="1">
        <v>45268</v>
      </c>
      <c r="C2613" t="s">
        <v>31</v>
      </c>
      <c r="D2613">
        <v>53.5</v>
      </c>
      <c r="E2613">
        <v>27.6</v>
      </c>
      <c r="F2613">
        <v>40.200000000000003</v>
      </c>
      <c r="G2613">
        <v>1.9</v>
      </c>
      <c r="H2613">
        <v>1.3</v>
      </c>
      <c r="I2613">
        <v>0</v>
      </c>
      <c r="J2613">
        <v>0</v>
      </c>
      <c r="K2613">
        <v>0</v>
      </c>
      <c r="L2613">
        <v>0</v>
      </c>
      <c r="M2613">
        <v>0</v>
      </c>
      <c r="N2613">
        <v>39237</v>
      </c>
      <c r="O2613">
        <v>43418</v>
      </c>
      <c r="P2613">
        <v>171751</v>
      </c>
      <c r="Q2613">
        <v>21</v>
      </c>
      <c r="R2613">
        <v>12</v>
      </c>
      <c r="S2613">
        <v>69</v>
      </c>
      <c r="T2613">
        <v>65</v>
      </c>
      <c r="U2613">
        <v>79</v>
      </c>
    </row>
    <row r="2614" spans="1:21" x14ac:dyDescent="0.35">
      <c r="A2614" t="s">
        <v>28</v>
      </c>
      <c r="B2614" s="1">
        <v>44413</v>
      </c>
      <c r="C2614" t="s">
        <v>24</v>
      </c>
      <c r="D2614">
        <v>71.8</v>
      </c>
      <c r="E2614">
        <v>0</v>
      </c>
      <c r="F2614">
        <v>0</v>
      </c>
      <c r="G2614">
        <v>0</v>
      </c>
      <c r="H2614">
        <v>0</v>
      </c>
      <c r="I2614">
        <v>0</v>
      </c>
      <c r="J2614">
        <v>0</v>
      </c>
      <c r="K2614">
        <v>0</v>
      </c>
      <c r="L2614">
        <v>0</v>
      </c>
      <c r="M2614">
        <v>0</v>
      </c>
      <c r="N2614">
        <v>210448</v>
      </c>
      <c r="O2614">
        <v>0</v>
      </c>
      <c r="P2614">
        <v>0</v>
      </c>
      <c r="Q2614">
        <v>151</v>
      </c>
      <c r="R2614">
        <v>0</v>
      </c>
      <c r="S2614">
        <v>0</v>
      </c>
      <c r="T2614">
        <v>5</v>
      </c>
      <c r="U2614">
        <v>11</v>
      </c>
    </row>
    <row r="2615" spans="1:21" x14ac:dyDescent="0.35">
      <c r="A2615" t="s">
        <v>28</v>
      </c>
      <c r="B2615" s="1">
        <v>45122</v>
      </c>
      <c r="C2615" t="s">
        <v>32</v>
      </c>
      <c r="D2615">
        <v>12.3</v>
      </c>
      <c r="E2615">
        <v>1.8</v>
      </c>
      <c r="F2615">
        <v>0</v>
      </c>
      <c r="G2615">
        <v>6.8</v>
      </c>
      <c r="H2615">
        <v>0</v>
      </c>
      <c r="I2615">
        <v>0</v>
      </c>
      <c r="J2615">
        <v>0</v>
      </c>
      <c r="K2615">
        <v>0</v>
      </c>
      <c r="L2615">
        <v>0</v>
      </c>
      <c r="M2615">
        <v>0</v>
      </c>
      <c r="N2615">
        <v>162642</v>
      </c>
      <c r="O2615">
        <v>0</v>
      </c>
      <c r="P2615">
        <v>0</v>
      </c>
      <c r="Q2615">
        <v>20</v>
      </c>
      <c r="R2615">
        <v>3</v>
      </c>
      <c r="S2615">
        <v>0</v>
      </c>
      <c r="T2615">
        <v>0</v>
      </c>
      <c r="U2615">
        <v>4</v>
      </c>
    </row>
    <row r="2616" spans="1:21" x14ac:dyDescent="0.35">
      <c r="A2616" t="s">
        <v>21</v>
      </c>
      <c r="B2616" s="1">
        <v>45268</v>
      </c>
      <c r="C2616" t="s">
        <v>31</v>
      </c>
      <c r="D2616">
        <v>0</v>
      </c>
      <c r="E2616">
        <v>0</v>
      </c>
      <c r="F2616">
        <v>0</v>
      </c>
      <c r="G2616">
        <v>0</v>
      </c>
      <c r="H2616">
        <v>0</v>
      </c>
      <c r="I2616">
        <v>0</v>
      </c>
      <c r="J2616">
        <v>0</v>
      </c>
      <c r="K2616">
        <v>0</v>
      </c>
      <c r="L2616">
        <v>0</v>
      </c>
      <c r="M2616">
        <v>0</v>
      </c>
      <c r="N2616">
        <v>39237</v>
      </c>
      <c r="O2616">
        <v>43418</v>
      </c>
      <c r="P2616">
        <v>171751</v>
      </c>
      <c r="Q2616">
        <v>0</v>
      </c>
      <c r="R2616">
        <v>0</v>
      </c>
      <c r="S2616">
        <v>0</v>
      </c>
      <c r="T2616">
        <v>65</v>
      </c>
      <c r="U2616">
        <v>79</v>
      </c>
    </row>
    <row r="2617" spans="1:21" x14ac:dyDescent="0.35">
      <c r="A2617" t="s">
        <v>21</v>
      </c>
      <c r="B2617" s="1">
        <v>44811</v>
      </c>
      <c r="C2617" t="s">
        <v>24</v>
      </c>
      <c r="D2617">
        <v>0</v>
      </c>
      <c r="E2617">
        <v>0</v>
      </c>
      <c r="F2617">
        <v>0</v>
      </c>
      <c r="G2617">
        <v>0</v>
      </c>
      <c r="H2617">
        <v>0</v>
      </c>
      <c r="I2617">
        <v>0</v>
      </c>
      <c r="J2617">
        <v>0</v>
      </c>
      <c r="K2617">
        <v>0</v>
      </c>
      <c r="L2617">
        <v>0</v>
      </c>
      <c r="M2617">
        <v>0</v>
      </c>
      <c r="N2617">
        <v>98989</v>
      </c>
      <c r="O2617">
        <v>89156</v>
      </c>
      <c r="P2617">
        <v>7798</v>
      </c>
      <c r="Q2617">
        <v>0</v>
      </c>
      <c r="R2617">
        <v>0</v>
      </c>
      <c r="S2617">
        <v>0</v>
      </c>
      <c r="T2617">
        <v>5</v>
      </c>
      <c r="U2617">
        <v>11</v>
      </c>
    </row>
    <row r="2618" spans="1:21" x14ac:dyDescent="0.35">
      <c r="A2618" t="s">
        <v>26</v>
      </c>
      <c r="B2618" s="1">
        <v>44747</v>
      </c>
      <c r="C2618" t="s">
        <v>29</v>
      </c>
      <c r="D2618">
        <v>6.9</v>
      </c>
      <c r="E2618">
        <v>2.1</v>
      </c>
      <c r="F2618">
        <v>2.1</v>
      </c>
      <c r="G2618">
        <v>3.3</v>
      </c>
      <c r="H2618">
        <v>3.3</v>
      </c>
      <c r="I2618">
        <v>0</v>
      </c>
      <c r="J2618">
        <v>0</v>
      </c>
      <c r="K2618">
        <v>0</v>
      </c>
      <c r="L2618">
        <v>0</v>
      </c>
      <c r="M2618">
        <v>0</v>
      </c>
      <c r="N2618">
        <v>130589</v>
      </c>
      <c r="O2618">
        <v>286382</v>
      </c>
      <c r="P2618">
        <v>331646</v>
      </c>
      <c r="Q2618">
        <v>9</v>
      </c>
      <c r="R2618">
        <v>6</v>
      </c>
      <c r="S2618">
        <v>7</v>
      </c>
      <c r="T2618">
        <v>30</v>
      </c>
      <c r="U2618">
        <v>49</v>
      </c>
    </row>
    <row r="2619" spans="1:21" x14ac:dyDescent="0.35">
      <c r="A2619" t="s">
        <v>26</v>
      </c>
      <c r="B2619" s="1">
        <v>44201</v>
      </c>
      <c r="C2619" t="s">
        <v>27</v>
      </c>
      <c r="D2619">
        <v>4.2</v>
      </c>
      <c r="E2619">
        <v>0</v>
      </c>
      <c r="F2619">
        <v>0</v>
      </c>
      <c r="G2619">
        <v>0</v>
      </c>
      <c r="H2619">
        <v>0</v>
      </c>
      <c r="I2619">
        <v>0</v>
      </c>
      <c r="J2619">
        <v>0</v>
      </c>
      <c r="K2619">
        <v>0</v>
      </c>
      <c r="L2619">
        <v>0</v>
      </c>
      <c r="M2619">
        <v>0</v>
      </c>
      <c r="N2619">
        <v>167682</v>
      </c>
      <c r="O2619">
        <v>0</v>
      </c>
      <c r="P2619">
        <v>0</v>
      </c>
      <c r="Q2619">
        <v>7</v>
      </c>
      <c r="R2619">
        <v>0</v>
      </c>
      <c r="S2619">
        <v>0</v>
      </c>
      <c r="T2619">
        <v>12</v>
      </c>
      <c r="U2619">
        <v>17</v>
      </c>
    </row>
    <row r="2620" spans="1:21" x14ac:dyDescent="0.35">
      <c r="A2620" t="s">
        <v>21</v>
      </c>
      <c r="B2620" s="1">
        <v>45122</v>
      </c>
      <c r="C2620" t="s">
        <v>25</v>
      </c>
      <c r="D2620">
        <v>0</v>
      </c>
      <c r="E2620">
        <v>0</v>
      </c>
      <c r="F2620">
        <v>0</v>
      </c>
      <c r="G2620">
        <v>0</v>
      </c>
      <c r="H2620">
        <v>0</v>
      </c>
      <c r="I2620">
        <v>0</v>
      </c>
      <c r="J2620">
        <v>0</v>
      </c>
      <c r="K2620">
        <v>0</v>
      </c>
      <c r="L2620">
        <v>0</v>
      </c>
      <c r="M2620">
        <v>0</v>
      </c>
      <c r="N2620">
        <v>74031</v>
      </c>
      <c r="O2620">
        <v>214138</v>
      </c>
      <c r="P2620">
        <v>161706</v>
      </c>
      <c r="Q2620">
        <v>0</v>
      </c>
      <c r="R2620">
        <v>0</v>
      </c>
      <c r="S2620">
        <v>0</v>
      </c>
      <c r="T2620">
        <v>18</v>
      </c>
      <c r="U2620">
        <v>29</v>
      </c>
    </row>
    <row r="2621" spans="1:21" x14ac:dyDescent="0.35">
      <c r="A2621" t="s">
        <v>21</v>
      </c>
      <c r="B2621" s="1">
        <v>44639</v>
      </c>
      <c r="C2621" t="s">
        <v>31</v>
      </c>
      <c r="D2621">
        <v>2.1</v>
      </c>
      <c r="E2621">
        <v>0</v>
      </c>
      <c r="F2621">
        <v>0</v>
      </c>
      <c r="G2621">
        <v>0</v>
      </c>
      <c r="H2621">
        <v>0</v>
      </c>
      <c r="I2621">
        <v>0</v>
      </c>
      <c r="J2621">
        <v>0</v>
      </c>
      <c r="K2621">
        <v>0</v>
      </c>
      <c r="L2621">
        <v>0</v>
      </c>
      <c r="M2621">
        <v>0</v>
      </c>
      <c r="N2621">
        <v>48719</v>
      </c>
      <c r="O2621">
        <v>52553</v>
      </c>
      <c r="P2621">
        <v>157887</v>
      </c>
      <c r="Q2621">
        <v>1</v>
      </c>
      <c r="R2621">
        <v>0</v>
      </c>
      <c r="S2621">
        <v>0</v>
      </c>
      <c r="T2621">
        <v>65</v>
      </c>
      <c r="U2621">
        <v>79</v>
      </c>
    </row>
    <row r="2622" spans="1:21" x14ac:dyDescent="0.35">
      <c r="A2622" t="s">
        <v>26</v>
      </c>
      <c r="B2622" s="1">
        <v>44358</v>
      </c>
      <c r="C2622" t="s">
        <v>27</v>
      </c>
      <c r="D2622">
        <v>0</v>
      </c>
      <c r="E2622">
        <v>0</v>
      </c>
      <c r="F2622">
        <v>0</v>
      </c>
      <c r="G2622">
        <v>0</v>
      </c>
      <c r="H2622">
        <v>0</v>
      </c>
      <c r="I2622">
        <v>0</v>
      </c>
      <c r="J2622">
        <v>0</v>
      </c>
      <c r="K2622">
        <v>0</v>
      </c>
      <c r="L2622">
        <v>0</v>
      </c>
      <c r="M2622">
        <v>0</v>
      </c>
      <c r="N2622">
        <v>63281</v>
      </c>
      <c r="O2622">
        <v>101846</v>
      </c>
      <c r="P2622">
        <v>0</v>
      </c>
      <c r="Q2622">
        <v>0</v>
      </c>
      <c r="R2622">
        <v>0</v>
      </c>
      <c r="S2622">
        <v>0</v>
      </c>
      <c r="T2622">
        <v>12</v>
      </c>
      <c r="U2622">
        <v>17</v>
      </c>
    </row>
    <row r="2623" spans="1:21" x14ac:dyDescent="0.35">
      <c r="A2623" t="s">
        <v>21</v>
      </c>
      <c r="B2623" s="1">
        <v>45019</v>
      </c>
      <c r="C2623" t="s">
        <v>23</v>
      </c>
      <c r="D2623">
        <v>3</v>
      </c>
      <c r="E2623">
        <v>0</v>
      </c>
      <c r="F2623">
        <v>0.4</v>
      </c>
      <c r="G2623">
        <v>0</v>
      </c>
      <c r="H2623">
        <v>7.5</v>
      </c>
      <c r="I2623">
        <v>0</v>
      </c>
      <c r="J2623">
        <v>0</v>
      </c>
      <c r="K2623">
        <v>0</v>
      </c>
      <c r="L2623">
        <v>0</v>
      </c>
      <c r="M2623">
        <v>0</v>
      </c>
      <c r="N2623">
        <v>33780</v>
      </c>
      <c r="O2623">
        <v>125603</v>
      </c>
      <c r="P2623">
        <v>246874</v>
      </c>
      <c r="Q2623">
        <v>1</v>
      </c>
      <c r="R2623">
        <v>0</v>
      </c>
      <c r="S2623">
        <v>1</v>
      </c>
      <c r="T2623">
        <v>50</v>
      </c>
      <c r="U2623">
        <v>64</v>
      </c>
    </row>
    <row r="2624" spans="1:21" x14ac:dyDescent="0.35">
      <c r="A2624" t="s">
        <v>28</v>
      </c>
      <c r="B2624" s="1">
        <v>44576</v>
      </c>
      <c r="C2624" t="s">
        <v>27</v>
      </c>
      <c r="D2624">
        <v>1358.3</v>
      </c>
      <c r="E2624">
        <v>922.8</v>
      </c>
      <c r="F2624">
        <v>735.7</v>
      </c>
      <c r="G2624">
        <v>1.5</v>
      </c>
      <c r="H2624">
        <v>1.8</v>
      </c>
      <c r="I2624">
        <v>0</v>
      </c>
      <c r="J2624">
        <v>0</v>
      </c>
      <c r="K2624">
        <v>0</v>
      </c>
      <c r="L2624">
        <v>0</v>
      </c>
      <c r="M2624">
        <v>0</v>
      </c>
      <c r="N2624">
        <v>48295</v>
      </c>
      <c r="O2624">
        <v>106637</v>
      </c>
      <c r="P2624">
        <v>5029</v>
      </c>
      <c r="Q2624">
        <v>656</v>
      </c>
      <c r="R2624">
        <v>984</v>
      </c>
      <c r="S2624">
        <v>37</v>
      </c>
      <c r="T2624">
        <v>12</v>
      </c>
      <c r="U2624">
        <v>17</v>
      </c>
    </row>
    <row r="2625" spans="1:21" x14ac:dyDescent="0.35">
      <c r="A2625" t="s">
        <v>26</v>
      </c>
      <c r="B2625" s="1">
        <v>44583</v>
      </c>
      <c r="C2625" t="s">
        <v>24</v>
      </c>
      <c r="D2625">
        <v>3.3</v>
      </c>
      <c r="E2625">
        <v>0</v>
      </c>
      <c r="F2625">
        <v>0</v>
      </c>
      <c r="G2625">
        <v>0</v>
      </c>
      <c r="H2625">
        <v>0</v>
      </c>
      <c r="I2625">
        <v>0</v>
      </c>
      <c r="J2625">
        <v>0</v>
      </c>
      <c r="K2625">
        <v>0</v>
      </c>
      <c r="L2625">
        <v>0</v>
      </c>
      <c r="M2625">
        <v>0</v>
      </c>
      <c r="N2625">
        <v>119848</v>
      </c>
      <c r="O2625">
        <v>54870</v>
      </c>
      <c r="P2625">
        <v>0</v>
      </c>
      <c r="Q2625">
        <v>4</v>
      </c>
      <c r="R2625">
        <v>0</v>
      </c>
      <c r="S2625">
        <v>0</v>
      </c>
      <c r="T2625">
        <v>5</v>
      </c>
      <c r="U2625">
        <v>11</v>
      </c>
    </row>
    <row r="2626" spans="1:21" x14ac:dyDescent="0.35">
      <c r="A2626" t="s">
        <v>28</v>
      </c>
      <c r="B2626" s="1">
        <v>44667</v>
      </c>
      <c r="C2626" t="s">
        <v>30</v>
      </c>
      <c r="D2626">
        <v>37.1</v>
      </c>
      <c r="E2626">
        <v>73.5</v>
      </c>
      <c r="F2626">
        <v>87</v>
      </c>
      <c r="G2626">
        <v>0.5</v>
      </c>
      <c r="H2626">
        <v>0.4</v>
      </c>
      <c r="I2626">
        <v>0</v>
      </c>
      <c r="J2626">
        <v>0</v>
      </c>
      <c r="K2626">
        <v>0</v>
      </c>
      <c r="L2626">
        <v>0</v>
      </c>
      <c r="M2626">
        <v>0</v>
      </c>
      <c r="N2626">
        <v>26947</v>
      </c>
      <c r="O2626">
        <v>13608</v>
      </c>
      <c r="P2626">
        <v>43669</v>
      </c>
      <c r="Q2626">
        <v>10</v>
      </c>
      <c r="R2626">
        <v>10</v>
      </c>
      <c r="S2626">
        <v>38</v>
      </c>
      <c r="T2626">
        <v>80</v>
      </c>
      <c r="U2626">
        <v>200</v>
      </c>
    </row>
    <row r="2627" spans="1:21" x14ac:dyDescent="0.35">
      <c r="A2627" t="s">
        <v>28</v>
      </c>
      <c r="B2627" s="1">
        <v>45232</v>
      </c>
      <c r="C2627" t="s">
        <v>22</v>
      </c>
      <c r="D2627">
        <v>129.69999999999999</v>
      </c>
      <c r="E2627">
        <v>75.8</v>
      </c>
      <c r="F2627">
        <v>93.9</v>
      </c>
      <c r="G2627">
        <v>1.7</v>
      </c>
      <c r="H2627">
        <v>1.4</v>
      </c>
      <c r="I2627">
        <v>149.6</v>
      </c>
      <c r="J2627">
        <v>78.2</v>
      </c>
      <c r="K2627">
        <v>92.7</v>
      </c>
      <c r="L2627">
        <v>1.9</v>
      </c>
      <c r="M2627">
        <v>1.6</v>
      </c>
      <c r="N2627">
        <v>547298</v>
      </c>
      <c r="O2627">
        <v>856543</v>
      </c>
      <c r="P2627">
        <v>1040368</v>
      </c>
      <c r="Q2627">
        <v>710</v>
      </c>
      <c r="R2627">
        <v>649</v>
      </c>
      <c r="S2627">
        <v>977</v>
      </c>
      <c r="T2627">
        <v>999</v>
      </c>
      <c r="U2627">
        <v>999</v>
      </c>
    </row>
    <row r="2628" spans="1:21" x14ac:dyDescent="0.35">
      <c r="A2628" t="s">
        <v>21</v>
      </c>
      <c r="B2628" s="1">
        <v>44683</v>
      </c>
      <c r="C2628" t="s">
        <v>25</v>
      </c>
      <c r="D2628">
        <v>0.9</v>
      </c>
      <c r="E2628">
        <v>0</v>
      </c>
      <c r="F2628">
        <v>0</v>
      </c>
      <c r="G2628">
        <v>0</v>
      </c>
      <c r="H2628">
        <v>0</v>
      </c>
      <c r="I2628">
        <v>0</v>
      </c>
      <c r="J2628">
        <v>0</v>
      </c>
      <c r="K2628">
        <v>0</v>
      </c>
      <c r="L2628">
        <v>0</v>
      </c>
      <c r="M2628">
        <v>0</v>
      </c>
      <c r="N2628">
        <v>108394</v>
      </c>
      <c r="O2628">
        <v>225478</v>
      </c>
      <c r="P2628">
        <v>122651</v>
      </c>
      <c r="Q2628">
        <v>1</v>
      </c>
      <c r="R2628">
        <v>0</v>
      </c>
      <c r="S2628">
        <v>0</v>
      </c>
      <c r="T2628">
        <v>18</v>
      </c>
      <c r="U2628">
        <v>29</v>
      </c>
    </row>
    <row r="2629" spans="1:21" x14ac:dyDescent="0.35">
      <c r="A2629" t="s">
        <v>26</v>
      </c>
      <c r="B2629" s="1">
        <v>44709</v>
      </c>
      <c r="C2629" t="s">
        <v>25</v>
      </c>
      <c r="D2629">
        <v>9.4</v>
      </c>
      <c r="E2629">
        <v>1.8</v>
      </c>
      <c r="F2629">
        <v>0.7</v>
      </c>
      <c r="G2629">
        <v>5.2</v>
      </c>
      <c r="H2629">
        <v>13.4</v>
      </c>
      <c r="I2629">
        <v>0</v>
      </c>
      <c r="J2629">
        <v>0</v>
      </c>
      <c r="K2629">
        <v>0</v>
      </c>
      <c r="L2629">
        <v>0</v>
      </c>
      <c r="M2629">
        <v>0</v>
      </c>
      <c r="N2629">
        <v>95327</v>
      </c>
      <c r="O2629">
        <v>216374</v>
      </c>
      <c r="P2629">
        <v>152861</v>
      </c>
      <c r="Q2629">
        <v>9</v>
      </c>
      <c r="R2629">
        <v>4</v>
      </c>
      <c r="S2629">
        <v>1</v>
      </c>
      <c r="T2629">
        <v>18</v>
      </c>
      <c r="U2629">
        <v>29</v>
      </c>
    </row>
    <row r="2630" spans="1:21" x14ac:dyDescent="0.35">
      <c r="A2630" t="s">
        <v>28</v>
      </c>
      <c r="B2630" s="1">
        <v>44884</v>
      </c>
      <c r="C2630" t="s">
        <v>23</v>
      </c>
      <c r="D2630">
        <v>267.39999999999998</v>
      </c>
      <c r="E2630">
        <v>89.4</v>
      </c>
      <c r="F2630">
        <v>122.8</v>
      </c>
      <c r="G2630">
        <v>3</v>
      </c>
      <c r="H2630">
        <v>2.2000000000000002</v>
      </c>
      <c r="I2630">
        <v>0</v>
      </c>
      <c r="J2630">
        <v>0</v>
      </c>
      <c r="K2630">
        <v>0</v>
      </c>
      <c r="L2630">
        <v>0</v>
      </c>
      <c r="M2630">
        <v>0</v>
      </c>
      <c r="N2630">
        <v>36276</v>
      </c>
      <c r="O2630">
        <v>125309</v>
      </c>
      <c r="P2630">
        <v>246713</v>
      </c>
      <c r="Q2630">
        <v>97</v>
      </c>
      <c r="R2630">
        <v>112</v>
      </c>
      <c r="S2630">
        <v>303</v>
      </c>
      <c r="T2630">
        <v>50</v>
      </c>
      <c r="U2630">
        <v>64</v>
      </c>
    </row>
    <row r="2631" spans="1:21" x14ac:dyDescent="0.35">
      <c r="A2631" t="s">
        <v>21</v>
      </c>
      <c r="B2631" s="1">
        <v>44683</v>
      </c>
      <c r="C2631" t="s">
        <v>27</v>
      </c>
      <c r="D2631">
        <v>0</v>
      </c>
      <c r="E2631">
        <v>0</v>
      </c>
      <c r="F2631">
        <v>0</v>
      </c>
      <c r="G2631">
        <v>0</v>
      </c>
      <c r="H2631">
        <v>0</v>
      </c>
      <c r="I2631">
        <v>0</v>
      </c>
      <c r="J2631">
        <v>0</v>
      </c>
      <c r="K2631">
        <v>0</v>
      </c>
      <c r="L2631">
        <v>0</v>
      </c>
      <c r="M2631">
        <v>0</v>
      </c>
      <c r="N2631">
        <v>42597</v>
      </c>
      <c r="O2631">
        <v>97526</v>
      </c>
      <c r="P2631">
        <v>18212</v>
      </c>
      <c r="Q2631">
        <v>0</v>
      </c>
      <c r="R2631">
        <v>0</v>
      </c>
      <c r="S2631">
        <v>0</v>
      </c>
      <c r="T2631">
        <v>12</v>
      </c>
      <c r="U2631">
        <v>17</v>
      </c>
    </row>
    <row r="2632" spans="1:21" x14ac:dyDescent="0.35">
      <c r="A2632" t="s">
        <v>26</v>
      </c>
      <c r="B2632" s="1">
        <v>45178</v>
      </c>
      <c r="C2632" t="s">
        <v>25</v>
      </c>
      <c r="D2632">
        <v>4.0999999999999996</v>
      </c>
      <c r="E2632">
        <v>0.5</v>
      </c>
      <c r="F2632">
        <v>0.6</v>
      </c>
      <c r="G2632">
        <v>8.1999999999999993</v>
      </c>
      <c r="H2632">
        <v>6.8</v>
      </c>
      <c r="I2632">
        <v>0</v>
      </c>
      <c r="J2632">
        <v>0</v>
      </c>
      <c r="K2632">
        <v>0</v>
      </c>
      <c r="L2632">
        <v>0</v>
      </c>
      <c r="M2632">
        <v>0</v>
      </c>
      <c r="N2632">
        <v>73215</v>
      </c>
      <c r="O2632">
        <v>214129</v>
      </c>
      <c r="P2632">
        <v>161722</v>
      </c>
      <c r="Q2632">
        <v>3</v>
      </c>
      <c r="R2632">
        <v>1</v>
      </c>
      <c r="S2632">
        <v>1</v>
      </c>
      <c r="T2632">
        <v>18</v>
      </c>
      <c r="U2632">
        <v>29</v>
      </c>
    </row>
    <row r="2633" spans="1:21" x14ac:dyDescent="0.35">
      <c r="A2633" t="s">
        <v>28</v>
      </c>
      <c r="B2633" s="1">
        <v>44513</v>
      </c>
      <c r="C2633" t="s">
        <v>27</v>
      </c>
      <c r="D2633">
        <v>384.8</v>
      </c>
      <c r="E2633">
        <v>39.799999999999997</v>
      </c>
      <c r="F2633">
        <v>0</v>
      </c>
      <c r="G2633">
        <v>9.6999999999999993</v>
      </c>
      <c r="H2633">
        <v>0</v>
      </c>
      <c r="I2633">
        <v>0</v>
      </c>
      <c r="J2633">
        <v>0</v>
      </c>
      <c r="K2633">
        <v>0</v>
      </c>
      <c r="L2633">
        <v>0</v>
      </c>
      <c r="M2633">
        <v>0</v>
      </c>
      <c r="N2633">
        <v>61336</v>
      </c>
      <c r="O2633">
        <v>102949</v>
      </c>
      <c r="P2633">
        <v>0</v>
      </c>
      <c r="Q2633">
        <v>236</v>
      </c>
      <c r="R2633">
        <v>41</v>
      </c>
      <c r="S2633">
        <v>0</v>
      </c>
      <c r="T2633">
        <v>12</v>
      </c>
      <c r="U2633">
        <v>17</v>
      </c>
    </row>
    <row r="2634" spans="1:21" x14ac:dyDescent="0.35">
      <c r="A2634" t="s">
        <v>28</v>
      </c>
      <c r="B2634" s="1">
        <v>44991</v>
      </c>
      <c r="C2634" t="s">
        <v>30</v>
      </c>
      <c r="D2634">
        <v>40.799999999999997</v>
      </c>
      <c r="E2634">
        <v>17.600000000000001</v>
      </c>
      <c r="F2634">
        <v>29.7</v>
      </c>
      <c r="G2634">
        <v>2.2999999999999998</v>
      </c>
      <c r="H2634">
        <v>1.4</v>
      </c>
      <c r="I2634">
        <v>0</v>
      </c>
      <c r="J2634">
        <v>0</v>
      </c>
      <c r="K2634">
        <v>0</v>
      </c>
      <c r="L2634">
        <v>0</v>
      </c>
      <c r="M2634">
        <v>0</v>
      </c>
      <c r="N2634">
        <v>24536</v>
      </c>
      <c r="O2634">
        <v>11384</v>
      </c>
      <c r="P2634">
        <v>47129</v>
      </c>
      <c r="Q2634">
        <v>10</v>
      </c>
      <c r="R2634">
        <v>2</v>
      </c>
      <c r="S2634">
        <v>14</v>
      </c>
      <c r="T2634">
        <v>80</v>
      </c>
      <c r="U2634">
        <v>200</v>
      </c>
    </row>
    <row r="2635" spans="1:21" x14ac:dyDescent="0.35">
      <c r="A2635" t="s">
        <v>28</v>
      </c>
      <c r="B2635" s="1">
        <v>44413</v>
      </c>
      <c r="C2635" t="s">
        <v>27</v>
      </c>
      <c r="D2635">
        <v>135.9</v>
      </c>
      <c r="E2635">
        <v>0</v>
      </c>
      <c r="F2635">
        <v>0</v>
      </c>
      <c r="G2635">
        <v>0</v>
      </c>
      <c r="H2635">
        <v>0</v>
      </c>
      <c r="I2635">
        <v>0</v>
      </c>
      <c r="J2635">
        <v>0</v>
      </c>
      <c r="K2635">
        <v>0</v>
      </c>
      <c r="L2635">
        <v>0</v>
      </c>
      <c r="M2635">
        <v>0</v>
      </c>
      <c r="N2635">
        <v>165568</v>
      </c>
      <c r="O2635">
        <v>0</v>
      </c>
      <c r="P2635">
        <v>0</v>
      </c>
      <c r="Q2635">
        <v>225</v>
      </c>
      <c r="R2635">
        <v>0</v>
      </c>
      <c r="S2635">
        <v>0</v>
      </c>
      <c r="T2635">
        <v>12</v>
      </c>
      <c r="U2635">
        <v>17</v>
      </c>
    </row>
    <row r="2636" spans="1:21" x14ac:dyDescent="0.35">
      <c r="A2636" t="s">
        <v>26</v>
      </c>
      <c r="B2636" s="1">
        <v>45117</v>
      </c>
      <c r="C2636" t="s">
        <v>27</v>
      </c>
      <c r="D2636">
        <v>0</v>
      </c>
      <c r="E2636">
        <v>0</v>
      </c>
      <c r="F2636">
        <v>0</v>
      </c>
      <c r="G2636">
        <v>0</v>
      </c>
      <c r="H2636">
        <v>0</v>
      </c>
      <c r="I2636">
        <v>0</v>
      </c>
      <c r="J2636">
        <v>0</v>
      </c>
      <c r="K2636">
        <v>0</v>
      </c>
      <c r="L2636">
        <v>0</v>
      </c>
      <c r="M2636">
        <v>0</v>
      </c>
      <c r="N2636">
        <v>31666</v>
      </c>
      <c r="O2636">
        <v>86571</v>
      </c>
      <c r="P2636">
        <v>44601</v>
      </c>
      <c r="Q2636">
        <v>0</v>
      </c>
      <c r="R2636">
        <v>0</v>
      </c>
      <c r="S2636">
        <v>0</v>
      </c>
      <c r="T2636">
        <v>12</v>
      </c>
      <c r="U2636">
        <v>17</v>
      </c>
    </row>
    <row r="2637" spans="1:21" x14ac:dyDescent="0.35">
      <c r="A2637" t="s">
        <v>28</v>
      </c>
      <c r="B2637" s="1">
        <v>45073</v>
      </c>
      <c r="C2637" t="s">
        <v>31</v>
      </c>
      <c r="D2637">
        <v>25.3</v>
      </c>
      <c r="E2637">
        <v>13.8</v>
      </c>
      <c r="F2637">
        <v>30.3</v>
      </c>
      <c r="G2637">
        <v>1.8</v>
      </c>
      <c r="H2637">
        <v>0.8</v>
      </c>
      <c r="I2637">
        <v>0</v>
      </c>
      <c r="J2637">
        <v>0</v>
      </c>
      <c r="K2637">
        <v>0</v>
      </c>
      <c r="L2637">
        <v>0</v>
      </c>
      <c r="M2637">
        <v>0</v>
      </c>
      <c r="N2637">
        <v>39507</v>
      </c>
      <c r="O2637">
        <v>43436</v>
      </c>
      <c r="P2637">
        <v>171730</v>
      </c>
      <c r="Q2637">
        <v>10</v>
      </c>
      <c r="R2637">
        <v>6</v>
      </c>
      <c r="S2637">
        <v>52</v>
      </c>
      <c r="T2637">
        <v>65</v>
      </c>
      <c r="U2637">
        <v>79</v>
      </c>
    </row>
    <row r="2638" spans="1:21" x14ac:dyDescent="0.35">
      <c r="A2638" t="s">
        <v>26</v>
      </c>
      <c r="B2638" s="1">
        <v>44512</v>
      </c>
      <c r="C2638" t="s">
        <v>31</v>
      </c>
      <c r="D2638">
        <v>129.1</v>
      </c>
      <c r="E2638">
        <v>41.3</v>
      </c>
      <c r="F2638">
        <v>4</v>
      </c>
      <c r="G2638">
        <v>3.1</v>
      </c>
      <c r="H2638">
        <v>32.299999999999997</v>
      </c>
      <c r="I2638">
        <v>0</v>
      </c>
      <c r="J2638">
        <v>0</v>
      </c>
      <c r="K2638">
        <v>0</v>
      </c>
      <c r="L2638">
        <v>0</v>
      </c>
      <c r="M2638">
        <v>0</v>
      </c>
      <c r="N2638">
        <v>54236</v>
      </c>
      <c r="O2638">
        <v>104235</v>
      </c>
      <c r="P2638">
        <v>100914</v>
      </c>
      <c r="Q2638">
        <v>70</v>
      </c>
      <c r="R2638">
        <v>43</v>
      </c>
      <c r="S2638">
        <v>4</v>
      </c>
      <c r="T2638">
        <v>65</v>
      </c>
      <c r="U2638">
        <v>79</v>
      </c>
    </row>
    <row r="2639" spans="1:21" x14ac:dyDescent="0.35">
      <c r="A2639" t="s">
        <v>21</v>
      </c>
      <c r="B2639" s="1">
        <v>45059</v>
      </c>
      <c r="C2639" t="s">
        <v>22</v>
      </c>
      <c r="D2639">
        <v>0.2</v>
      </c>
      <c r="E2639">
        <v>0</v>
      </c>
      <c r="F2639">
        <v>0</v>
      </c>
      <c r="G2639">
        <v>0</v>
      </c>
      <c r="H2639">
        <v>0</v>
      </c>
      <c r="I2639">
        <v>0.1</v>
      </c>
      <c r="J2639">
        <v>0</v>
      </c>
      <c r="K2639">
        <v>0</v>
      </c>
      <c r="L2639">
        <v>0</v>
      </c>
      <c r="M2639">
        <v>0</v>
      </c>
      <c r="N2639">
        <v>536622</v>
      </c>
      <c r="O2639">
        <v>860351</v>
      </c>
      <c r="P2639">
        <v>1040648</v>
      </c>
      <c r="Q2639">
        <v>1</v>
      </c>
      <c r="R2639">
        <v>0</v>
      </c>
      <c r="S2639">
        <v>0</v>
      </c>
      <c r="T2639">
        <v>999</v>
      </c>
      <c r="U2639">
        <v>999</v>
      </c>
    </row>
    <row r="2640" spans="1:21" x14ac:dyDescent="0.35">
      <c r="A2640" t="s">
        <v>28</v>
      </c>
      <c r="B2640" s="1">
        <v>44408</v>
      </c>
      <c r="C2640" t="s">
        <v>31</v>
      </c>
      <c r="D2640">
        <v>59</v>
      </c>
      <c r="E2640">
        <v>27.1</v>
      </c>
      <c r="F2640">
        <v>0</v>
      </c>
      <c r="G2640">
        <v>2.2000000000000002</v>
      </c>
      <c r="H2640">
        <v>0</v>
      </c>
      <c r="I2640">
        <v>0</v>
      </c>
      <c r="J2640">
        <v>0</v>
      </c>
      <c r="K2640">
        <v>0</v>
      </c>
      <c r="L2640">
        <v>0</v>
      </c>
      <c r="M2640">
        <v>0</v>
      </c>
      <c r="N2640">
        <v>69459</v>
      </c>
      <c r="O2640">
        <v>192009</v>
      </c>
      <c r="P2640">
        <v>0</v>
      </c>
      <c r="Q2640">
        <v>41</v>
      </c>
      <c r="R2640">
        <v>52</v>
      </c>
      <c r="S2640">
        <v>0</v>
      </c>
      <c r="T2640">
        <v>65</v>
      </c>
      <c r="U2640">
        <v>79</v>
      </c>
    </row>
    <row r="2641" spans="1:21" x14ac:dyDescent="0.35">
      <c r="A2641" t="s">
        <v>28</v>
      </c>
      <c r="B2641" s="1">
        <v>44702</v>
      </c>
      <c r="C2641" t="s">
        <v>27</v>
      </c>
      <c r="D2641">
        <v>481.6</v>
      </c>
      <c r="E2641">
        <v>255.9</v>
      </c>
      <c r="F2641">
        <v>394.6</v>
      </c>
      <c r="G2641">
        <v>1.9</v>
      </c>
      <c r="H2641">
        <v>1.2</v>
      </c>
      <c r="I2641">
        <v>0</v>
      </c>
      <c r="J2641">
        <v>0</v>
      </c>
      <c r="K2641">
        <v>0</v>
      </c>
      <c r="L2641">
        <v>0</v>
      </c>
      <c r="M2641">
        <v>0</v>
      </c>
      <c r="N2641">
        <v>37169</v>
      </c>
      <c r="O2641">
        <v>93771</v>
      </c>
      <c r="P2641">
        <v>34462</v>
      </c>
      <c r="Q2641">
        <v>179</v>
      </c>
      <c r="R2641">
        <v>240</v>
      </c>
      <c r="S2641">
        <v>136</v>
      </c>
      <c r="T2641">
        <v>12</v>
      </c>
      <c r="U2641">
        <v>17</v>
      </c>
    </row>
    <row r="2642" spans="1:21" x14ac:dyDescent="0.35">
      <c r="A2642" t="s">
        <v>21</v>
      </c>
      <c r="B2642" s="1">
        <v>44991</v>
      </c>
      <c r="C2642" t="s">
        <v>27</v>
      </c>
      <c r="D2642">
        <v>0</v>
      </c>
      <c r="E2642">
        <v>0</v>
      </c>
      <c r="F2642">
        <v>0</v>
      </c>
      <c r="G2642">
        <v>0</v>
      </c>
      <c r="H2642">
        <v>0</v>
      </c>
      <c r="I2642">
        <v>0</v>
      </c>
      <c r="J2642">
        <v>0</v>
      </c>
      <c r="K2642">
        <v>0</v>
      </c>
      <c r="L2642">
        <v>0</v>
      </c>
      <c r="M2642">
        <v>0</v>
      </c>
      <c r="N2642">
        <v>32449</v>
      </c>
      <c r="O2642">
        <v>86581</v>
      </c>
      <c r="P2642">
        <v>44580</v>
      </c>
      <c r="Q2642">
        <v>0</v>
      </c>
      <c r="R2642">
        <v>0</v>
      </c>
      <c r="S2642">
        <v>0</v>
      </c>
      <c r="T2642">
        <v>12</v>
      </c>
      <c r="U2642">
        <v>17</v>
      </c>
    </row>
    <row r="2643" spans="1:21" x14ac:dyDescent="0.35">
      <c r="A2643" t="s">
        <v>28</v>
      </c>
      <c r="B2643" s="1">
        <v>44828</v>
      </c>
      <c r="C2643" t="s">
        <v>30</v>
      </c>
      <c r="D2643">
        <v>111.6</v>
      </c>
      <c r="E2643">
        <v>131.9</v>
      </c>
      <c r="F2643">
        <v>125.4</v>
      </c>
      <c r="G2643">
        <v>0.8</v>
      </c>
      <c r="H2643">
        <v>0.9</v>
      </c>
      <c r="I2643">
        <v>0</v>
      </c>
      <c r="J2643">
        <v>0</v>
      </c>
      <c r="K2643">
        <v>0</v>
      </c>
      <c r="L2643">
        <v>0</v>
      </c>
      <c r="M2643">
        <v>0</v>
      </c>
      <c r="N2643">
        <v>25995</v>
      </c>
      <c r="O2643">
        <v>11376</v>
      </c>
      <c r="P2643">
        <v>47037</v>
      </c>
      <c r="Q2643">
        <v>29</v>
      </c>
      <c r="R2643">
        <v>15</v>
      </c>
      <c r="S2643">
        <v>59</v>
      </c>
      <c r="T2643">
        <v>80</v>
      </c>
      <c r="U2643">
        <v>200</v>
      </c>
    </row>
    <row r="2644" spans="1:21" x14ac:dyDescent="0.35">
      <c r="A2644" t="s">
        <v>28</v>
      </c>
      <c r="B2644" s="1">
        <v>45205</v>
      </c>
      <c r="C2644" t="s">
        <v>24</v>
      </c>
      <c r="D2644">
        <v>4.4000000000000004</v>
      </c>
      <c r="E2644">
        <v>6</v>
      </c>
      <c r="F2644">
        <v>4.7</v>
      </c>
      <c r="G2644">
        <v>0.7</v>
      </c>
      <c r="H2644">
        <v>0.9</v>
      </c>
      <c r="I2644">
        <v>0</v>
      </c>
      <c r="J2644">
        <v>0</v>
      </c>
      <c r="K2644">
        <v>0</v>
      </c>
      <c r="L2644">
        <v>0</v>
      </c>
      <c r="M2644">
        <v>0</v>
      </c>
      <c r="N2644">
        <v>90486</v>
      </c>
      <c r="O2644">
        <v>82681</v>
      </c>
      <c r="P2644">
        <v>21245</v>
      </c>
      <c r="Q2644">
        <v>4</v>
      </c>
      <c r="R2644">
        <v>5</v>
      </c>
      <c r="S2644">
        <v>1</v>
      </c>
      <c r="T2644">
        <v>5</v>
      </c>
      <c r="U2644">
        <v>11</v>
      </c>
    </row>
    <row r="2645" spans="1:21" x14ac:dyDescent="0.35">
      <c r="A2645" t="s">
        <v>26</v>
      </c>
      <c r="B2645" s="1">
        <v>44919</v>
      </c>
      <c r="C2645" t="s">
        <v>24</v>
      </c>
      <c r="D2645">
        <v>3.2</v>
      </c>
      <c r="E2645">
        <v>0</v>
      </c>
      <c r="F2645">
        <v>4.7</v>
      </c>
      <c r="G2645">
        <v>0</v>
      </c>
      <c r="H2645">
        <v>0.7</v>
      </c>
      <c r="I2645">
        <v>0</v>
      </c>
      <c r="J2645">
        <v>0</v>
      </c>
      <c r="K2645">
        <v>0</v>
      </c>
      <c r="L2645">
        <v>0</v>
      </c>
      <c r="M2645">
        <v>0</v>
      </c>
      <c r="N2645">
        <v>92531</v>
      </c>
      <c r="O2645">
        <v>81440</v>
      </c>
      <c r="P2645">
        <v>21142</v>
      </c>
      <c r="Q2645">
        <v>3</v>
      </c>
      <c r="R2645">
        <v>0</v>
      </c>
      <c r="S2645">
        <v>1</v>
      </c>
      <c r="T2645">
        <v>5</v>
      </c>
      <c r="U2645">
        <v>11</v>
      </c>
    </row>
    <row r="2646" spans="1:21" x14ac:dyDescent="0.35">
      <c r="A2646" t="s">
        <v>28</v>
      </c>
      <c r="B2646" s="1">
        <v>44891</v>
      </c>
      <c r="C2646" t="s">
        <v>22</v>
      </c>
      <c r="D2646">
        <v>141.1</v>
      </c>
      <c r="E2646">
        <v>66.599999999999994</v>
      </c>
      <c r="F2646">
        <v>115.9</v>
      </c>
      <c r="G2646">
        <v>2.1</v>
      </c>
      <c r="H2646">
        <v>1.2</v>
      </c>
      <c r="I2646">
        <v>179</v>
      </c>
      <c r="J2646">
        <v>70.900000000000006</v>
      </c>
      <c r="K2646">
        <v>94.4</v>
      </c>
      <c r="L2646">
        <v>2.5</v>
      </c>
      <c r="M2646">
        <v>1.9</v>
      </c>
      <c r="N2646">
        <v>565402</v>
      </c>
      <c r="O2646">
        <v>850149</v>
      </c>
      <c r="P2646">
        <v>1039743</v>
      </c>
      <c r="Q2646">
        <v>798</v>
      </c>
      <c r="R2646">
        <v>566</v>
      </c>
      <c r="S2646">
        <v>1205</v>
      </c>
      <c r="T2646">
        <v>999</v>
      </c>
      <c r="U2646">
        <v>999</v>
      </c>
    </row>
    <row r="2647" spans="1:21" x14ac:dyDescent="0.35">
      <c r="A2647" t="s">
        <v>28</v>
      </c>
      <c r="B2647" s="1">
        <v>44954</v>
      </c>
      <c r="C2647" t="s">
        <v>29</v>
      </c>
      <c r="D2647">
        <v>134.19999999999999</v>
      </c>
      <c r="E2647">
        <v>58.7</v>
      </c>
      <c r="F2647">
        <v>72.599999999999994</v>
      </c>
      <c r="G2647">
        <v>2.2999999999999998</v>
      </c>
      <c r="H2647">
        <v>1.8</v>
      </c>
      <c r="I2647">
        <v>0</v>
      </c>
      <c r="J2647">
        <v>0</v>
      </c>
      <c r="K2647">
        <v>0</v>
      </c>
      <c r="L2647">
        <v>0</v>
      </c>
      <c r="M2647">
        <v>0</v>
      </c>
      <c r="N2647">
        <v>111793</v>
      </c>
      <c r="O2647">
        <v>277548</v>
      </c>
      <c r="P2647">
        <v>347231</v>
      </c>
      <c r="Q2647">
        <v>150</v>
      </c>
      <c r="R2647">
        <v>163</v>
      </c>
      <c r="S2647">
        <v>252</v>
      </c>
      <c r="T2647">
        <v>30</v>
      </c>
      <c r="U2647">
        <v>49</v>
      </c>
    </row>
    <row r="2648" spans="1:21" x14ac:dyDescent="0.35">
      <c r="A2648" t="s">
        <v>26</v>
      </c>
      <c r="B2648" s="1">
        <v>44747</v>
      </c>
      <c r="C2648" t="s">
        <v>24</v>
      </c>
      <c r="D2648">
        <v>0</v>
      </c>
      <c r="E2648">
        <v>1.1000000000000001</v>
      </c>
      <c r="F2648">
        <v>0</v>
      </c>
      <c r="G2648">
        <v>0</v>
      </c>
      <c r="H2648">
        <v>0</v>
      </c>
      <c r="I2648">
        <v>0</v>
      </c>
      <c r="J2648">
        <v>0</v>
      </c>
      <c r="K2648">
        <v>0</v>
      </c>
      <c r="L2648">
        <v>0</v>
      </c>
      <c r="M2648">
        <v>0</v>
      </c>
      <c r="N2648">
        <v>101762</v>
      </c>
      <c r="O2648">
        <v>93683</v>
      </c>
      <c r="P2648">
        <v>0</v>
      </c>
      <c r="Q2648">
        <v>0</v>
      </c>
      <c r="R2648">
        <v>1</v>
      </c>
      <c r="S2648">
        <v>0</v>
      </c>
      <c r="T2648">
        <v>5</v>
      </c>
      <c r="U2648">
        <v>11</v>
      </c>
    </row>
    <row r="2649" spans="1:21" x14ac:dyDescent="0.35">
      <c r="A2649" t="s">
        <v>26</v>
      </c>
      <c r="B2649" s="1">
        <v>45059</v>
      </c>
      <c r="C2649" t="s">
        <v>29</v>
      </c>
      <c r="D2649">
        <v>4.5999999999999996</v>
      </c>
      <c r="E2649">
        <v>0.4</v>
      </c>
      <c r="F2649">
        <v>0.9</v>
      </c>
      <c r="G2649">
        <v>11.5</v>
      </c>
      <c r="H2649">
        <v>5.0999999999999996</v>
      </c>
      <c r="I2649">
        <v>0</v>
      </c>
      <c r="J2649">
        <v>0</v>
      </c>
      <c r="K2649">
        <v>0</v>
      </c>
      <c r="L2649">
        <v>0</v>
      </c>
      <c r="M2649">
        <v>0</v>
      </c>
      <c r="N2649">
        <v>108868</v>
      </c>
      <c r="O2649">
        <v>278401</v>
      </c>
      <c r="P2649">
        <v>347295</v>
      </c>
      <c r="Q2649">
        <v>5</v>
      </c>
      <c r="R2649">
        <v>1</v>
      </c>
      <c r="S2649">
        <v>3</v>
      </c>
      <c r="T2649">
        <v>30</v>
      </c>
      <c r="U2649">
        <v>49</v>
      </c>
    </row>
    <row r="2650" spans="1:21" x14ac:dyDescent="0.35">
      <c r="A2650" t="s">
        <v>26</v>
      </c>
      <c r="B2650" s="1">
        <v>44849</v>
      </c>
      <c r="C2650" t="s">
        <v>27</v>
      </c>
      <c r="D2650">
        <v>5.8</v>
      </c>
      <c r="E2650">
        <v>0</v>
      </c>
      <c r="F2650">
        <v>0</v>
      </c>
      <c r="G2650">
        <v>0</v>
      </c>
      <c r="H2650">
        <v>0</v>
      </c>
      <c r="I2650">
        <v>0</v>
      </c>
      <c r="J2650">
        <v>0</v>
      </c>
      <c r="K2650">
        <v>0</v>
      </c>
      <c r="L2650">
        <v>0</v>
      </c>
      <c r="M2650">
        <v>0</v>
      </c>
      <c r="N2650">
        <v>34672</v>
      </c>
      <c r="O2650">
        <v>85875</v>
      </c>
      <c r="P2650">
        <v>44459</v>
      </c>
      <c r="Q2650">
        <v>2</v>
      </c>
      <c r="R2650">
        <v>0</v>
      </c>
      <c r="S2650">
        <v>0</v>
      </c>
      <c r="T2650">
        <v>12</v>
      </c>
      <c r="U2650">
        <v>17</v>
      </c>
    </row>
    <row r="2651" spans="1:21" x14ac:dyDescent="0.35">
      <c r="A2651" t="s">
        <v>21</v>
      </c>
      <c r="B2651" s="1">
        <v>45059</v>
      </c>
      <c r="C2651" t="s">
        <v>25</v>
      </c>
      <c r="D2651">
        <v>0</v>
      </c>
      <c r="E2651">
        <v>0</v>
      </c>
      <c r="F2651">
        <v>0</v>
      </c>
      <c r="G2651">
        <v>0</v>
      </c>
      <c r="H2651">
        <v>0</v>
      </c>
      <c r="I2651">
        <v>0</v>
      </c>
      <c r="J2651">
        <v>0</v>
      </c>
      <c r="K2651">
        <v>0</v>
      </c>
      <c r="L2651">
        <v>0</v>
      </c>
      <c r="M2651">
        <v>0</v>
      </c>
      <c r="N2651">
        <v>75158</v>
      </c>
      <c r="O2651">
        <v>214134</v>
      </c>
      <c r="P2651">
        <v>161690</v>
      </c>
      <c r="Q2651">
        <v>0</v>
      </c>
      <c r="R2651">
        <v>0</v>
      </c>
      <c r="S2651">
        <v>0</v>
      </c>
      <c r="T2651">
        <v>18</v>
      </c>
      <c r="U2651">
        <v>29</v>
      </c>
    </row>
    <row r="2652" spans="1:21" x14ac:dyDescent="0.35">
      <c r="A2652" t="s">
        <v>26</v>
      </c>
      <c r="B2652" s="1">
        <v>44394</v>
      </c>
      <c r="C2652" t="s">
        <v>25</v>
      </c>
      <c r="D2652">
        <v>2.2999999999999998</v>
      </c>
      <c r="E2652">
        <v>0.4</v>
      </c>
      <c r="F2652">
        <v>0</v>
      </c>
      <c r="G2652">
        <v>5.8</v>
      </c>
      <c r="H2652">
        <v>0</v>
      </c>
      <c r="I2652">
        <v>0</v>
      </c>
      <c r="J2652">
        <v>0</v>
      </c>
      <c r="K2652">
        <v>0</v>
      </c>
      <c r="L2652">
        <v>0</v>
      </c>
      <c r="M2652">
        <v>0</v>
      </c>
      <c r="N2652">
        <v>218646</v>
      </c>
      <c r="O2652">
        <v>272102</v>
      </c>
      <c r="P2652">
        <v>0</v>
      </c>
      <c r="Q2652">
        <v>5</v>
      </c>
      <c r="R2652">
        <v>1</v>
      </c>
      <c r="S2652">
        <v>0</v>
      </c>
      <c r="T2652">
        <v>18</v>
      </c>
      <c r="U2652">
        <v>29</v>
      </c>
    </row>
    <row r="2653" spans="1:21" x14ac:dyDescent="0.35">
      <c r="A2653" t="s">
        <v>21</v>
      </c>
      <c r="B2653" s="1">
        <v>44436</v>
      </c>
      <c r="C2653" t="s">
        <v>30</v>
      </c>
      <c r="D2653">
        <v>31.7</v>
      </c>
      <c r="E2653">
        <v>3.8</v>
      </c>
      <c r="F2653">
        <v>0</v>
      </c>
      <c r="G2653">
        <v>8.3000000000000007</v>
      </c>
      <c r="H2653">
        <v>0</v>
      </c>
      <c r="I2653">
        <v>0</v>
      </c>
      <c r="J2653">
        <v>0</v>
      </c>
      <c r="K2653">
        <v>0</v>
      </c>
      <c r="L2653">
        <v>0</v>
      </c>
      <c r="M2653">
        <v>0</v>
      </c>
      <c r="N2653">
        <v>31562</v>
      </c>
      <c r="O2653">
        <v>53137</v>
      </c>
      <c r="P2653">
        <v>0</v>
      </c>
      <c r="Q2653">
        <v>10</v>
      </c>
      <c r="R2653">
        <v>2</v>
      </c>
      <c r="S2653">
        <v>0</v>
      </c>
      <c r="T2653">
        <v>80</v>
      </c>
      <c r="U2653">
        <v>200</v>
      </c>
    </row>
    <row r="2654" spans="1:21" x14ac:dyDescent="0.35">
      <c r="A2654" t="s">
        <v>26</v>
      </c>
      <c r="B2654" s="1">
        <v>45045</v>
      </c>
      <c r="C2654" t="s">
        <v>24</v>
      </c>
      <c r="D2654">
        <v>0</v>
      </c>
      <c r="E2654">
        <v>0</v>
      </c>
      <c r="F2654">
        <v>0</v>
      </c>
      <c r="G2654">
        <v>0</v>
      </c>
      <c r="H2654">
        <v>0</v>
      </c>
      <c r="I2654">
        <v>0</v>
      </c>
      <c r="J2654">
        <v>0</v>
      </c>
      <c r="K2654">
        <v>0</v>
      </c>
      <c r="L2654">
        <v>0</v>
      </c>
      <c r="M2654">
        <v>0</v>
      </c>
      <c r="N2654">
        <v>90894</v>
      </c>
      <c r="O2654">
        <v>82652</v>
      </c>
      <c r="P2654">
        <v>21236</v>
      </c>
      <c r="Q2654">
        <v>0</v>
      </c>
      <c r="R2654">
        <v>0</v>
      </c>
      <c r="S2654">
        <v>0</v>
      </c>
      <c r="T2654">
        <v>5</v>
      </c>
      <c r="U2654">
        <v>11</v>
      </c>
    </row>
    <row r="2655" spans="1:21" x14ac:dyDescent="0.35">
      <c r="A2655" t="s">
        <v>28</v>
      </c>
      <c r="B2655" s="1">
        <v>45045</v>
      </c>
      <c r="C2655" t="s">
        <v>32</v>
      </c>
      <c r="D2655">
        <v>28.9</v>
      </c>
      <c r="E2655">
        <v>2.5</v>
      </c>
      <c r="F2655">
        <v>0</v>
      </c>
      <c r="G2655">
        <v>11.6</v>
      </c>
      <c r="H2655">
        <v>0</v>
      </c>
      <c r="I2655">
        <v>0</v>
      </c>
      <c r="J2655">
        <v>0</v>
      </c>
      <c r="K2655">
        <v>0</v>
      </c>
      <c r="L2655">
        <v>0</v>
      </c>
      <c r="M2655">
        <v>0</v>
      </c>
      <c r="N2655">
        <v>162642</v>
      </c>
      <c r="O2655">
        <v>0</v>
      </c>
      <c r="P2655">
        <v>0</v>
      </c>
      <c r="Q2655">
        <v>47</v>
      </c>
      <c r="R2655">
        <v>4</v>
      </c>
      <c r="S2655">
        <v>0</v>
      </c>
      <c r="T2655">
        <v>0</v>
      </c>
      <c r="U2655">
        <v>4</v>
      </c>
    </row>
    <row r="2656" spans="1:21" x14ac:dyDescent="0.35">
      <c r="A2656" t="s">
        <v>28</v>
      </c>
      <c r="B2656" s="1">
        <v>45157</v>
      </c>
      <c r="C2656" t="s">
        <v>29</v>
      </c>
      <c r="D2656">
        <v>55</v>
      </c>
      <c r="E2656">
        <v>21.9</v>
      </c>
      <c r="F2656">
        <v>36.6</v>
      </c>
      <c r="G2656">
        <v>2.5</v>
      </c>
      <c r="H2656">
        <v>1.5</v>
      </c>
      <c r="I2656">
        <v>0</v>
      </c>
      <c r="J2656">
        <v>0</v>
      </c>
      <c r="K2656">
        <v>0</v>
      </c>
      <c r="L2656">
        <v>0</v>
      </c>
      <c r="M2656">
        <v>0</v>
      </c>
      <c r="N2656">
        <v>107178</v>
      </c>
      <c r="O2656">
        <v>278399</v>
      </c>
      <c r="P2656">
        <v>347317</v>
      </c>
      <c r="Q2656">
        <v>59</v>
      </c>
      <c r="R2656">
        <v>61</v>
      </c>
      <c r="S2656">
        <v>127</v>
      </c>
      <c r="T2656">
        <v>30</v>
      </c>
      <c r="U2656">
        <v>49</v>
      </c>
    </row>
    <row r="2657" spans="1:21" x14ac:dyDescent="0.35">
      <c r="A2657" t="s">
        <v>28</v>
      </c>
      <c r="B2657" s="1">
        <v>44681</v>
      </c>
      <c r="C2657" t="s">
        <v>23</v>
      </c>
      <c r="D2657">
        <v>238.3</v>
      </c>
      <c r="E2657">
        <v>98.3</v>
      </c>
      <c r="F2657">
        <v>182.2</v>
      </c>
      <c r="G2657">
        <v>2.4</v>
      </c>
      <c r="H2657">
        <v>1.3</v>
      </c>
      <c r="I2657">
        <v>0</v>
      </c>
      <c r="J2657">
        <v>0</v>
      </c>
      <c r="K2657">
        <v>0</v>
      </c>
      <c r="L2657">
        <v>0</v>
      </c>
      <c r="M2657">
        <v>0</v>
      </c>
      <c r="N2657">
        <v>44059</v>
      </c>
      <c r="O2657">
        <v>135237</v>
      </c>
      <c r="P2657">
        <v>232184</v>
      </c>
      <c r="Q2657">
        <v>105</v>
      </c>
      <c r="R2657">
        <v>133</v>
      </c>
      <c r="S2657">
        <v>423</v>
      </c>
      <c r="T2657">
        <v>50</v>
      </c>
      <c r="U2657">
        <v>64</v>
      </c>
    </row>
    <row r="2658" spans="1:21" x14ac:dyDescent="0.35">
      <c r="A2658" t="s">
        <v>26</v>
      </c>
      <c r="B2658" s="1">
        <v>44657</v>
      </c>
      <c r="C2658" t="s">
        <v>31</v>
      </c>
      <c r="D2658">
        <v>32</v>
      </c>
      <c r="E2658">
        <v>8.4</v>
      </c>
      <c r="F2658">
        <v>15.7</v>
      </c>
      <c r="G2658">
        <v>3.8</v>
      </c>
      <c r="H2658">
        <v>2</v>
      </c>
      <c r="I2658">
        <v>0</v>
      </c>
      <c r="J2658">
        <v>0</v>
      </c>
      <c r="K2658">
        <v>0</v>
      </c>
      <c r="L2658">
        <v>0</v>
      </c>
      <c r="M2658">
        <v>0</v>
      </c>
      <c r="N2658">
        <v>46947</v>
      </c>
      <c r="O2658">
        <v>47490</v>
      </c>
      <c r="P2658">
        <v>165480</v>
      </c>
      <c r="Q2658">
        <v>15</v>
      </c>
      <c r="R2658">
        <v>4</v>
      </c>
      <c r="S2658">
        <v>26</v>
      </c>
      <c r="T2658">
        <v>65</v>
      </c>
      <c r="U2658">
        <v>79</v>
      </c>
    </row>
    <row r="2659" spans="1:21" x14ac:dyDescent="0.35">
      <c r="A2659" t="s">
        <v>26</v>
      </c>
      <c r="B2659" s="1">
        <v>44702</v>
      </c>
      <c r="C2659" t="s">
        <v>30</v>
      </c>
      <c r="D2659">
        <v>60</v>
      </c>
      <c r="E2659">
        <v>77.599999999999994</v>
      </c>
      <c r="F2659">
        <v>75.8</v>
      </c>
      <c r="G2659">
        <v>0.8</v>
      </c>
      <c r="H2659">
        <v>0.8</v>
      </c>
      <c r="I2659">
        <v>0</v>
      </c>
      <c r="J2659">
        <v>0</v>
      </c>
      <c r="K2659">
        <v>0</v>
      </c>
      <c r="L2659">
        <v>0</v>
      </c>
      <c r="M2659">
        <v>0</v>
      </c>
      <c r="N2659">
        <v>26685</v>
      </c>
      <c r="O2659">
        <v>12893</v>
      </c>
      <c r="P2659">
        <v>44830</v>
      </c>
      <c r="Q2659">
        <v>16</v>
      </c>
      <c r="R2659">
        <v>10</v>
      </c>
      <c r="S2659">
        <v>34</v>
      </c>
      <c r="T2659">
        <v>80</v>
      </c>
      <c r="U2659">
        <v>200</v>
      </c>
    </row>
    <row r="2660" spans="1:21" x14ac:dyDescent="0.35">
      <c r="A2660" t="s">
        <v>26</v>
      </c>
      <c r="B2660" s="1">
        <v>44912</v>
      </c>
      <c r="C2660" t="s">
        <v>25</v>
      </c>
      <c r="D2660">
        <v>11.3</v>
      </c>
      <c r="E2660">
        <v>2.8</v>
      </c>
      <c r="F2660">
        <v>3.1</v>
      </c>
      <c r="G2660">
        <v>4</v>
      </c>
      <c r="H2660">
        <v>3.6</v>
      </c>
      <c r="I2660">
        <v>0</v>
      </c>
      <c r="J2660">
        <v>0</v>
      </c>
      <c r="K2660">
        <v>0</v>
      </c>
      <c r="L2660">
        <v>0</v>
      </c>
      <c r="M2660">
        <v>0</v>
      </c>
      <c r="N2660">
        <v>79968</v>
      </c>
      <c r="O2660">
        <v>212771</v>
      </c>
      <c r="P2660">
        <v>161600</v>
      </c>
      <c r="Q2660">
        <v>9</v>
      </c>
      <c r="R2660">
        <v>6</v>
      </c>
      <c r="S2660">
        <v>5</v>
      </c>
      <c r="T2660">
        <v>18</v>
      </c>
      <c r="U2660">
        <v>29</v>
      </c>
    </row>
    <row r="2661" spans="1:21" x14ac:dyDescent="0.35">
      <c r="A2661" t="s">
        <v>21</v>
      </c>
      <c r="B2661" s="1">
        <v>44237</v>
      </c>
      <c r="C2661" t="s">
        <v>27</v>
      </c>
      <c r="D2661">
        <v>0</v>
      </c>
      <c r="E2661">
        <v>0</v>
      </c>
      <c r="F2661">
        <v>0</v>
      </c>
      <c r="G2661">
        <v>0</v>
      </c>
      <c r="H2661">
        <v>0</v>
      </c>
      <c r="I2661">
        <v>0</v>
      </c>
      <c r="J2661">
        <v>0</v>
      </c>
      <c r="K2661">
        <v>0</v>
      </c>
      <c r="L2661">
        <v>0</v>
      </c>
      <c r="M2661">
        <v>0</v>
      </c>
      <c r="N2661">
        <v>68439</v>
      </c>
      <c r="O2661">
        <v>93584</v>
      </c>
      <c r="P2661">
        <v>0</v>
      </c>
      <c r="Q2661">
        <v>0</v>
      </c>
      <c r="R2661">
        <v>0</v>
      </c>
      <c r="S2661">
        <v>0</v>
      </c>
      <c r="T2661">
        <v>12</v>
      </c>
      <c r="U2661">
        <v>17</v>
      </c>
    </row>
    <row r="2662" spans="1:21" x14ac:dyDescent="0.35">
      <c r="A2662" t="s">
        <v>28</v>
      </c>
      <c r="B2662" s="1">
        <v>44611</v>
      </c>
      <c r="C2662" t="s">
        <v>31</v>
      </c>
      <c r="D2662">
        <v>69</v>
      </c>
      <c r="E2662">
        <v>40.799999999999997</v>
      </c>
      <c r="F2662">
        <v>52.3</v>
      </c>
      <c r="G2662">
        <v>1.7</v>
      </c>
      <c r="H2662">
        <v>1.3</v>
      </c>
      <c r="I2662">
        <v>0</v>
      </c>
      <c r="J2662">
        <v>0</v>
      </c>
      <c r="K2662">
        <v>0</v>
      </c>
      <c r="L2662">
        <v>0</v>
      </c>
      <c r="M2662">
        <v>0</v>
      </c>
      <c r="N2662">
        <v>49241</v>
      </c>
      <c r="O2662">
        <v>56313</v>
      </c>
      <c r="P2662">
        <v>153089</v>
      </c>
      <c r="Q2662">
        <v>34</v>
      </c>
      <c r="R2662">
        <v>23</v>
      </c>
      <c r="S2662">
        <v>80</v>
      </c>
      <c r="T2662">
        <v>65</v>
      </c>
      <c r="U2662">
        <v>79</v>
      </c>
    </row>
    <row r="2663" spans="1:21" x14ac:dyDescent="0.35">
      <c r="A2663" t="s">
        <v>28</v>
      </c>
      <c r="B2663" s="1">
        <v>45094</v>
      </c>
      <c r="C2663" t="s">
        <v>30</v>
      </c>
      <c r="D2663">
        <v>12.2</v>
      </c>
      <c r="E2663">
        <v>26.4</v>
      </c>
      <c r="F2663">
        <v>19.100000000000001</v>
      </c>
      <c r="G2663">
        <v>0.5</v>
      </c>
      <c r="H2663">
        <v>0.6</v>
      </c>
      <c r="I2663">
        <v>0</v>
      </c>
      <c r="J2663">
        <v>0</v>
      </c>
      <c r="K2663">
        <v>0</v>
      </c>
      <c r="L2663">
        <v>0</v>
      </c>
      <c r="M2663">
        <v>0</v>
      </c>
      <c r="N2663">
        <v>24516</v>
      </c>
      <c r="O2663">
        <v>11383</v>
      </c>
      <c r="P2663">
        <v>47130</v>
      </c>
      <c r="Q2663">
        <v>3</v>
      </c>
      <c r="R2663">
        <v>3</v>
      </c>
      <c r="S2663">
        <v>9</v>
      </c>
      <c r="T2663">
        <v>80</v>
      </c>
      <c r="U2663">
        <v>200</v>
      </c>
    </row>
    <row r="2664" spans="1:21" x14ac:dyDescent="0.35">
      <c r="A2664" t="s">
        <v>26</v>
      </c>
      <c r="B2664" s="1">
        <v>44562</v>
      </c>
      <c r="C2664" t="s">
        <v>31</v>
      </c>
      <c r="D2664">
        <v>367.4</v>
      </c>
      <c r="E2664">
        <v>193.6</v>
      </c>
      <c r="F2664">
        <v>28.9</v>
      </c>
      <c r="G2664">
        <v>1.9</v>
      </c>
      <c r="H2664">
        <v>12.7</v>
      </c>
      <c r="I2664">
        <v>0</v>
      </c>
      <c r="J2664">
        <v>0</v>
      </c>
      <c r="K2664">
        <v>0</v>
      </c>
      <c r="L2664">
        <v>0</v>
      </c>
      <c r="M2664">
        <v>0</v>
      </c>
      <c r="N2664">
        <v>52264</v>
      </c>
      <c r="O2664">
        <v>79022</v>
      </c>
      <c r="P2664">
        <v>127818</v>
      </c>
      <c r="Q2664">
        <v>192</v>
      </c>
      <c r="R2664">
        <v>153</v>
      </c>
      <c r="S2664">
        <v>37</v>
      </c>
      <c r="T2664">
        <v>65</v>
      </c>
      <c r="U2664">
        <v>79</v>
      </c>
    </row>
    <row r="2665" spans="1:21" x14ac:dyDescent="0.35">
      <c r="A2665" t="s">
        <v>26</v>
      </c>
      <c r="B2665" s="1">
        <v>44338</v>
      </c>
      <c r="C2665" t="s">
        <v>22</v>
      </c>
      <c r="D2665">
        <v>17.100000000000001</v>
      </c>
      <c r="E2665">
        <v>1.7</v>
      </c>
      <c r="F2665">
        <v>0</v>
      </c>
      <c r="G2665">
        <v>10.1</v>
      </c>
      <c r="H2665">
        <v>0</v>
      </c>
      <c r="I2665">
        <v>22.8</v>
      </c>
      <c r="J2665">
        <v>1.1000000000000001</v>
      </c>
      <c r="K2665">
        <v>0</v>
      </c>
      <c r="L2665">
        <v>19.899999999999999</v>
      </c>
      <c r="M2665">
        <v>0</v>
      </c>
      <c r="N2665">
        <v>1335903</v>
      </c>
      <c r="O2665">
        <v>1010820</v>
      </c>
      <c r="P2665">
        <v>0</v>
      </c>
      <c r="Q2665">
        <v>229</v>
      </c>
      <c r="R2665">
        <v>17</v>
      </c>
      <c r="S2665">
        <v>0</v>
      </c>
      <c r="T2665">
        <v>999</v>
      </c>
      <c r="U2665">
        <v>999</v>
      </c>
    </row>
    <row r="2666" spans="1:21" x14ac:dyDescent="0.35">
      <c r="A2666" t="s">
        <v>21</v>
      </c>
      <c r="B2666" s="1">
        <v>44576</v>
      </c>
      <c r="C2666" t="s">
        <v>31</v>
      </c>
      <c r="D2666">
        <v>84.4</v>
      </c>
      <c r="E2666">
        <v>21.5</v>
      </c>
      <c r="F2666">
        <v>8</v>
      </c>
      <c r="G2666">
        <v>3.9</v>
      </c>
      <c r="H2666">
        <v>10.6</v>
      </c>
      <c r="I2666">
        <v>0</v>
      </c>
      <c r="J2666">
        <v>0</v>
      </c>
      <c r="K2666">
        <v>0</v>
      </c>
      <c r="L2666">
        <v>0</v>
      </c>
      <c r="M2666">
        <v>0</v>
      </c>
      <c r="N2666">
        <v>50970</v>
      </c>
      <c r="O2666">
        <v>69775</v>
      </c>
      <c r="P2666">
        <v>137780</v>
      </c>
      <c r="Q2666">
        <v>43</v>
      </c>
      <c r="R2666">
        <v>15</v>
      </c>
      <c r="S2666">
        <v>11</v>
      </c>
      <c r="T2666">
        <v>65</v>
      </c>
      <c r="U2666">
        <v>79</v>
      </c>
    </row>
    <row r="2667" spans="1:21" x14ac:dyDescent="0.35">
      <c r="A2667" t="s">
        <v>21</v>
      </c>
      <c r="B2667" s="1">
        <v>44345</v>
      </c>
      <c r="C2667" t="s">
        <v>22</v>
      </c>
      <c r="D2667">
        <v>2.2000000000000002</v>
      </c>
      <c r="E2667">
        <v>0.1</v>
      </c>
      <c r="F2667">
        <v>0</v>
      </c>
      <c r="G2667">
        <v>22</v>
      </c>
      <c r="H2667">
        <v>0</v>
      </c>
      <c r="I2667">
        <v>3.3</v>
      </c>
      <c r="J2667">
        <v>0.1</v>
      </c>
      <c r="K2667">
        <v>0</v>
      </c>
      <c r="L2667">
        <v>46.5</v>
      </c>
      <c r="M2667">
        <v>0</v>
      </c>
      <c r="N2667">
        <v>1302037</v>
      </c>
      <c r="O2667">
        <v>1094752</v>
      </c>
      <c r="P2667">
        <v>0</v>
      </c>
      <c r="Q2667">
        <v>29</v>
      </c>
      <c r="R2667">
        <v>1</v>
      </c>
      <c r="S2667">
        <v>0</v>
      </c>
      <c r="T2667">
        <v>999</v>
      </c>
      <c r="U2667">
        <v>999</v>
      </c>
    </row>
    <row r="2668" spans="1:21" x14ac:dyDescent="0.35">
      <c r="A2668" t="s">
        <v>21</v>
      </c>
      <c r="B2668" s="1">
        <v>45054</v>
      </c>
      <c r="C2668" t="s">
        <v>32</v>
      </c>
      <c r="D2668">
        <v>0</v>
      </c>
      <c r="E2668">
        <v>0</v>
      </c>
      <c r="F2668">
        <v>0</v>
      </c>
      <c r="G2668">
        <v>0</v>
      </c>
      <c r="H2668">
        <v>0</v>
      </c>
      <c r="I2668">
        <v>0</v>
      </c>
      <c r="J2668">
        <v>0</v>
      </c>
      <c r="K2668">
        <v>0</v>
      </c>
      <c r="L2668">
        <v>0</v>
      </c>
      <c r="M2668">
        <v>0</v>
      </c>
      <c r="N2668">
        <v>162642</v>
      </c>
      <c r="O2668">
        <v>0</v>
      </c>
      <c r="P2668">
        <v>0</v>
      </c>
      <c r="Q2668">
        <v>0</v>
      </c>
      <c r="R2668">
        <v>0</v>
      </c>
      <c r="S2668">
        <v>0</v>
      </c>
      <c r="T2668">
        <v>0</v>
      </c>
      <c r="U2668">
        <v>4</v>
      </c>
    </row>
    <row r="2669" spans="1:21" x14ac:dyDescent="0.35">
      <c r="A2669" t="s">
        <v>21</v>
      </c>
      <c r="B2669" s="1">
        <v>45268</v>
      </c>
      <c r="C2669" t="s">
        <v>27</v>
      </c>
      <c r="D2669">
        <v>0</v>
      </c>
      <c r="E2669">
        <v>0</v>
      </c>
      <c r="F2669">
        <v>0</v>
      </c>
      <c r="G2669">
        <v>0</v>
      </c>
      <c r="H2669">
        <v>0</v>
      </c>
      <c r="I2669">
        <v>0</v>
      </c>
      <c r="J2669">
        <v>0</v>
      </c>
      <c r="K2669">
        <v>0</v>
      </c>
      <c r="L2669">
        <v>0</v>
      </c>
      <c r="M2669">
        <v>0</v>
      </c>
      <c r="N2669">
        <v>31954</v>
      </c>
      <c r="O2669">
        <v>86577</v>
      </c>
      <c r="P2669">
        <v>44592</v>
      </c>
      <c r="Q2669">
        <v>0</v>
      </c>
      <c r="R2669">
        <v>0</v>
      </c>
      <c r="S2669">
        <v>0</v>
      </c>
      <c r="T2669">
        <v>12</v>
      </c>
      <c r="U2669">
        <v>17</v>
      </c>
    </row>
    <row r="2670" spans="1:21" x14ac:dyDescent="0.35">
      <c r="A2670" t="s">
        <v>26</v>
      </c>
      <c r="B2670" s="1">
        <v>44758</v>
      </c>
      <c r="C2670" t="s">
        <v>31</v>
      </c>
      <c r="D2670">
        <v>43.3</v>
      </c>
      <c r="E2670">
        <v>21.9</v>
      </c>
      <c r="F2670">
        <v>19.600000000000001</v>
      </c>
      <c r="G2670">
        <v>2</v>
      </c>
      <c r="H2670">
        <v>2.2000000000000002</v>
      </c>
      <c r="I2670">
        <v>0</v>
      </c>
      <c r="J2670">
        <v>0</v>
      </c>
      <c r="K2670">
        <v>0</v>
      </c>
      <c r="L2670">
        <v>0</v>
      </c>
      <c r="M2670">
        <v>0</v>
      </c>
      <c r="N2670">
        <v>46231</v>
      </c>
      <c r="O2670">
        <v>45565</v>
      </c>
      <c r="P2670">
        <v>168311</v>
      </c>
      <c r="Q2670">
        <v>20</v>
      </c>
      <c r="R2670">
        <v>10</v>
      </c>
      <c r="S2670">
        <v>33</v>
      </c>
      <c r="T2670">
        <v>65</v>
      </c>
      <c r="U2670">
        <v>79</v>
      </c>
    </row>
    <row r="2671" spans="1:21" x14ac:dyDescent="0.35">
      <c r="A2671" t="s">
        <v>28</v>
      </c>
      <c r="B2671" s="1">
        <v>44527</v>
      </c>
      <c r="C2671" t="s">
        <v>27</v>
      </c>
      <c r="D2671">
        <v>283.10000000000002</v>
      </c>
      <c r="E2671">
        <v>40.1</v>
      </c>
      <c r="F2671">
        <v>0</v>
      </c>
      <c r="G2671">
        <v>7.1</v>
      </c>
      <c r="H2671">
        <v>0</v>
      </c>
      <c r="I2671">
        <v>0</v>
      </c>
      <c r="J2671">
        <v>0</v>
      </c>
      <c r="K2671">
        <v>0</v>
      </c>
      <c r="L2671">
        <v>0</v>
      </c>
      <c r="M2671">
        <v>0</v>
      </c>
      <c r="N2671">
        <v>59342</v>
      </c>
      <c r="O2671">
        <v>104798</v>
      </c>
      <c r="P2671">
        <v>0</v>
      </c>
      <c r="Q2671">
        <v>168</v>
      </c>
      <c r="R2671">
        <v>42</v>
      </c>
      <c r="S2671">
        <v>0</v>
      </c>
      <c r="T2671">
        <v>12</v>
      </c>
      <c r="U2671">
        <v>17</v>
      </c>
    </row>
    <row r="2672" spans="1:21" x14ac:dyDescent="0.35">
      <c r="A2672" t="s">
        <v>21</v>
      </c>
      <c r="B2672" s="1">
        <v>45073</v>
      </c>
      <c r="C2672" t="s">
        <v>29</v>
      </c>
      <c r="D2672">
        <v>0</v>
      </c>
      <c r="E2672">
        <v>0</v>
      </c>
      <c r="F2672">
        <v>0</v>
      </c>
      <c r="G2672">
        <v>0</v>
      </c>
      <c r="H2672">
        <v>0</v>
      </c>
      <c r="I2672">
        <v>0</v>
      </c>
      <c r="J2672">
        <v>0</v>
      </c>
      <c r="K2672">
        <v>0</v>
      </c>
      <c r="L2672">
        <v>0</v>
      </c>
      <c r="M2672">
        <v>0</v>
      </c>
      <c r="N2672">
        <v>108550</v>
      </c>
      <c r="O2672">
        <v>278401</v>
      </c>
      <c r="P2672">
        <v>347299</v>
      </c>
      <c r="Q2672">
        <v>0</v>
      </c>
      <c r="R2672">
        <v>0</v>
      </c>
      <c r="S2672">
        <v>0</v>
      </c>
      <c r="T2672">
        <v>30</v>
      </c>
      <c r="U2672">
        <v>49</v>
      </c>
    </row>
    <row r="2673" spans="1:21" x14ac:dyDescent="0.35">
      <c r="A2673" t="s">
        <v>21</v>
      </c>
      <c r="B2673" s="1">
        <v>45268</v>
      </c>
      <c r="C2673" t="s">
        <v>22</v>
      </c>
      <c r="D2673">
        <v>0</v>
      </c>
      <c r="E2673">
        <v>0</v>
      </c>
      <c r="F2673">
        <v>0</v>
      </c>
      <c r="G2673">
        <v>0</v>
      </c>
      <c r="H2673">
        <v>0</v>
      </c>
      <c r="I2673">
        <v>0</v>
      </c>
      <c r="J2673">
        <v>0</v>
      </c>
      <c r="K2673">
        <v>0</v>
      </c>
      <c r="L2673">
        <v>0</v>
      </c>
      <c r="M2673">
        <v>0</v>
      </c>
      <c r="N2673">
        <v>528906</v>
      </c>
      <c r="O2673">
        <v>860313</v>
      </c>
      <c r="P2673">
        <v>1040782</v>
      </c>
      <c r="Q2673">
        <v>0</v>
      </c>
      <c r="R2673">
        <v>0</v>
      </c>
      <c r="S2673">
        <v>0</v>
      </c>
      <c r="T2673">
        <v>999</v>
      </c>
      <c r="U2673">
        <v>999</v>
      </c>
    </row>
    <row r="2674" spans="1:21" x14ac:dyDescent="0.35">
      <c r="A2674" t="s">
        <v>21</v>
      </c>
      <c r="B2674" s="1">
        <v>44793</v>
      </c>
      <c r="C2674" t="s">
        <v>25</v>
      </c>
      <c r="D2674">
        <v>0</v>
      </c>
      <c r="E2674">
        <v>0</v>
      </c>
      <c r="F2674">
        <v>0</v>
      </c>
      <c r="G2674">
        <v>0</v>
      </c>
      <c r="H2674">
        <v>0</v>
      </c>
      <c r="I2674">
        <v>0</v>
      </c>
      <c r="J2674">
        <v>0</v>
      </c>
      <c r="K2674">
        <v>0</v>
      </c>
      <c r="L2674">
        <v>0</v>
      </c>
      <c r="M2674">
        <v>0</v>
      </c>
      <c r="N2674">
        <v>91431</v>
      </c>
      <c r="O2674">
        <v>212198</v>
      </c>
      <c r="P2674">
        <v>159858</v>
      </c>
      <c r="Q2674">
        <v>0</v>
      </c>
      <c r="R2674">
        <v>0</v>
      </c>
      <c r="S2674">
        <v>0</v>
      </c>
      <c r="T2674">
        <v>18</v>
      </c>
      <c r="U2674">
        <v>29</v>
      </c>
    </row>
    <row r="2675" spans="1:21" x14ac:dyDescent="0.35">
      <c r="A2675" t="s">
        <v>21</v>
      </c>
      <c r="B2675" s="1">
        <v>45136</v>
      </c>
      <c r="C2675" t="s">
        <v>32</v>
      </c>
      <c r="D2675">
        <v>0</v>
      </c>
      <c r="E2675">
        <v>0</v>
      </c>
      <c r="F2675">
        <v>0</v>
      </c>
      <c r="G2675">
        <v>0</v>
      </c>
      <c r="H2675">
        <v>0</v>
      </c>
      <c r="I2675">
        <v>0</v>
      </c>
      <c r="J2675">
        <v>0</v>
      </c>
      <c r="K2675">
        <v>0</v>
      </c>
      <c r="L2675">
        <v>0</v>
      </c>
      <c r="M2675">
        <v>0</v>
      </c>
      <c r="N2675">
        <v>162642</v>
      </c>
      <c r="O2675">
        <v>0</v>
      </c>
      <c r="P2675">
        <v>0</v>
      </c>
      <c r="Q2675">
        <v>0</v>
      </c>
      <c r="R2675">
        <v>0</v>
      </c>
      <c r="S2675">
        <v>0</v>
      </c>
      <c r="T2675">
        <v>0</v>
      </c>
      <c r="U2675">
        <v>4</v>
      </c>
    </row>
    <row r="2676" spans="1:21" x14ac:dyDescent="0.35">
      <c r="A2676" t="s">
        <v>26</v>
      </c>
      <c r="B2676" s="1">
        <v>44897</v>
      </c>
      <c r="C2676" t="s">
        <v>24</v>
      </c>
      <c r="D2676">
        <v>0</v>
      </c>
      <c r="E2676">
        <v>0</v>
      </c>
      <c r="F2676">
        <v>0</v>
      </c>
      <c r="G2676">
        <v>0</v>
      </c>
      <c r="H2676">
        <v>0</v>
      </c>
      <c r="I2676">
        <v>0</v>
      </c>
      <c r="J2676">
        <v>0</v>
      </c>
      <c r="K2676">
        <v>0</v>
      </c>
      <c r="L2676">
        <v>0</v>
      </c>
      <c r="M2676">
        <v>0</v>
      </c>
      <c r="N2676">
        <v>109671</v>
      </c>
      <c r="O2676">
        <v>68864</v>
      </c>
      <c r="P2676">
        <v>0</v>
      </c>
      <c r="Q2676">
        <v>0</v>
      </c>
      <c r="R2676">
        <v>0</v>
      </c>
      <c r="S2676">
        <v>0</v>
      </c>
      <c r="T2676">
        <v>5</v>
      </c>
      <c r="U2676">
        <v>11</v>
      </c>
    </row>
    <row r="2677" spans="1:21" x14ac:dyDescent="0.35">
      <c r="A2677" t="s">
        <v>28</v>
      </c>
      <c r="B2677" s="1">
        <v>44783</v>
      </c>
      <c r="C2677" t="s">
        <v>31</v>
      </c>
      <c r="D2677">
        <v>72.8</v>
      </c>
      <c r="E2677">
        <v>126.7</v>
      </c>
      <c r="F2677">
        <v>112</v>
      </c>
      <c r="G2677">
        <v>0.6</v>
      </c>
      <c r="H2677">
        <v>0.6</v>
      </c>
      <c r="I2677">
        <v>0</v>
      </c>
      <c r="J2677">
        <v>0</v>
      </c>
      <c r="K2677">
        <v>0</v>
      </c>
      <c r="L2677">
        <v>0</v>
      </c>
      <c r="M2677">
        <v>0</v>
      </c>
      <c r="N2677">
        <v>43949</v>
      </c>
      <c r="O2677">
        <v>43409</v>
      </c>
      <c r="P2677">
        <v>171395</v>
      </c>
      <c r="Q2677">
        <v>32</v>
      </c>
      <c r="R2677">
        <v>55</v>
      </c>
      <c r="S2677">
        <v>192</v>
      </c>
      <c r="T2677">
        <v>65</v>
      </c>
      <c r="U2677">
        <v>79</v>
      </c>
    </row>
    <row r="2678" spans="1:21" x14ac:dyDescent="0.35">
      <c r="A2678" t="s">
        <v>28</v>
      </c>
      <c r="B2678" s="1">
        <v>44520</v>
      </c>
      <c r="C2678" t="s">
        <v>24</v>
      </c>
      <c r="D2678">
        <v>260.2</v>
      </c>
      <c r="E2678">
        <v>0</v>
      </c>
      <c r="F2678">
        <v>0</v>
      </c>
      <c r="G2678">
        <v>0</v>
      </c>
      <c r="H2678">
        <v>0</v>
      </c>
      <c r="I2678">
        <v>0</v>
      </c>
      <c r="J2678">
        <v>0</v>
      </c>
      <c r="K2678">
        <v>0</v>
      </c>
      <c r="L2678">
        <v>0</v>
      </c>
      <c r="M2678">
        <v>0</v>
      </c>
      <c r="N2678">
        <v>166798</v>
      </c>
      <c r="O2678">
        <v>1</v>
      </c>
      <c r="P2678">
        <v>0</v>
      </c>
      <c r="Q2678">
        <v>434</v>
      </c>
      <c r="R2678">
        <v>0</v>
      </c>
      <c r="S2678">
        <v>0</v>
      </c>
      <c r="T2678">
        <v>5</v>
      </c>
      <c r="U2678">
        <v>11</v>
      </c>
    </row>
    <row r="2679" spans="1:21" x14ac:dyDescent="0.35">
      <c r="A2679" t="s">
        <v>26</v>
      </c>
      <c r="B2679" s="1">
        <v>45066</v>
      </c>
      <c r="C2679" t="s">
        <v>22</v>
      </c>
      <c r="D2679">
        <v>4.9000000000000004</v>
      </c>
      <c r="E2679">
        <v>0.7</v>
      </c>
      <c r="F2679">
        <v>2.9</v>
      </c>
      <c r="G2679">
        <v>7</v>
      </c>
      <c r="H2679">
        <v>1.7</v>
      </c>
      <c r="I2679">
        <v>6</v>
      </c>
      <c r="J2679">
        <v>1</v>
      </c>
      <c r="K2679">
        <v>1.9</v>
      </c>
      <c r="L2679">
        <v>6.2</v>
      </c>
      <c r="M2679">
        <v>3.2</v>
      </c>
      <c r="N2679">
        <v>535909</v>
      </c>
      <c r="O2679">
        <v>860356</v>
      </c>
      <c r="P2679">
        <v>1040655</v>
      </c>
      <c r="Q2679">
        <v>26</v>
      </c>
      <c r="R2679">
        <v>6</v>
      </c>
      <c r="S2679">
        <v>30</v>
      </c>
      <c r="T2679">
        <v>999</v>
      </c>
      <c r="U2679">
        <v>999</v>
      </c>
    </row>
    <row r="2680" spans="1:21" x14ac:dyDescent="0.35">
      <c r="A2680" t="s">
        <v>26</v>
      </c>
      <c r="B2680" s="1">
        <v>44201</v>
      </c>
      <c r="C2680" t="s">
        <v>22</v>
      </c>
      <c r="D2680">
        <v>21.2</v>
      </c>
      <c r="E2680">
        <v>3</v>
      </c>
      <c r="F2680">
        <v>0</v>
      </c>
      <c r="G2680">
        <v>7.1</v>
      </c>
      <c r="H2680">
        <v>0</v>
      </c>
      <c r="I2680">
        <v>27.3</v>
      </c>
      <c r="J2680">
        <v>1.8</v>
      </c>
      <c r="K2680">
        <v>0</v>
      </c>
      <c r="L2680">
        <v>15.3</v>
      </c>
      <c r="M2680">
        <v>0</v>
      </c>
      <c r="N2680">
        <v>1471355</v>
      </c>
      <c r="O2680">
        <v>709078</v>
      </c>
      <c r="P2680">
        <v>0</v>
      </c>
      <c r="Q2680">
        <v>312</v>
      </c>
      <c r="R2680">
        <v>21</v>
      </c>
      <c r="S2680">
        <v>0</v>
      </c>
      <c r="T2680">
        <v>999</v>
      </c>
      <c r="U2680">
        <v>999</v>
      </c>
    </row>
    <row r="2681" spans="1:21" x14ac:dyDescent="0.35">
      <c r="A2681" t="s">
        <v>28</v>
      </c>
      <c r="B2681" s="1">
        <v>44758</v>
      </c>
      <c r="C2681" t="s">
        <v>31</v>
      </c>
      <c r="D2681">
        <v>227.1</v>
      </c>
      <c r="E2681">
        <v>195.3</v>
      </c>
      <c r="F2681">
        <v>236.5</v>
      </c>
      <c r="G2681">
        <v>1.2</v>
      </c>
      <c r="H2681">
        <v>1</v>
      </c>
      <c r="I2681">
        <v>0</v>
      </c>
      <c r="J2681">
        <v>0</v>
      </c>
      <c r="K2681">
        <v>0</v>
      </c>
      <c r="L2681">
        <v>0</v>
      </c>
      <c r="M2681">
        <v>0</v>
      </c>
      <c r="N2681">
        <v>46231</v>
      </c>
      <c r="O2681">
        <v>45565</v>
      </c>
      <c r="P2681">
        <v>168311</v>
      </c>
      <c r="Q2681">
        <v>105</v>
      </c>
      <c r="R2681">
        <v>89</v>
      </c>
      <c r="S2681">
        <v>398</v>
      </c>
      <c r="T2681">
        <v>65</v>
      </c>
      <c r="U2681">
        <v>79</v>
      </c>
    </row>
    <row r="2682" spans="1:21" x14ac:dyDescent="0.35">
      <c r="A2682" t="s">
        <v>21</v>
      </c>
      <c r="B2682" s="1">
        <v>44499</v>
      </c>
      <c r="C2682" t="s">
        <v>31</v>
      </c>
      <c r="D2682">
        <v>6.8</v>
      </c>
      <c r="E2682">
        <v>0.6</v>
      </c>
      <c r="F2682">
        <v>0</v>
      </c>
      <c r="G2682">
        <v>11.3</v>
      </c>
      <c r="H2682">
        <v>0</v>
      </c>
      <c r="I2682">
        <v>0</v>
      </c>
      <c r="J2682">
        <v>0</v>
      </c>
      <c r="K2682">
        <v>0</v>
      </c>
      <c r="L2682">
        <v>0</v>
      </c>
      <c r="M2682">
        <v>0</v>
      </c>
      <c r="N2682">
        <v>59028</v>
      </c>
      <c r="O2682">
        <v>168312</v>
      </c>
      <c r="P2682">
        <v>32952</v>
      </c>
      <c r="Q2682">
        <v>4</v>
      </c>
      <c r="R2682">
        <v>1</v>
      </c>
      <c r="S2682">
        <v>0</v>
      </c>
      <c r="T2682">
        <v>65</v>
      </c>
      <c r="U2682">
        <v>79</v>
      </c>
    </row>
    <row r="2683" spans="1:21" x14ac:dyDescent="0.35">
      <c r="A2683" t="s">
        <v>26</v>
      </c>
      <c r="B2683" s="1">
        <v>44933</v>
      </c>
      <c r="C2683" t="s">
        <v>32</v>
      </c>
      <c r="D2683">
        <v>0</v>
      </c>
      <c r="E2683">
        <v>0</v>
      </c>
      <c r="F2683">
        <v>0</v>
      </c>
      <c r="G2683">
        <v>0</v>
      </c>
      <c r="H2683">
        <v>0</v>
      </c>
      <c r="I2683">
        <v>0</v>
      </c>
      <c r="J2683">
        <v>0</v>
      </c>
      <c r="K2683">
        <v>0</v>
      </c>
      <c r="L2683">
        <v>0</v>
      </c>
      <c r="M2683">
        <v>0</v>
      </c>
      <c r="N2683">
        <v>162642</v>
      </c>
      <c r="O2683">
        <v>0</v>
      </c>
      <c r="P2683">
        <v>0</v>
      </c>
      <c r="Q2683">
        <v>0</v>
      </c>
      <c r="R2683">
        <v>0</v>
      </c>
      <c r="S2683">
        <v>0</v>
      </c>
      <c r="T2683">
        <v>0</v>
      </c>
      <c r="U2683">
        <v>4</v>
      </c>
    </row>
    <row r="2684" spans="1:21" x14ac:dyDescent="0.35">
      <c r="A2684" t="s">
        <v>28</v>
      </c>
      <c r="B2684" s="1">
        <v>44499</v>
      </c>
      <c r="C2684" t="s">
        <v>29</v>
      </c>
      <c r="D2684">
        <v>193.1</v>
      </c>
      <c r="E2684">
        <v>69.599999999999994</v>
      </c>
      <c r="F2684">
        <v>49.6</v>
      </c>
      <c r="G2684">
        <v>2.8</v>
      </c>
      <c r="H2684">
        <v>3.9</v>
      </c>
      <c r="I2684">
        <v>0</v>
      </c>
      <c r="J2684">
        <v>0</v>
      </c>
      <c r="K2684">
        <v>0</v>
      </c>
      <c r="L2684">
        <v>0</v>
      </c>
      <c r="M2684">
        <v>0</v>
      </c>
      <c r="N2684">
        <v>203492</v>
      </c>
      <c r="O2684">
        <v>531626</v>
      </c>
      <c r="P2684">
        <v>24199</v>
      </c>
      <c r="Q2684">
        <v>393</v>
      </c>
      <c r="R2684">
        <v>370</v>
      </c>
      <c r="S2684">
        <v>12</v>
      </c>
      <c r="T2684">
        <v>30</v>
      </c>
      <c r="U2684">
        <v>49</v>
      </c>
    </row>
    <row r="2685" spans="1:21" x14ac:dyDescent="0.35">
      <c r="A2685" t="s">
        <v>28</v>
      </c>
      <c r="B2685" s="1">
        <v>44966</v>
      </c>
      <c r="C2685" t="s">
        <v>22</v>
      </c>
      <c r="D2685">
        <v>67.099999999999994</v>
      </c>
      <c r="E2685">
        <v>30.6</v>
      </c>
      <c r="F2685">
        <v>46.9</v>
      </c>
      <c r="G2685">
        <v>2.2000000000000002</v>
      </c>
      <c r="H2685">
        <v>1.4</v>
      </c>
      <c r="I2685">
        <v>72.8</v>
      </c>
      <c r="J2685">
        <v>32.9</v>
      </c>
      <c r="K2685">
        <v>39.5</v>
      </c>
      <c r="L2685">
        <v>2.2000000000000002</v>
      </c>
      <c r="M2685">
        <v>1.8</v>
      </c>
      <c r="N2685">
        <v>527182</v>
      </c>
      <c r="O2685">
        <v>860288</v>
      </c>
      <c r="P2685">
        <v>1040815</v>
      </c>
      <c r="Q2685">
        <v>354</v>
      </c>
      <c r="R2685">
        <v>263</v>
      </c>
      <c r="S2685">
        <v>488</v>
      </c>
      <c r="T2685">
        <v>999</v>
      </c>
      <c r="U2685">
        <v>999</v>
      </c>
    </row>
    <row r="2686" spans="1:21" x14ac:dyDescent="0.35">
      <c r="A2686" t="s">
        <v>26</v>
      </c>
      <c r="B2686" s="1">
        <v>44947</v>
      </c>
      <c r="C2686" t="s">
        <v>23</v>
      </c>
      <c r="D2686">
        <v>34.9</v>
      </c>
      <c r="E2686">
        <v>5.6</v>
      </c>
      <c r="F2686">
        <v>6.9</v>
      </c>
      <c r="G2686">
        <v>6.2</v>
      </c>
      <c r="H2686">
        <v>5.0999999999999996</v>
      </c>
      <c r="I2686">
        <v>0</v>
      </c>
      <c r="J2686">
        <v>0</v>
      </c>
      <c r="K2686">
        <v>0</v>
      </c>
      <c r="L2686">
        <v>0</v>
      </c>
      <c r="M2686">
        <v>0</v>
      </c>
      <c r="N2686">
        <v>34398</v>
      </c>
      <c r="O2686">
        <v>125483</v>
      </c>
      <c r="P2686">
        <v>246834</v>
      </c>
      <c r="Q2686">
        <v>12</v>
      </c>
      <c r="R2686">
        <v>7</v>
      </c>
      <c r="S2686">
        <v>17</v>
      </c>
      <c r="T2686">
        <v>50</v>
      </c>
      <c r="U2686">
        <v>64</v>
      </c>
    </row>
    <row r="2687" spans="1:21" x14ac:dyDescent="0.35">
      <c r="A2687" t="s">
        <v>21</v>
      </c>
      <c r="B2687" s="1">
        <v>44800</v>
      </c>
      <c r="C2687" t="s">
        <v>31</v>
      </c>
      <c r="D2687">
        <v>6.6</v>
      </c>
      <c r="E2687">
        <v>0</v>
      </c>
      <c r="F2687">
        <v>0.6</v>
      </c>
      <c r="G2687">
        <v>0</v>
      </c>
      <c r="H2687">
        <v>11</v>
      </c>
      <c r="I2687">
        <v>0</v>
      </c>
      <c r="J2687">
        <v>0</v>
      </c>
      <c r="K2687">
        <v>0</v>
      </c>
      <c r="L2687">
        <v>0</v>
      </c>
      <c r="M2687">
        <v>0</v>
      </c>
      <c r="N2687">
        <v>45631</v>
      </c>
      <c r="O2687">
        <v>43956</v>
      </c>
      <c r="P2687">
        <v>170603</v>
      </c>
      <c r="Q2687">
        <v>3</v>
      </c>
      <c r="R2687">
        <v>0</v>
      </c>
      <c r="S2687">
        <v>1</v>
      </c>
      <c r="T2687">
        <v>65</v>
      </c>
      <c r="U2687">
        <v>79</v>
      </c>
    </row>
    <row r="2688" spans="1:21" x14ac:dyDescent="0.35">
      <c r="A2688" t="s">
        <v>26</v>
      </c>
      <c r="B2688" s="1">
        <v>44849</v>
      </c>
      <c r="C2688" t="s">
        <v>23</v>
      </c>
      <c r="D2688">
        <v>15.7</v>
      </c>
      <c r="E2688">
        <v>9.6</v>
      </c>
      <c r="F2688">
        <v>5.3</v>
      </c>
      <c r="G2688">
        <v>1.6</v>
      </c>
      <c r="H2688">
        <v>3</v>
      </c>
      <c r="I2688">
        <v>0</v>
      </c>
      <c r="J2688">
        <v>0</v>
      </c>
      <c r="K2688">
        <v>0</v>
      </c>
      <c r="L2688">
        <v>0</v>
      </c>
      <c r="M2688">
        <v>0</v>
      </c>
      <c r="N2688">
        <v>38173</v>
      </c>
      <c r="O2688">
        <v>125196</v>
      </c>
      <c r="P2688">
        <v>246614</v>
      </c>
      <c r="Q2688">
        <v>6</v>
      </c>
      <c r="R2688">
        <v>12</v>
      </c>
      <c r="S2688">
        <v>13</v>
      </c>
      <c r="T2688">
        <v>50</v>
      </c>
      <c r="U2688">
        <v>64</v>
      </c>
    </row>
    <row r="2689" spans="1:21" x14ac:dyDescent="0.35">
      <c r="A2689" t="s">
        <v>21</v>
      </c>
      <c r="B2689" s="1">
        <v>45220</v>
      </c>
      <c r="C2689" t="s">
        <v>30</v>
      </c>
      <c r="D2689">
        <v>4.0999999999999996</v>
      </c>
      <c r="E2689">
        <v>0</v>
      </c>
      <c r="F2689">
        <v>2.1</v>
      </c>
      <c r="G2689">
        <v>0</v>
      </c>
      <c r="H2689">
        <v>2</v>
      </c>
      <c r="I2689">
        <v>0</v>
      </c>
      <c r="J2689">
        <v>0</v>
      </c>
      <c r="K2689">
        <v>0</v>
      </c>
      <c r="L2689">
        <v>0</v>
      </c>
      <c r="M2689">
        <v>0</v>
      </c>
      <c r="N2689">
        <v>24189</v>
      </c>
      <c r="O2689">
        <v>11483</v>
      </c>
      <c r="P2689">
        <v>47191</v>
      </c>
      <c r="Q2689">
        <v>1</v>
      </c>
      <c r="R2689">
        <v>0</v>
      </c>
      <c r="S2689">
        <v>1</v>
      </c>
      <c r="T2689">
        <v>80</v>
      </c>
      <c r="U2689">
        <v>200</v>
      </c>
    </row>
    <row r="2690" spans="1:21" x14ac:dyDescent="0.35">
      <c r="A2690" t="s">
        <v>28</v>
      </c>
      <c r="B2690" s="1">
        <v>44975</v>
      </c>
      <c r="C2690" t="s">
        <v>23</v>
      </c>
      <c r="D2690">
        <v>235.6</v>
      </c>
      <c r="E2690">
        <v>56.5</v>
      </c>
      <c r="F2690">
        <v>102.1</v>
      </c>
      <c r="G2690">
        <v>4.2</v>
      </c>
      <c r="H2690">
        <v>2.2999999999999998</v>
      </c>
      <c r="I2690">
        <v>0</v>
      </c>
      <c r="J2690">
        <v>0</v>
      </c>
      <c r="K2690">
        <v>0</v>
      </c>
      <c r="L2690">
        <v>0</v>
      </c>
      <c r="M2690">
        <v>0</v>
      </c>
      <c r="N2690">
        <v>33956</v>
      </c>
      <c r="O2690">
        <v>125555</v>
      </c>
      <c r="P2690">
        <v>246862</v>
      </c>
      <c r="Q2690">
        <v>80</v>
      </c>
      <c r="R2690">
        <v>71</v>
      </c>
      <c r="S2690">
        <v>252</v>
      </c>
      <c r="T2690">
        <v>50</v>
      </c>
      <c r="U2690">
        <v>64</v>
      </c>
    </row>
    <row r="2691" spans="1:21" x14ac:dyDescent="0.35">
      <c r="A2691" t="s">
        <v>26</v>
      </c>
      <c r="B2691" s="1">
        <v>45232</v>
      </c>
      <c r="C2691" t="s">
        <v>24</v>
      </c>
      <c r="D2691">
        <v>1.1000000000000001</v>
      </c>
      <c r="E2691">
        <v>0</v>
      </c>
      <c r="F2691">
        <v>4.7</v>
      </c>
      <c r="G2691">
        <v>0</v>
      </c>
      <c r="H2691">
        <v>0.2</v>
      </c>
      <c r="I2691">
        <v>0</v>
      </c>
      <c r="J2691">
        <v>0</v>
      </c>
      <c r="K2691">
        <v>0</v>
      </c>
      <c r="L2691">
        <v>0</v>
      </c>
      <c r="M2691">
        <v>0</v>
      </c>
      <c r="N2691">
        <v>91730</v>
      </c>
      <c r="O2691">
        <v>82035</v>
      </c>
      <c r="P2691">
        <v>21195</v>
      </c>
      <c r="Q2691">
        <v>1</v>
      </c>
      <c r="R2691">
        <v>0</v>
      </c>
      <c r="S2691">
        <v>1</v>
      </c>
      <c r="T2691">
        <v>5</v>
      </c>
      <c r="U2691">
        <v>11</v>
      </c>
    </row>
    <row r="2692" spans="1:21" x14ac:dyDescent="0.35">
      <c r="A2692" t="s">
        <v>21</v>
      </c>
      <c r="B2692" s="1">
        <v>45220</v>
      </c>
      <c r="C2692" t="s">
        <v>25</v>
      </c>
      <c r="D2692">
        <v>0</v>
      </c>
      <c r="E2692">
        <v>0</v>
      </c>
      <c r="F2692">
        <v>0</v>
      </c>
      <c r="G2692">
        <v>0</v>
      </c>
      <c r="H2692">
        <v>0</v>
      </c>
      <c r="I2692">
        <v>0</v>
      </c>
      <c r="J2692">
        <v>0</v>
      </c>
      <c r="K2692">
        <v>0</v>
      </c>
      <c r="L2692">
        <v>0</v>
      </c>
      <c r="M2692">
        <v>0</v>
      </c>
      <c r="N2692">
        <v>70650</v>
      </c>
      <c r="O2692">
        <v>214710</v>
      </c>
      <c r="P2692">
        <v>162045</v>
      </c>
      <c r="Q2692">
        <v>0</v>
      </c>
      <c r="R2692">
        <v>0</v>
      </c>
      <c r="S2692">
        <v>0</v>
      </c>
      <c r="T2692">
        <v>18</v>
      </c>
      <c r="U2692">
        <v>29</v>
      </c>
    </row>
    <row r="2693" spans="1:21" x14ac:dyDescent="0.35">
      <c r="A2693" t="s">
        <v>28</v>
      </c>
      <c r="B2693" s="1">
        <v>44422</v>
      </c>
      <c r="C2693" t="s">
        <v>22</v>
      </c>
      <c r="D2693">
        <v>188.4</v>
      </c>
      <c r="E2693">
        <v>91.5</v>
      </c>
      <c r="F2693">
        <v>0</v>
      </c>
      <c r="G2693">
        <v>2.1</v>
      </c>
      <c r="H2693">
        <v>0</v>
      </c>
      <c r="I2693">
        <v>210.1</v>
      </c>
      <c r="J2693">
        <v>75.400000000000006</v>
      </c>
      <c r="K2693">
        <v>0</v>
      </c>
      <c r="L2693">
        <v>2.8</v>
      </c>
      <c r="M2693">
        <v>0</v>
      </c>
      <c r="N2693">
        <v>1110584</v>
      </c>
      <c r="O2693">
        <v>1424722</v>
      </c>
      <c r="P2693">
        <v>0</v>
      </c>
      <c r="Q2693">
        <v>2092</v>
      </c>
      <c r="R2693">
        <v>1303</v>
      </c>
      <c r="S2693">
        <v>0</v>
      </c>
      <c r="T2693">
        <v>999</v>
      </c>
      <c r="U2693">
        <v>999</v>
      </c>
    </row>
    <row r="2694" spans="1:21" x14ac:dyDescent="0.35">
      <c r="A2694" t="s">
        <v>28</v>
      </c>
      <c r="B2694" s="1">
        <v>44702</v>
      </c>
      <c r="C2694" t="s">
        <v>25</v>
      </c>
      <c r="D2694">
        <v>366.5</v>
      </c>
      <c r="E2694">
        <v>161.5</v>
      </c>
      <c r="F2694">
        <v>413.2</v>
      </c>
      <c r="G2694">
        <v>2.2999999999999998</v>
      </c>
      <c r="H2694">
        <v>0.9</v>
      </c>
      <c r="I2694">
        <v>0</v>
      </c>
      <c r="J2694">
        <v>0</v>
      </c>
      <c r="K2694">
        <v>0</v>
      </c>
      <c r="L2694">
        <v>0</v>
      </c>
      <c r="M2694">
        <v>0</v>
      </c>
      <c r="N2694">
        <v>95759</v>
      </c>
      <c r="O2694">
        <v>216738</v>
      </c>
      <c r="P2694">
        <v>152215</v>
      </c>
      <c r="Q2694">
        <v>351</v>
      </c>
      <c r="R2694">
        <v>350</v>
      </c>
      <c r="S2694">
        <v>629</v>
      </c>
      <c r="T2694">
        <v>18</v>
      </c>
      <c r="U2694">
        <v>29</v>
      </c>
    </row>
    <row r="2695" spans="1:21" x14ac:dyDescent="0.35">
      <c r="A2695" t="s">
        <v>26</v>
      </c>
      <c r="B2695" s="1">
        <v>44747</v>
      </c>
      <c r="C2695" t="s">
        <v>25</v>
      </c>
      <c r="D2695">
        <v>5.2</v>
      </c>
      <c r="E2695">
        <v>3.2</v>
      </c>
      <c r="F2695">
        <v>2</v>
      </c>
      <c r="G2695">
        <v>1.6</v>
      </c>
      <c r="H2695">
        <v>2.6</v>
      </c>
      <c r="I2695">
        <v>0</v>
      </c>
      <c r="J2695">
        <v>0</v>
      </c>
      <c r="K2695">
        <v>0</v>
      </c>
      <c r="L2695">
        <v>0</v>
      </c>
      <c r="M2695">
        <v>0</v>
      </c>
      <c r="N2695">
        <v>96593</v>
      </c>
      <c r="O2695">
        <v>217622</v>
      </c>
      <c r="P2695">
        <v>150759</v>
      </c>
      <c r="Q2695">
        <v>5</v>
      </c>
      <c r="R2695">
        <v>7</v>
      </c>
      <c r="S2695">
        <v>3</v>
      </c>
      <c r="T2695">
        <v>18</v>
      </c>
      <c r="U2695">
        <v>29</v>
      </c>
    </row>
    <row r="2696" spans="1:21" x14ac:dyDescent="0.35">
      <c r="A2696" t="s">
        <v>28</v>
      </c>
      <c r="B2696" s="1">
        <v>44846</v>
      </c>
      <c r="C2696" t="s">
        <v>23</v>
      </c>
      <c r="D2696">
        <v>427.9</v>
      </c>
      <c r="E2696">
        <v>149.19999999999999</v>
      </c>
      <c r="F2696">
        <v>193.7</v>
      </c>
      <c r="G2696">
        <v>2.9</v>
      </c>
      <c r="H2696">
        <v>2.2000000000000002</v>
      </c>
      <c r="I2696">
        <v>0</v>
      </c>
      <c r="J2696">
        <v>0</v>
      </c>
      <c r="K2696">
        <v>0</v>
      </c>
      <c r="L2696">
        <v>0</v>
      </c>
      <c r="M2696">
        <v>0</v>
      </c>
      <c r="N2696">
        <v>35521</v>
      </c>
      <c r="O2696">
        <v>125371</v>
      </c>
      <c r="P2696">
        <v>246748</v>
      </c>
      <c r="Q2696">
        <v>152</v>
      </c>
      <c r="R2696">
        <v>187</v>
      </c>
      <c r="S2696">
        <v>478</v>
      </c>
      <c r="T2696">
        <v>50</v>
      </c>
      <c r="U2696">
        <v>64</v>
      </c>
    </row>
    <row r="2697" spans="1:21" x14ac:dyDescent="0.35">
      <c r="A2697" t="s">
        <v>21</v>
      </c>
      <c r="B2697" s="1">
        <v>45018</v>
      </c>
      <c r="C2697" t="s">
        <v>25</v>
      </c>
      <c r="D2697">
        <v>0</v>
      </c>
      <c r="E2697">
        <v>0</v>
      </c>
      <c r="F2697">
        <v>0</v>
      </c>
      <c r="G2697">
        <v>0</v>
      </c>
      <c r="H2697">
        <v>0</v>
      </c>
      <c r="I2697">
        <v>0</v>
      </c>
      <c r="J2697">
        <v>0</v>
      </c>
      <c r="K2697">
        <v>0</v>
      </c>
      <c r="L2697">
        <v>0</v>
      </c>
      <c r="M2697">
        <v>0</v>
      </c>
      <c r="N2697">
        <v>77612</v>
      </c>
      <c r="O2697">
        <v>213252</v>
      </c>
      <c r="P2697">
        <v>161643</v>
      </c>
      <c r="Q2697">
        <v>0</v>
      </c>
      <c r="R2697">
        <v>0</v>
      </c>
      <c r="S2697">
        <v>0</v>
      </c>
      <c r="T2697">
        <v>18</v>
      </c>
      <c r="U2697">
        <v>29</v>
      </c>
    </row>
    <row r="2698" spans="1:21" x14ac:dyDescent="0.35">
      <c r="A2698" t="s">
        <v>21</v>
      </c>
      <c r="B2698" s="1">
        <v>44571</v>
      </c>
      <c r="C2698" t="s">
        <v>27</v>
      </c>
      <c r="D2698">
        <v>0</v>
      </c>
      <c r="E2698">
        <v>0</v>
      </c>
      <c r="F2698">
        <v>0</v>
      </c>
      <c r="G2698">
        <v>0</v>
      </c>
      <c r="H2698">
        <v>0</v>
      </c>
      <c r="I2698">
        <v>0</v>
      </c>
      <c r="J2698">
        <v>0</v>
      </c>
      <c r="K2698">
        <v>0</v>
      </c>
      <c r="L2698">
        <v>0</v>
      </c>
      <c r="M2698">
        <v>0</v>
      </c>
      <c r="N2698">
        <v>34876</v>
      </c>
      <c r="O2698">
        <v>85807</v>
      </c>
      <c r="P2698">
        <v>44418</v>
      </c>
      <c r="Q2698">
        <v>0</v>
      </c>
      <c r="R2698">
        <v>0</v>
      </c>
      <c r="S2698">
        <v>0</v>
      </c>
      <c r="T2698">
        <v>12</v>
      </c>
      <c r="U2698">
        <v>17</v>
      </c>
    </row>
    <row r="2699" spans="1:21" x14ac:dyDescent="0.35">
      <c r="A2699" t="s">
        <v>21</v>
      </c>
      <c r="B2699" s="1">
        <v>44449</v>
      </c>
      <c r="C2699" t="s">
        <v>22</v>
      </c>
      <c r="D2699">
        <v>2.6</v>
      </c>
      <c r="E2699">
        <v>0.2</v>
      </c>
      <c r="F2699">
        <v>0</v>
      </c>
      <c r="G2699">
        <v>13</v>
      </c>
      <c r="H2699">
        <v>0</v>
      </c>
      <c r="I2699">
        <v>4</v>
      </c>
      <c r="J2699">
        <v>0.2</v>
      </c>
      <c r="K2699">
        <v>0</v>
      </c>
      <c r="L2699">
        <v>23.5</v>
      </c>
      <c r="M2699">
        <v>0</v>
      </c>
      <c r="N2699">
        <v>998664</v>
      </c>
      <c r="O2699">
        <v>1519169</v>
      </c>
      <c r="P2699">
        <v>0</v>
      </c>
      <c r="Q2699">
        <v>26</v>
      </c>
      <c r="R2699">
        <v>3</v>
      </c>
      <c r="S2699">
        <v>0</v>
      </c>
      <c r="T2699">
        <v>999</v>
      </c>
      <c r="U2699">
        <v>999</v>
      </c>
    </row>
    <row r="2700" spans="1:21" x14ac:dyDescent="0.35">
      <c r="A2700" t="s">
        <v>26</v>
      </c>
      <c r="B2700" s="1">
        <v>44930</v>
      </c>
      <c r="C2700" t="s">
        <v>30</v>
      </c>
      <c r="D2700">
        <v>28.4</v>
      </c>
      <c r="E2700">
        <v>8.8000000000000007</v>
      </c>
      <c r="F2700">
        <v>34</v>
      </c>
      <c r="G2700">
        <v>3.2</v>
      </c>
      <c r="H2700">
        <v>0.8</v>
      </c>
      <c r="I2700">
        <v>0</v>
      </c>
      <c r="J2700">
        <v>0</v>
      </c>
      <c r="K2700">
        <v>0</v>
      </c>
      <c r="L2700">
        <v>0</v>
      </c>
      <c r="M2700">
        <v>0</v>
      </c>
      <c r="N2700">
        <v>24634</v>
      </c>
      <c r="O2700">
        <v>11382</v>
      </c>
      <c r="P2700">
        <v>47126</v>
      </c>
      <c r="Q2700">
        <v>7</v>
      </c>
      <c r="R2700">
        <v>1</v>
      </c>
      <c r="S2700">
        <v>16</v>
      </c>
      <c r="T2700">
        <v>80</v>
      </c>
      <c r="U2700">
        <v>200</v>
      </c>
    </row>
    <row r="2701" spans="1:21" x14ac:dyDescent="0.35">
      <c r="A2701" t="s">
        <v>26</v>
      </c>
      <c r="B2701" s="1">
        <v>45059</v>
      </c>
      <c r="C2701" t="s">
        <v>22</v>
      </c>
      <c r="D2701">
        <v>3.7</v>
      </c>
      <c r="E2701">
        <v>1.7</v>
      </c>
      <c r="F2701">
        <v>3.9</v>
      </c>
      <c r="G2701">
        <v>2.2000000000000002</v>
      </c>
      <c r="H2701">
        <v>0.9</v>
      </c>
      <c r="I2701">
        <v>4.3</v>
      </c>
      <c r="J2701">
        <v>2.9</v>
      </c>
      <c r="K2701">
        <v>2.6</v>
      </c>
      <c r="L2701">
        <v>1.5</v>
      </c>
      <c r="M2701">
        <v>1.7</v>
      </c>
      <c r="N2701">
        <v>536622</v>
      </c>
      <c r="O2701">
        <v>860351</v>
      </c>
      <c r="P2701">
        <v>1040648</v>
      </c>
      <c r="Q2701">
        <v>20</v>
      </c>
      <c r="R2701">
        <v>15</v>
      </c>
      <c r="S2701">
        <v>41</v>
      </c>
      <c r="T2701">
        <v>999</v>
      </c>
      <c r="U2701">
        <v>999</v>
      </c>
    </row>
    <row r="2702" spans="1:21" x14ac:dyDescent="0.35">
      <c r="A2702" t="s">
        <v>21</v>
      </c>
      <c r="B2702" s="1">
        <v>44646</v>
      </c>
      <c r="C2702" t="s">
        <v>27</v>
      </c>
      <c r="D2702">
        <v>0</v>
      </c>
      <c r="E2702">
        <v>0</v>
      </c>
      <c r="F2702">
        <v>0</v>
      </c>
      <c r="G2702">
        <v>0</v>
      </c>
      <c r="H2702">
        <v>0</v>
      </c>
      <c r="I2702">
        <v>0</v>
      </c>
      <c r="J2702">
        <v>0</v>
      </c>
      <c r="K2702">
        <v>0</v>
      </c>
      <c r="L2702">
        <v>0</v>
      </c>
      <c r="M2702">
        <v>0</v>
      </c>
      <c r="N2702">
        <v>38433</v>
      </c>
      <c r="O2702">
        <v>95876</v>
      </c>
      <c r="P2702">
        <v>30389</v>
      </c>
      <c r="Q2702">
        <v>0</v>
      </c>
      <c r="R2702">
        <v>0</v>
      </c>
      <c r="S2702">
        <v>0</v>
      </c>
      <c r="T2702">
        <v>12</v>
      </c>
      <c r="U2702">
        <v>17</v>
      </c>
    </row>
    <row r="2703" spans="1:21" x14ac:dyDescent="0.35">
      <c r="A2703" t="s">
        <v>26</v>
      </c>
      <c r="B2703" s="1">
        <v>44765</v>
      </c>
      <c r="C2703" t="s">
        <v>25</v>
      </c>
      <c r="D2703">
        <v>12.9</v>
      </c>
      <c r="E2703">
        <v>6.1</v>
      </c>
      <c r="F2703">
        <v>4.4000000000000004</v>
      </c>
      <c r="G2703">
        <v>2.1</v>
      </c>
      <c r="H2703">
        <v>2.9</v>
      </c>
      <c r="I2703">
        <v>0</v>
      </c>
      <c r="J2703">
        <v>0</v>
      </c>
      <c r="K2703">
        <v>0</v>
      </c>
      <c r="L2703">
        <v>0</v>
      </c>
      <c r="M2703">
        <v>0</v>
      </c>
      <c r="N2703">
        <v>92731</v>
      </c>
      <c r="O2703">
        <v>213642</v>
      </c>
      <c r="P2703">
        <v>157475</v>
      </c>
      <c r="Q2703">
        <v>12</v>
      </c>
      <c r="R2703">
        <v>13</v>
      </c>
      <c r="S2703">
        <v>7</v>
      </c>
      <c r="T2703">
        <v>18</v>
      </c>
      <c r="U2703">
        <v>29</v>
      </c>
    </row>
    <row r="2704" spans="1:21" x14ac:dyDescent="0.35">
      <c r="A2704" t="s">
        <v>21</v>
      </c>
      <c r="B2704" s="1">
        <v>44793</v>
      </c>
      <c r="C2704" t="s">
        <v>24</v>
      </c>
      <c r="D2704">
        <v>0</v>
      </c>
      <c r="E2704">
        <v>0</v>
      </c>
      <c r="F2704">
        <v>0</v>
      </c>
      <c r="G2704">
        <v>0</v>
      </c>
      <c r="H2704">
        <v>0</v>
      </c>
      <c r="I2704">
        <v>0</v>
      </c>
      <c r="J2704">
        <v>0</v>
      </c>
      <c r="K2704">
        <v>0</v>
      </c>
      <c r="L2704">
        <v>0</v>
      </c>
      <c r="M2704">
        <v>0</v>
      </c>
      <c r="N2704">
        <v>96145</v>
      </c>
      <c r="O2704">
        <v>84646</v>
      </c>
      <c r="P2704">
        <v>14013</v>
      </c>
      <c r="Q2704">
        <v>0</v>
      </c>
      <c r="R2704">
        <v>0</v>
      </c>
      <c r="S2704">
        <v>0</v>
      </c>
      <c r="T2704">
        <v>5</v>
      </c>
      <c r="U2704">
        <v>11</v>
      </c>
    </row>
    <row r="2705" spans="1:21" x14ac:dyDescent="0.35">
      <c r="A2705" t="s">
        <v>21</v>
      </c>
      <c r="B2705" s="1">
        <v>44429</v>
      </c>
      <c r="C2705" t="s">
        <v>29</v>
      </c>
      <c r="D2705">
        <v>0.8</v>
      </c>
      <c r="E2705">
        <v>0</v>
      </c>
      <c r="F2705">
        <v>0</v>
      </c>
      <c r="G2705">
        <v>0</v>
      </c>
      <c r="H2705">
        <v>0</v>
      </c>
      <c r="I2705">
        <v>0</v>
      </c>
      <c r="J2705">
        <v>0</v>
      </c>
      <c r="K2705">
        <v>0</v>
      </c>
      <c r="L2705">
        <v>0</v>
      </c>
      <c r="M2705">
        <v>0</v>
      </c>
      <c r="N2705">
        <v>249126</v>
      </c>
      <c r="O2705">
        <v>508434</v>
      </c>
      <c r="P2705">
        <v>0</v>
      </c>
      <c r="Q2705">
        <v>2</v>
      </c>
      <c r="R2705">
        <v>0</v>
      </c>
      <c r="S2705">
        <v>0</v>
      </c>
      <c r="T2705">
        <v>30</v>
      </c>
      <c r="U2705">
        <v>49</v>
      </c>
    </row>
    <row r="2706" spans="1:21" x14ac:dyDescent="0.35">
      <c r="A2706" t="s">
        <v>26</v>
      </c>
      <c r="B2706" s="1">
        <v>44492</v>
      </c>
      <c r="C2706" t="s">
        <v>22</v>
      </c>
      <c r="D2706">
        <v>8.3000000000000007</v>
      </c>
      <c r="E2706">
        <v>2.5</v>
      </c>
      <c r="F2706">
        <v>1.5</v>
      </c>
      <c r="G2706">
        <v>3.3</v>
      </c>
      <c r="H2706">
        <v>5.5</v>
      </c>
      <c r="I2706">
        <v>12.6</v>
      </c>
      <c r="J2706">
        <v>2</v>
      </c>
      <c r="K2706">
        <v>1.1000000000000001</v>
      </c>
      <c r="L2706">
        <v>6.2</v>
      </c>
      <c r="M2706">
        <v>11.1</v>
      </c>
      <c r="N2706">
        <v>978761</v>
      </c>
      <c r="O2706">
        <v>1496643</v>
      </c>
      <c r="P2706">
        <v>68441</v>
      </c>
      <c r="Q2706">
        <v>81</v>
      </c>
      <c r="R2706">
        <v>38</v>
      </c>
      <c r="S2706">
        <v>1</v>
      </c>
      <c r="T2706">
        <v>999</v>
      </c>
      <c r="U2706">
        <v>999</v>
      </c>
    </row>
    <row r="2707" spans="1:21" x14ac:dyDescent="0.35">
      <c r="A2707" t="s">
        <v>21</v>
      </c>
      <c r="B2707" s="1">
        <v>45031</v>
      </c>
      <c r="C2707" t="s">
        <v>24</v>
      </c>
      <c r="D2707">
        <v>0</v>
      </c>
      <c r="E2707">
        <v>0</v>
      </c>
      <c r="F2707">
        <v>0</v>
      </c>
      <c r="G2707">
        <v>0</v>
      </c>
      <c r="H2707">
        <v>0</v>
      </c>
      <c r="I2707">
        <v>0</v>
      </c>
      <c r="J2707">
        <v>0</v>
      </c>
      <c r="K2707">
        <v>0</v>
      </c>
      <c r="L2707">
        <v>0</v>
      </c>
      <c r="M2707">
        <v>0</v>
      </c>
      <c r="N2707">
        <v>91051</v>
      </c>
      <c r="O2707">
        <v>82568</v>
      </c>
      <c r="P2707">
        <v>21228</v>
      </c>
      <c r="Q2707">
        <v>0</v>
      </c>
      <c r="R2707">
        <v>0</v>
      </c>
      <c r="S2707">
        <v>0</v>
      </c>
      <c r="T2707">
        <v>5</v>
      </c>
      <c r="U2707">
        <v>11</v>
      </c>
    </row>
    <row r="2708" spans="1:21" x14ac:dyDescent="0.35">
      <c r="A2708" t="s">
        <v>21</v>
      </c>
      <c r="B2708" s="1">
        <v>44783</v>
      </c>
      <c r="C2708" t="s">
        <v>25</v>
      </c>
      <c r="D2708">
        <v>0</v>
      </c>
      <c r="E2708">
        <v>0</v>
      </c>
      <c r="F2708">
        <v>0</v>
      </c>
      <c r="G2708">
        <v>0</v>
      </c>
      <c r="H2708">
        <v>0</v>
      </c>
      <c r="I2708">
        <v>0</v>
      </c>
      <c r="J2708">
        <v>0</v>
      </c>
      <c r="K2708">
        <v>0</v>
      </c>
      <c r="L2708">
        <v>0</v>
      </c>
      <c r="M2708">
        <v>0</v>
      </c>
      <c r="N2708">
        <v>87155</v>
      </c>
      <c r="O2708">
        <v>211790</v>
      </c>
      <c r="P2708">
        <v>161468</v>
      </c>
      <c r="Q2708">
        <v>0</v>
      </c>
      <c r="R2708">
        <v>0</v>
      </c>
      <c r="S2708">
        <v>0</v>
      </c>
      <c r="T2708">
        <v>18</v>
      </c>
      <c r="U2708">
        <v>29</v>
      </c>
    </row>
    <row r="2709" spans="1:21" x14ac:dyDescent="0.35">
      <c r="A2709" t="s">
        <v>28</v>
      </c>
      <c r="B2709" s="1">
        <v>44947</v>
      </c>
      <c r="C2709" t="s">
        <v>25</v>
      </c>
      <c r="D2709">
        <v>124.2</v>
      </c>
      <c r="E2709">
        <v>43.2</v>
      </c>
      <c r="F2709">
        <v>52.6</v>
      </c>
      <c r="G2709">
        <v>2.9</v>
      </c>
      <c r="H2709">
        <v>2.4</v>
      </c>
      <c r="I2709">
        <v>0</v>
      </c>
      <c r="J2709">
        <v>0</v>
      </c>
      <c r="K2709">
        <v>0</v>
      </c>
      <c r="L2709">
        <v>0</v>
      </c>
      <c r="M2709">
        <v>0</v>
      </c>
      <c r="N2709">
        <v>78128</v>
      </c>
      <c r="O2709">
        <v>213123</v>
      </c>
      <c r="P2709">
        <v>161635</v>
      </c>
      <c r="Q2709">
        <v>97</v>
      </c>
      <c r="R2709">
        <v>92</v>
      </c>
      <c r="S2709">
        <v>85</v>
      </c>
      <c r="T2709">
        <v>18</v>
      </c>
      <c r="U2709">
        <v>29</v>
      </c>
    </row>
    <row r="2710" spans="1:21" x14ac:dyDescent="0.35">
      <c r="A2710" t="s">
        <v>28</v>
      </c>
      <c r="B2710" s="1">
        <v>44499</v>
      </c>
      <c r="C2710" t="s">
        <v>31</v>
      </c>
      <c r="D2710">
        <v>88.1</v>
      </c>
      <c r="E2710">
        <v>45.7</v>
      </c>
      <c r="F2710">
        <v>12.1</v>
      </c>
      <c r="G2710">
        <v>1.9</v>
      </c>
      <c r="H2710">
        <v>7.3</v>
      </c>
      <c r="I2710">
        <v>0</v>
      </c>
      <c r="J2710">
        <v>0</v>
      </c>
      <c r="K2710">
        <v>0</v>
      </c>
      <c r="L2710">
        <v>0</v>
      </c>
      <c r="M2710">
        <v>0</v>
      </c>
      <c r="N2710">
        <v>59028</v>
      </c>
      <c r="O2710">
        <v>168312</v>
      </c>
      <c r="P2710">
        <v>32952</v>
      </c>
      <c r="Q2710">
        <v>52</v>
      </c>
      <c r="R2710">
        <v>77</v>
      </c>
      <c r="S2710">
        <v>4</v>
      </c>
      <c r="T2710">
        <v>65</v>
      </c>
      <c r="U2710">
        <v>79</v>
      </c>
    </row>
    <row r="2711" spans="1:21" x14ac:dyDescent="0.35">
      <c r="A2711" t="s">
        <v>28</v>
      </c>
      <c r="B2711" s="1">
        <v>44720</v>
      </c>
      <c r="C2711" t="s">
        <v>27</v>
      </c>
      <c r="D2711">
        <v>150.9</v>
      </c>
      <c r="E2711">
        <v>72.900000000000006</v>
      </c>
      <c r="F2711">
        <v>89.4</v>
      </c>
      <c r="G2711">
        <v>2.1</v>
      </c>
      <c r="H2711">
        <v>1.7</v>
      </c>
      <c r="I2711">
        <v>0</v>
      </c>
      <c r="J2711">
        <v>0</v>
      </c>
      <c r="K2711">
        <v>0</v>
      </c>
      <c r="L2711">
        <v>0</v>
      </c>
      <c r="M2711">
        <v>0</v>
      </c>
      <c r="N2711">
        <v>35790</v>
      </c>
      <c r="O2711">
        <v>89217</v>
      </c>
      <c r="P2711">
        <v>40287</v>
      </c>
      <c r="Q2711">
        <v>54</v>
      </c>
      <c r="R2711">
        <v>65</v>
      </c>
      <c r="S2711">
        <v>36</v>
      </c>
      <c r="T2711">
        <v>12</v>
      </c>
      <c r="U2711">
        <v>17</v>
      </c>
    </row>
    <row r="2712" spans="1:21" x14ac:dyDescent="0.35">
      <c r="A2712" t="s">
        <v>21</v>
      </c>
      <c r="B2712" s="1">
        <v>44536</v>
      </c>
      <c r="C2712" t="s">
        <v>23</v>
      </c>
      <c r="D2712">
        <v>10.199999999999999</v>
      </c>
      <c r="E2712">
        <v>0</v>
      </c>
      <c r="F2712">
        <v>0</v>
      </c>
      <c r="G2712">
        <v>0</v>
      </c>
      <c r="H2712">
        <v>0</v>
      </c>
      <c r="I2712">
        <v>0</v>
      </c>
      <c r="J2712">
        <v>0</v>
      </c>
      <c r="K2712">
        <v>0</v>
      </c>
      <c r="L2712">
        <v>0</v>
      </c>
      <c r="M2712">
        <v>0</v>
      </c>
      <c r="N2712">
        <v>117767</v>
      </c>
      <c r="O2712">
        <v>280325</v>
      </c>
      <c r="P2712">
        <v>0</v>
      </c>
      <c r="Q2712">
        <v>12</v>
      </c>
      <c r="R2712">
        <v>0</v>
      </c>
      <c r="S2712">
        <v>0</v>
      </c>
      <c r="T2712">
        <v>50</v>
      </c>
      <c r="U2712">
        <v>64</v>
      </c>
    </row>
    <row r="2713" spans="1:21" x14ac:dyDescent="0.35">
      <c r="A2713" t="s">
        <v>28</v>
      </c>
      <c r="B2713" s="1">
        <v>45227</v>
      </c>
      <c r="C2713" t="s">
        <v>25</v>
      </c>
      <c r="D2713">
        <v>72.8</v>
      </c>
      <c r="E2713">
        <v>13.5</v>
      </c>
      <c r="F2713">
        <v>15.4</v>
      </c>
      <c r="G2713">
        <v>5.4</v>
      </c>
      <c r="H2713">
        <v>4.7</v>
      </c>
      <c r="I2713">
        <v>0</v>
      </c>
      <c r="J2713">
        <v>0</v>
      </c>
      <c r="K2713">
        <v>0</v>
      </c>
      <c r="L2713">
        <v>0</v>
      </c>
      <c r="M2713">
        <v>0</v>
      </c>
      <c r="N2713">
        <v>70076</v>
      </c>
      <c r="O2713">
        <v>214953</v>
      </c>
      <c r="P2713">
        <v>162196</v>
      </c>
      <c r="Q2713">
        <v>51</v>
      </c>
      <c r="R2713">
        <v>29</v>
      </c>
      <c r="S2713">
        <v>25</v>
      </c>
      <c r="T2713">
        <v>18</v>
      </c>
      <c r="U2713">
        <v>29</v>
      </c>
    </row>
    <row r="2714" spans="1:21" x14ac:dyDescent="0.35">
      <c r="A2714" t="s">
        <v>28</v>
      </c>
      <c r="B2714" s="1">
        <v>45122</v>
      </c>
      <c r="C2714" t="s">
        <v>27</v>
      </c>
      <c r="D2714">
        <v>9.3000000000000007</v>
      </c>
      <c r="E2714">
        <v>1.2</v>
      </c>
      <c r="F2714">
        <v>0</v>
      </c>
      <c r="G2714">
        <v>7.8</v>
      </c>
      <c r="H2714">
        <v>0</v>
      </c>
      <c r="I2714">
        <v>0</v>
      </c>
      <c r="J2714">
        <v>0</v>
      </c>
      <c r="K2714">
        <v>0</v>
      </c>
      <c r="L2714">
        <v>0</v>
      </c>
      <c r="M2714">
        <v>0</v>
      </c>
      <c r="N2714">
        <v>32190</v>
      </c>
      <c r="O2714">
        <v>86577</v>
      </c>
      <c r="P2714">
        <v>44590</v>
      </c>
      <c r="Q2714">
        <v>3</v>
      </c>
      <c r="R2714">
        <v>1</v>
      </c>
      <c r="S2714">
        <v>0</v>
      </c>
      <c r="T2714">
        <v>12</v>
      </c>
      <c r="U2714">
        <v>17</v>
      </c>
    </row>
    <row r="2715" spans="1:21" x14ac:dyDescent="0.35">
      <c r="A2715" t="s">
        <v>26</v>
      </c>
      <c r="B2715" s="1">
        <v>45031</v>
      </c>
      <c r="C2715" t="s">
        <v>23</v>
      </c>
      <c r="D2715">
        <v>9</v>
      </c>
      <c r="E2715">
        <v>1.6</v>
      </c>
      <c r="F2715">
        <v>6.1</v>
      </c>
      <c r="G2715">
        <v>5.6</v>
      </c>
      <c r="H2715">
        <v>1.5</v>
      </c>
      <c r="I2715">
        <v>0</v>
      </c>
      <c r="J2715">
        <v>0</v>
      </c>
      <c r="K2715">
        <v>0</v>
      </c>
      <c r="L2715">
        <v>0</v>
      </c>
      <c r="M2715">
        <v>0</v>
      </c>
      <c r="N2715">
        <v>33349</v>
      </c>
      <c r="O2715">
        <v>125709</v>
      </c>
      <c r="P2715">
        <v>246898</v>
      </c>
      <c r="Q2715">
        <v>3</v>
      </c>
      <c r="R2715">
        <v>2</v>
      </c>
      <c r="S2715">
        <v>15</v>
      </c>
      <c r="T2715">
        <v>50</v>
      </c>
      <c r="U2715">
        <v>64</v>
      </c>
    </row>
    <row r="2716" spans="1:21" x14ac:dyDescent="0.35">
      <c r="A2716" t="s">
        <v>26</v>
      </c>
      <c r="B2716" s="1">
        <v>44681</v>
      </c>
      <c r="C2716" t="s">
        <v>29</v>
      </c>
      <c r="D2716">
        <v>5.3</v>
      </c>
      <c r="E2716">
        <v>1.7</v>
      </c>
      <c r="F2716">
        <v>1.5</v>
      </c>
      <c r="G2716">
        <v>3.1</v>
      </c>
      <c r="H2716">
        <v>3.5</v>
      </c>
      <c r="I2716">
        <v>0</v>
      </c>
      <c r="J2716">
        <v>0</v>
      </c>
      <c r="K2716">
        <v>0</v>
      </c>
      <c r="L2716">
        <v>0</v>
      </c>
      <c r="M2716">
        <v>0</v>
      </c>
      <c r="N2716">
        <v>130975</v>
      </c>
      <c r="O2716">
        <v>287056</v>
      </c>
      <c r="P2716">
        <v>330602</v>
      </c>
      <c r="Q2716">
        <v>7</v>
      </c>
      <c r="R2716">
        <v>5</v>
      </c>
      <c r="S2716">
        <v>5</v>
      </c>
      <c r="T2716">
        <v>30</v>
      </c>
      <c r="U2716">
        <v>49</v>
      </c>
    </row>
    <row r="2717" spans="1:21" x14ac:dyDescent="0.35">
      <c r="A2717" t="s">
        <v>28</v>
      </c>
      <c r="B2717" s="1">
        <v>44821</v>
      </c>
      <c r="C2717" t="s">
        <v>32</v>
      </c>
      <c r="D2717">
        <v>67</v>
      </c>
      <c r="E2717">
        <v>1.2</v>
      </c>
      <c r="F2717">
        <v>0</v>
      </c>
      <c r="G2717">
        <v>55.8</v>
      </c>
      <c r="H2717">
        <v>0</v>
      </c>
      <c r="I2717">
        <v>0</v>
      </c>
      <c r="J2717">
        <v>0</v>
      </c>
      <c r="K2717">
        <v>0</v>
      </c>
      <c r="L2717">
        <v>0</v>
      </c>
      <c r="M2717">
        <v>0</v>
      </c>
      <c r="N2717">
        <v>162642</v>
      </c>
      <c r="O2717">
        <v>0</v>
      </c>
      <c r="P2717">
        <v>0</v>
      </c>
      <c r="Q2717">
        <v>109</v>
      </c>
      <c r="R2717">
        <v>2</v>
      </c>
      <c r="S2717">
        <v>0</v>
      </c>
      <c r="T2717">
        <v>0</v>
      </c>
      <c r="U2717">
        <v>4</v>
      </c>
    </row>
    <row r="2718" spans="1:21" x14ac:dyDescent="0.35">
      <c r="A2718" t="s">
        <v>21</v>
      </c>
      <c r="B2718" s="1">
        <v>44891</v>
      </c>
      <c r="C2718" t="s">
        <v>22</v>
      </c>
      <c r="D2718">
        <v>0.5</v>
      </c>
      <c r="E2718">
        <v>0</v>
      </c>
      <c r="F2718">
        <v>0.1</v>
      </c>
      <c r="G2718">
        <v>0</v>
      </c>
      <c r="H2718">
        <v>5</v>
      </c>
      <c r="I2718">
        <v>0.5</v>
      </c>
      <c r="J2718">
        <v>0</v>
      </c>
      <c r="K2718">
        <v>0.1</v>
      </c>
      <c r="L2718">
        <v>0</v>
      </c>
      <c r="M2718">
        <v>7.7</v>
      </c>
      <c r="N2718">
        <v>565402</v>
      </c>
      <c r="O2718">
        <v>850149</v>
      </c>
      <c r="P2718">
        <v>1039743</v>
      </c>
      <c r="Q2718">
        <v>3</v>
      </c>
      <c r="R2718">
        <v>0</v>
      </c>
      <c r="S2718">
        <v>1</v>
      </c>
      <c r="T2718">
        <v>999</v>
      </c>
      <c r="U2718">
        <v>999</v>
      </c>
    </row>
    <row r="2719" spans="1:21" x14ac:dyDescent="0.35">
      <c r="A2719" t="s">
        <v>21</v>
      </c>
      <c r="B2719" s="1">
        <v>45227</v>
      </c>
      <c r="C2719" t="s">
        <v>24</v>
      </c>
      <c r="D2719">
        <v>0</v>
      </c>
      <c r="E2719">
        <v>0</v>
      </c>
      <c r="F2719">
        <v>0</v>
      </c>
      <c r="G2719">
        <v>0</v>
      </c>
      <c r="H2719">
        <v>0</v>
      </c>
      <c r="I2719">
        <v>0</v>
      </c>
      <c r="J2719">
        <v>0</v>
      </c>
      <c r="K2719">
        <v>0</v>
      </c>
      <c r="L2719">
        <v>0</v>
      </c>
      <c r="M2719">
        <v>0</v>
      </c>
      <c r="N2719">
        <v>88935</v>
      </c>
      <c r="O2719">
        <v>82498</v>
      </c>
      <c r="P2719">
        <v>21516</v>
      </c>
      <c r="Q2719">
        <v>0</v>
      </c>
      <c r="R2719">
        <v>0</v>
      </c>
      <c r="S2719">
        <v>0</v>
      </c>
      <c r="T2719">
        <v>5</v>
      </c>
      <c r="U2719">
        <v>11</v>
      </c>
    </row>
    <row r="2720" spans="1:21" x14ac:dyDescent="0.35">
      <c r="A2720" t="s">
        <v>28</v>
      </c>
      <c r="B2720" s="1">
        <v>44947</v>
      </c>
      <c r="C2720" t="s">
        <v>29</v>
      </c>
      <c r="D2720">
        <v>138.30000000000001</v>
      </c>
      <c r="E2720">
        <v>63.4</v>
      </c>
      <c r="F2720">
        <v>74.900000000000006</v>
      </c>
      <c r="G2720">
        <v>2.2000000000000002</v>
      </c>
      <c r="H2720">
        <v>1.8</v>
      </c>
      <c r="I2720">
        <v>0</v>
      </c>
      <c r="J2720">
        <v>0</v>
      </c>
      <c r="K2720">
        <v>0</v>
      </c>
      <c r="L2720">
        <v>0</v>
      </c>
      <c r="M2720">
        <v>0</v>
      </c>
      <c r="N2720">
        <v>112078</v>
      </c>
      <c r="O2720">
        <v>277463</v>
      </c>
      <c r="P2720">
        <v>347220</v>
      </c>
      <c r="Q2720">
        <v>155</v>
      </c>
      <c r="R2720">
        <v>176</v>
      </c>
      <c r="S2720">
        <v>260</v>
      </c>
      <c r="T2720">
        <v>30</v>
      </c>
      <c r="U2720">
        <v>49</v>
      </c>
    </row>
    <row r="2721" spans="1:21" x14ac:dyDescent="0.35">
      <c r="A2721" t="s">
        <v>21</v>
      </c>
      <c r="B2721" s="1">
        <v>44394</v>
      </c>
      <c r="C2721" t="s">
        <v>27</v>
      </c>
      <c r="D2721">
        <v>0</v>
      </c>
      <c r="E2721">
        <v>0</v>
      </c>
      <c r="F2721">
        <v>0</v>
      </c>
      <c r="G2721">
        <v>0</v>
      </c>
      <c r="H2721">
        <v>0</v>
      </c>
      <c r="I2721">
        <v>0</v>
      </c>
      <c r="J2721">
        <v>0</v>
      </c>
      <c r="K2721">
        <v>0</v>
      </c>
      <c r="L2721">
        <v>0</v>
      </c>
      <c r="M2721">
        <v>0</v>
      </c>
      <c r="N2721">
        <v>102168</v>
      </c>
      <c r="O2721">
        <v>57846</v>
      </c>
      <c r="P2721">
        <v>0</v>
      </c>
      <c r="Q2721">
        <v>0</v>
      </c>
      <c r="R2721">
        <v>0</v>
      </c>
      <c r="S2721">
        <v>0</v>
      </c>
      <c r="T2721">
        <v>12</v>
      </c>
      <c r="U2721">
        <v>17</v>
      </c>
    </row>
    <row r="2722" spans="1:21" x14ac:dyDescent="0.35">
      <c r="A2722" t="s">
        <v>28</v>
      </c>
      <c r="B2722" s="1">
        <v>45082</v>
      </c>
      <c r="C2722" t="s">
        <v>23</v>
      </c>
      <c r="D2722">
        <v>87.6</v>
      </c>
      <c r="E2722">
        <v>19.899999999999999</v>
      </c>
      <c r="F2722">
        <v>40.1</v>
      </c>
      <c r="G2722">
        <v>4.4000000000000004</v>
      </c>
      <c r="H2722">
        <v>2.2000000000000002</v>
      </c>
      <c r="I2722">
        <v>0</v>
      </c>
      <c r="J2722">
        <v>0</v>
      </c>
      <c r="K2722">
        <v>0</v>
      </c>
      <c r="L2722">
        <v>0</v>
      </c>
      <c r="M2722">
        <v>0</v>
      </c>
      <c r="N2722">
        <v>33091</v>
      </c>
      <c r="O2722">
        <v>125743</v>
      </c>
      <c r="P2722">
        <v>246908</v>
      </c>
      <c r="Q2722">
        <v>29</v>
      </c>
      <c r="R2722">
        <v>25</v>
      </c>
      <c r="S2722">
        <v>99</v>
      </c>
      <c r="T2722">
        <v>50</v>
      </c>
      <c r="U2722">
        <v>64</v>
      </c>
    </row>
    <row r="2723" spans="1:21" x14ac:dyDescent="0.35">
      <c r="A2723" t="s">
        <v>26</v>
      </c>
      <c r="B2723" s="1">
        <v>44947</v>
      </c>
      <c r="C2723" t="s">
        <v>29</v>
      </c>
      <c r="D2723">
        <v>8.9</v>
      </c>
      <c r="E2723">
        <v>3.2</v>
      </c>
      <c r="F2723">
        <v>2.2999999999999998</v>
      </c>
      <c r="G2723">
        <v>2.8</v>
      </c>
      <c r="H2723">
        <v>3.9</v>
      </c>
      <c r="I2723">
        <v>0</v>
      </c>
      <c r="J2723">
        <v>0</v>
      </c>
      <c r="K2723">
        <v>0</v>
      </c>
      <c r="L2723">
        <v>0</v>
      </c>
      <c r="M2723">
        <v>0</v>
      </c>
      <c r="N2723">
        <v>112078</v>
      </c>
      <c r="O2723">
        <v>277463</v>
      </c>
      <c r="P2723">
        <v>347220</v>
      </c>
      <c r="Q2723">
        <v>10</v>
      </c>
      <c r="R2723">
        <v>9</v>
      </c>
      <c r="S2723">
        <v>8</v>
      </c>
      <c r="T2723">
        <v>30</v>
      </c>
      <c r="U2723">
        <v>49</v>
      </c>
    </row>
    <row r="2724" spans="1:21" x14ac:dyDescent="0.35">
      <c r="A2724" t="s">
        <v>28</v>
      </c>
      <c r="B2724" s="1">
        <v>44954</v>
      </c>
      <c r="C2724" t="s">
        <v>24</v>
      </c>
      <c r="D2724">
        <v>152.30000000000001</v>
      </c>
      <c r="E2724">
        <v>180.8</v>
      </c>
      <c r="F2724">
        <v>236.1</v>
      </c>
      <c r="G2724">
        <v>0.8</v>
      </c>
      <c r="H2724">
        <v>0.6</v>
      </c>
      <c r="I2724">
        <v>0</v>
      </c>
      <c r="J2724">
        <v>0</v>
      </c>
      <c r="K2724">
        <v>0</v>
      </c>
      <c r="L2724">
        <v>0</v>
      </c>
      <c r="M2724">
        <v>0</v>
      </c>
      <c r="N2724">
        <v>91930</v>
      </c>
      <c r="O2724">
        <v>81866</v>
      </c>
      <c r="P2724">
        <v>21179</v>
      </c>
      <c r="Q2724">
        <v>140</v>
      </c>
      <c r="R2724">
        <v>148</v>
      </c>
      <c r="S2724">
        <v>50</v>
      </c>
      <c r="T2724">
        <v>5</v>
      </c>
      <c r="U2724">
        <v>11</v>
      </c>
    </row>
    <row r="2725" spans="1:21" x14ac:dyDescent="0.35">
      <c r="A2725" t="s">
        <v>21</v>
      </c>
      <c r="B2725" s="1">
        <v>44863</v>
      </c>
      <c r="C2725" t="s">
        <v>25</v>
      </c>
      <c r="D2725">
        <v>0</v>
      </c>
      <c r="E2725">
        <v>0</v>
      </c>
      <c r="F2725">
        <v>0</v>
      </c>
      <c r="G2725">
        <v>0</v>
      </c>
      <c r="H2725">
        <v>0</v>
      </c>
      <c r="I2725">
        <v>0</v>
      </c>
      <c r="J2725">
        <v>0</v>
      </c>
      <c r="K2725">
        <v>0</v>
      </c>
      <c r="L2725">
        <v>0</v>
      </c>
      <c r="M2725">
        <v>0</v>
      </c>
      <c r="N2725">
        <v>84477</v>
      </c>
      <c r="O2725">
        <v>212127</v>
      </c>
      <c r="P2725">
        <v>161526</v>
      </c>
      <c r="Q2725">
        <v>0</v>
      </c>
      <c r="R2725">
        <v>0</v>
      </c>
      <c r="S2725">
        <v>0</v>
      </c>
      <c r="T2725">
        <v>18</v>
      </c>
      <c r="U2725">
        <v>29</v>
      </c>
    </row>
    <row r="2726" spans="1:21" x14ac:dyDescent="0.35">
      <c r="A2726" t="s">
        <v>28</v>
      </c>
      <c r="B2726" s="1">
        <v>44737</v>
      </c>
      <c r="C2726" t="s">
        <v>32</v>
      </c>
      <c r="D2726">
        <v>173.4</v>
      </c>
      <c r="E2726">
        <v>0</v>
      </c>
      <c r="F2726">
        <v>0</v>
      </c>
      <c r="G2726">
        <v>0</v>
      </c>
      <c r="H2726">
        <v>0</v>
      </c>
      <c r="I2726">
        <v>0</v>
      </c>
      <c r="J2726">
        <v>0</v>
      </c>
      <c r="K2726">
        <v>0</v>
      </c>
      <c r="L2726">
        <v>0</v>
      </c>
      <c r="M2726">
        <v>0</v>
      </c>
      <c r="N2726">
        <v>162642</v>
      </c>
      <c r="O2726">
        <v>0</v>
      </c>
      <c r="P2726">
        <v>0</v>
      </c>
      <c r="Q2726">
        <v>282</v>
      </c>
      <c r="R2726">
        <v>0</v>
      </c>
      <c r="S2726">
        <v>0</v>
      </c>
      <c r="T2726">
        <v>0</v>
      </c>
      <c r="U2726">
        <v>4</v>
      </c>
    </row>
    <row r="2727" spans="1:21" x14ac:dyDescent="0.35">
      <c r="A2727" t="s">
        <v>28</v>
      </c>
      <c r="B2727" s="1">
        <v>45185</v>
      </c>
      <c r="C2727" t="s">
        <v>30</v>
      </c>
      <c r="D2727">
        <v>61.4</v>
      </c>
      <c r="E2727">
        <v>175.7</v>
      </c>
      <c r="F2727">
        <v>154.9</v>
      </c>
      <c r="G2727">
        <v>0.3</v>
      </c>
      <c r="H2727">
        <v>0.4</v>
      </c>
      <c r="I2727">
        <v>0</v>
      </c>
      <c r="J2727">
        <v>0</v>
      </c>
      <c r="K2727">
        <v>0</v>
      </c>
      <c r="L2727">
        <v>0</v>
      </c>
      <c r="M2727">
        <v>0</v>
      </c>
      <c r="N2727">
        <v>24446</v>
      </c>
      <c r="O2727">
        <v>11380</v>
      </c>
      <c r="P2727">
        <v>47134</v>
      </c>
      <c r="Q2727">
        <v>15</v>
      </c>
      <c r="R2727">
        <v>20</v>
      </c>
      <c r="S2727">
        <v>73</v>
      </c>
      <c r="T2727">
        <v>80</v>
      </c>
      <c r="U2727">
        <v>200</v>
      </c>
    </row>
    <row r="2728" spans="1:21" x14ac:dyDescent="0.35">
      <c r="A2728" t="s">
        <v>28</v>
      </c>
      <c r="B2728" s="1">
        <v>44512</v>
      </c>
      <c r="C2728" t="s">
        <v>23</v>
      </c>
      <c r="D2728">
        <v>760.3</v>
      </c>
      <c r="E2728">
        <v>181.6</v>
      </c>
      <c r="F2728">
        <v>36.9</v>
      </c>
      <c r="G2728">
        <v>4.2</v>
      </c>
      <c r="H2728">
        <v>20.6</v>
      </c>
      <c r="I2728">
        <v>0</v>
      </c>
      <c r="J2728">
        <v>0</v>
      </c>
      <c r="K2728">
        <v>0</v>
      </c>
      <c r="L2728">
        <v>0</v>
      </c>
      <c r="M2728">
        <v>0</v>
      </c>
      <c r="N2728">
        <v>62340</v>
      </c>
      <c r="O2728">
        <v>258308</v>
      </c>
      <c r="P2728">
        <v>92192</v>
      </c>
      <c r="Q2728">
        <v>474</v>
      </c>
      <c r="R2728">
        <v>469</v>
      </c>
      <c r="S2728">
        <v>34</v>
      </c>
      <c r="T2728">
        <v>50</v>
      </c>
      <c r="U2728">
        <v>64</v>
      </c>
    </row>
    <row r="2729" spans="1:21" x14ac:dyDescent="0.35">
      <c r="A2729" t="s">
        <v>28</v>
      </c>
      <c r="B2729" s="1">
        <v>45003</v>
      </c>
      <c r="C2729" t="s">
        <v>24</v>
      </c>
      <c r="D2729">
        <v>81.099999999999994</v>
      </c>
      <c r="E2729">
        <v>97.1</v>
      </c>
      <c r="F2729">
        <v>150.9</v>
      </c>
      <c r="G2729">
        <v>0.8</v>
      </c>
      <c r="H2729">
        <v>0.5</v>
      </c>
      <c r="I2729">
        <v>0</v>
      </c>
      <c r="J2729">
        <v>0</v>
      </c>
      <c r="K2729">
        <v>0</v>
      </c>
      <c r="L2729">
        <v>0</v>
      </c>
      <c r="M2729">
        <v>0</v>
      </c>
      <c r="N2729">
        <v>91300</v>
      </c>
      <c r="O2729">
        <v>82368</v>
      </c>
      <c r="P2729">
        <v>21212</v>
      </c>
      <c r="Q2729">
        <v>74</v>
      </c>
      <c r="R2729">
        <v>80</v>
      </c>
      <c r="S2729">
        <v>32</v>
      </c>
      <c r="T2729">
        <v>5</v>
      </c>
      <c r="U2729">
        <v>11</v>
      </c>
    </row>
    <row r="2730" spans="1:21" x14ac:dyDescent="0.35">
      <c r="A2730" t="s">
        <v>21</v>
      </c>
      <c r="B2730" s="1">
        <v>45205</v>
      </c>
      <c r="C2730" t="s">
        <v>29</v>
      </c>
      <c r="D2730">
        <v>0</v>
      </c>
      <c r="E2730">
        <v>0</v>
      </c>
      <c r="F2730">
        <v>0</v>
      </c>
      <c r="G2730">
        <v>0</v>
      </c>
      <c r="H2730">
        <v>0</v>
      </c>
      <c r="I2730">
        <v>0</v>
      </c>
      <c r="J2730">
        <v>0</v>
      </c>
      <c r="K2730">
        <v>0</v>
      </c>
      <c r="L2730">
        <v>0</v>
      </c>
      <c r="M2730">
        <v>0</v>
      </c>
      <c r="N2730">
        <v>108308</v>
      </c>
      <c r="O2730">
        <v>278398</v>
      </c>
      <c r="P2730">
        <v>347307</v>
      </c>
      <c r="Q2730">
        <v>0</v>
      </c>
      <c r="R2730">
        <v>0</v>
      </c>
      <c r="S2730">
        <v>0</v>
      </c>
      <c r="T2730">
        <v>30</v>
      </c>
      <c r="U2730">
        <v>49</v>
      </c>
    </row>
    <row r="2731" spans="1:21" x14ac:dyDescent="0.35">
      <c r="A2731" t="s">
        <v>26</v>
      </c>
      <c r="B2731" s="1">
        <v>44262</v>
      </c>
      <c r="C2731" t="s">
        <v>23</v>
      </c>
      <c r="D2731">
        <v>7.3</v>
      </c>
      <c r="E2731">
        <v>0</v>
      </c>
      <c r="F2731">
        <v>0</v>
      </c>
      <c r="G2731">
        <v>0</v>
      </c>
      <c r="H2731">
        <v>0</v>
      </c>
      <c r="I2731">
        <v>0</v>
      </c>
      <c r="J2731">
        <v>0</v>
      </c>
      <c r="K2731">
        <v>0</v>
      </c>
      <c r="L2731">
        <v>0</v>
      </c>
      <c r="M2731">
        <v>0</v>
      </c>
      <c r="N2731">
        <v>109144</v>
      </c>
      <c r="O2731">
        <v>300501</v>
      </c>
      <c r="P2731">
        <v>0</v>
      </c>
      <c r="Q2731">
        <v>8</v>
      </c>
      <c r="R2731">
        <v>0</v>
      </c>
      <c r="S2731">
        <v>0</v>
      </c>
      <c r="T2731">
        <v>50</v>
      </c>
      <c r="U2731">
        <v>64</v>
      </c>
    </row>
    <row r="2732" spans="1:21" x14ac:dyDescent="0.35">
      <c r="A2732" t="s">
        <v>21</v>
      </c>
      <c r="B2732" s="1">
        <v>44871</v>
      </c>
      <c r="C2732" t="s">
        <v>22</v>
      </c>
      <c r="D2732">
        <v>0.2</v>
      </c>
      <c r="E2732">
        <v>0.2</v>
      </c>
      <c r="F2732">
        <v>0.2</v>
      </c>
      <c r="G2732">
        <v>1</v>
      </c>
      <c r="H2732">
        <v>1</v>
      </c>
      <c r="I2732">
        <v>0.2</v>
      </c>
      <c r="J2732">
        <v>0.4</v>
      </c>
      <c r="K2732">
        <v>0.1</v>
      </c>
      <c r="L2732">
        <v>0.5</v>
      </c>
      <c r="M2732">
        <v>1.8</v>
      </c>
      <c r="N2732">
        <v>640279</v>
      </c>
      <c r="O2732">
        <v>874417</v>
      </c>
      <c r="P2732">
        <v>979825</v>
      </c>
      <c r="Q2732">
        <v>1</v>
      </c>
      <c r="R2732">
        <v>2</v>
      </c>
      <c r="S2732">
        <v>2</v>
      </c>
      <c r="T2732">
        <v>999</v>
      </c>
      <c r="U2732">
        <v>999</v>
      </c>
    </row>
    <row r="2733" spans="1:21" x14ac:dyDescent="0.35">
      <c r="A2733" t="s">
        <v>28</v>
      </c>
      <c r="B2733" s="1">
        <v>44906</v>
      </c>
      <c r="C2733" t="s">
        <v>31</v>
      </c>
      <c r="D2733">
        <v>154.6</v>
      </c>
      <c r="E2733">
        <v>133.9</v>
      </c>
      <c r="F2733">
        <v>111.3</v>
      </c>
      <c r="G2733">
        <v>1.2</v>
      </c>
      <c r="H2733">
        <v>1.4</v>
      </c>
      <c r="I2733">
        <v>0</v>
      </c>
      <c r="J2733">
        <v>0</v>
      </c>
      <c r="K2733">
        <v>0</v>
      </c>
      <c r="L2733">
        <v>0</v>
      </c>
      <c r="M2733">
        <v>0</v>
      </c>
      <c r="N2733">
        <v>42041</v>
      </c>
      <c r="O2733">
        <v>43328</v>
      </c>
      <c r="P2733">
        <v>171584</v>
      </c>
      <c r="Q2733">
        <v>65</v>
      </c>
      <c r="R2733">
        <v>58</v>
      </c>
      <c r="S2733">
        <v>191</v>
      </c>
      <c r="T2733">
        <v>65</v>
      </c>
      <c r="U2733">
        <v>79</v>
      </c>
    </row>
    <row r="2734" spans="1:21" x14ac:dyDescent="0.35">
      <c r="A2734" t="s">
        <v>21</v>
      </c>
      <c r="B2734" s="1">
        <v>44611</v>
      </c>
      <c r="C2734" t="s">
        <v>29</v>
      </c>
      <c r="D2734">
        <v>3.6</v>
      </c>
      <c r="E2734">
        <v>0.3</v>
      </c>
      <c r="F2734">
        <v>0.3</v>
      </c>
      <c r="G2734">
        <v>12</v>
      </c>
      <c r="H2734">
        <v>12</v>
      </c>
      <c r="I2734">
        <v>0</v>
      </c>
      <c r="J2734">
        <v>0</v>
      </c>
      <c r="K2734">
        <v>0</v>
      </c>
      <c r="L2734">
        <v>0</v>
      </c>
      <c r="M2734">
        <v>0</v>
      </c>
      <c r="N2734">
        <v>137833</v>
      </c>
      <c r="O2734">
        <v>299049</v>
      </c>
      <c r="P2734">
        <v>303628</v>
      </c>
      <c r="Q2734">
        <v>5</v>
      </c>
      <c r="R2734">
        <v>1</v>
      </c>
      <c r="S2734">
        <v>1</v>
      </c>
      <c r="T2734">
        <v>30</v>
      </c>
      <c r="U2734">
        <v>49</v>
      </c>
    </row>
    <row r="2735" spans="1:21" x14ac:dyDescent="0.35">
      <c r="A2735" t="s">
        <v>21</v>
      </c>
      <c r="B2735" s="1">
        <v>44975</v>
      </c>
      <c r="C2735" t="s">
        <v>22</v>
      </c>
      <c r="D2735">
        <v>0</v>
      </c>
      <c r="E2735">
        <v>0</v>
      </c>
      <c r="F2735">
        <v>0.2</v>
      </c>
      <c r="G2735">
        <v>0</v>
      </c>
      <c r="H2735">
        <v>0</v>
      </c>
      <c r="I2735">
        <v>0</v>
      </c>
      <c r="J2735">
        <v>0</v>
      </c>
      <c r="K2735">
        <v>0.1</v>
      </c>
      <c r="L2735">
        <v>0</v>
      </c>
      <c r="M2735">
        <v>0</v>
      </c>
      <c r="N2735">
        <v>546175</v>
      </c>
      <c r="O2735">
        <v>856948</v>
      </c>
      <c r="P2735">
        <v>1040388</v>
      </c>
      <c r="Q2735">
        <v>0</v>
      </c>
      <c r="R2735">
        <v>0</v>
      </c>
      <c r="S2735">
        <v>2</v>
      </c>
      <c r="T2735">
        <v>999</v>
      </c>
      <c r="U2735">
        <v>999</v>
      </c>
    </row>
    <row r="2736" spans="1:21" x14ac:dyDescent="0.35">
      <c r="A2736" t="s">
        <v>21</v>
      </c>
      <c r="B2736" s="1">
        <v>44863</v>
      </c>
      <c r="C2736" t="s">
        <v>29</v>
      </c>
      <c r="D2736">
        <v>0</v>
      </c>
      <c r="E2736">
        <v>0</v>
      </c>
      <c r="F2736">
        <v>0</v>
      </c>
      <c r="G2736">
        <v>0</v>
      </c>
      <c r="H2736">
        <v>0</v>
      </c>
      <c r="I2736">
        <v>0</v>
      </c>
      <c r="J2736">
        <v>0</v>
      </c>
      <c r="K2736">
        <v>0</v>
      </c>
      <c r="L2736">
        <v>0</v>
      </c>
      <c r="M2736">
        <v>0</v>
      </c>
      <c r="N2736">
        <v>118225</v>
      </c>
      <c r="O2736">
        <v>276436</v>
      </c>
      <c r="P2736">
        <v>347042</v>
      </c>
      <c r="Q2736">
        <v>0</v>
      </c>
      <c r="R2736">
        <v>0</v>
      </c>
      <c r="S2736">
        <v>0</v>
      </c>
      <c r="T2736">
        <v>30</v>
      </c>
      <c r="U2736">
        <v>49</v>
      </c>
    </row>
    <row r="2737" spans="1:21" x14ac:dyDescent="0.35">
      <c r="A2737" t="s">
        <v>26</v>
      </c>
      <c r="B2737" s="1">
        <v>44808</v>
      </c>
      <c r="C2737" t="s">
        <v>27</v>
      </c>
      <c r="D2737">
        <v>0</v>
      </c>
      <c r="E2737">
        <v>1</v>
      </c>
      <c r="F2737">
        <v>0</v>
      </c>
      <c r="G2737">
        <v>0</v>
      </c>
      <c r="H2737">
        <v>0</v>
      </c>
      <c r="I2737">
        <v>0</v>
      </c>
      <c r="J2737">
        <v>0</v>
      </c>
      <c r="K2737">
        <v>0</v>
      </c>
      <c r="L2737">
        <v>0</v>
      </c>
      <c r="M2737">
        <v>0</v>
      </c>
      <c r="N2737">
        <v>38070</v>
      </c>
      <c r="O2737">
        <v>95325</v>
      </c>
      <c r="P2737">
        <v>31808</v>
      </c>
      <c r="Q2737">
        <v>0</v>
      </c>
      <c r="R2737">
        <v>1</v>
      </c>
      <c r="S2737">
        <v>0</v>
      </c>
      <c r="T2737">
        <v>12</v>
      </c>
      <c r="U2737">
        <v>17</v>
      </c>
    </row>
    <row r="2738" spans="1:21" x14ac:dyDescent="0.35">
      <c r="A2738" t="s">
        <v>28</v>
      </c>
      <c r="B2738" s="1">
        <v>44408</v>
      </c>
      <c r="C2738" t="s">
        <v>22</v>
      </c>
      <c r="D2738">
        <v>111.5</v>
      </c>
      <c r="E2738">
        <v>51.3</v>
      </c>
      <c r="F2738">
        <v>0</v>
      </c>
      <c r="G2738">
        <v>2.2000000000000002</v>
      </c>
      <c r="H2738">
        <v>0</v>
      </c>
      <c r="I2738">
        <v>123.4</v>
      </c>
      <c r="J2738">
        <v>41.5</v>
      </c>
      <c r="K2738">
        <v>0</v>
      </c>
      <c r="L2738">
        <v>3</v>
      </c>
      <c r="M2738">
        <v>0</v>
      </c>
      <c r="N2738">
        <v>1148000</v>
      </c>
      <c r="O2738">
        <v>1398829</v>
      </c>
      <c r="P2738">
        <v>0</v>
      </c>
      <c r="Q2738">
        <v>1280</v>
      </c>
      <c r="R2738">
        <v>717</v>
      </c>
      <c r="S2738">
        <v>0</v>
      </c>
      <c r="T2738">
        <v>999</v>
      </c>
      <c r="U2738">
        <v>999</v>
      </c>
    </row>
    <row r="2739" spans="1:21" x14ac:dyDescent="0.35">
      <c r="A2739" t="s">
        <v>21</v>
      </c>
      <c r="B2739" s="1">
        <v>45073</v>
      </c>
      <c r="C2739" t="s">
        <v>31</v>
      </c>
      <c r="D2739">
        <v>0</v>
      </c>
      <c r="E2739">
        <v>0</v>
      </c>
      <c r="F2739">
        <v>0</v>
      </c>
      <c r="G2739">
        <v>0</v>
      </c>
      <c r="H2739">
        <v>0</v>
      </c>
      <c r="I2739">
        <v>0</v>
      </c>
      <c r="J2739">
        <v>0</v>
      </c>
      <c r="K2739">
        <v>0</v>
      </c>
      <c r="L2739">
        <v>0</v>
      </c>
      <c r="M2739">
        <v>0</v>
      </c>
      <c r="N2739">
        <v>39507</v>
      </c>
      <c r="O2739">
        <v>43436</v>
      </c>
      <c r="P2739">
        <v>171730</v>
      </c>
      <c r="Q2739">
        <v>0</v>
      </c>
      <c r="R2739">
        <v>0</v>
      </c>
      <c r="S2739">
        <v>0</v>
      </c>
      <c r="T2739">
        <v>65</v>
      </c>
      <c r="U2739">
        <v>79</v>
      </c>
    </row>
    <row r="2740" spans="1:21" x14ac:dyDescent="0.35">
      <c r="A2740" t="s">
        <v>28</v>
      </c>
      <c r="B2740" s="1">
        <v>44646</v>
      </c>
      <c r="C2740" t="s">
        <v>32</v>
      </c>
      <c r="D2740">
        <v>50.4</v>
      </c>
      <c r="E2740">
        <v>0</v>
      </c>
      <c r="F2740">
        <v>0</v>
      </c>
      <c r="G2740">
        <v>0</v>
      </c>
      <c r="H2740">
        <v>0</v>
      </c>
      <c r="I2740">
        <v>0</v>
      </c>
      <c r="J2740">
        <v>0</v>
      </c>
      <c r="K2740">
        <v>0</v>
      </c>
      <c r="L2740">
        <v>0</v>
      </c>
      <c r="M2740">
        <v>0</v>
      </c>
      <c r="N2740">
        <v>162642</v>
      </c>
      <c r="O2740">
        <v>0</v>
      </c>
      <c r="P2740">
        <v>0</v>
      </c>
      <c r="Q2740">
        <v>82</v>
      </c>
      <c r="R2740">
        <v>0</v>
      </c>
      <c r="S2740">
        <v>0</v>
      </c>
      <c r="T2740">
        <v>0</v>
      </c>
      <c r="U2740">
        <v>4</v>
      </c>
    </row>
    <row r="2741" spans="1:21" x14ac:dyDescent="0.35">
      <c r="A2741" t="s">
        <v>28</v>
      </c>
      <c r="B2741" s="1">
        <v>44919</v>
      </c>
      <c r="C2741" t="s">
        <v>25</v>
      </c>
      <c r="D2741">
        <v>175.8</v>
      </c>
      <c r="E2741">
        <v>78</v>
      </c>
      <c r="F2741">
        <v>103.3</v>
      </c>
      <c r="G2741">
        <v>2.2999999999999998</v>
      </c>
      <c r="H2741">
        <v>1.7</v>
      </c>
      <c r="I2741">
        <v>0</v>
      </c>
      <c r="J2741">
        <v>0</v>
      </c>
      <c r="K2741">
        <v>0</v>
      </c>
      <c r="L2741">
        <v>0</v>
      </c>
      <c r="M2741">
        <v>0</v>
      </c>
      <c r="N2741">
        <v>79625</v>
      </c>
      <c r="O2741">
        <v>212863</v>
      </c>
      <c r="P2741">
        <v>161605</v>
      </c>
      <c r="Q2741">
        <v>140</v>
      </c>
      <c r="R2741">
        <v>166</v>
      </c>
      <c r="S2741">
        <v>167</v>
      </c>
      <c r="T2741">
        <v>18</v>
      </c>
      <c r="U2741">
        <v>29</v>
      </c>
    </row>
    <row r="2742" spans="1:21" x14ac:dyDescent="0.35">
      <c r="A2742" t="s">
        <v>26</v>
      </c>
      <c r="B2742" s="1">
        <v>45003</v>
      </c>
      <c r="C2742" t="s">
        <v>29</v>
      </c>
      <c r="D2742">
        <v>9.1</v>
      </c>
      <c r="E2742">
        <v>0.4</v>
      </c>
      <c r="F2742">
        <v>1.4</v>
      </c>
      <c r="G2742">
        <v>22.8</v>
      </c>
      <c r="H2742">
        <v>6.5</v>
      </c>
      <c r="I2742">
        <v>0</v>
      </c>
      <c r="J2742">
        <v>0</v>
      </c>
      <c r="K2742">
        <v>0</v>
      </c>
      <c r="L2742">
        <v>0</v>
      </c>
      <c r="M2742">
        <v>0</v>
      </c>
      <c r="N2742">
        <v>110250</v>
      </c>
      <c r="O2742">
        <v>278001</v>
      </c>
      <c r="P2742">
        <v>347269</v>
      </c>
      <c r="Q2742">
        <v>10</v>
      </c>
      <c r="R2742">
        <v>1</v>
      </c>
      <c r="S2742">
        <v>5</v>
      </c>
      <c r="T2742">
        <v>30</v>
      </c>
      <c r="U2742">
        <v>49</v>
      </c>
    </row>
    <row r="2743" spans="1:21" x14ac:dyDescent="0.35">
      <c r="A2743" t="s">
        <v>21</v>
      </c>
      <c r="B2743" s="1">
        <v>44476</v>
      </c>
      <c r="C2743" t="s">
        <v>31</v>
      </c>
      <c r="D2743">
        <v>2.8</v>
      </c>
      <c r="E2743">
        <v>0</v>
      </c>
      <c r="F2743">
        <v>0</v>
      </c>
      <c r="G2743">
        <v>0</v>
      </c>
      <c r="H2743">
        <v>0</v>
      </c>
      <c r="I2743">
        <v>0</v>
      </c>
      <c r="J2743">
        <v>0</v>
      </c>
      <c r="K2743">
        <v>0</v>
      </c>
      <c r="L2743">
        <v>0</v>
      </c>
      <c r="M2743">
        <v>0</v>
      </c>
      <c r="N2743">
        <v>71806</v>
      </c>
      <c r="O2743">
        <v>189097</v>
      </c>
      <c r="P2743">
        <v>0</v>
      </c>
      <c r="Q2743">
        <v>2</v>
      </c>
      <c r="R2743">
        <v>0</v>
      </c>
      <c r="S2743">
        <v>0</v>
      </c>
      <c r="T2743">
        <v>65</v>
      </c>
      <c r="U2743">
        <v>79</v>
      </c>
    </row>
    <row r="2744" spans="1:21" x14ac:dyDescent="0.35">
      <c r="A2744" t="s">
        <v>26</v>
      </c>
      <c r="B2744" s="1">
        <v>45117</v>
      </c>
      <c r="C2744" t="s">
        <v>30</v>
      </c>
      <c r="D2744">
        <v>24.6</v>
      </c>
      <c r="E2744">
        <v>35.1</v>
      </c>
      <c r="F2744">
        <v>27.6</v>
      </c>
      <c r="G2744">
        <v>0.7</v>
      </c>
      <c r="H2744">
        <v>0.9</v>
      </c>
      <c r="I2744">
        <v>0</v>
      </c>
      <c r="J2744">
        <v>0</v>
      </c>
      <c r="K2744">
        <v>0</v>
      </c>
      <c r="L2744">
        <v>0</v>
      </c>
      <c r="M2744">
        <v>0</v>
      </c>
      <c r="N2744">
        <v>24344</v>
      </c>
      <c r="O2744">
        <v>11392</v>
      </c>
      <c r="P2744">
        <v>47144</v>
      </c>
      <c r="Q2744">
        <v>6</v>
      </c>
      <c r="R2744">
        <v>4</v>
      </c>
      <c r="S2744">
        <v>13</v>
      </c>
      <c r="T2744">
        <v>80</v>
      </c>
      <c r="U2744">
        <v>200</v>
      </c>
    </row>
    <row r="2745" spans="1:21" x14ac:dyDescent="0.35">
      <c r="A2745" t="s">
        <v>26</v>
      </c>
      <c r="B2745" s="1">
        <v>44492</v>
      </c>
      <c r="C2745" t="s">
        <v>23</v>
      </c>
      <c r="D2745">
        <v>32.4</v>
      </c>
      <c r="E2745">
        <v>4</v>
      </c>
      <c r="F2745">
        <v>7.6</v>
      </c>
      <c r="G2745">
        <v>8.1</v>
      </c>
      <c r="H2745">
        <v>4.3</v>
      </c>
      <c r="I2745">
        <v>0</v>
      </c>
      <c r="J2745">
        <v>0</v>
      </c>
      <c r="K2745">
        <v>0</v>
      </c>
      <c r="L2745">
        <v>0</v>
      </c>
      <c r="M2745">
        <v>0</v>
      </c>
      <c r="N2745">
        <v>74137</v>
      </c>
      <c r="O2745">
        <v>326932</v>
      </c>
      <c r="P2745">
        <v>13200</v>
      </c>
      <c r="Q2745">
        <v>24</v>
      </c>
      <c r="R2745">
        <v>13</v>
      </c>
      <c r="S2745">
        <v>1</v>
      </c>
      <c r="T2745">
        <v>50</v>
      </c>
      <c r="U2745">
        <v>64</v>
      </c>
    </row>
    <row r="2746" spans="1:21" x14ac:dyDescent="0.35">
      <c r="A2746" t="s">
        <v>21</v>
      </c>
      <c r="B2746" s="1">
        <v>44702</v>
      </c>
      <c r="C2746" t="s">
        <v>22</v>
      </c>
      <c r="D2746">
        <v>0.2</v>
      </c>
      <c r="E2746">
        <v>0.2</v>
      </c>
      <c r="F2746">
        <v>0.4</v>
      </c>
      <c r="G2746">
        <v>1</v>
      </c>
      <c r="H2746">
        <v>0.5</v>
      </c>
      <c r="I2746">
        <v>0.2</v>
      </c>
      <c r="J2746">
        <v>0.3</v>
      </c>
      <c r="K2746">
        <v>0.3</v>
      </c>
      <c r="L2746">
        <v>0.6</v>
      </c>
      <c r="M2746">
        <v>0.7</v>
      </c>
      <c r="N2746">
        <v>644984</v>
      </c>
      <c r="O2746">
        <v>883996</v>
      </c>
      <c r="P2746">
        <v>965236</v>
      </c>
      <c r="Q2746">
        <v>1</v>
      </c>
      <c r="R2746">
        <v>2</v>
      </c>
      <c r="S2746">
        <v>4</v>
      </c>
      <c r="T2746">
        <v>999</v>
      </c>
      <c r="U2746">
        <v>999</v>
      </c>
    </row>
    <row r="2747" spans="1:21" x14ac:dyDescent="0.35">
      <c r="A2747" t="s">
        <v>28</v>
      </c>
      <c r="B2747" s="1">
        <v>44982</v>
      </c>
      <c r="C2747" t="s">
        <v>27</v>
      </c>
      <c r="D2747">
        <v>132.6</v>
      </c>
      <c r="E2747">
        <v>75.3</v>
      </c>
      <c r="F2747">
        <v>98.7</v>
      </c>
      <c r="G2747">
        <v>1.8</v>
      </c>
      <c r="H2747">
        <v>1.3</v>
      </c>
      <c r="I2747">
        <v>0</v>
      </c>
      <c r="J2747">
        <v>0</v>
      </c>
      <c r="K2747">
        <v>0</v>
      </c>
      <c r="L2747">
        <v>0</v>
      </c>
      <c r="M2747">
        <v>0</v>
      </c>
      <c r="N2747">
        <v>33176</v>
      </c>
      <c r="O2747">
        <v>86371</v>
      </c>
      <c r="P2747">
        <v>44558</v>
      </c>
      <c r="Q2747">
        <v>44</v>
      </c>
      <c r="R2747">
        <v>65</v>
      </c>
      <c r="S2747">
        <v>44</v>
      </c>
      <c r="T2747">
        <v>12</v>
      </c>
      <c r="U2747">
        <v>17</v>
      </c>
    </row>
    <row r="2748" spans="1:21" x14ac:dyDescent="0.35">
      <c r="A2748" t="s">
        <v>28</v>
      </c>
      <c r="B2748" s="1">
        <v>44940</v>
      </c>
      <c r="C2748" t="s">
        <v>25</v>
      </c>
      <c r="D2748">
        <v>156.80000000000001</v>
      </c>
      <c r="E2748">
        <v>52.6</v>
      </c>
      <c r="F2748">
        <v>62.5</v>
      </c>
      <c r="G2748">
        <v>3</v>
      </c>
      <c r="H2748">
        <v>2.5</v>
      </c>
      <c r="I2748">
        <v>0</v>
      </c>
      <c r="J2748">
        <v>0</v>
      </c>
      <c r="K2748">
        <v>0</v>
      </c>
      <c r="L2748">
        <v>0</v>
      </c>
      <c r="M2748">
        <v>0</v>
      </c>
      <c r="N2748">
        <v>78419</v>
      </c>
      <c r="O2748">
        <v>213045</v>
      </c>
      <c r="P2748">
        <v>161631</v>
      </c>
      <c r="Q2748">
        <v>123</v>
      </c>
      <c r="R2748">
        <v>112</v>
      </c>
      <c r="S2748">
        <v>101</v>
      </c>
      <c r="T2748">
        <v>18</v>
      </c>
      <c r="U2748">
        <v>29</v>
      </c>
    </row>
    <row r="2749" spans="1:21" x14ac:dyDescent="0.35">
      <c r="A2749" t="s">
        <v>28</v>
      </c>
      <c r="B2749" s="1">
        <v>45010</v>
      </c>
      <c r="C2749" t="s">
        <v>31</v>
      </c>
      <c r="D2749">
        <v>60.1</v>
      </c>
      <c r="E2749">
        <v>59.9</v>
      </c>
      <c r="F2749">
        <v>83.9</v>
      </c>
      <c r="G2749">
        <v>1</v>
      </c>
      <c r="H2749">
        <v>0.7</v>
      </c>
      <c r="I2749">
        <v>0</v>
      </c>
      <c r="J2749">
        <v>0</v>
      </c>
      <c r="K2749">
        <v>0</v>
      </c>
      <c r="L2749">
        <v>0</v>
      </c>
      <c r="M2749">
        <v>0</v>
      </c>
      <c r="N2749">
        <v>39930</v>
      </c>
      <c r="O2749">
        <v>43424</v>
      </c>
      <c r="P2749">
        <v>171711</v>
      </c>
      <c r="Q2749">
        <v>24</v>
      </c>
      <c r="R2749">
        <v>26</v>
      </c>
      <c r="S2749">
        <v>144</v>
      </c>
      <c r="T2749">
        <v>65</v>
      </c>
      <c r="U2749">
        <v>79</v>
      </c>
    </row>
    <row r="2750" spans="1:21" x14ac:dyDescent="0.35">
      <c r="A2750" t="s">
        <v>28</v>
      </c>
      <c r="B2750" s="1">
        <v>45199</v>
      </c>
      <c r="C2750" t="s">
        <v>29</v>
      </c>
      <c r="D2750">
        <v>46.3</v>
      </c>
      <c r="E2750">
        <v>22.6</v>
      </c>
      <c r="F2750">
        <v>31.4</v>
      </c>
      <c r="G2750">
        <v>2</v>
      </c>
      <c r="H2750">
        <v>1.5</v>
      </c>
      <c r="I2750">
        <v>0</v>
      </c>
      <c r="J2750">
        <v>0</v>
      </c>
      <c r="K2750">
        <v>0</v>
      </c>
      <c r="L2750">
        <v>0</v>
      </c>
      <c r="M2750">
        <v>0</v>
      </c>
      <c r="N2750">
        <v>105830</v>
      </c>
      <c r="O2750">
        <v>278394</v>
      </c>
      <c r="P2750">
        <v>347333</v>
      </c>
      <c r="Q2750">
        <v>49</v>
      </c>
      <c r="R2750">
        <v>63</v>
      </c>
      <c r="S2750">
        <v>109</v>
      </c>
      <c r="T2750">
        <v>30</v>
      </c>
      <c r="U2750">
        <v>49</v>
      </c>
    </row>
    <row r="2751" spans="1:21" x14ac:dyDescent="0.35">
      <c r="A2751" t="s">
        <v>28</v>
      </c>
      <c r="B2751" s="1">
        <v>44310</v>
      </c>
      <c r="C2751" t="s">
        <v>25</v>
      </c>
      <c r="D2751">
        <v>260.3</v>
      </c>
      <c r="E2751">
        <v>25.7</v>
      </c>
      <c r="F2751">
        <v>0</v>
      </c>
      <c r="G2751">
        <v>10.1</v>
      </c>
      <c r="H2751">
        <v>0</v>
      </c>
      <c r="I2751">
        <v>0</v>
      </c>
      <c r="J2751">
        <v>0</v>
      </c>
      <c r="K2751">
        <v>0</v>
      </c>
      <c r="L2751">
        <v>0</v>
      </c>
      <c r="M2751">
        <v>0</v>
      </c>
      <c r="N2751">
        <v>301150</v>
      </c>
      <c r="O2751">
        <v>85550</v>
      </c>
      <c r="P2751">
        <v>0</v>
      </c>
      <c r="Q2751">
        <v>784</v>
      </c>
      <c r="R2751">
        <v>22</v>
      </c>
      <c r="S2751">
        <v>0</v>
      </c>
      <c r="T2751">
        <v>18</v>
      </c>
      <c r="U2751">
        <v>29</v>
      </c>
    </row>
    <row r="2752" spans="1:21" x14ac:dyDescent="0.35">
      <c r="A2752" t="s">
        <v>26</v>
      </c>
      <c r="B2752" s="1">
        <v>45255</v>
      </c>
      <c r="C2752" t="s">
        <v>30</v>
      </c>
      <c r="D2752">
        <v>50.2</v>
      </c>
      <c r="E2752">
        <v>77.3</v>
      </c>
      <c r="F2752">
        <v>61.2</v>
      </c>
      <c r="G2752">
        <v>0.6</v>
      </c>
      <c r="H2752">
        <v>0.8</v>
      </c>
      <c r="I2752">
        <v>0</v>
      </c>
      <c r="J2752">
        <v>0</v>
      </c>
      <c r="K2752">
        <v>0</v>
      </c>
      <c r="L2752">
        <v>0</v>
      </c>
      <c r="M2752">
        <v>0</v>
      </c>
      <c r="N2752">
        <v>23887</v>
      </c>
      <c r="O2752">
        <v>11638</v>
      </c>
      <c r="P2752">
        <v>47353</v>
      </c>
      <c r="Q2752">
        <v>12</v>
      </c>
      <c r="R2752">
        <v>9</v>
      </c>
      <c r="S2752">
        <v>29</v>
      </c>
      <c r="T2752">
        <v>80</v>
      </c>
      <c r="U2752">
        <v>200</v>
      </c>
    </row>
    <row r="2753" spans="1:21" x14ac:dyDescent="0.35">
      <c r="A2753" t="s">
        <v>21</v>
      </c>
      <c r="B2753" s="1">
        <v>45185</v>
      </c>
      <c r="C2753" t="s">
        <v>24</v>
      </c>
      <c r="D2753">
        <v>0</v>
      </c>
      <c r="E2753">
        <v>0</v>
      </c>
      <c r="F2753">
        <v>0</v>
      </c>
      <c r="G2753">
        <v>0</v>
      </c>
      <c r="H2753">
        <v>0</v>
      </c>
      <c r="I2753">
        <v>0</v>
      </c>
      <c r="J2753">
        <v>0</v>
      </c>
      <c r="K2753">
        <v>0</v>
      </c>
      <c r="L2753">
        <v>0</v>
      </c>
      <c r="M2753">
        <v>0</v>
      </c>
      <c r="N2753">
        <v>89406</v>
      </c>
      <c r="O2753">
        <v>82669</v>
      </c>
      <c r="P2753">
        <v>21266</v>
      </c>
      <c r="Q2753">
        <v>0</v>
      </c>
      <c r="R2753">
        <v>0</v>
      </c>
      <c r="S2753">
        <v>0</v>
      </c>
      <c r="T2753">
        <v>5</v>
      </c>
      <c r="U2753">
        <v>11</v>
      </c>
    </row>
    <row r="2754" spans="1:21" x14ac:dyDescent="0.35">
      <c r="A2754" t="s">
        <v>21</v>
      </c>
      <c r="B2754" s="1">
        <v>44322</v>
      </c>
      <c r="C2754" t="s">
        <v>27</v>
      </c>
      <c r="D2754">
        <v>0</v>
      </c>
      <c r="E2754">
        <v>0</v>
      </c>
      <c r="F2754">
        <v>0</v>
      </c>
      <c r="G2754">
        <v>0</v>
      </c>
      <c r="H2754">
        <v>0</v>
      </c>
      <c r="I2754">
        <v>0</v>
      </c>
      <c r="J2754">
        <v>0</v>
      </c>
      <c r="K2754">
        <v>0</v>
      </c>
      <c r="L2754">
        <v>0</v>
      </c>
      <c r="M2754">
        <v>0</v>
      </c>
      <c r="N2754">
        <v>122939</v>
      </c>
      <c r="O2754">
        <v>11914</v>
      </c>
      <c r="P2754">
        <v>0</v>
      </c>
      <c r="Q2754">
        <v>0</v>
      </c>
      <c r="R2754">
        <v>0</v>
      </c>
      <c r="S2754">
        <v>0</v>
      </c>
      <c r="T2754">
        <v>12</v>
      </c>
      <c r="U2754">
        <v>17</v>
      </c>
    </row>
    <row r="2755" spans="1:21" x14ac:dyDescent="0.35">
      <c r="A2755" t="s">
        <v>28</v>
      </c>
      <c r="B2755" s="1">
        <v>44919</v>
      </c>
      <c r="C2755" t="s">
        <v>22</v>
      </c>
      <c r="D2755">
        <v>192.5</v>
      </c>
      <c r="E2755">
        <v>107.3</v>
      </c>
      <c r="F2755">
        <v>169</v>
      </c>
      <c r="G2755">
        <v>1.8</v>
      </c>
      <c r="H2755">
        <v>1.1000000000000001</v>
      </c>
      <c r="I2755">
        <v>237.1</v>
      </c>
      <c r="J2755">
        <v>110.7</v>
      </c>
      <c r="K2755">
        <v>148.30000000000001</v>
      </c>
      <c r="L2755">
        <v>2.1</v>
      </c>
      <c r="M2755">
        <v>1.6</v>
      </c>
      <c r="N2755">
        <v>556867</v>
      </c>
      <c r="O2755">
        <v>853365</v>
      </c>
      <c r="P2755">
        <v>1040060</v>
      </c>
      <c r="Q2755">
        <v>1072</v>
      </c>
      <c r="R2755">
        <v>916</v>
      </c>
      <c r="S2755">
        <v>1758</v>
      </c>
      <c r="T2755">
        <v>999</v>
      </c>
      <c r="U2755">
        <v>999</v>
      </c>
    </row>
    <row r="2756" spans="1:21" x14ac:dyDescent="0.35">
      <c r="A2756" t="s">
        <v>21</v>
      </c>
      <c r="B2756" s="1">
        <v>44492</v>
      </c>
      <c r="C2756" t="s">
        <v>27</v>
      </c>
      <c r="D2756">
        <v>0</v>
      </c>
      <c r="E2756">
        <v>0</v>
      </c>
      <c r="F2756">
        <v>0</v>
      </c>
      <c r="G2756">
        <v>0</v>
      </c>
      <c r="H2756">
        <v>0</v>
      </c>
      <c r="I2756">
        <v>0</v>
      </c>
      <c r="J2756">
        <v>0</v>
      </c>
      <c r="K2756">
        <v>0</v>
      </c>
      <c r="L2756">
        <v>0</v>
      </c>
      <c r="M2756">
        <v>0</v>
      </c>
      <c r="N2756">
        <v>64979</v>
      </c>
      <c r="O2756">
        <v>99081</v>
      </c>
      <c r="P2756">
        <v>0</v>
      </c>
      <c r="Q2756">
        <v>0</v>
      </c>
      <c r="R2756">
        <v>0</v>
      </c>
      <c r="S2756">
        <v>0</v>
      </c>
      <c r="T2756">
        <v>12</v>
      </c>
      <c r="U2756">
        <v>17</v>
      </c>
    </row>
    <row r="2757" spans="1:21" x14ac:dyDescent="0.35">
      <c r="A2757" t="s">
        <v>28</v>
      </c>
      <c r="B2757" s="1">
        <v>44758</v>
      </c>
      <c r="C2757" t="s">
        <v>25</v>
      </c>
      <c r="D2757">
        <v>365.3</v>
      </c>
      <c r="E2757">
        <v>143.9</v>
      </c>
      <c r="F2757">
        <v>237.1</v>
      </c>
      <c r="G2757">
        <v>2.5</v>
      </c>
      <c r="H2757">
        <v>1.5</v>
      </c>
      <c r="I2757">
        <v>0</v>
      </c>
      <c r="J2757">
        <v>0</v>
      </c>
      <c r="K2757">
        <v>0</v>
      </c>
      <c r="L2757">
        <v>0</v>
      </c>
      <c r="M2757">
        <v>0</v>
      </c>
      <c r="N2757">
        <v>93079</v>
      </c>
      <c r="O2757">
        <v>214025</v>
      </c>
      <c r="P2757">
        <v>156874</v>
      </c>
      <c r="Q2757">
        <v>340</v>
      </c>
      <c r="R2757">
        <v>308</v>
      </c>
      <c r="S2757">
        <v>372</v>
      </c>
      <c r="T2757">
        <v>18</v>
      </c>
      <c r="U2757">
        <v>29</v>
      </c>
    </row>
    <row r="2758" spans="1:21" x14ac:dyDescent="0.35">
      <c r="A2758" t="s">
        <v>26</v>
      </c>
      <c r="B2758" s="1">
        <v>44926</v>
      </c>
      <c r="C2758" t="s">
        <v>23</v>
      </c>
      <c r="D2758">
        <v>51.6</v>
      </c>
      <c r="E2758">
        <v>13.6</v>
      </c>
      <c r="F2758">
        <v>9.6999999999999993</v>
      </c>
      <c r="G2758">
        <v>3.8</v>
      </c>
      <c r="H2758">
        <v>5.3</v>
      </c>
      <c r="I2758">
        <v>0</v>
      </c>
      <c r="J2758">
        <v>0</v>
      </c>
      <c r="K2758">
        <v>0</v>
      </c>
      <c r="L2758">
        <v>0</v>
      </c>
      <c r="M2758">
        <v>0</v>
      </c>
      <c r="N2758">
        <v>34879</v>
      </c>
      <c r="O2758">
        <v>125419</v>
      </c>
      <c r="P2758">
        <v>246812</v>
      </c>
      <c r="Q2758">
        <v>18</v>
      </c>
      <c r="R2758">
        <v>17</v>
      </c>
      <c r="S2758">
        <v>24</v>
      </c>
      <c r="T2758">
        <v>50</v>
      </c>
      <c r="U2758">
        <v>64</v>
      </c>
    </row>
    <row r="2759" spans="1:21" x14ac:dyDescent="0.35">
      <c r="A2759" t="s">
        <v>21</v>
      </c>
      <c r="B2759" s="1">
        <v>45145</v>
      </c>
      <c r="C2759" t="s">
        <v>27</v>
      </c>
      <c r="D2759">
        <v>0</v>
      </c>
      <c r="E2759">
        <v>0</v>
      </c>
      <c r="F2759">
        <v>0</v>
      </c>
      <c r="G2759">
        <v>0</v>
      </c>
      <c r="H2759">
        <v>0</v>
      </c>
      <c r="I2759">
        <v>0</v>
      </c>
      <c r="J2759">
        <v>0</v>
      </c>
      <c r="K2759">
        <v>0</v>
      </c>
      <c r="L2759">
        <v>0</v>
      </c>
      <c r="M2759">
        <v>0</v>
      </c>
      <c r="N2759">
        <v>32241</v>
      </c>
      <c r="O2759">
        <v>86577</v>
      </c>
      <c r="P2759">
        <v>44590</v>
      </c>
      <c r="Q2759">
        <v>0</v>
      </c>
      <c r="R2759">
        <v>0</v>
      </c>
      <c r="S2759">
        <v>0</v>
      </c>
      <c r="T2759">
        <v>12</v>
      </c>
      <c r="U2759">
        <v>17</v>
      </c>
    </row>
    <row r="2760" spans="1:21" x14ac:dyDescent="0.35">
      <c r="A2760" t="s">
        <v>21</v>
      </c>
      <c r="B2760" s="1">
        <v>44527</v>
      </c>
      <c r="C2760" t="s">
        <v>22</v>
      </c>
      <c r="D2760">
        <v>2.5</v>
      </c>
      <c r="E2760">
        <v>1</v>
      </c>
      <c r="F2760">
        <v>0</v>
      </c>
      <c r="G2760">
        <v>2.5</v>
      </c>
      <c r="H2760">
        <v>0</v>
      </c>
      <c r="I2760">
        <v>3.8</v>
      </c>
      <c r="J2760">
        <v>1.2</v>
      </c>
      <c r="K2760">
        <v>0</v>
      </c>
      <c r="L2760">
        <v>3.2</v>
      </c>
      <c r="M2760">
        <v>0</v>
      </c>
      <c r="N2760">
        <v>879918</v>
      </c>
      <c r="O2760">
        <v>1338551</v>
      </c>
      <c r="P2760">
        <v>274264</v>
      </c>
      <c r="Q2760">
        <v>22</v>
      </c>
      <c r="R2760">
        <v>14</v>
      </c>
      <c r="S2760">
        <v>0</v>
      </c>
      <c r="T2760">
        <v>999</v>
      </c>
      <c r="U2760">
        <v>999</v>
      </c>
    </row>
    <row r="2761" spans="1:21" x14ac:dyDescent="0.35">
      <c r="A2761" t="s">
        <v>26</v>
      </c>
      <c r="B2761" s="1">
        <v>45082</v>
      </c>
      <c r="C2761" t="s">
        <v>31</v>
      </c>
      <c r="D2761">
        <v>5</v>
      </c>
      <c r="E2761">
        <v>11.5</v>
      </c>
      <c r="F2761">
        <v>4.7</v>
      </c>
      <c r="G2761">
        <v>0.4</v>
      </c>
      <c r="H2761">
        <v>1.1000000000000001</v>
      </c>
      <c r="I2761">
        <v>0</v>
      </c>
      <c r="J2761">
        <v>0</v>
      </c>
      <c r="K2761">
        <v>0</v>
      </c>
      <c r="L2761">
        <v>0</v>
      </c>
      <c r="M2761">
        <v>0</v>
      </c>
      <c r="N2761">
        <v>39631</v>
      </c>
      <c r="O2761">
        <v>43437</v>
      </c>
      <c r="P2761">
        <v>171727</v>
      </c>
      <c r="Q2761">
        <v>2</v>
      </c>
      <c r="R2761">
        <v>5</v>
      </c>
      <c r="S2761">
        <v>8</v>
      </c>
      <c r="T2761">
        <v>65</v>
      </c>
      <c r="U2761">
        <v>79</v>
      </c>
    </row>
    <row r="2762" spans="1:21" x14ac:dyDescent="0.35">
      <c r="A2762" t="s">
        <v>21</v>
      </c>
      <c r="B2762" s="1">
        <v>44846</v>
      </c>
      <c r="C2762" t="s">
        <v>29</v>
      </c>
      <c r="D2762">
        <v>0</v>
      </c>
      <c r="E2762">
        <v>0.4</v>
      </c>
      <c r="F2762">
        <v>0</v>
      </c>
      <c r="G2762">
        <v>0</v>
      </c>
      <c r="H2762">
        <v>0</v>
      </c>
      <c r="I2762">
        <v>0</v>
      </c>
      <c r="J2762">
        <v>0</v>
      </c>
      <c r="K2762">
        <v>0</v>
      </c>
      <c r="L2762">
        <v>0</v>
      </c>
      <c r="M2762">
        <v>0</v>
      </c>
      <c r="N2762">
        <v>114339</v>
      </c>
      <c r="O2762">
        <v>276994</v>
      </c>
      <c r="P2762">
        <v>347125</v>
      </c>
      <c r="Q2762">
        <v>0</v>
      </c>
      <c r="R2762">
        <v>1</v>
      </c>
      <c r="S2762">
        <v>0</v>
      </c>
      <c r="T2762">
        <v>30</v>
      </c>
      <c r="U2762">
        <v>49</v>
      </c>
    </row>
    <row r="2763" spans="1:21" x14ac:dyDescent="0.35">
      <c r="A2763" t="s">
        <v>26</v>
      </c>
      <c r="B2763" s="1">
        <v>44485</v>
      </c>
      <c r="C2763" t="s">
        <v>29</v>
      </c>
      <c r="D2763">
        <v>18.5</v>
      </c>
      <c r="E2763">
        <v>0.7</v>
      </c>
      <c r="F2763">
        <v>0</v>
      </c>
      <c r="G2763">
        <v>26.4</v>
      </c>
      <c r="H2763">
        <v>0</v>
      </c>
      <c r="I2763">
        <v>0</v>
      </c>
      <c r="J2763">
        <v>0</v>
      </c>
      <c r="K2763">
        <v>0</v>
      </c>
      <c r="L2763">
        <v>0</v>
      </c>
      <c r="M2763">
        <v>0</v>
      </c>
      <c r="N2763">
        <v>210412</v>
      </c>
      <c r="O2763">
        <v>535672</v>
      </c>
      <c r="P2763">
        <v>0</v>
      </c>
      <c r="Q2763">
        <v>39</v>
      </c>
      <c r="R2763">
        <v>4</v>
      </c>
      <c r="S2763">
        <v>0</v>
      </c>
      <c r="T2763">
        <v>30</v>
      </c>
      <c r="U2763">
        <v>49</v>
      </c>
    </row>
    <row r="2764" spans="1:21" x14ac:dyDescent="0.35">
      <c r="A2764" t="s">
        <v>21</v>
      </c>
      <c r="B2764" s="1">
        <v>44793</v>
      </c>
      <c r="C2764" t="s">
        <v>27</v>
      </c>
      <c r="D2764">
        <v>0</v>
      </c>
      <c r="E2764">
        <v>0</v>
      </c>
      <c r="F2764">
        <v>0</v>
      </c>
      <c r="G2764">
        <v>0</v>
      </c>
      <c r="H2764">
        <v>0</v>
      </c>
      <c r="I2764">
        <v>0</v>
      </c>
      <c r="J2764">
        <v>0</v>
      </c>
      <c r="K2764">
        <v>0</v>
      </c>
      <c r="L2764">
        <v>0</v>
      </c>
      <c r="M2764">
        <v>0</v>
      </c>
      <c r="N2764">
        <v>35466</v>
      </c>
      <c r="O2764">
        <v>87908</v>
      </c>
      <c r="P2764">
        <v>41807</v>
      </c>
      <c r="Q2764">
        <v>0</v>
      </c>
      <c r="R2764">
        <v>0</v>
      </c>
      <c r="S2764">
        <v>0</v>
      </c>
      <c r="T2764">
        <v>12</v>
      </c>
      <c r="U2764">
        <v>17</v>
      </c>
    </row>
    <row r="2765" spans="1:21" x14ac:dyDescent="0.35">
      <c r="A2765" t="s">
        <v>28</v>
      </c>
      <c r="B2765" s="1">
        <v>44891</v>
      </c>
      <c r="C2765" t="s">
        <v>31</v>
      </c>
      <c r="D2765">
        <v>245.3</v>
      </c>
      <c r="E2765">
        <v>143</v>
      </c>
      <c r="F2765">
        <v>164.9</v>
      </c>
      <c r="G2765">
        <v>1.7</v>
      </c>
      <c r="H2765">
        <v>1.5</v>
      </c>
      <c r="I2765">
        <v>0</v>
      </c>
      <c r="J2765">
        <v>0</v>
      </c>
      <c r="K2765">
        <v>0</v>
      </c>
      <c r="L2765">
        <v>0</v>
      </c>
      <c r="M2765">
        <v>0</v>
      </c>
      <c r="N2765">
        <v>41575</v>
      </c>
      <c r="O2765">
        <v>43350</v>
      </c>
      <c r="P2765">
        <v>171612</v>
      </c>
      <c r="Q2765">
        <v>102</v>
      </c>
      <c r="R2765">
        <v>62</v>
      </c>
      <c r="S2765">
        <v>283</v>
      </c>
      <c r="T2765">
        <v>65</v>
      </c>
      <c r="U2765">
        <v>79</v>
      </c>
    </row>
    <row r="2766" spans="1:21" x14ac:dyDescent="0.35">
      <c r="A2766" t="s">
        <v>26</v>
      </c>
      <c r="B2766" s="1">
        <v>45178</v>
      </c>
      <c r="C2766" t="s">
        <v>27</v>
      </c>
      <c r="D2766">
        <v>0</v>
      </c>
      <c r="E2766">
        <v>1.2</v>
      </c>
      <c r="F2766">
        <v>0</v>
      </c>
      <c r="G2766">
        <v>0</v>
      </c>
      <c r="H2766">
        <v>0</v>
      </c>
      <c r="I2766">
        <v>0</v>
      </c>
      <c r="J2766">
        <v>0</v>
      </c>
      <c r="K2766">
        <v>0</v>
      </c>
      <c r="L2766">
        <v>0</v>
      </c>
      <c r="M2766">
        <v>0</v>
      </c>
      <c r="N2766">
        <v>31714</v>
      </c>
      <c r="O2766">
        <v>86574</v>
      </c>
      <c r="P2766">
        <v>44596</v>
      </c>
      <c r="Q2766">
        <v>0</v>
      </c>
      <c r="R2766">
        <v>1</v>
      </c>
      <c r="S2766">
        <v>0</v>
      </c>
      <c r="T2766">
        <v>12</v>
      </c>
      <c r="U2766">
        <v>17</v>
      </c>
    </row>
    <row r="2767" spans="1:21" x14ac:dyDescent="0.35">
      <c r="A2767" t="s">
        <v>26</v>
      </c>
      <c r="B2767" s="1">
        <v>45185</v>
      </c>
      <c r="C2767" t="s">
        <v>25</v>
      </c>
      <c r="D2767">
        <v>4.0999999999999996</v>
      </c>
      <c r="E2767">
        <v>0.9</v>
      </c>
      <c r="F2767">
        <v>1.9</v>
      </c>
      <c r="G2767">
        <v>4.5999999999999996</v>
      </c>
      <c r="H2767">
        <v>2.2000000000000002</v>
      </c>
      <c r="I2767">
        <v>0</v>
      </c>
      <c r="J2767">
        <v>0</v>
      </c>
      <c r="K2767">
        <v>0</v>
      </c>
      <c r="L2767">
        <v>0</v>
      </c>
      <c r="M2767">
        <v>0</v>
      </c>
      <c r="N2767">
        <v>73185</v>
      </c>
      <c r="O2767">
        <v>214126</v>
      </c>
      <c r="P2767">
        <v>161725</v>
      </c>
      <c r="Q2767">
        <v>3</v>
      </c>
      <c r="R2767">
        <v>2</v>
      </c>
      <c r="S2767">
        <v>3</v>
      </c>
      <c r="T2767">
        <v>18</v>
      </c>
      <c r="U2767">
        <v>29</v>
      </c>
    </row>
    <row r="2768" spans="1:21" x14ac:dyDescent="0.35">
      <c r="A2768" t="s">
        <v>28</v>
      </c>
      <c r="B2768" s="1">
        <v>44310</v>
      </c>
      <c r="C2768" t="s">
        <v>31</v>
      </c>
      <c r="D2768">
        <v>145</v>
      </c>
      <c r="E2768">
        <v>11.4</v>
      </c>
      <c r="F2768">
        <v>0</v>
      </c>
      <c r="G2768">
        <v>12.7</v>
      </c>
      <c r="H2768">
        <v>0</v>
      </c>
      <c r="I2768">
        <v>0</v>
      </c>
      <c r="J2768">
        <v>0</v>
      </c>
      <c r="K2768">
        <v>0</v>
      </c>
      <c r="L2768">
        <v>0</v>
      </c>
      <c r="M2768">
        <v>0</v>
      </c>
      <c r="N2768">
        <v>90355</v>
      </c>
      <c r="O2768">
        <v>140945</v>
      </c>
      <c r="P2768">
        <v>0</v>
      </c>
      <c r="Q2768">
        <v>131</v>
      </c>
      <c r="R2768">
        <v>16</v>
      </c>
      <c r="S2768">
        <v>0</v>
      </c>
      <c r="T2768">
        <v>65</v>
      </c>
      <c r="U2768">
        <v>79</v>
      </c>
    </row>
    <row r="2769" spans="1:21" x14ac:dyDescent="0.35">
      <c r="A2769" t="s">
        <v>26</v>
      </c>
      <c r="B2769" s="1">
        <v>45038</v>
      </c>
      <c r="C2769" t="s">
        <v>31</v>
      </c>
      <c r="D2769">
        <v>12.6</v>
      </c>
      <c r="E2769">
        <v>18.399999999999999</v>
      </c>
      <c r="F2769">
        <v>8.6999999999999993</v>
      </c>
      <c r="G2769">
        <v>0.7</v>
      </c>
      <c r="H2769">
        <v>1.4</v>
      </c>
      <c r="I2769">
        <v>0</v>
      </c>
      <c r="J2769">
        <v>0</v>
      </c>
      <c r="K2769">
        <v>0</v>
      </c>
      <c r="L2769">
        <v>0</v>
      </c>
      <c r="M2769">
        <v>0</v>
      </c>
      <c r="N2769">
        <v>39752</v>
      </c>
      <c r="O2769">
        <v>43432</v>
      </c>
      <c r="P2769">
        <v>171720</v>
      </c>
      <c r="Q2769">
        <v>5</v>
      </c>
      <c r="R2769">
        <v>8</v>
      </c>
      <c r="S2769">
        <v>15</v>
      </c>
      <c r="T2769">
        <v>65</v>
      </c>
      <c r="U2769">
        <v>79</v>
      </c>
    </row>
    <row r="2770" spans="1:21" x14ac:dyDescent="0.35">
      <c r="A2770" t="s">
        <v>26</v>
      </c>
      <c r="B2770" s="1">
        <v>44695</v>
      </c>
      <c r="C2770" t="s">
        <v>31</v>
      </c>
      <c r="D2770">
        <v>23.2</v>
      </c>
      <c r="E2770">
        <v>14.3</v>
      </c>
      <c r="F2770">
        <v>10.4</v>
      </c>
      <c r="G2770">
        <v>1.6</v>
      </c>
      <c r="H2770">
        <v>2.2000000000000002</v>
      </c>
      <c r="I2770">
        <v>0</v>
      </c>
      <c r="J2770">
        <v>0</v>
      </c>
      <c r="K2770">
        <v>0</v>
      </c>
      <c r="L2770">
        <v>0</v>
      </c>
      <c r="M2770">
        <v>0</v>
      </c>
      <c r="N2770">
        <v>47442</v>
      </c>
      <c r="O2770">
        <v>48816</v>
      </c>
      <c r="P2770">
        <v>163445</v>
      </c>
      <c r="Q2770">
        <v>11</v>
      </c>
      <c r="R2770">
        <v>7</v>
      </c>
      <c r="S2770">
        <v>17</v>
      </c>
      <c r="T2770">
        <v>65</v>
      </c>
      <c r="U2770">
        <v>79</v>
      </c>
    </row>
    <row r="2771" spans="1:21" x14ac:dyDescent="0.35">
      <c r="A2771" t="s">
        <v>28</v>
      </c>
      <c r="B2771" s="1">
        <v>44800</v>
      </c>
      <c r="C2771" t="s">
        <v>23</v>
      </c>
      <c r="D2771">
        <v>352</v>
      </c>
      <c r="E2771">
        <v>118.3</v>
      </c>
      <c r="F2771">
        <v>184.2</v>
      </c>
      <c r="G2771">
        <v>3</v>
      </c>
      <c r="H2771">
        <v>1.9</v>
      </c>
      <c r="I2771">
        <v>0</v>
      </c>
      <c r="J2771">
        <v>0</v>
      </c>
      <c r="K2771">
        <v>0</v>
      </c>
      <c r="L2771">
        <v>0</v>
      </c>
      <c r="M2771">
        <v>0</v>
      </c>
      <c r="N2771">
        <v>40343</v>
      </c>
      <c r="O2771">
        <v>125946</v>
      </c>
      <c r="P2771">
        <v>245378</v>
      </c>
      <c r="Q2771">
        <v>142</v>
      </c>
      <c r="R2771">
        <v>149</v>
      </c>
      <c r="S2771">
        <v>452</v>
      </c>
      <c r="T2771">
        <v>50</v>
      </c>
      <c r="U2771">
        <v>64</v>
      </c>
    </row>
    <row r="2772" spans="1:21" x14ac:dyDescent="0.35">
      <c r="A2772" t="s">
        <v>26</v>
      </c>
      <c r="B2772" s="1">
        <v>44975</v>
      </c>
      <c r="C2772" t="s">
        <v>25</v>
      </c>
      <c r="D2772">
        <v>10.4</v>
      </c>
      <c r="E2772">
        <v>1.9</v>
      </c>
      <c r="F2772">
        <v>0</v>
      </c>
      <c r="G2772">
        <v>5.5</v>
      </c>
      <c r="H2772">
        <v>0</v>
      </c>
      <c r="I2772">
        <v>0</v>
      </c>
      <c r="J2772">
        <v>0</v>
      </c>
      <c r="K2772">
        <v>0</v>
      </c>
      <c r="L2772">
        <v>0</v>
      </c>
      <c r="M2772">
        <v>0</v>
      </c>
      <c r="N2772">
        <v>77142</v>
      </c>
      <c r="O2772">
        <v>213438</v>
      </c>
      <c r="P2772">
        <v>161646</v>
      </c>
      <c r="Q2772">
        <v>8</v>
      </c>
      <c r="R2772">
        <v>4</v>
      </c>
      <c r="S2772">
        <v>0</v>
      </c>
      <c r="T2772">
        <v>18</v>
      </c>
      <c r="U2772">
        <v>29</v>
      </c>
    </row>
    <row r="2773" spans="1:21" x14ac:dyDescent="0.35">
      <c r="A2773" t="s">
        <v>21</v>
      </c>
      <c r="B2773" s="1">
        <v>44783</v>
      </c>
      <c r="C2773" t="s">
        <v>30</v>
      </c>
      <c r="D2773">
        <v>7.8</v>
      </c>
      <c r="E2773">
        <v>8.8000000000000007</v>
      </c>
      <c r="F2773">
        <v>0</v>
      </c>
      <c r="G2773">
        <v>0.9</v>
      </c>
      <c r="H2773">
        <v>0</v>
      </c>
      <c r="I2773">
        <v>0</v>
      </c>
      <c r="J2773">
        <v>0</v>
      </c>
      <c r="K2773">
        <v>0</v>
      </c>
      <c r="L2773">
        <v>0</v>
      </c>
      <c r="M2773">
        <v>0</v>
      </c>
      <c r="N2773">
        <v>25733</v>
      </c>
      <c r="O2773">
        <v>11377</v>
      </c>
      <c r="P2773">
        <v>47048</v>
      </c>
      <c r="Q2773">
        <v>2</v>
      </c>
      <c r="R2773">
        <v>1</v>
      </c>
      <c r="S2773">
        <v>0</v>
      </c>
      <c r="T2773">
        <v>80</v>
      </c>
      <c r="U2773">
        <v>200</v>
      </c>
    </row>
    <row r="2774" spans="1:21" x14ac:dyDescent="0.35">
      <c r="A2774" t="s">
        <v>21</v>
      </c>
      <c r="B2774" s="1">
        <v>44345</v>
      </c>
      <c r="C2774" t="s">
        <v>30</v>
      </c>
      <c r="D2774">
        <v>17.3</v>
      </c>
      <c r="E2774">
        <v>2.1</v>
      </c>
      <c r="F2774">
        <v>0</v>
      </c>
      <c r="G2774">
        <v>8.1999999999999993</v>
      </c>
      <c r="H2774">
        <v>0</v>
      </c>
      <c r="I2774">
        <v>0</v>
      </c>
      <c r="J2774">
        <v>0</v>
      </c>
      <c r="K2774">
        <v>0</v>
      </c>
      <c r="L2774">
        <v>0</v>
      </c>
      <c r="M2774">
        <v>0</v>
      </c>
      <c r="N2774">
        <v>34769</v>
      </c>
      <c r="O2774">
        <v>48292</v>
      </c>
      <c r="P2774">
        <v>0</v>
      </c>
      <c r="Q2774">
        <v>6</v>
      </c>
      <c r="R2774">
        <v>1</v>
      </c>
      <c r="S2774">
        <v>0</v>
      </c>
      <c r="T2774">
        <v>80</v>
      </c>
      <c r="U2774">
        <v>200</v>
      </c>
    </row>
    <row r="2775" spans="1:21" x14ac:dyDescent="0.35">
      <c r="A2775" t="s">
        <v>26</v>
      </c>
      <c r="B2775" s="1">
        <v>44774</v>
      </c>
      <c r="C2775" t="s">
        <v>27</v>
      </c>
      <c r="D2775">
        <v>11.7</v>
      </c>
      <c r="E2775">
        <v>10.199999999999999</v>
      </c>
      <c r="F2775">
        <v>0</v>
      </c>
      <c r="G2775">
        <v>1.1000000000000001</v>
      </c>
      <c r="H2775">
        <v>0</v>
      </c>
      <c r="I2775">
        <v>0</v>
      </c>
      <c r="J2775">
        <v>0</v>
      </c>
      <c r="K2775">
        <v>0</v>
      </c>
      <c r="L2775">
        <v>0</v>
      </c>
      <c r="M2775">
        <v>0</v>
      </c>
      <c r="N2775">
        <v>51071</v>
      </c>
      <c r="O2775">
        <v>107463</v>
      </c>
      <c r="P2775">
        <v>3456</v>
      </c>
      <c r="Q2775">
        <v>6</v>
      </c>
      <c r="R2775">
        <v>11</v>
      </c>
      <c r="S2775">
        <v>0</v>
      </c>
      <c r="T2775">
        <v>12</v>
      </c>
      <c r="U2775">
        <v>17</v>
      </c>
    </row>
    <row r="2776" spans="1:21" x14ac:dyDescent="0.35">
      <c r="A2776" t="s">
        <v>21</v>
      </c>
      <c r="B2776" s="1">
        <v>44509</v>
      </c>
      <c r="C2776" t="s">
        <v>29</v>
      </c>
      <c r="D2776">
        <v>0.4</v>
      </c>
      <c r="E2776">
        <v>0</v>
      </c>
      <c r="F2776">
        <v>0</v>
      </c>
      <c r="G2776">
        <v>0</v>
      </c>
      <c r="H2776">
        <v>0</v>
      </c>
      <c r="I2776">
        <v>0</v>
      </c>
      <c r="J2776">
        <v>0</v>
      </c>
      <c r="K2776">
        <v>0</v>
      </c>
      <c r="L2776">
        <v>0</v>
      </c>
      <c r="M2776">
        <v>0</v>
      </c>
      <c r="N2776">
        <v>232678</v>
      </c>
      <c r="O2776">
        <v>520775</v>
      </c>
      <c r="P2776">
        <v>0</v>
      </c>
      <c r="Q2776">
        <v>1</v>
      </c>
      <c r="R2776">
        <v>0</v>
      </c>
      <c r="S2776">
        <v>0</v>
      </c>
      <c r="T2776">
        <v>30</v>
      </c>
      <c r="U2776">
        <v>49</v>
      </c>
    </row>
    <row r="2777" spans="1:21" x14ac:dyDescent="0.35">
      <c r="A2777" t="s">
        <v>28</v>
      </c>
      <c r="B2777" s="1">
        <v>45038</v>
      </c>
      <c r="C2777" t="s">
        <v>31</v>
      </c>
      <c r="D2777">
        <v>40.200000000000003</v>
      </c>
      <c r="E2777">
        <v>50.7</v>
      </c>
      <c r="F2777">
        <v>53</v>
      </c>
      <c r="G2777">
        <v>0.8</v>
      </c>
      <c r="H2777">
        <v>0.8</v>
      </c>
      <c r="I2777">
        <v>0</v>
      </c>
      <c r="J2777">
        <v>0</v>
      </c>
      <c r="K2777">
        <v>0</v>
      </c>
      <c r="L2777">
        <v>0</v>
      </c>
      <c r="M2777">
        <v>0</v>
      </c>
      <c r="N2777">
        <v>39752</v>
      </c>
      <c r="O2777">
        <v>43432</v>
      </c>
      <c r="P2777">
        <v>171720</v>
      </c>
      <c r="Q2777">
        <v>16</v>
      </c>
      <c r="R2777">
        <v>22</v>
      </c>
      <c r="S2777">
        <v>91</v>
      </c>
      <c r="T2777">
        <v>65</v>
      </c>
      <c r="U2777">
        <v>79</v>
      </c>
    </row>
    <row r="2778" spans="1:21" x14ac:dyDescent="0.35">
      <c r="A2778" t="s">
        <v>26</v>
      </c>
      <c r="B2778" s="1">
        <v>45101</v>
      </c>
      <c r="C2778" t="s">
        <v>25</v>
      </c>
      <c r="D2778">
        <v>2.7</v>
      </c>
      <c r="E2778">
        <v>0</v>
      </c>
      <c r="F2778">
        <v>0</v>
      </c>
      <c r="G2778">
        <v>0</v>
      </c>
      <c r="H2778">
        <v>0</v>
      </c>
      <c r="I2778">
        <v>0</v>
      </c>
      <c r="J2778">
        <v>0</v>
      </c>
      <c r="K2778">
        <v>0</v>
      </c>
      <c r="L2778">
        <v>0</v>
      </c>
      <c r="M2778">
        <v>0</v>
      </c>
      <c r="N2778">
        <v>74402</v>
      </c>
      <c r="O2778">
        <v>214137</v>
      </c>
      <c r="P2778">
        <v>161700</v>
      </c>
      <c r="Q2778">
        <v>2</v>
      </c>
      <c r="R2778">
        <v>0</v>
      </c>
      <c r="S2778">
        <v>0</v>
      </c>
      <c r="T2778">
        <v>18</v>
      </c>
      <c r="U2778">
        <v>29</v>
      </c>
    </row>
    <row r="2779" spans="1:21" x14ac:dyDescent="0.35">
      <c r="A2779" t="s">
        <v>28</v>
      </c>
      <c r="B2779" s="1">
        <v>44709</v>
      </c>
      <c r="C2779" t="s">
        <v>23</v>
      </c>
      <c r="D2779">
        <v>444.5</v>
      </c>
      <c r="E2779">
        <v>165.3</v>
      </c>
      <c r="F2779">
        <v>293.39999999999998</v>
      </c>
      <c r="G2779">
        <v>2.7</v>
      </c>
      <c r="H2779">
        <v>1.5</v>
      </c>
      <c r="I2779">
        <v>0</v>
      </c>
      <c r="J2779">
        <v>0</v>
      </c>
      <c r="K2779">
        <v>0</v>
      </c>
      <c r="L2779">
        <v>0</v>
      </c>
      <c r="M2779">
        <v>0</v>
      </c>
      <c r="N2779">
        <v>42974</v>
      </c>
      <c r="O2779">
        <v>132464</v>
      </c>
      <c r="P2779">
        <v>236190</v>
      </c>
      <c r="Q2779">
        <v>191</v>
      </c>
      <c r="R2779">
        <v>219</v>
      </c>
      <c r="S2779">
        <v>693</v>
      </c>
      <c r="T2779">
        <v>50</v>
      </c>
      <c r="U2779">
        <v>64</v>
      </c>
    </row>
    <row r="2780" spans="1:21" x14ac:dyDescent="0.35">
      <c r="A2780" t="s">
        <v>26</v>
      </c>
      <c r="B2780" s="1">
        <v>44618</v>
      </c>
      <c r="C2780" t="s">
        <v>24</v>
      </c>
      <c r="D2780">
        <v>0.9</v>
      </c>
      <c r="E2780">
        <v>0</v>
      </c>
      <c r="F2780">
        <v>0</v>
      </c>
      <c r="G2780">
        <v>0</v>
      </c>
      <c r="H2780">
        <v>0</v>
      </c>
      <c r="I2780">
        <v>0</v>
      </c>
      <c r="J2780">
        <v>0</v>
      </c>
      <c r="K2780">
        <v>0</v>
      </c>
      <c r="L2780">
        <v>0</v>
      </c>
      <c r="M2780">
        <v>0</v>
      </c>
      <c r="N2780">
        <v>106580</v>
      </c>
      <c r="O2780">
        <v>79595</v>
      </c>
      <c r="P2780">
        <v>0</v>
      </c>
      <c r="Q2780">
        <v>1</v>
      </c>
      <c r="R2780">
        <v>0</v>
      </c>
      <c r="S2780">
        <v>0</v>
      </c>
      <c r="T2780">
        <v>5</v>
      </c>
      <c r="U2780">
        <v>11</v>
      </c>
    </row>
    <row r="2781" spans="1:21" x14ac:dyDescent="0.35">
      <c r="A2781" t="s">
        <v>26</v>
      </c>
      <c r="B2781" s="1">
        <v>44657</v>
      </c>
      <c r="C2781" t="s">
        <v>29</v>
      </c>
      <c r="D2781">
        <v>18.600000000000001</v>
      </c>
      <c r="E2781">
        <v>2.1</v>
      </c>
      <c r="F2781">
        <v>3.3</v>
      </c>
      <c r="G2781">
        <v>8.9</v>
      </c>
      <c r="H2781">
        <v>5.6</v>
      </c>
      <c r="I2781">
        <v>0</v>
      </c>
      <c r="J2781">
        <v>0</v>
      </c>
      <c r="K2781">
        <v>0</v>
      </c>
      <c r="L2781">
        <v>0</v>
      </c>
      <c r="M2781">
        <v>0</v>
      </c>
      <c r="N2781">
        <v>129048</v>
      </c>
      <c r="O2781">
        <v>283039</v>
      </c>
      <c r="P2781">
        <v>336241</v>
      </c>
      <c r="Q2781">
        <v>24</v>
      </c>
      <c r="R2781">
        <v>6</v>
      </c>
      <c r="S2781">
        <v>11</v>
      </c>
      <c r="T2781">
        <v>30</v>
      </c>
      <c r="U2781">
        <v>49</v>
      </c>
    </row>
    <row r="2782" spans="1:21" x14ac:dyDescent="0.35">
      <c r="A2782" t="s">
        <v>21</v>
      </c>
      <c r="B2782" s="1">
        <v>44940</v>
      </c>
      <c r="C2782" t="s">
        <v>27</v>
      </c>
      <c r="D2782">
        <v>0</v>
      </c>
      <c r="E2782">
        <v>0</v>
      </c>
      <c r="F2782">
        <v>0</v>
      </c>
      <c r="G2782">
        <v>0</v>
      </c>
      <c r="H2782">
        <v>0</v>
      </c>
      <c r="I2782">
        <v>0</v>
      </c>
      <c r="J2782">
        <v>0</v>
      </c>
      <c r="K2782">
        <v>0</v>
      </c>
      <c r="L2782">
        <v>0</v>
      </c>
      <c r="M2782">
        <v>0</v>
      </c>
      <c r="N2782">
        <v>33518</v>
      </c>
      <c r="O2782">
        <v>86264</v>
      </c>
      <c r="P2782">
        <v>44538</v>
      </c>
      <c r="Q2782">
        <v>0</v>
      </c>
      <c r="R2782">
        <v>0</v>
      </c>
      <c r="S2782">
        <v>0</v>
      </c>
      <c r="T2782">
        <v>12</v>
      </c>
      <c r="U2782">
        <v>17</v>
      </c>
    </row>
    <row r="2783" spans="1:21" x14ac:dyDescent="0.35">
      <c r="A2783" t="s">
        <v>21</v>
      </c>
      <c r="B2783" s="1">
        <v>45059</v>
      </c>
      <c r="C2783" t="s">
        <v>31</v>
      </c>
      <c r="D2783">
        <v>0</v>
      </c>
      <c r="E2783">
        <v>0</v>
      </c>
      <c r="F2783">
        <v>0</v>
      </c>
      <c r="G2783">
        <v>0</v>
      </c>
      <c r="H2783">
        <v>0</v>
      </c>
      <c r="I2783">
        <v>0</v>
      </c>
      <c r="J2783">
        <v>0</v>
      </c>
      <c r="K2783">
        <v>0</v>
      </c>
      <c r="L2783">
        <v>0</v>
      </c>
      <c r="M2783">
        <v>0</v>
      </c>
      <c r="N2783">
        <v>39568</v>
      </c>
      <c r="O2783">
        <v>43436</v>
      </c>
      <c r="P2783">
        <v>171728</v>
      </c>
      <c r="Q2783">
        <v>0</v>
      </c>
      <c r="R2783">
        <v>0</v>
      </c>
      <c r="S2783">
        <v>0</v>
      </c>
      <c r="T2783">
        <v>65</v>
      </c>
      <c r="U2783">
        <v>79</v>
      </c>
    </row>
    <row r="2784" spans="1:21" x14ac:dyDescent="0.35">
      <c r="A2784" t="s">
        <v>26</v>
      </c>
      <c r="B2784" s="1">
        <v>44632</v>
      </c>
      <c r="C2784" t="s">
        <v>29</v>
      </c>
      <c r="D2784">
        <v>16.5</v>
      </c>
      <c r="E2784">
        <v>5.4</v>
      </c>
      <c r="F2784">
        <v>4.3</v>
      </c>
      <c r="G2784">
        <v>3.1</v>
      </c>
      <c r="H2784">
        <v>3.8</v>
      </c>
      <c r="I2784">
        <v>0</v>
      </c>
      <c r="J2784">
        <v>0</v>
      </c>
      <c r="K2784">
        <v>0</v>
      </c>
      <c r="L2784">
        <v>0</v>
      </c>
      <c r="M2784">
        <v>0</v>
      </c>
      <c r="N2784">
        <v>114875</v>
      </c>
      <c r="O2784">
        <v>276921</v>
      </c>
      <c r="P2784">
        <v>347113</v>
      </c>
      <c r="Q2784">
        <v>19</v>
      </c>
      <c r="R2784">
        <v>15</v>
      </c>
      <c r="S2784">
        <v>15</v>
      </c>
      <c r="T2784">
        <v>30</v>
      </c>
      <c r="U2784">
        <v>49</v>
      </c>
    </row>
    <row r="2785" spans="1:21" x14ac:dyDescent="0.35">
      <c r="A2785" t="s">
        <v>28</v>
      </c>
      <c r="B2785" s="1">
        <v>44509</v>
      </c>
      <c r="C2785" t="s">
        <v>27</v>
      </c>
      <c r="D2785">
        <v>222.6</v>
      </c>
      <c r="E2785">
        <v>33.4</v>
      </c>
      <c r="F2785">
        <v>0</v>
      </c>
      <c r="G2785">
        <v>6.7</v>
      </c>
      <c r="H2785">
        <v>0</v>
      </c>
      <c r="I2785">
        <v>0</v>
      </c>
      <c r="J2785">
        <v>0</v>
      </c>
      <c r="K2785">
        <v>0</v>
      </c>
      <c r="L2785">
        <v>0</v>
      </c>
      <c r="M2785">
        <v>0</v>
      </c>
      <c r="N2785">
        <v>73661</v>
      </c>
      <c r="O2785">
        <v>83778</v>
      </c>
      <c r="P2785">
        <v>0</v>
      </c>
      <c r="Q2785">
        <v>164</v>
      </c>
      <c r="R2785">
        <v>28</v>
      </c>
      <c r="S2785">
        <v>0</v>
      </c>
      <c r="T2785">
        <v>12</v>
      </c>
      <c r="U2785">
        <v>17</v>
      </c>
    </row>
    <row r="2786" spans="1:21" x14ac:dyDescent="0.35">
      <c r="A2786" t="s">
        <v>26</v>
      </c>
      <c r="B2786" s="1">
        <v>44846</v>
      </c>
      <c r="C2786" t="s">
        <v>24</v>
      </c>
      <c r="D2786">
        <v>0</v>
      </c>
      <c r="E2786">
        <v>1.2</v>
      </c>
      <c r="F2786">
        <v>0</v>
      </c>
      <c r="G2786">
        <v>0</v>
      </c>
      <c r="H2786">
        <v>0</v>
      </c>
      <c r="I2786">
        <v>0</v>
      </c>
      <c r="J2786">
        <v>0</v>
      </c>
      <c r="K2786">
        <v>0</v>
      </c>
      <c r="L2786">
        <v>0</v>
      </c>
      <c r="M2786">
        <v>0</v>
      </c>
      <c r="N2786">
        <v>92766</v>
      </c>
      <c r="O2786">
        <v>81208</v>
      </c>
      <c r="P2786">
        <v>21125</v>
      </c>
      <c r="Q2786">
        <v>0</v>
      </c>
      <c r="R2786">
        <v>1</v>
      </c>
      <c r="S2786">
        <v>0</v>
      </c>
      <c r="T2786">
        <v>5</v>
      </c>
      <c r="U2786">
        <v>11</v>
      </c>
    </row>
    <row r="2787" spans="1:21" x14ac:dyDescent="0.35">
      <c r="A2787" t="s">
        <v>28</v>
      </c>
      <c r="B2787" s="1">
        <v>44720</v>
      </c>
      <c r="C2787" t="s">
        <v>32</v>
      </c>
      <c r="D2787">
        <v>182.6</v>
      </c>
      <c r="E2787">
        <v>1.2</v>
      </c>
      <c r="F2787">
        <v>0</v>
      </c>
      <c r="G2787">
        <v>152.19999999999999</v>
      </c>
      <c r="H2787">
        <v>0</v>
      </c>
      <c r="I2787">
        <v>0</v>
      </c>
      <c r="J2787">
        <v>0</v>
      </c>
      <c r="K2787">
        <v>0</v>
      </c>
      <c r="L2787">
        <v>0</v>
      </c>
      <c r="M2787">
        <v>0</v>
      </c>
      <c r="N2787">
        <v>162642</v>
      </c>
      <c r="O2787">
        <v>0</v>
      </c>
      <c r="P2787">
        <v>0</v>
      </c>
      <c r="Q2787">
        <v>297</v>
      </c>
      <c r="R2787">
        <v>2</v>
      </c>
      <c r="S2787">
        <v>0</v>
      </c>
      <c r="T2787">
        <v>0</v>
      </c>
      <c r="U2787">
        <v>4</v>
      </c>
    </row>
    <row r="2788" spans="1:21" x14ac:dyDescent="0.35">
      <c r="A2788" t="s">
        <v>28</v>
      </c>
      <c r="B2788" s="1">
        <v>44646</v>
      </c>
      <c r="C2788" t="s">
        <v>23</v>
      </c>
      <c r="D2788">
        <v>74.8</v>
      </c>
      <c r="E2788">
        <v>29.3</v>
      </c>
      <c r="F2788">
        <v>52.3</v>
      </c>
      <c r="G2788">
        <v>2.6</v>
      </c>
      <c r="H2788">
        <v>1.4</v>
      </c>
      <c r="I2788">
        <v>0</v>
      </c>
      <c r="J2788">
        <v>0</v>
      </c>
      <c r="K2788">
        <v>0</v>
      </c>
      <c r="L2788">
        <v>0</v>
      </c>
      <c r="M2788">
        <v>0</v>
      </c>
      <c r="N2788">
        <v>45447</v>
      </c>
      <c r="O2788">
        <v>140025</v>
      </c>
      <c r="P2788">
        <v>225645</v>
      </c>
      <c r="Q2788">
        <v>34</v>
      </c>
      <c r="R2788">
        <v>41</v>
      </c>
      <c r="S2788">
        <v>118</v>
      </c>
      <c r="T2788">
        <v>50</v>
      </c>
      <c r="U2788">
        <v>64</v>
      </c>
    </row>
    <row r="2789" spans="1:21" x14ac:dyDescent="0.35">
      <c r="A2789" t="s">
        <v>26</v>
      </c>
      <c r="B2789" s="1">
        <v>44590</v>
      </c>
      <c r="C2789" t="s">
        <v>24</v>
      </c>
      <c r="D2789">
        <v>0.9</v>
      </c>
      <c r="E2789">
        <v>0</v>
      </c>
      <c r="F2789">
        <v>0</v>
      </c>
      <c r="G2789">
        <v>0</v>
      </c>
      <c r="H2789">
        <v>0</v>
      </c>
      <c r="I2789">
        <v>0</v>
      </c>
      <c r="J2789">
        <v>0</v>
      </c>
      <c r="K2789">
        <v>0</v>
      </c>
      <c r="L2789">
        <v>0</v>
      </c>
      <c r="M2789">
        <v>0</v>
      </c>
      <c r="N2789">
        <v>115323</v>
      </c>
      <c r="O2789">
        <v>59100</v>
      </c>
      <c r="P2789">
        <v>0</v>
      </c>
      <c r="Q2789">
        <v>1</v>
      </c>
      <c r="R2789">
        <v>0</v>
      </c>
      <c r="S2789">
        <v>0</v>
      </c>
      <c r="T2789">
        <v>5</v>
      </c>
      <c r="U2789">
        <v>11</v>
      </c>
    </row>
    <row r="2790" spans="1:21" x14ac:dyDescent="0.35">
      <c r="A2790" t="s">
        <v>21</v>
      </c>
      <c r="B2790" s="1">
        <v>44413</v>
      </c>
      <c r="C2790" t="s">
        <v>23</v>
      </c>
      <c r="D2790">
        <v>8.1999999999999993</v>
      </c>
      <c r="E2790">
        <v>0</v>
      </c>
      <c r="F2790">
        <v>0</v>
      </c>
      <c r="G2790">
        <v>0</v>
      </c>
      <c r="H2790">
        <v>0</v>
      </c>
      <c r="I2790">
        <v>0</v>
      </c>
      <c r="J2790">
        <v>0</v>
      </c>
      <c r="K2790">
        <v>0</v>
      </c>
      <c r="L2790">
        <v>0</v>
      </c>
      <c r="M2790">
        <v>0</v>
      </c>
      <c r="N2790">
        <v>146538</v>
      </c>
      <c r="O2790">
        <v>195911</v>
      </c>
      <c r="P2790">
        <v>0</v>
      </c>
      <c r="Q2790">
        <v>12</v>
      </c>
      <c r="R2790">
        <v>0</v>
      </c>
      <c r="S2790">
        <v>0</v>
      </c>
      <c r="T2790">
        <v>50</v>
      </c>
      <c r="U2790">
        <v>64</v>
      </c>
    </row>
    <row r="2791" spans="1:21" x14ac:dyDescent="0.35">
      <c r="A2791" t="s">
        <v>28</v>
      </c>
      <c r="B2791" s="1">
        <v>44509</v>
      </c>
      <c r="C2791" t="s">
        <v>23</v>
      </c>
      <c r="D2791">
        <v>226.3</v>
      </c>
      <c r="E2791">
        <v>64.8</v>
      </c>
      <c r="F2791">
        <v>0</v>
      </c>
      <c r="G2791">
        <v>3.5</v>
      </c>
      <c r="H2791">
        <v>0</v>
      </c>
      <c r="I2791">
        <v>0</v>
      </c>
      <c r="J2791">
        <v>0</v>
      </c>
      <c r="K2791">
        <v>0</v>
      </c>
      <c r="L2791">
        <v>0</v>
      </c>
      <c r="M2791">
        <v>0</v>
      </c>
      <c r="N2791">
        <v>84837</v>
      </c>
      <c r="O2791">
        <v>325536</v>
      </c>
      <c r="P2791">
        <v>0</v>
      </c>
      <c r="Q2791">
        <v>192</v>
      </c>
      <c r="R2791">
        <v>211</v>
      </c>
      <c r="S2791">
        <v>0</v>
      </c>
      <c r="T2791">
        <v>50</v>
      </c>
      <c r="U2791">
        <v>64</v>
      </c>
    </row>
    <row r="2792" spans="1:21" x14ac:dyDescent="0.35">
      <c r="A2792" t="s">
        <v>21</v>
      </c>
      <c r="B2792" s="1">
        <v>44849</v>
      </c>
      <c r="C2792" t="s">
        <v>23</v>
      </c>
      <c r="D2792">
        <v>2.6</v>
      </c>
      <c r="E2792">
        <v>0</v>
      </c>
      <c r="F2792">
        <v>0.4</v>
      </c>
      <c r="G2792">
        <v>0</v>
      </c>
      <c r="H2792">
        <v>6.5</v>
      </c>
      <c r="I2792">
        <v>0</v>
      </c>
      <c r="J2792">
        <v>0</v>
      </c>
      <c r="K2792">
        <v>0</v>
      </c>
      <c r="L2792">
        <v>0</v>
      </c>
      <c r="M2792">
        <v>0</v>
      </c>
      <c r="N2792">
        <v>38173</v>
      </c>
      <c r="O2792">
        <v>125196</v>
      </c>
      <c r="P2792">
        <v>246614</v>
      </c>
      <c r="Q2792">
        <v>1</v>
      </c>
      <c r="R2792">
        <v>0</v>
      </c>
      <c r="S2792">
        <v>1</v>
      </c>
      <c r="T2792">
        <v>50</v>
      </c>
      <c r="U2792">
        <v>64</v>
      </c>
    </row>
    <row r="2793" spans="1:21" x14ac:dyDescent="0.35">
      <c r="A2793" t="s">
        <v>28</v>
      </c>
      <c r="B2793" s="1">
        <v>44509</v>
      </c>
      <c r="C2793" t="s">
        <v>25</v>
      </c>
      <c r="D2793">
        <v>257.8</v>
      </c>
      <c r="E2793">
        <v>93.2</v>
      </c>
      <c r="F2793">
        <v>0</v>
      </c>
      <c r="G2793">
        <v>2.8</v>
      </c>
      <c r="H2793">
        <v>0</v>
      </c>
      <c r="I2793">
        <v>0</v>
      </c>
      <c r="J2793">
        <v>0</v>
      </c>
      <c r="K2793">
        <v>0</v>
      </c>
      <c r="L2793">
        <v>0</v>
      </c>
      <c r="M2793">
        <v>0</v>
      </c>
      <c r="N2793">
        <v>185405</v>
      </c>
      <c r="O2793">
        <v>298401</v>
      </c>
      <c r="P2793">
        <v>0</v>
      </c>
      <c r="Q2793">
        <v>478</v>
      </c>
      <c r="R2793">
        <v>278</v>
      </c>
      <c r="S2793">
        <v>0</v>
      </c>
      <c r="T2793">
        <v>18</v>
      </c>
      <c r="U2793">
        <v>29</v>
      </c>
    </row>
    <row r="2794" spans="1:21" x14ac:dyDescent="0.35">
      <c r="A2794" t="s">
        <v>26</v>
      </c>
      <c r="B2794" s="1">
        <v>44709</v>
      </c>
      <c r="C2794" t="s">
        <v>31</v>
      </c>
      <c r="D2794">
        <v>27.6</v>
      </c>
      <c r="E2794">
        <v>16.7</v>
      </c>
      <c r="F2794">
        <v>15.8</v>
      </c>
      <c r="G2794">
        <v>1.7</v>
      </c>
      <c r="H2794">
        <v>1.7</v>
      </c>
      <c r="I2794">
        <v>0</v>
      </c>
      <c r="J2794">
        <v>0</v>
      </c>
      <c r="K2794">
        <v>0</v>
      </c>
      <c r="L2794">
        <v>0</v>
      </c>
      <c r="M2794">
        <v>0</v>
      </c>
      <c r="N2794">
        <v>47077</v>
      </c>
      <c r="O2794">
        <v>47959</v>
      </c>
      <c r="P2794">
        <v>164773</v>
      </c>
      <c r="Q2794">
        <v>13</v>
      </c>
      <c r="R2794">
        <v>8</v>
      </c>
      <c r="S2794">
        <v>26</v>
      </c>
      <c r="T2794">
        <v>65</v>
      </c>
      <c r="U2794">
        <v>79</v>
      </c>
    </row>
    <row r="2795" spans="1:21" x14ac:dyDescent="0.35">
      <c r="A2795" t="s">
        <v>21</v>
      </c>
      <c r="B2795" s="1">
        <v>44413</v>
      </c>
      <c r="C2795" t="s">
        <v>27</v>
      </c>
      <c r="D2795">
        <v>0</v>
      </c>
      <c r="E2795">
        <v>0</v>
      </c>
      <c r="F2795">
        <v>0</v>
      </c>
      <c r="G2795">
        <v>0</v>
      </c>
      <c r="H2795">
        <v>0</v>
      </c>
      <c r="I2795">
        <v>0</v>
      </c>
      <c r="J2795">
        <v>0</v>
      </c>
      <c r="K2795">
        <v>0</v>
      </c>
      <c r="L2795">
        <v>0</v>
      </c>
      <c r="M2795">
        <v>0</v>
      </c>
      <c r="N2795">
        <v>165568</v>
      </c>
      <c r="O2795">
        <v>0</v>
      </c>
      <c r="P2795">
        <v>0</v>
      </c>
      <c r="Q2795">
        <v>0</v>
      </c>
      <c r="R2795">
        <v>0</v>
      </c>
      <c r="S2795">
        <v>0</v>
      </c>
      <c r="T2795">
        <v>12</v>
      </c>
      <c r="U2795">
        <v>17</v>
      </c>
    </row>
    <row r="2796" spans="1:21" x14ac:dyDescent="0.35">
      <c r="A2796" t="s">
        <v>26</v>
      </c>
      <c r="B2796" s="1">
        <v>45268</v>
      </c>
      <c r="C2796" t="s">
        <v>32</v>
      </c>
      <c r="D2796">
        <v>3.7</v>
      </c>
      <c r="E2796">
        <v>0</v>
      </c>
      <c r="F2796">
        <v>0</v>
      </c>
      <c r="G2796">
        <v>0</v>
      </c>
      <c r="H2796">
        <v>0</v>
      </c>
      <c r="I2796">
        <v>0</v>
      </c>
      <c r="J2796">
        <v>0</v>
      </c>
      <c r="K2796">
        <v>0</v>
      </c>
      <c r="L2796">
        <v>0</v>
      </c>
      <c r="M2796">
        <v>0</v>
      </c>
      <c r="N2796">
        <v>162642</v>
      </c>
      <c r="O2796">
        <v>0</v>
      </c>
      <c r="P2796">
        <v>0</v>
      </c>
      <c r="Q2796">
        <v>6</v>
      </c>
      <c r="R2796">
        <v>0</v>
      </c>
      <c r="S2796">
        <v>0</v>
      </c>
      <c r="T2796">
        <v>0</v>
      </c>
      <c r="U2796">
        <v>4</v>
      </c>
    </row>
    <row r="2797" spans="1:21" x14ac:dyDescent="0.35">
      <c r="A2797" t="s">
        <v>21</v>
      </c>
      <c r="B2797" s="1">
        <v>45157</v>
      </c>
      <c r="C2797" t="s">
        <v>25</v>
      </c>
      <c r="D2797">
        <v>0</v>
      </c>
      <c r="E2797">
        <v>0</v>
      </c>
      <c r="F2797">
        <v>0</v>
      </c>
      <c r="G2797">
        <v>0</v>
      </c>
      <c r="H2797">
        <v>0</v>
      </c>
      <c r="I2797">
        <v>0</v>
      </c>
      <c r="J2797">
        <v>0</v>
      </c>
      <c r="K2797">
        <v>0</v>
      </c>
      <c r="L2797">
        <v>0</v>
      </c>
      <c r="M2797">
        <v>0</v>
      </c>
      <c r="N2797">
        <v>73481</v>
      </c>
      <c r="O2797">
        <v>214133</v>
      </c>
      <c r="P2797">
        <v>161716</v>
      </c>
      <c r="Q2797">
        <v>0</v>
      </c>
      <c r="R2797">
        <v>0</v>
      </c>
      <c r="S2797">
        <v>0</v>
      </c>
      <c r="T2797">
        <v>18</v>
      </c>
      <c r="U2797">
        <v>29</v>
      </c>
    </row>
    <row r="2798" spans="1:21" x14ac:dyDescent="0.35">
      <c r="A2798" t="s">
        <v>28</v>
      </c>
      <c r="B2798" s="1">
        <v>44576</v>
      </c>
      <c r="C2798" t="s">
        <v>24</v>
      </c>
      <c r="D2798">
        <v>1160.2</v>
      </c>
      <c r="E2798">
        <v>1259.0999999999999</v>
      </c>
      <c r="F2798">
        <v>0</v>
      </c>
      <c r="G2798">
        <v>0.9</v>
      </c>
      <c r="H2798">
        <v>0</v>
      </c>
      <c r="I2798">
        <v>0</v>
      </c>
      <c r="J2798">
        <v>0</v>
      </c>
      <c r="K2798">
        <v>0</v>
      </c>
      <c r="L2798">
        <v>0</v>
      </c>
      <c r="M2798">
        <v>0</v>
      </c>
      <c r="N2798">
        <v>125146</v>
      </c>
      <c r="O2798">
        <v>50035</v>
      </c>
      <c r="P2798">
        <v>0</v>
      </c>
      <c r="Q2798">
        <v>1452</v>
      </c>
      <c r="R2798">
        <v>630</v>
      </c>
      <c r="S2798">
        <v>0</v>
      </c>
      <c r="T2798">
        <v>5</v>
      </c>
      <c r="U2798">
        <v>11</v>
      </c>
    </row>
    <row r="2799" spans="1:21" x14ac:dyDescent="0.35">
      <c r="A2799" t="s">
        <v>28</v>
      </c>
      <c r="B2799" s="1">
        <v>44492</v>
      </c>
      <c r="C2799" t="s">
        <v>31</v>
      </c>
      <c r="D2799">
        <v>86.5</v>
      </c>
      <c r="E2799">
        <v>44.5</v>
      </c>
      <c r="F2799">
        <v>7.8</v>
      </c>
      <c r="G2799">
        <v>1.9</v>
      </c>
      <c r="H2799">
        <v>11.1</v>
      </c>
      <c r="I2799">
        <v>0</v>
      </c>
      <c r="J2799">
        <v>0</v>
      </c>
      <c r="K2799">
        <v>0</v>
      </c>
      <c r="L2799">
        <v>0</v>
      </c>
      <c r="M2799">
        <v>0</v>
      </c>
      <c r="N2799">
        <v>60107</v>
      </c>
      <c r="O2799">
        <v>175204</v>
      </c>
      <c r="P2799">
        <v>25507</v>
      </c>
      <c r="Q2799">
        <v>52</v>
      </c>
      <c r="R2799">
        <v>78</v>
      </c>
      <c r="S2799">
        <v>2</v>
      </c>
      <c r="T2799">
        <v>65</v>
      </c>
      <c r="U2799">
        <v>79</v>
      </c>
    </row>
    <row r="2800" spans="1:21" x14ac:dyDescent="0.35">
      <c r="A2800" t="s">
        <v>28</v>
      </c>
      <c r="B2800" s="1">
        <v>44639</v>
      </c>
      <c r="C2800" t="s">
        <v>24</v>
      </c>
      <c r="D2800">
        <v>32.6</v>
      </c>
      <c r="E2800">
        <v>76.900000000000006</v>
      </c>
      <c r="F2800">
        <v>0</v>
      </c>
      <c r="G2800">
        <v>0.4</v>
      </c>
      <c r="H2800">
        <v>0</v>
      </c>
      <c r="I2800">
        <v>0</v>
      </c>
      <c r="J2800">
        <v>0</v>
      </c>
      <c r="K2800">
        <v>0</v>
      </c>
      <c r="L2800">
        <v>0</v>
      </c>
      <c r="M2800">
        <v>0</v>
      </c>
      <c r="N2800">
        <v>104261</v>
      </c>
      <c r="O2800">
        <v>88478</v>
      </c>
      <c r="P2800">
        <v>0</v>
      </c>
      <c r="Q2800">
        <v>34</v>
      </c>
      <c r="R2800">
        <v>68</v>
      </c>
      <c r="S2800">
        <v>0</v>
      </c>
      <c r="T2800">
        <v>5</v>
      </c>
      <c r="U2800">
        <v>11</v>
      </c>
    </row>
    <row r="2801" spans="1:21" x14ac:dyDescent="0.35">
      <c r="A2801" t="s">
        <v>28</v>
      </c>
      <c r="B2801" s="1">
        <v>45192</v>
      </c>
      <c r="C2801" t="s">
        <v>30</v>
      </c>
      <c r="D2801">
        <v>65.5</v>
      </c>
      <c r="E2801">
        <v>87.9</v>
      </c>
      <c r="F2801">
        <v>148.5</v>
      </c>
      <c r="G2801">
        <v>0.7</v>
      </c>
      <c r="H2801">
        <v>0.4</v>
      </c>
      <c r="I2801">
        <v>0</v>
      </c>
      <c r="J2801">
        <v>0</v>
      </c>
      <c r="K2801">
        <v>0</v>
      </c>
      <c r="L2801">
        <v>0</v>
      </c>
      <c r="M2801">
        <v>0</v>
      </c>
      <c r="N2801">
        <v>24430</v>
      </c>
      <c r="O2801">
        <v>11380</v>
      </c>
      <c r="P2801">
        <v>47134</v>
      </c>
      <c r="Q2801">
        <v>16</v>
      </c>
      <c r="R2801">
        <v>10</v>
      </c>
      <c r="S2801">
        <v>70</v>
      </c>
      <c r="T2801">
        <v>80</v>
      </c>
      <c r="U2801">
        <v>200</v>
      </c>
    </row>
    <row r="2802" spans="1:21" x14ac:dyDescent="0.35">
      <c r="A2802" t="s">
        <v>28</v>
      </c>
      <c r="B2802" s="1">
        <v>44969</v>
      </c>
      <c r="C2802" t="s">
        <v>22</v>
      </c>
      <c r="D2802">
        <v>97.2</v>
      </c>
      <c r="E2802">
        <v>42.2</v>
      </c>
      <c r="F2802">
        <v>63.8</v>
      </c>
      <c r="G2802">
        <v>2.2999999999999998</v>
      </c>
      <c r="H2802">
        <v>1.5</v>
      </c>
      <c r="I2802">
        <v>116</v>
      </c>
      <c r="J2802">
        <v>44.1</v>
      </c>
      <c r="K2802">
        <v>49.5</v>
      </c>
      <c r="L2802">
        <v>2.6</v>
      </c>
      <c r="M2802">
        <v>2.2999999999999998</v>
      </c>
      <c r="N2802">
        <v>505147</v>
      </c>
      <c r="O2802">
        <v>862705</v>
      </c>
      <c r="P2802">
        <v>1049342</v>
      </c>
      <c r="Q2802">
        <v>491</v>
      </c>
      <c r="R2802">
        <v>364</v>
      </c>
      <c r="S2802">
        <v>670</v>
      </c>
      <c r="T2802">
        <v>999</v>
      </c>
      <c r="U2802">
        <v>999</v>
      </c>
    </row>
    <row r="2803" spans="1:21" x14ac:dyDescent="0.35">
      <c r="A2803" t="s">
        <v>28</v>
      </c>
      <c r="B2803" s="1">
        <v>44345</v>
      </c>
      <c r="C2803" t="s">
        <v>29</v>
      </c>
      <c r="D2803">
        <v>82.7</v>
      </c>
      <c r="E2803">
        <v>6.8</v>
      </c>
      <c r="F2803">
        <v>0</v>
      </c>
      <c r="G2803">
        <v>12.2</v>
      </c>
      <c r="H2803">
        <v>0</v>
      </c>
      <c r="I2803">
        <v>0</v>
      </c>
      <c r="J2803">
        <v>0</v>
      </c>
      <c r="K2803">
        <v>0</v>
      </c>
      <c r="L2803">
        <v>0</v>
      </c>
      <c r="M2803">
        <v>0</v>
      </c>
      <c r="N2803">
        <v>314424</v>
      </c>
      <c r="O2803">
        <v>398788</v>
      </c>
      <c r="P2803">
        <v>0</v>
      </c>
      <c r="Q2803">
        <v>260</v>
      </c>
      <c r="R2803">
        <v>27</v>
      </c>
      <c r="S2803">
        <v>0</v>
      </c>
      <c r="T2803">
        <v>30</v>
      </c>
      <c r="U2803">
        <v>49</v>
      </c>
    </row>
    <row r="2804" spans="1:21" x14ac:dyDescent="0.35">
      <c r="A2804" t="s">
        <v>26</v>
      </c>
      <c r="B2804" s="1">
        <v>45129</v>
      </c>
      <c r="C2804" t="s">
        <v>32</v>
      </c>
      <c r="D2804">
        <v>0</v>
      </c>
      <c r="E2804">
        <v>0</v>
      </c>
      <c r="F2804">
        <v>0</v>
      </c>
      <c r="G2804">
        <v>0</v>
      </c>
      <c r="H2804">
        <v>0</v>
      </c>
      <c r="I2804">
        <v>0</v>
      </c>
      <c r="J2804">
        <v>0</v>
      </c>
      <c r="K2804">
        <v>0</v>
      </c>
      <c r="L2804">
        <v>0</v>
      </c>
      <c r="M2804">
        <v>0</v>
      </c>
      <c r="N2804">
        <v>162642</v>
      </c>
      <c r="O2804">
        <v>0</v>
      </c>
      <c r="P2804">
        <v>0</v>
      </c>
      <c r="Q2804">
        <v>0</v>
      </c>
      <c r="R2804">
        <v>0</v>
      </c>
      <c r="S2804">
        <v>0</v>
      </c>
      <c r="T2804">
        <v>0</v>
      </c>
      <c r="U2804">
        <v>4</v>
      </c>
    </row>
    <row r="2805" spans="1:21" x14ac:dyDescent="0.35">
      <c r="A2805" t="s">
        <v>26</v>
      </c>
      <c r="B2805" s="1">
        <v>44674</v>
      </c>
      <c r="C2805" t="s">
        <v>31</v>
      </c>
      <c r="D2805">
        <v>10.4</v>
      </c>
      <c r="E2805">
        <v>16</v>
      </c>
      <c r="F2805">
        <v>5</v>
      </c>
      <c r="G2805">
        <v>0.6</v>
      </c>
      <c r="H2805">
        <v>2.1</v>
      </c>
      <c r="I2805">
        <v>0</v>
      </c>
      <c r="J2805">
        <v>0</v>
      </c>
      <c r="K2805">
        <v>0</v>
      </c>
      <c r="L2805">
        <v>0</v>
      </c>
      <c r="M2805">
        <v>0</v>
      </c>
      <c r="N2805">
        <v>47898</v>
      </c>
      <c r="O2805">
        <v>50126</v>
      </c>
      <c r="P2805">
        <v>161284</v>
      </c>
      <c r="Q2805">
        <v>5</v>
      </c>
      <c r="R2805">
        <v>8</v>
      </c>
      <c r="S2805">
        <v>8</v>
      </c>
      <c r="T2805">
        <v>65</v>
      </c>
      <c r="U2805">
        <v>79</v>
      </c>
    </row>
    <row r="2806" spans="1:21" x14ac:dyDescent="0.35">
      <c r="A2806" t="s">
        <v>21</v>
      </c>
      <c r="B2806" s="1">
        <v>44298</v>
      </c>
      <c r="C2806" t="s">
        <v>29</v>
      </c>
      <c r="D2806">
        <v>2.2000000000000002</v>
      </c>
      <c r="E2806">
        <v>0</v>
      </c>
      <c r="F2806">
        <v>0</v>
      </c>
      <c r="G2806">
        <v>0</v>
      </c>
      <c r="H2806">
        <v>0</v>
      </c>
      <c r="I2806">
        <v>0</v>
      </c>
      <c r="J2806">
        <v>0</v>
      </c>
      <c r="K2806">
        <v>0</v>
      </c>
      <c r="L2806">
        <v>0</v>
      </c>
      <c r="M2806">
        <v>0</v>
      </c>
      <c r="N2806">
        <v>185523</v>
      </c>
      <c r="O2806">
        <v>469462</v>
      </c>
      <c r="P2806">
        <v>103054</v>
      </c>
      <c r="Q2806">
        <v>4</v>
      </c>
      <c r="R2806">
        <v>0</v>
      </c>
      <c r="S2806">
        <v>0</v>
      </c>
      <c r="T2806">
        <v>30</v>
      </c>
      <c r="U2806">
        <v>49</v>
      </c>
    </row>
    <row r="2807" spans="1:21" x14ac:dyDescent="0.35">
      <c r="A2807" t="s">
        <v>21</v>
      </c>
      <c r="B2807" s="1">
        <v>45038</v>
      </c>
      <c r="C2807" t="s">
        <v>31</v>
      </c>
      <c r="D2807">
        <v>0</v>
      </c>
      <c r="E2807">
        <v>0</v>
      </c>
      <c r="F2807">
        <v>0</v>
      </c>
      <c r="G2807">
        <v>0</v>
      </c>
      <c r="H2807">
        <v>0</v>
      </c>
      <c r="I2807">
        <v>0</v>
      </c>
      <c r="J2807">
        <v>0</v>
      </c>
      <c r="K2807">
        <v>0</v>
      </c>
      <c r="L2807">
        <v>0</v>
      </c>
      <c r="M2807">
        <v>0</v>
      </c>
      <c r="N2807">
        <v>39752</v>
      </c>
      <c r="O2807">
        <v>43432</v>
      </c>
      <c r="P2807">
        <v>171720</v>
      </c>
      <c r="Q2807">
        <v>0</v>
      </c>
      <c r="R2807">
        <v>0</v>
      </c>
      <c r="S2807">
        <v>0</v>
      </c>
      <c r="T2807">
        <v>65</v>
      </c>
      <c r="U2807">
        <v>79</v>
      </c>
    </row>
    <row r="2808" spans="1:21" x14ac:dyDescent="0.35">
      <c r="A2808" t="s">
        <v>26</v>
      </c>
      <c r="B2808" s="1">
        <v>44310</v>
      </c>
      <c r="C2808" t="s">
        <v>29</v>
      </c>
      <c r="D2808">
        <v>28.7</v>
      </c>
      <c r="E2808">
        <v>1</v>
      </c>
      <c r="F2808">
        <v>0</v>
      </c>
      <c r="G2808">
        <v>28.7</v>
      </c>
      <c r="H2808">
        <v>0</v>
      </c>
      <c r="I2808">
        <v>0</v>
      </c>
      <c r="J2808">
        <v>0</v>
      </c>
      <c r="K2808">
        <v>0</v>
      </c>
      <c r="L2808">
        <v>0</v>
      </c>
      <c r="M2808">
        <v>0</v>
      </c>
      <c r="N2808">
        <v>386715</v>
      </c>
      <c r="O2808">
        <v>193096</v>
      </c>
      <c r="P2808">
        <v>0</v>
      </c>
      <c r="Q2808">
        <v>111</v>
      </c>
      <c r="R2808">
        <v>2</v>
      </c>
      <c r="S2808">
        <v>0</v>
      </c>
      <c r="T2808">
        <v>30</v>
      </c>
      <c r="U2808">
        <v>49</v>
      </c>
    </row>
    <row r="2809" spans="1:21" x14ac:dyDescent="0.35">
      <c r="A2809" t="s">
        <v>26</v>
      </c>
      <c r="B2809" s="1">
        <v>45227</v>
      </c>
      <c r="C2809" t="s">
        <v>29</v>
      </c>
      <c r="D2809">
        <v>2.9</v>
      </c>
      <c r="E2809">
        <v>0</v>
      </c>
      <c r="F2809">
        <v>0.9</v>
      </c>
      <c r="G2809">
        <v>0</v>
      </c>
      <c r="H2809">
        <v>3.2</v>
      </c>
      <c r="I2809">
        <v>0</v>
      </c>
      <c r="J2809">
        <v>0</v>
      </c>
      <c r="K2809">
        <v>0</v>
      </c>
      <c r="L2809">
        <v>0</v>
      </c>
      <c r="M2809">
        <v>0</v>
      </c>
      <c r="N2809">
        <v>102493</v>
      </c>
      <c r="O2809">
        <v>279053</v>
      </c>
      <c r="P2809">
        <v>348149</v>
      </c>
      <c r="Q2809">
        <v>3</v>
      </c>
      <c r="R2809">
        <v>0</v>
      </c>
      <c r="S2809">
        <v>3</v>
      </c>
      <c r="T2809">
        <v>30</v>
      </c>
      <c r="U2809">
        <v>49</v>
      </c>
    </row>
    <row r="2810" spans="1:21" x14ac:dyDescent="0.35">
      <c r="A2810" t="s">
        <v>28</v>
      </c>
      <c r="B2810" s="1">
        <v>45199</v>
      </c>
      <c r="C2810" t="s">
        <v>23</v>
      </c>
      <c r="D2810">
        <v>106.5</v>
      </c>
      <c r="E2810">
        <v>22.3</v>
      </c>
      <c r="F2810">
        <v>47.4</v>
      </c>
      <c r="G2810">
        <v>4.8</v>
      </c>
      <c r="H2810">
        <v>2.2000000000000002</v>
      </c>
      <c r="I2810">
        <v>0</v>
      </c>
      <c r="J2810">
        <v>0</v>
      </c>
      <c r="K2810">
        <v>0</v>
      </c>
      <c r="L2810">
        <v>0</v>
      </c>
      <c r="M2810">
        <v>0</v>
      </c>
      <c r="N2810">
        <v>31939</v>
      </c>
      <c r="O2810">
        <v>125717</v>
      </c>
      <c r="P2810">
        <v>246950</v>
      </c>
      <c r="Q2810">
        <v>34</v>
      </c>
      <c r="R2810">
        <v>28</v>
      </c>
      <c r="S2810">
        <v>117</v>
      </c>
      <c r="T2810">
        <v>50</v>
      </c>
      <c r="U2810">
        <v>64</v>
      </c>
    </row>
    <row r="2811" spans="1:21" x14ac:dyDescent="0.35">
      <c r="A2811" t="s">
        <v>26</v>
      </c>
      <c r="B2811" s="1">
        <v>44632</v>
      </c>
      <c r="C2811" t="s">
        <v>30</v>
      </c>
      <c r="D2811">
        <v>56.1</v>
      </c>
      <c r="E2811">
        <v>114.3</v>
      </c>
      <c r="F2811">
        <v>59.4</v>
      </c>
      <c r="G2811">
        <v>0.5</v>
      </c>
      <c r="H2811">
        <v>0.9</v>
      </c>
      <c r="I2811">
        <v>0</v>
      </c>
      <c r="J2811">
        <v>0</v>
      </c>
      <c r="K2811">
        <v>0</v>
      </c>
      <c r="L2811">
        <v>0</v>
      </c>
      <c r="M2811">
        <v>0</v>
      </c>
      <c r="N2811">
        <v>24971</v>
      </c>
      <c r="O2811">
        <v>11375</v>
      </c>
      <c r="P2811">
        <v>47102</v>
      </c>
      <c r="Q2811">
        <v>14</v>
      </c>
      <c r="R2811">
        <v>13</v>
      </c>
      <c r="S2811">
        <v>28</v>
      </c>
      <c r="T2811">
        <v>80</v>
      </c>
      <c r="U2811">
        <v>200</v>
      </c>
    </row>
    <row r="2812" spans="1:21" x14ac:dyDescent="0.35">
      <c r="A2812" t="s">
        <v>21</v>
      </c>
      <c r="B2812" s="1">
        <v>44906</v>
      </c>
      <c r="C2812" t="s">
        <v>27</v>
      </c>
      <c r="D2812">
        <v>0</v>
      </c>
      <c r="E2812">
        <v>0</v>
      </c>
      <c r="F2812">
        <v>0</v>
      </c>
      <c r="G2812">
        <v>0</v>
      </c>
      <c r="H2812">
        <v>0</v>
      </c>
      <c r="I2812">
        <v>0</v>
      </c>
      <c r="J2812">
        <v>0</v>
      </c>
      <c r="K2812">
        <v>0</v>
      </c>
      <c r="L2812">
        <v>0</v>
      </c>
      <c r="M2812">
        <v>0</v>
      </c>
      <c r="N2812">
        <v>34246</v>
      </c>
      <c r="O2812">
        <v>86007</v>
      </c>
      <c r="P2812">
        <v>44506</v>
      </c>
      <c r="Q2812">
        <v>0</v>
      </c>
      <c r="R2812">
        <v>0</v>
      </c>
      <c r="S2812">
        <v>0</v>
      </c>
      <c r="T2812">
        <v>12</v>
      </c>
      <c r="U2812">
        <v>17</v>
      </c>
    </row>
    <row r="2813" spans="1:21" x14ac:dyDescent="0.35">
      <c r="A2813" t="s">
        <v>21</v>
      </c>
      <c r="B2813" s="1">
        <v>44786</v>
      </c>
      <c r="C2813" t="s">
        <v>30</v>
      </c>
      <c r="D2813">
        <v>7.6</v>
      </c>
      <c r="E2813">
        <v>8.6</v>
      </c>
      <c r="F2813">
        <v>2.1</v>
      </c>
      <c r="G2813">
        <v>0.9</v>
      </c>
      <c r="H2813">
        <v>3.6</v>
      </c>
      <c r="I2813">
        <v>0</v>
      </c>
      <c r="J2813">
        <v>0</v>
      </c>
      <c r="K2813">
        <v>0</v>
      </c>
      <c r="L2813">
        <v>0</v>
      </c>
      <c r="M2813">
        <v>0</v>
      </c>
      <c r="N2813">
        <v>26264</v>
      </c>
      <c r="O2813">
        <v>11664</v>
      </c>
      <c r="P2813">
        <v>46650</v>
      </c>
      <c r="Q2813">
        <v>2</v>
      </c>
      <c r="R2813">
        <v>1</v>
      </c>
      <c r="S2813">
        <v>1</v>
      </c>
      <c r="T2813">
        <v>80</v>
      </c>
      <c r="U2813">
        <v>200</v>
      </c>
    </row>
    <row r="2814" spans="1:21" x14ac:dyDescent="0.35">
      <c r="A2814" t="s">
        <v>21</v>
      </c>
      <c r="B2814" s="1">
        <v>44884</v>
      </c>
      <c r="C2814" t="s">
        <v>24</v>
      </c>
      <c r="D2814">
        <v>0</v>
      </c>
      <c r="E2814">
        <v>0</v>
      </c>
      <c r="F2814">
        <v>0</v>
      </c>
      <c r="G2814">
        <v>0</v>
      </c>
      <c r="H2814">
        <v>0</v>
      </c>
      <c r="I2814">
        <v>0</v>
      </c>
      <c r="J2814">
        <v>0</v>
      </c>
      <c r="K2814">
        <v>0</v>
      </c>
      <c r="L2814">
        <v>0</v>
      </c>
      <c r="M2814">
        <v>0</v>
      </c>
      <c r="N2814">
        <v>93236</v>
      </c>
      <c r="O2814">
        <v>80867</v>
      </c>
      <c r="P2814">
        <v>21068</v>
      </c>
      <c r="Q2814">
        <v>0</v>
      </c>
      <c r="R2814">
        <v>0</v>
      </c>
      <c r="S2814">
        <v>0</v>
      </c>
      <c r="T2814">
        <v>5</v>
      </c>
      <c r="U2814">
        <v>11</v>
      </c>
    </row>
    <row r="2815" spans="1:21" x14ac:dyDescent="0.35">
      <c r="A2815" t="s">
        <v>28</v>
      </c>
      <c r="B2815" s="1">
        <v>45233</v>
      </c>
      <c r="C2815" t="s">
        <v>24</v>
      </c>
      <c r="D2815">
        <v>95.2</v>
      </c>
      <c r="E2815">
        <v>115.4</v>
      </c>
      <c r="F2815">
        <v>193.3</v>
      </c>
      <c r="G2815">
        <v>0.8</v>
      </c>
      <c r="H2815">
        <v>0.5</v>
      </c>
      <c r="I2815">
        <v>0</v>
      </c>
      <c r="J2815">
        <v>0</v>
      </c>
      <c r="K2815">
        <v>0</v>
      </c>
      <c r="L2815">
        <v>0</v>
      </c>
      <c r="M2815">
        <v>0</v>
      </c>
      <c r="N2815">
        <v>91381</v>
      </c>
      <c r="O2815">
        <v>82312</v>
      </c>
      <c r="P2815">
        <v>21210</v>
      </c>
      <c r="Q2815">
        <v>87</v>
      </c>
      <c r="R2815">
        <v>95</v>
      </c>
      <c r="S2815">
        <v>41</v>
      </c>
      <c r="T2815">
        <v>5</v>
      </c>
      <c r="U2815">
        <v>11</v>
      </c>
    </row>
    <row r="2816" spans="1:21" x14ac:dyDescent="0.35">
      <c r="A2816" t="s">
        <v>26</v>
      </c>
      <c r="B2816" s="1">
        <v>44201</v>
      </c>
      <c r="C2816" t="s">
        <v>25</v>
      </c>
      <c r="D2816">
        <v>10.9</v>
      </c>
      <c r="E2816">
        <v>1.9</v>
      </c>
      <c r="F2816">
        <v>0</v>
      </c>
      <c r="G2816">
        <v>5.7</v>
      </c>
      <c r="H2816">
        <v>0</v>
      </c>
      <c r="I2816">
        <v>0</v>
      </c>
      <c r="J2816">
        <v>0</v>
      </c>
      <c r="K2816">
        <v>0</v>
      </c>
      <c r="L2816">
        <v>0</v>
      </c>
      <c r="M2816">
        <v>0</v>
      </c>
      <c r="N2816">
        <v>284798</v>
      </c>
      <c r="O2816">
        <v>107854</v>
      </c>
      <c r="P2816">
        <v>0</v>
      </c>
      <c r="Q2816">
        <v>31</v>
      </c>
      <c r="R2816">
        <v>2</v>
      </c>
      <c r="S2816">
        <v>0</v>
      </c>
      <c r="T2816">
        <v>18</v>
      </c>
      <c r="U2816">
        <v>29</v>
      </c>
    </row>
    <row r="2817" spans="1:21" x14ac:dyDescent="0.35">
      <c r="A2817" t="s">
        <v>28</v>
      </c>
      <c r="B2817" s="1">
        <v>44846</v>
      </c>
      <c r="C2817" t="s">
        <v>24</v>
      </c>
      <c r="D2817">
        <v>167.1</v>
      </c>
      <c r="E2817">
        <v>194.6</v>
      </c>
      <c r="F2817">
        <v>189.3</v>
      </c>
      <c r="G2817">
        <v>0.9</v>
      </c>
      <c r="H2817">
        <v>0.9</v>
      </c>
      <c r="I2817">
        <v>0</v>
      </c>
      <c r="J2817">
        <v>0</v>
      </c>
      <c r="K2817">
        <v>0</v>
      </c>
      <c r="L2817">
        <v>0</v>
      </c>
      <c r="M2817">
        <v>0</v>
      </c>
      <c r="N2817">
        <v>92766</v>
      </c>
      <c r="O2817">
        <v>81208</v>
      </c>
      <c r="P2817">
        <v>21125</v>
      </c>
      <c r="Q2817">
        <v>155</v>
      </c>
      <c r="R2817">
        <v>158</v>
      </c>
      <c r="S2817">
        <v>40</v>
      </c>
      <c r="T2817">
        <v>5</v>
      </c>
      <c r="U2817">
        <v>11</v>
      </c>
    </row>
    <row r="2818" spans="1:21" x14ac:dyDescent="0.35">
      <c r="A2818" t="s">
        <v>26</v>
      </c>
      <c r="B2818" s="1">
        <v>45059</v>
      </c>
      <c r="C2818" t="s">
        <v>31</v>
      </c>
      <c r="D2818">
        <v>15.2</v>
      </c>
      <c r="E2818">
        <v>13.8</v>
      </c>
      <c r="F2818">
        <v>8.6999999999999993</v>
      </c>
      <c r="G2818">
        <v>1.1000000000000001</v>
      </c>
      <c r="H2818">
        <v>1.7</v>
      </c>
      <c r="I2818">
        <v>0</v>
      </c>
      <c r="J2818">
        <v>0</v>
      </c>
      <c r="K2818">
        <v>0</v>
      </c>
      <c r="L2818">
        <v>0</v>
      </c>
      <c r="M2818">
        <v>0</v>
      </c>
      <c r="N2818">
        <v>39568</v>
      </c>
      <c r="O2818">
        <v>43436</v>
      </c>
      <c r="P2818">
        <v>171728</v>
      </c>
      <c r="Q2818">
        <v>6</v>
      </c>
      <c r="R2818">
        <v>6</v>
      </c>
      <c r="S2818">
        <v>15</v>
      </c>
      <c r="T2818">
        <v>65</v>
      </c>
      <c r="U2818">
        <v>79</v>
      </c>
    </row>
    <row r="2819" spans="1:21" x14ac:dyDescent="0.35">
      <c r="A2819" t="s">
        <v>28</v>
      </c>
      <c r="B2819" s="1">
        <v>45038</v>
      </c>
      <c r="C2819" t="s">
        <v>29</v>
      </c>
      <c r="D2819">
        <v>46.6</v>
      </c>
      <c r="E2819">
        <v>22.3</v>
      </c>
      <c r="F2819">
        <v>31.1</v>
      </c>
      <c r="G2819">
        <v>2.1</v>
      </c>
      <c r="H2819">
        <v>1.5</v>
      </c>
      <c r="I2819">
        <v>0</v>
      </c>
      <c r="J2819">
        <v>0</v>
      </c>
      <c r="K2819">
        <v>0</v>
      </c>
      <c r="L2819">
        <v>0</v>
      </c>
      <c r="M2819">
        <v>0</v>
      </c>
      <c r="N2819">
        <v>109408</v>
      </c>
      <c r="O2819">
        <v>278312</v>
      </c>
      <c r="P2819">
        <v>347288</v>
      </c>
      <c r="Q2819">
        <v>51</v>
      </c>
      <c r="R2819">
        <v>62</v>
      </c>
      <c r="S2819">
        <v>108</v>
      </c>
      <c r="T2819">
        <v>30</v>
      </c>
      <c r="U2819">
        <v>49</v>
      </c>
    </row>
    <row r="2820" spans="1:21" x14ac:dyDescent="0.35">
      <c r="A2820" t="s">
        <v>26</v>
      </c>
      <c r="B2820" s="1">
        <v>45268</v>
      </c>
      <c r="C2820" t="s">
        <v>24</v>
      </c>
      <c r="D2820">
        <v>0</v>
      </c>
      <c r="E2820">
        <v>0</v>
      </c>
      <c r="F2820">
        <v>4.7</v>
      </c>
      <c r="G2820">
        <v>0</v>
      </c>
      <c r="H2820">
        <v>0</v>
      </c>
      <c r="I2820">
        <v>0</v>
      </c>
      <c r="J2820">
        <v>0</v>
      </c>
      <c r="K2820">
        <v>0</v>
      </c>
      <c r="L2820">
        <v>0</v>
      </c>
      <c r="M2820">
        <v>0</v>
      </c>
      <c r="N2820">
        <v>89770</v>
      </c>
      <c r="O2820">
        <v>82673</v>
      </c>
      <c r="P2820">
        <v>21260</v>
      </c>
      <c r="Q2820">
        <v>0</v>
      </c>
      <c r="R2820">
        <v>0</v>
      </c>
      <c r="S2820">
        <v>1</v>
      </c>
      <c r="T2820">
        <v>5</v>
      </c>
      <c r="U2820">
        <v>11</v>
      </c>
    </row>
    <row r="2821" spans="1:21" x14ac:dyDescent="0.35">
      <c r="A2821" t="s">
        <v>28</v>
      </c>
      <c r="B2821" s="1">
        <v>44843</v>
      </c>
      <c r="C2821" t="s">
        <v>27</v>
      </c>
      <c r="D2821">
        <v>267</v>
      </c>
      <c r="E2821">
        <v>105.9</v>
      </c>
      <c r="F2821">
        <v>122.5</v>
      </c>
      <c r="G2821">
        <v>2.5</v>
      </c>
      <c r="H2821">
        <v>2.2000000000000002</v>
      </c>
      <c r="I2821">
        <v>0</v>
      </c>
      <c r="J2821">
        <v>0</v>
      </c>
      <c r="K2821">
        <v>0</v>
      </c>
      <c r="L2821">
        <v>0</v>
      </c>
      <c r="M2821">
        <v>0</v>
      </c>
      <c r="N2821">
        <v>35208</v>
      </c>
      <c r="O2821">
        <v>85939</v>
      </c>
      <c r="P2821">
        <v>44085</v>
      </c>
      <c r="Q2821">
        <v>94</v>
      </c>
      <c r="R2821">
        <v>91</v>
      </c>
      <c r="S2821">
        <v>54</v>
      </c>
      <c r="T2821">
        <v>12</v>
      </c>
      <c r="U2821">
        <v>17</v>
      </c>
    </row>
    <row r="2822" spans="1:21" x14ac:dyDescent="0.35">
      <c r="A2822" t="s">
        <v>28</v>
      </c>
      <c r="B2822" s="1">
        <v>44926</v>
      </c>
      <c r="C2822" t="s">
        <v>22</v>
      </c>
      <c r="D2822">
        <v>142.1</v>
      </c>
      <c r="E2822">
        <v>77.3</v>
      </c>
      <c r="F2822">
        <v>125.8</v>
      </c>
      <c r="G2822">
        <v>1.8</v>
      </c>
      <c r="H2822">
        <v>1.1000000000000001</v>
      </c>
      <c r="I2822">
        <v>173.1</v>
      </c>
      <c r="J2822">
        <v>86.1</v>
      </c>
      <c r="K2822">
        <v>100</v>
      </c>
      <c r="L2822">
        <v>2</v>
      </c>
      <c r="M2822">
        <v>1.7</v>
      </c>
      <c r="N2822">
        <v>555407</v>
      </c>
      <c r="O2822">
        <v>853931</v>
      </c>
      <c r="P2822">
        <v>1040154</v>
      </c>
      <c r="Q2822">
        <v>789</v>
      </c>
      <c r="R2822">
        <v>660</v>
      </c>
      <c r="S2822">
        <v>1309</v>
      </c>
      <c r="T2822">
        <v>999</v>
      </c>
      <c r="U2822">
        <v>999</v>
      </c>
    </row>
    <row r="2823" spans="1:21" x14ac:dyDescent="0.35">
      <c r="A2823" t="s">
        <v>21</v>
      </c>
      <c r="B2823" s="1">
        <v>44674</v>
      </c>
      <c r="C2823" t="s">
        <v>31</v>
      </c>
      <c r="D2823">
        <v>0</v>
      </c>
      <c r="E2823">
        <v>2</v>
      </c>
      <c r="F2823">
        <v>0.6</v>
      </c>
      <c r="G2823">
        <v>0</v>
      </c>
      <c r="H2823">
        <v>0</v>
      </c>
      <c r="I2823">
        <v>0</v>
      </c>
      <c r="J2823">
        <v>0</v>
      </c>
      <c r="K2823">
        <v>0</v>
      </c>
      <c r="L2823">
        <v>0</v>
      </c>
      <c r="M2823">
        <v>0</v>
      </c>
      <c r="N2823">
        <v>47898</v>
      </c>
      <c r="O2823">
        <v>50126</v>
      </c>
      <c r="P2823">
        <v>161284</v>
      </c>
      <c r="Q2823">
        <v>0</v>
      </c>
      <c r="R2823">
        <v>1</v>
      </c>
      <c r="S2823">
        <v>1</v>
      </c>
      <c r="T2823">
        <v>65</v>
      </c>
      <c r="U2823">
        <v>79</v>
      </c>
    </row>
    <row r="2824" spans="1:21" x14ac:dyDescent="0.35">
      <c r="A2824" t="s">
        <v>21</v>
      </c>
      <c r="B2824" s="1">
        <v>45101</v>
      </c>
      <c r="C2824" t="s">
        <v>22</v>
      </c>
      <c r="D2824">
        <v>0</v>
      </c>
      <c r="E2824">
        <v>0</v>
      </c>
      <c r="F2824">
        <v>0.2</v>
      </c>
      <c r="G2824">
        <v>0</v>
      </c>
      <c r="H2824">
        <v>0</v>
      </c>
      <c r="I2824">
        <v>0</v>
      </c>
      <c r="J2824">
        <v>0</v>
      </c>
      <c r="K2824">
        <v>0.1</v>
      </c>
      <c r="L2824">
        <v>0</v>
      </c>
      <c r="M2824">
        <v>0</v>
      </c>
      <c r="N2824">
        <v>532973</v>
      </c>
      <c r="O2824">
        <v>860337</v>
      </c>
      <c r="P2824">
        <v>1040720</v>
      </c>
      <c r="Q2824">
        <v>0</v>
      </c>
      <c r="R2824">
        <v>0</v>
      </c>
      <c r="S2824">
        <v>2</v>
      </c>
      <c r="T2824">
        <v>999</v>
      </c>
      <c r="U2824">
        <v>999</v>
      </c>
    </row>
    <row r="2825" spans="1:21" x14ac:dyDescent="0.35">
      <c r="A2825" t="s">
        <v>21</v>
      </c>
      <c r="B2825" s="1">
        <v>45027</v>
      </c>
      <c r="C2825" t="s">
        <v>27</v>
      </c>
      <c r="D2825">
        <v>0</v>
      </c>
      <c r="E2825">
        <v>0</v>
      </c>
      <c r="F2825">
        <v>0</v>
      </c>
      <c r="G2825">
        <v>0</v>
      </c>
      <c r="H2825">
        <v>0</v>
      </c>
      <c r="I2825">
        <v>0</v>
      </c>
      <c r="J2825">
        <v>0</v>
      </c>
      <c r="K2825">
        <v>0</v>
      </c>
      <c r="L2825">
        <v>0</v>
      </c>
      <c r="M2825">
        <v>0</v>
      </c>
      <c r="N2825">
        <v>31567</v>
      </c>
      <c r="O2825">
        <v>86534</v>
      </c>
      <c r="P2825">
        <v>44661</v>
      </c>
      <c r="Q2825">
        <v>0</v>
      </c>
      <c r="R2825">
        <v>0</v>
      </c>
      <c r="S2825">
        <v>0</v>
      </c>
      <c r="T2825">
        <v>12</v>
      </c>
      <c r="U2825">
        <v>17</v>
      </c>
    </row>
    <row r="2826" spans="1:21" x14ac:dyDescent="0.35">
      <c r="A2826" t="s">
        <v>21</v>
      </c>
      <c r="B2826" s="1">
        <v>44646</v>
      </c>
      <c r="C2826" t="s">
        <v>24</v>
      </c>
      <c r="D2826">
        <v>0</v>
      </c>
      <c r="E2826">
        <v>0</v>
      </c>
      <c r="F2826">
        <v>0</v>
      </c>
      <c r="G2826">
        <v>0</v>
      </c>
      <c r="H2826">
        <v>0</v>
      </c>
      <c r="I2826">
        <v>0</v>
      </c>
      <c r="J2826">
        <v>0</v>
      </c>
      <c r="K2826">
        <v>0</v>
      </c>
      <c r="L2826">
        <v>0</v>
      </c>
      <c r="M2826">
        <v>0</v>
      </c>
      <c r="N2826">
        <v>103859</v>
      </c>
      <c r="O2826">
        <v>89867</v>
      </c>
      <c r="P2826">
        <v>0</v>
      </c>
      <c r="Q2826">
        <v>0</v>
      </c>
      <c r="R2826">
        <v>0</v>
      </c>
      <c r="S2826">
        <v>0</v>
      </c>
      <c r="T2826">
        <v>5</v>
      </c>
      <c r="U2826">
        <v>11</v>
      </c>
    </row>
    <row r="2827" spans="1:21" x14ac:dyDescent="0.35">
      <c r="A2827" t="s">
        <v>21</v>
      </c>
      <c r="B2827" s="1">
        <v>44457</v>
      </c>
      <c r="C2827" t="s">
        <v>22</v>
      </c>
      <c r="D2827">
        <v>3.2</v>
      </c>
      <c r="E2827">
        <v>0.3</v>
      </c>
      <c r="F2827">
        <v>0</v>
      </c>
      <c r="G2827">
        <v>10.7</v>
      </c>
      <c r="H2827">
        <v>0</v>
      </c>
      <c r="I2827">
        <v>4.5</v>
      </c>
      <c r="J2827">
        <v>0.2</v>
      </c>
      <c r="K2827">
        <v>0</v>
      </c>
      <c r="L2827">
        <v>22.6</v>
      </c>
      <c r="M2827">
        <v>0</v>
      </c>
      <c r="N2827">
        <v>1033219</v>
      </c>
      <c r="O2827">
        <v>1487228</v>
      </c>
      <c r="P2827">
        <v>0</v>
      </c>
      <c r="Q2827">
        <v>33</v>
      </c>
      <c r="R2827">
        <v>4</v>
      </c>
      <c r="S2827">
        <v>0</v>
      </c>
      <c r="T2827">
        <v>999</v>
      </c>
      <c r="U2827">
        <v>999</v>
      </c>
    </row>
    <row r="2828" spans="1:21" x14ac:dyDescent="0.35">
      <c r="A2828" t="s">
        <v>28</v>
      </c>
      <c r="B2828" s="1">
        <v>45018</v>
      </c>
      <c r="C2828" t="s">
        <v>25</v>
      </c>
      <c r="D2828">
        <v>145.6</v>
      </c>
      <c r="E2828">
        <v>44.5</v>
      </c>
      <c r="F2828">
        <v>59.4</v>
      </c>
      <c r="G2828">
        <v>3.3</v>
      </c>
      <c r="H2828">
        <v>2.5</v>
      </c>
      <c r="I2828">
        <v>0</v>
      </c>
      <c r="J2828">
        <v>0</v>
      </c>
      <c r="K2828">
        <v>0</v>
      </c>
      <c r="L2828">
        <v>0</v>
      </c>
      <c r="M2828">
        <v>0</v>
      </c>
      <c r="N2828">
        <v>77612</v>
      </c>
      <c r="O2828">
        <v>213252</v>
      </c>
      <c r="P2828">
        <v>161643</v>
      </c>
      <c r="Q2828">
        <v>113</v>
      </c>
      <c r="R2828">
        <v>95</v>
      </c>
      <c r="S2828">
        <v>96</v>
      </c>
      <c r="T2828">
        <v>18</v>
      </c>
      <c r="U2828">
        <v>29</v>
      </c>
    </row>
    <row r="2829" spans="1:21" x14ac:dyDescent="0.35">
      <c r="A2829" t="s">
        <v>21</v>
      </c>
      <c r="B2829" s="1">
        <v>45031</v>
      </c>
      <c r="C2829" t="s">
        <v>27</v>
      </c>
      <c r="D2829">
        <v>0</v>
      </c>
      <c r="E2829">
        <v>0</v>
      </c>
      <c r="F2829">
        <v>0</v>
      </c>
      <c r="G2829">
        <v>0</v>
      </c>
      <c r="H2829">
        <v>0</v>
      </c>
      <c r="I2829">
        <v>0</v>
      </c>
      <c r="J2829">
        <v>0</v>
      </c>
      <c r="K2829">
        <v>0</v>
      </c>
      <c r="L2829">
        <v>0</v>
      </c>
      <c r="M2829">
        <v>0</v>
      </c>
      <c r="N2829">
        <v>32822</v>
      </c>
      <c r="O2829">
        <v>86525</v>
      </c>
      <c r="P2829">
        <v>44572</v>
      </c>
      <c r="Q2829">
        <v>0</v>
      </c>
      <c r="R2829">
        <v>0</v>
      </c>
      <c r="S2829">
        <v>0</v>
      </c>
      <c r="T2829">
        <v>12</v>
      </c>
      <c r="U2829">
        <v>17</v>
      </c>
    </row>
    <row r="2830" spans="1:21" x14ac:dyDescent="0.35">
      <c r="A2830" t="s">
        <v>21</v>
      </c>
      <c r="B2830" s="1">
        <v>45142</v>
      </c>
      <c r="C2830" t="s">
        <v>22</v>
      </c>
      <c r="D2830">
        <v>0.2</v>
      </c>
      <c r="E2830">
        <v>0</v>
      </c>
      <c r="F2830">
        <v>0.1</v>
      </c>
      <c r="G2830">
        <v>0</v>
      </c>
      <c r="H2830">
        <v>2</v>
      </c>
      <c r="I2830">
        <v>0.1</v>
      </c>
      <c r="J2830">
        <v>0</v>
      </c>
      <c r="K2830">
        <v>0.1</v>
      </c>
      <c r="L2830">
        <v>0</v>
      </c>
      <c r="M2830">
        <v>2.2999999999999998</v>
      </c>
      <c r="N2830">
        <v>540406</v>
      </c>
      <c r="O2830">
        <v>859347</v>
      </c>
      <c r="P2830">
        <v>1040563</v>
      </c>
      <c r="Q2830">
        <v>1</v>
      </c>
      <c r="R2830">
        <v>0</v>
      </c>
      <c r="S2830">
        <v>1</v>
      </c>
      <c r="T2830">
        <v>999</v>
      </c>
      <c r="U2830">
        <v>999</v>
      </c>
    </row>
    <row r="2831" spans="1:21" x14ac:dyDescent="0.35">
      <c r="A2831" t="s">
        <v>26</v>
      </c>
      <c r="B2831" s="1">
        <v>44684</v>
      </c>
      <c r="C2831" t="s">
        <v>25</v>
      </c>
      <c r="D2831">
        <v>5.9</v>
      </c>
      <c r="E2831">
        <v>1.4</v>
      </c>
      <c r="F2831">
        <v>0.7</v>
      </c>
      <c r="G2831">
        <v>4.2</v>
      </c>
      <c r="H2831">
        <v>8.4</v>
      </c>
      <c r="I2831">
        <v>0</v>
      </c>
      <c r="J2831">
        <v>0</v>
      </c>
      <c r="K2831">
        <v>0</v>
      </c>
      <c r="L2831">
        <v>0</v>
      </c>
      <c r="M2831">
        <v>0</v>
      </c>
      <c r="N2831">
        <v>101225</v>
      </c>
      <c r="O2831">
        <v>221226</v>
      </c>
      <c r="P2831">
        <v>139795</v>
      </c>
      <c r="Q2831">
        <v>6</v>
      </c>
      <c r="R2831">
        <v>3</v>
      </c>
      <c r="S2831">
        <v>1</v>
      </c>
      <c r="T2831">
        <v>18</v>
      </c>
      <c r="U2831">
        <v>29</v>
      </c>
    </row>
    <row r="2832" spans="1:21" x14ac:dyDescent="0.35">
      <c r="A2832" t="s">
        <v>21</v>
      </c>
      <c r="B2832" s="1">
        <v>44527</v>
      </c>
      <c r="C2832" t="s">
        <v>27</v>
      </c>
      <c r="D2832">
        <v>0</v>
      </c>
      <c r="E2832">
        <v>0</v>
      </c>
      <c r="F2832">
        <v>0</v>
      </c>
      <c r="G2832">
        <v>0</v>
      </c>
      <c r="H2832">
        <v>0</v>
      </c>
      <c r="I2832">
        <v>0</v>
      </c>
      <c r="J2832">
        <v>0</v>
      </c>
      <c r="K2832">
        <v>0</v>
      </c>
      <c r="L2832">
        <v>0</v>
      </c>
      <c r="M2832">
        <v>0</v>
      </c>
      <c r="N2832">
        <v>59342</v>
      </c>
      <c r="O2832">
        <v>104798</v>
      </c>
      <c r="P2832">
        <v>0</v>
      </c>
      <c r="Q2832">
        <v>0</v>
      </c>
      <c r="R2832">
        <v>0</v>
      </c>
      <c r="S2832">
        <v>0</v>
      </c>
      <c r="T2832">
        <v>12</v>
      </c>
      <c r="U2832">
        <v>17</v>
      </c>
    </row>
    <row r="2833" spans="1:21" x14ac:dyDescent="0.35">
      <c r="A2833" t="s">
        <v>26</v>
      </c>
      <c r="B2833" s="1">
        <v>44520</v>
      </c>
      <c r="C2833" t="s">
        <v>27</v>
      </c>
      <c r="D2833">
        <v>3.3</v>
      </c>
      <c r="E2833">
        <v>0</v>
      </c>
      <c r="F2833">
        <v>0</v>
      </c>
      <c r="G2833">
        <v>0</v>
      </c>
      <c r="H2833">
        <v>0</v>
      </c>
      <c r="I2833">
        <v>0</v>
      </c>
      <c r="J2833">
        <v>0</v>
      </c>
      <c r="K2833">
        <v>0</v>
      </c>
      <c r="L2833">
        <v>0</v>
      </c>
      <c r="M2833">
        <v>0</v>
      </c>
      <c r="N2833">
        <v>60117</v>
      </c>
      <c r="O2833">
        <v>103905</v>
      </c>
      <c r="P2833">
        <v>0</v>
      </c>
      <c r="Q2833">
        <v>2</v>
      </c>
      <c r="R2833">
        <v>0</v>
      </c>
      <c r="S2833">
        <v>0</v>
      </c>
      <c r="T2833">
        <v>12</v>
      </c>
      <c r="U2833">
        <v>17</v>
      </c>
    </row>
    <row r="2834" spans="1:21" x14ac:dyDescent="0.35">
      <c r="A2834" t="s">
        <v>21</v>
      </c>
      <c r="B2834" s="1">
        <v>44436</v>
      </c>
      <c r="C2834" t="s">
        <v>23</v>
      </c>
      <c r="D2834">
        <v>4.5</v>
      </c>
      <c r="E2834">
        <v>0.3</v>
      </c>
      <c r="F2834">
        <v>0</v>
      </c>
      <c r="G2834">
        <v>15</v>
      </c>
      <c r="H2834">
        <v>0</v>
      </c>
      <c r="I2834">
        <v>0</v>
      </c>
      <c r="J2834">
        <v>0</v>
      </c>
      <c r="K2834">
        <v>0</v>
      </c>
      <c r="L2834">
        <v>0</v>
      </c>
      <c r="M2834">
        <v>0</v>
      </c>
      <c r="N2834">
        <v>89285</v>
      </c>
      <c r="O2834">
        <v>322178</v>
      </c>
      <c r="P2834">
        <v>0</v>
      </c>
      <c r="Q2834">
        <v>4</v>
      </c>
      <c r="R2834">
        <v>1</v>
      </c>
      <c r="S2834">
        <v>0</v>
      </c>
      <c r="T2834">
        <v>50</v>
      </c>
      <c r="U2834">
        <v>64</v>
      </c>
    </row>
    <row r="2835" spans="1:21" x14ac:dyDescent="0.35">
      <c r="A2835" t="s">
        <v>28</v>
      </c>
      <c r="B2835" s="1">
        <v>44991</v>
      </c>
      <c r="C2835" t="s">
        <v>32</v>
      </c>
      <c r="D2835">
        <v>14.8</v>
      </c>
      <c r="E2835">
        <v>0.6</v>
      </c>
      <c r="F2835">
        <v>0</v>
      </c>
      <c r="G2835">
        <v>24.7</v>
      </c>
      <c r="H2835">
        <v>0</v>
      </c>
      <c r="I2835">
        <v>0</v>
      </c>
      <c r="J2835">
        <v>0</v>
      </c>
      <c r="K2835">
        <v>0</v>
      </c>
      <c r="L2835">
        <v>0</v>
      </c>
      <c r="M2835">
        <v>0</v>
      </c>
      <c r="N2835">
        <v>162642</v>
      </c>
      <c r="O2835">
        <v>0</v>
      </c>
      <c r="P2835">
        <v>0</v>
      </c>
      <c r="Q2835">
        <v>24</v>
      </c>
      <c r="R2835">
        <v>1</v>
      </c>
      <c r="S2835">
        <v>0</v>
      </c>
      <c r="T2835">
        <v>0</v>
      </c>
      <c r="U2835">
        <v>4</v>
      </c>
    </row>
    <row r="2836" spans="1:21" x14ac:dyDescent="0.35">
      <c r="A2836" t="s">
        <v>21</v>
      </c>
      <c r="B2836" s="1">
        <v>44991</v>
      </c>
      <c r="C2836" t="s">
        <v>32</v>
      </c>
      <c r="D2836">
        <v>0</v>
      </c>
      <c r="E2836">
        <v>0</v>
      </c>
      <c r="F2836">
        <v>0</v>
      </c>
      <c r="G2836">
        <v>0</v>
      </c>
      <c r="H2836">
        <v>0</v>
      </c>
      <c r="I2836">
        <v>0</v>
      </c>
      <c r="J2836">
        <v>0</v>
      </c>
      <c r="K2836">
        <v>0</v>
      </c>
      <c r="L2836">
        <v>0</v>
      </c>
      <c r="M2836">
        <v>0</v>
      </c>
      <c r="N2836">
        <v>162642</v>
      </c>
      <c r="O2836">
        <v>0</v>
      </c>
      <c r="P2836">
        <v>0</v>
      </c>
      <c r="Q2836">
        <v>0</v>
      </c>
      <c r="R2836">
        <v>0</v>
      </c>
      <c r="S2836">
        <v>0</v>
      </c>
      <c r="T2836">
        <v>0</v>
      </c>
      <c r="U2836">
        <v>4</v>
      </c>
    </row>
    <row r="2837" spans="1:21" x14ac:dyDescent="0.35">
      <c r="A2837" t="s">
        <v>26</v>
      </c>
      <c r="B2837" s="1">
        <v>44975</v>
      </c>
      <c r="C2837" t="s">
        <v>24</v>
      </c>
      <c r="D2837">
        <v>1.1000000000000001</v>
      </c>
      <c r="E2837">
        <v>1.2</v>
      </c>
      <c r="F2837">
        <v>4.7</v>
      </c>
      <c r="G2837">
        <v>0.9</v>
      </c>
      <c r="H2837">
        <v>0.2</v>
      </c>
      <c r="I2837">
        <v>0</v>
      </c>
      <c r="J2837">
        <v>0</v>
      </c>
      <c r="K2837">
        <v>0</v>
      </c>
      <c r="L2837">
        <v>0</v>
      </c>
      <c r="M2837">
        <v>0</v>
      </c>
      <c r="N2837">
        <v>91630</v>
      </c>
      <c r="O2837">
        <v>82117</v>
      </c>
      <c r="P2837">
        <v>21197</v>
      </c>
      <c r="Q2837">
        <v>1</v>
      </c>
      <c r="R2837">
        <v>1</v>
      </c>
      <c r="S2837">
        <v>1</v>
      </c>
      <c r="T2837">
        <v>5</v>
      </c>
      <c r="U2837">
        <v>11</v>
      </c>
    </row>
    <row r="2838" spans="1:21" x14ac:dyDescent="0.35">
      <c r="A2838" t="s">
        <v>28</v>
      </c>
      <c r="B2838" s="1">
        <v>44513</v>
      </c>
      <c r="C2838" t="s">
        <v>31</v>
      </c>
      <c r="D2838">
        <v>155.30000000000001</v>
      </c>
      <c r="E2838">
        <v>69.8</v>
      </c>
      <c r="F2838">
        <v>14.2</v>
      </c>
      <c r="G2838">
        <v>2.2000000000000002</v>
      </c>
      <c r="H2838">
        <v>10.9</v>
      </c>
      <c r="I2838">
        <v>0</v>
      </c>
      <c r="J2838">
        <v>0</v>
      </c>
      <c r="K2838">
        <v>0</v>
      </c>
      <c r="L2838">
        <v>0</v>
      </c>
      <c r="M2838">
        <v>0</v>
      </c>
      <c r="N2838">
        <v>57295</v>
      </c>
      <c r="O2838">
        <v>146087</v>
      </c>
      <c r="P2838">
        <v>56482</v>
      </c>
      <c r="Q2838">
        <v>89</v>
      </c>
      <c r="R2838">
        <v>102</v>
      </c>
      <c r="S2838">
        <v>8</v>
      </c>
      <c r="T2838">
        <v>65</v>
      </c>
      <c r="U2838">
        <v>79</v>
      </c>
    </row>
    <row r="2839" spans="1:21" x14ac:dyDescent="0.35">
      <c r="A2839" t="s">
        <v>28</v>
      </c>
      <c r="B2839" s="1">
        <v>44262</v>
      </c>
      <c r="C2839" t="s">
        <v>29</v>
      </c>
      <c r="D2839">
        <v>26.3</v>
      </c>
      <c r="E2839">
        <v>9.6999999999999993</v>
      </c>
      <c r="F2839">
        <v>0</v>
      </c>
      <c r="G2839">
        <v>2.7</v>
      </c>
      <c r="H2839">
        <v>0</v>
      </c>
      <c r="I2839">
        <v>0</v>
      </c>
      <c r="J2839">
        <v>0</v>
      </c>
      <c r="K2839">
        <v>0</v>
      </c>
      <c r="L2839">
        <v>0</v>
      </c>
      <c r="M2839">
        <v>0</v>
      </c>
      <c r="N2839">
        <v>284806</v>
      </c>
      <c r="O2839">
        <v>473790</v>
      </c>
      <c r="P2839">
        <v>0</v>
      </c>
      <c r="Q2839">
        <v>75</v>
      </c>
      <c r="R2839">
        <v>46</v>
      </c>
      <c r="S2839">
        <v>0</v>
      </c>
      <c r="T2839">
        <v>30</v>
      </c>
      <c r="U2839">
        <v>49</v>
      </c>
    </row>
    <row r="2840" spans="1:21" x14ac:dyDescent="0.35">
      <c r="A2840" t="s">
        <v>21</v>
      </c>
      <c r="B2840" s="1">
        <v>44562</v>
      </c>
      <c r="C2840" t="s">
        <v>30</v>
      </c>
      <c r="D2840">
        <v>64.400000000000006</v>
      </c>
      <c r="E2840">
        <v>43.5</v>
      </c>
      <c r="F2840">
        <v>11.2</v>
      </c>
      <c r="G2840">
        <v>1.5</v>
      </c>
      <c r="H2840">
        <v>5.8</v>
      </c>
      <c r="I2840">
        <v>0</v>
      </c>
      <c r="J2840">
        <v>0</v>
      </c>
      <c r="K2840">
        <v>0</v>
      </c>
      <c r="L2840">
        <v>0</v>
      </c>
      <c r="M2840">
        <v>0</v>
      </c>
      <c r="N2840">
        <v>27932</v>
      </c>
      <c r="O2840">
        <v>20693</v>
      </c>
      <c r="P2840">
        <v>35560</v>
      </c>
      <c r="Q2840">
        <v>18</v>
      </c>
      <c r="R2840">
        <v>9</v>
      </c>
      <c r="S2840">
        <v>4</v>
      </c>
      <c r="T2840">
        <v>80</v>
      </c>
      <c r="U2840">
        <v>200</v>
      </c>
    </row>
    <row r="2841" spans="1:21" x14ac:dyDescent="0.35">
      <c r="A2841" t="s">
        <v>21</v>
      </c>
      <c r="B2841" s="1">
        <v>44702</v>
      </c>
      <c r="C2841" t="s">
        <v>27</v>
      </c>
      <c r="D2841">
        <v>0</v>
      </c>
      <c r="E2841">
        <v>0</v>
      </c>
      <c r="F2841">
        <v>0</v>
      </c>
      <c r="G2841">
        <v>0</v>
      </c>
      <c r="H2841">
        <v>0</v>
      </c>
      <c r="I2841">
        <v>0</v>
      </c>
      <c r="J2841">
        <v>0</v>
      </c>
      <c r="K2841">
        <v>0</v>
      </c>
      <c r="L2841">
        <v>0</v>
      </c>
      <c r="M2841">
        <v>0</v>
      </c>
      <c r="N2841">
        <v>37169</v>
      </c>
      <c r="O2841">
        <v>93771</v>
      </c>
      <c r="P2841">
        <v>34462</v>
      </c>
      <c r="Q2841">
        <v>0</v>
      </c>
      <c r="R2841">
        <v>0</v>
      </c>
      <c r="S2841">
        <v>0</v>
      </c>
      <c r="T2841">
        <v>12</v>
      </c>
      <c r="U2841">
        <v>17</v>
      </c>
    </row>
    <row r="2842" spans="1:21" x14ac:dyDescent="0.35">
      <c r="A2842" t="s">
        <v>21</v>
      </c>
      <c r="B2842" s="1">
        <v>44548</v>
      </c>
      <c r="C2842" t="s">
        <v>22</v>
      </c>
      <c r="D2842">
        <v>6.3</v>
      </c>
      <c r="E2842">
        <v>1.5</v>
      </c>
      <c r="F2842">
        <v>0.2</v>
      </c>
      <c r="G2842">
        <v>4.2</v>
      </c>
      <c r="H2842">
        <v>31.5</v>
      </c>
      <c r="I2842">
        <v>9.6</v>
      </c>
      <c r="J2842">
        <v>1.8</v>
      </c>
      <c r="K2842">
        <v>0.1</v>
      </c>
      <c r="L2842">
        <v>5.3</v>
      </c>
      <c r="M2842">
        <v>89.9</v>
      </c>
      <c r="N2842">
        <v>829865</v>
      </c>
      <c r="O2842">
        <v>1210623</v>
      </c>
      <c r="P2842">
        <v>447192</v>
      </c>
      <c r="Q2842">
        <v>52</v>
      </c>
      <c r="R2842">
        <v>18</v>
      </c>
      <c r="S2842">
        <v>1</v>
      </c>
      <c r="T2842">
        <v>999</v>
      </c>
      <c r="U2842">
        <v>999</v>
      </c>
    </row>
    <row r="2843" spans="1:21" x14ac:dyDescent="0.35">
      <c r="A2843" t="s">
        <v>28</v>
      </c>
      <c r="B2843" s="1">
        <v>44596</v>
      </c>
      <c r="C2843" t="s">
        <v>31</v>
      </c>
      <c r="D2843">
        <v>33</v>
      </c>
      <c r="E2843">
        <v>42.7</v>
      </c>
      <c r="F2843">
        <v>40.200000000000003</v>
      </c>
      <c r="G2843">
        <v>0.8</v>
      </c>
      <c r="H2843">
        <v>0.8</v>
      </c>
      <c r="I2843">
        <v>0</v>
      </c>
      <c r="J2843">
        <v>0</v>
      </c>
      <c r="K2843">
        <v>0</v>
      </c>
      <c r="L2843">
        <v>0</v>
      </c>
      <c r="M2843">
        <v>0</v>
      </c>
      <c r="N2843">
        <v>48452</v>
      </c>
      <c r="O2843">
        <v>51564</v>
      </c>
      <c r="P2843">
        <v>159143</v>
      </c>
      <c r="Q2843">
        <v>16</v>
      </c>
      <c r="R2843">
        <v>22</v>
      </c>
      <c r="S2843">
        <v>64</v>
      </c>
      <c r="T2843">
        <v>65</v>
      </c>
      <c r="U2843">
        <v>79</v>
      </c>
    </row>
    <row r="2844" spans="1:21" x14ac:dyDescent="0.35">
      <c r="A2844" t="s">
        <v>21</v>
      </c>
      <c r="B2844" s="1">
        <v>44846</v>
      </c>
      <c r="C2844" t="s">
        <v>23</v>
      </c>
      <c r="D2844">
        <v>0</v>
      </c>
      <c r="E2844">
        <v>0</v>
      </c>
      <c r="F2844">
        <v>0</v>
      </c>
      <c r="G2844">
        <v>0</v>
      </c>
      <c r="H2844">
        <v>0</v>
      </c>
      <c r="I2844">
        <v>0</v>
      </c>
      <c r="J2844">
        <v>0</v>
      </c>
      <c r="K2844">
        <v>0</v>
      </c>
      <c r="L2844">
        <v>0</v>
      </c>
      <c r="M2844">
        <v>0</v>
      </c>
      <c r="N2844">
        <v>35521</v>
      </c>
      <c r="O2844">
        <v>125371</v>
      </c>
      <c r="P2844">
        <v>246748</v>
      </c>
      <c r="Q2844">
        <v>0</v>
      </c>
      <c r="R2844">
        <v>0</v>
      </c>
      <c r="S2844">
        <v>0</v>
      </c>
      <c r="T2844">
        <v>50</v>
      </c>
      <c r="U2844">
        <v>64</v>
      </c>
    </row>
    <row r="2845" spans="1:21" x14ac:dyDescent="0.35">
      <c r="A2845" t="s">
        <v>26</v>
      </c>
      <c r="B2845" s="1">
        <v>44991</v>
      </c>
      <c r="C2845" t="s">
        <v>29</v>
      </c>
      <c r="D2845">
        <v>0.9</v>
      </c>
      <c r="E2845">
        <v>1.1000000000000001</v>
      </c>
      <c r="F2845">
        <v>0.9</v>
      </c>
      <c r="G2845">
        <v>0.8</v>
      </c>
      <c r="H2845">
        <v>1</v>
      </c>
      <c r="I2845">
        <v>0</v>
      </c>
      <c r="J2845">
        <v>0</v>
      </c>
      <c r="K2845">
        <v>0</v>
      </c>
      <c r="L2845">
        <v>0</v>
      </c>
      <c r="M2845">
        <v>0</v>
      </c>
      <c r="N2845">
        <v>108436</v>
      </c>
      <c r="O2845">
        <v>278399</v>
      </c>
      <c r="P2845">
        <v>347302</v>
      </c>
      <c r="Q2845">
        <v>1</v>
      </c>
      <c r="R2845">
        <v>3</v>
      </c>
      <c r="S2845">
        <v>3</v>
      </c>
      <c r="T2845">
        <v>30</v>
      </c>
      <c r="U2845">
        <v>49</v>
      </c>
    </row>
    <row r="2846" spans="1:21" x14ac:dyDescent="0.35">
      <c r="A2846" t="s">
        <v>28</v>
      </c>
      <c r="B2846" s="1">
        <v>44692</v>
      </c>
      <c r="C2846" t="s">
        <v>30</v>
      </c>
      <c r="D2846">
        <v>146.6</v>
      </c>
      <c r="E2846">
        <v>193.5</v>
      </c>
      <c r="F2846">
        <v>197.5</v>
      </c>
      <c r="G2846">
        <v>0.8</v>
      </c>
      <c r="H2846">
        <v>0.7</v>
      </c>
      <c r="I2846">
        <v>0</v>
      </c>
      <c r="J2846">
        <v>0</v>
      </c>
      <c r="K2846">
        <v>0</v>
      </c>
      <c r="L2846">
        <v>0</v>
      </c>
      <c r="M2846">
        <v>0</v>
      </c>
      <c r="N2846">
        <v>25236</v>
      </c>
      <c r="O2846">
        <v>11367</v>
      </c>
      <c r="P2846">
        <v>47086</v>
      </c>
      <c r="Q2846">
        <v>37</v>
      </c>
      <c r="R2846">
        <v>22</v>
      </c>
      <c r="S2846">
        <v>93</v>
      </c>
      <c r="T2846">
        <v>80</v>
      </c>
      <c r="U2846">
        <v>200</v>
      </c>
    </row>
    <row r="2847" spans="1:21" x14ac:dyDescent="0.35">
      <c r="A2847" t="s">
        <v>28</v>
      </c>
      <c r="B2847" s="1">
        <v>44811</v>
      </c>
      <c r="C2847" t="s">
        <v>22</v>
      </c>
      <c r="D2847">
        <v>223.2</v>
      </c>
      <c r="E2847">
        <v>139.19999999999999</v>
      </c>
      <c r="F2847">
        <v>249</v>
      </c>
      <c r="G2847">
        <v>1.6</v>
      </c>
      <c r="H2847">
        <v>0.9</v>
      </c>
      <c r="I2847">
        <v>264.89999999999998</v>
      </c>
      <c r="J2847">
        <v>133.5</v>
      </c>
      <c r="K2847">
        <v>214.2</v>
      </c>
      <c r="L2847">
        <v>2</v>
      </c>
      <c r="M2847">
        <v>1.2</v>
      </c>
      <c r="N2847">
        <v>627781</v>
      </c>
      <c r="O2847">
        <v>862137</v>
      </c>
      <c r="P2847">
        <v>997177</v>
      </c>
      <c r="Q2847">
        <v>1401</v>
      </c>
      <c r="R2847">
        <v>1200</v>
      </c>
      <c r="S2847">
        <v>2483</v>
      </c>
      <c r="T2847">
        <v>999</v>
      </c>
      <c r="U2847">
        <v>999</v>
      </c>
    </row>
    <row r="2848" spans="1:21" x14ac:dyDescent="0.35">
      <c r="A2848" t="s">
        <v>28</v>
      </c>
      <c r="B2848" s="1">
        <v>45142</v>
      </c>
      <c r="C2848" t="s">
        <v>24</v>
      </c>
      <c r="D2848">
        <v>18.7</v>
      </c>
      <c r="E2848">
        <v>13.3</v>
      </c>
      <c r="F2848">
        <v>4.7</v>
      </c>
      <c r="G2848">
        <v>1.4</v>
      </c>
      <c r="H2848">
        <v>4</v>
      </c>
      <c r="I2848">
        <v>0</v>
      </c>
      <c r="J2848">
        <v>0</v>
      </c>
      <c r="K2848">
        <v>0</v>
      </c>
      <c r="L2848">
        <v>0</v>
      </c>
      <c r="M2848">
        <v>0</v>
      </c>
      <c r="N2848">
        <v>91121</v>
      </c>
      <c r="O2848">
        <v>82526</v>
      </c>
      <c r="P2848">
        <v>21223</v>
      </c>
      <c r="Q2848">
        <v>17</v>
      </c>
      <c r="R2848">
        <v>11</v>
      </c>
      <c r="S2848">
        <v>1</v>
      </c>
      <c r="T2848">
        <v>5</v>
      </c>
      <c r="U2848">
        <v>11</v>
      </c>
    </row>
    <row r="2849" spans="1:21" x14ac:dyDescent="0.35">
      <c r="A2849" t="s">
        <v>26</v>
      </c>
      <c r="B2849" s="1">
        <v>45185</v>
      </c>
      <c r="C2849" t="s">
        <v>23</v>
      </c>
      <c r="D2849">
        <v>12.4</v>
      </c>
      <c r="E2849">
        <v>2.4</v>
      </c>
      <c r="F2849">
        <v>4</v>
      </c>
      <c r="G2849">
        <v>5.2</v>
      </c>
      <c r="H2849">
        <v>3.1</v>
      </c>
      <c r="I2849">
        <v>0</v>
      </c>
      <c r="J2849">
        <v>0</v>
      </c>
      <c r="K2849">
        <v>0</v>
      </c>
      <c r="L2849">
        <v>0</v>
      </c>
      <c r="M2849">
        <v>0</v>
      </c>
      <c r="N2849">
        <v>32248</v>
      </c>
      <c r="O2849">
        <v>125721</v>
      </c>
      <c r="P2849">
        <v>246942</v>
      </c>
      <c r="Q2849">
        <v>4</v>
      </c>
      <c r="R2849">
        <v>3</v>
      </c>
      <c r="S2849">
        <v>10</v>
      </c>
      <c r="T2849">
        <v>50</v>
      </c>
      <c r="U2849">
        <v>64</v>
      </c>
    </row>
    <row r="2850" spans="1:21" x14ac:dyDescent="0.35">
      <c r="A2850" t="s">
        <v>26</v>
      </c>
      <c r="B2850" s="1">
        <v>44695</v>
      </c>
      <c r="C2850" t="s">
        <v>27</v>
      </c>
      <c r="D2850">
        <v>8</v>
      </c>
      <c r="E2850">
        <v>0</v>
      </c>
      <c r="F2850">
        <v>0</v>
      </c>
      <c r="G2850">
        <v>0</v>
      </c>
      <c r="H2850">
        <v>0</v>
      </c>
      <c r="I2850">
        <v>0</v>
      </c>
      <c r="J2850">
        <v>0</v>
      </c>
      <c r="K2850">
        <v>0</v>
      </c>
      <c r="L2850">
        <v>0</v>
      </c>
      <c r="M2850">
        <v>0</v>
      </c>
      <c r="N2850">
        <v>37341</v>
      </c>
      <c r="O2850">
        <v>94014</v>
      </c>
      <c r="P2850">
        <v>34086</v>
      </c>
      <c r="Q2850">
        <v>3</v>
      </c>
      <c r="R2850">
        <v>0</v>
      </c>
      <c r="S2850">
        <v>0</v>
      </c>
      <c r="T2850">
        <v>12</v>
      </c>
      <c r="U2850">
        <v>17</v>
      </c>
    </row>
    <row r="2851" spans="1:21" x14ac:dyDescent="0.35">
      <c r="A2851" t="s">
        <v>21</v>
      </c>
      <c r="B2851" s="1">
        <v>44527</v>
      </c>
      <c r="C2851" t="s">
        <v>23</v>
      </c>
      <c r="D2851">
        <v>7.6</v>
      </c>
      <c r="E2851">
        <v>0.4</v>
      </c>
      <c r="F2851">
        <v>0</v>
      </c>
      <c r="G2851">
        <v>19</v>
      </c>
      <c r="H2851">
        <v>0</v>
      </c>
      <c r="I2851">
        <v>0</v>
      </c>
      <c r="J2851">
        <v>0</v>
      </c>
      <c r="K2851">
        <v>0</v>
      </c>
      <c r="L2851">
        <v>0</v>
      </c>
      <c r="M2851">
        <v>0</v>
      </c>
      <c r="N2851">
        <v>66092</v>
      </c>
      <c r="O2851">
        <v>285061</v>
      </c>
      <c r="P2851">
        <v>63187</v>
      </c>
      <c r="Q2851">
        <v>5</v>
      </c>
      <c r="R2851">
        <v>1</v>
      </c>
      <c r="S2851">
        <v>0</v>
      </c>
      <c r="T2851">
        <v>50</v>
      </c>
      <c r="U2851">
        <v>64</v>
      </c>
    </row>
    <row r="2852" spans="1:21" x14ac:dyDescent="0.35">
      <c r="A2852" t="s">
        <v>28</v>
      </c>
      <c r="B2852" s="1">
        <v>45101</v>
      </c>
      <c r="C2852" t="s">
        <v>32</v>
      </c>
      <c r="D2852">
        <v>8.6</v>
      </c>
      <c r="E2852">
        <v>1.2</v>
      </c>
      <c r="F2852">
        <v>0</v>
      </c>
      <c r="G2852">
        <v>7.2</v>
      </c>
      <c r="H2852">
        <v>0</v>
      </c>
      <c r="I2852">
        <v>0</v>
      </c>
      <c r="J2852">
        <v>0</v>
      </c>
      <c r="K2852">
        <v>0</v>
      </c>
      <c r="L2852">
        <v>0</v>
      </c>
      <c r="M2852">
        <v>0</v>
      </c>
      <c r="N2852">
        <v>162642</v>
      </c>
      <c r="O2852">
        <v>0</v>
      </c>
      <c r="P2852">
        <v>0</v>
      </c>
      <c r="Q2852">
        <v>14</v>
      </c>
      <c r="R2852">
        <v>2</v>
      </c>
      <c r="S2852">
        <v>0</v>
      </c>
      <c r="T2852">
        <v>0</v>
      </c>
      <c r="U2852">
        <v>4</v>
      </c>
    </row>
    <row r="2853" spans="1:21" x14ac:dyDescent="0.35">
      <c r="A2853" t="s">
        <v>21</v>
      </c>
      <c r="B2853" s="1">
        <v>44373</v>
      </c>
      <c r="C2853" t="s">
        <v>29</v>
      </c>
      <c r="D2853">
        <v>0.3</v>
      </c>
      <c r="E2853">
        <v>0</v>
      </c>
      <c r="F2853">
        <v>0</v>
      </c>
      <c r="G2853">
        <v>0</v>
      </c>
      <c r="H2853">
        <v>0</v>
      </c>
      <c r="I2853">
        <v>0</v>
      </c>
      <c r="J2853">
        <v>0</v>
      </c>
      <c r="K2853">
        <v>0</v>
      </c>
      <c r="L2853">
        <v>0</v>
      </c>
      <c r="M2853">
        <v>0</v>
      </c>
      <c r="N2853">
        <v>289323</v>
      </c>
      <c r="O2853">
        <v>463639</v>
      </c>
      <c r="P2853">
        <v>0</v>
      </c>
      <c r="Q2853">
        <v>1</v>
      </c>
      <c r="R2853">
        <v>0</v>
      </c>
      <c r="S2853">
        <v>0</v>
      </c>
      <c r="T2853">
        <v>30</v>
      </c>
      <c r="U2853">
        <v>49</v>
      </c>
    </row>
    <row r="2854" spans="1:21" x14ac:dyDescent="0.35">
      <c r="A2854" t="s">
        <v>26</v>
      </c>
      <c r="B2854" s="1">
        <v>45010</v>
      </c>
      <c r="C2854" t="s">
        <v>29</v>
      </c>
      <c r="D2854">
        <v>6.4</v>
      </c>
      <c r="E2854">
        <v>3.6</v>
      </c>
      <c r="F2854">
        <v>2.6</v>
      </c>
      <c r="G2854">
        <v>1.8</v>
      </c>
      <c r="H2854">
        <v>2.5</v>
      </c>
      <c r="I2854">
        <v>0</v>
      </c>
      <c r="J2854">
        <v>0</v>
      </c>
      <c r="K2854">
        <v>0</v>
      </c>
      <c r="L2854">
        <v>0</v>
      </c>
      <c r="M2854">
        <v>0</v>
      </c>
      <c r="N2854">
        <v>110064</v>
      </c>
      <c r="O2854">
        <v>278072</v>
      </c>
      <c r="P2854">
        <v>347275</v>
      </c>
      <c r="Q2854">
        <v>7</v>
      </c>
      <c r="R2854">
        <v>10</v>
      </c>
      <c r="S2854">
        <v>9</v>
      </c>
      <c r="T2854">
        <v>30</v>
      </c>
      <c r="U2854">
        <v>49</v>
      </c>
    </row>
    <row r="2855" spans="1:21" x14ac:dyDescent="0.35">
      <c r="A2855" t="s">
        <v>28</v>
      </c>
      <c r="B2855" s="1">
        <v>44599</v>
      </c>
      <c r="C2855" t="s">
        <v>23</v>
      </c>
      <c r="D2855">
        <v>462.8</v>
      </c>
      <c r="E2855">
        <v>177.4</v>
      </c>
      <c r="F2855">
        <v>235.6</v>
      </c>
      <c r="G2855">
        <v>2.6</v>
      </c>
      <c r="H2855">
        <v>2</v>
      </c>
      <c r="I2855">
        <v>0</v>
      </c>
      <c r="J2855">
        <v>0</v>
      </c>
      <c r="K2855">
        <v>0</v>
      </c>
      <c r="L2855">
        <v>0</v>
      </c>
      <c r="M2855">
        <v>0</v>
      </c>
      <c r="N2855">
        <v>41916</v>
      </c>
      <c r="O2855">
        <v>129677</v>
      </c>
      <c r="P2855">
        <v>240221</v>
      </c>
      <c r="Q2855">
        <v>194</v>
      </c>
      <c r="R2855">
        <v>230</v>
      </c>
      <c r="S2855">
        <v>566</v>
      </c>
      <c r="T2855">
        <v>50</v>
      </c>
      <c r="U2855">
        <v>64</v>
      </c>
    </row>
    <row r="2856" spans="1:21" x14ac:dyDescent="0.35">
      <c r="A2856" t="s">
        <v>21</v>
      </c>
      <c r="B2856" s="1">
        <v>44975</v>
      </c>
      <c r="C2856" t="s">
        <v>31</v>
      </c>
      <c r="D2856">
        <v>0</v>
      </c>
      <c r="E2856">
        <v>0</v>
      </c>
      <c r="F2856">
        <v>0</v>
      </c>
      <c r="G2856">
        <v>0</v>
      </c>
      <c r="H2856">
        <v>0</v>
      </c>
      <c r="I2856">
        <v>0</v>
      </c>
      <c r="J2856">
        <v>0</v>
      </c>
      <c r="K2856">
        <v>0</v>
      </c>
      <c r="L2856">
        <v>0</v>
      </c>
      <c r="M2856">
        <v>0</v>
      </c>
      <c r="N2856">
        <v>40129</v>
      </c>
      <c r="O2856">
        <v>43398</v>
      </c>
      <c r="P2856">
        <v>171695</v>
      </c>
      <c r="Q2856">
        <v>0</v>
      </c>
      <c r="R2856">
        <v>0</v>
      </c>
      <c r="S2856">
        <v>0</v>
      </c>
      <c r="T2856">
        <v>65</v>
      </c>
      <c r="U2856">
        <v>79</v>
      </c>
    </row>
    <row r="2857" spans="1:21" x14ac:dyDescent="0.35">
      <c r="A2857" t="s">
        <v>28</v>
      </c>
      <c r="B2857" s="1">
        <v>44555</v>
      </c>
      <c r="C2857" t="s">
        <v>23</v>
      </c>
      <c r="D2857">
        <v>2182.1</v>
      </c>
      <c r="E2857">
        <v>1041.7</v>
      </c>
      <c r="F2857">
        <v>639.20000000000005</v>
      </c>
      <c r="G2857">
        <v>2.1</v>
      </c>
      <c r="H2857">
        <v>3.4</v>
      </c>
      <c r="I2857">
        <v>0</v>
      </c>
      <c r="J2857">
        <v>0</v>
      </c>
      <c r="K2857">
        <v>0</v>
      </c>
      <c r="L2857">
        <v>0</v>
      </c>
      <c r="M2857">
        <v>0</v>
      </c>
      <c r="N2857">
        <v>58797</v>
      </c>
      <c r="O2857">
        <v>223663</v>
      </c>
      <c r="P2857">
        <v>129378</v>
      </c>
      <c r="Q2857">
        <v>1283</v>
      </c>
      <c r="R2857">
        <v>2330</v>
      </c>
      <c r="S2857">
        <v>827</v>
      </c>
      <c r="T2857">
        <v>50</v>
      </c>
      <c r="U2857">
        <v>64</v>
      </c>
    </row>
    <row r="2858" spans="1:21" x14ac:dyDescent="0.35">
      <c r="A2858" t="s">
        <v>26</v>
      </c>
      <c r="B2858" s="1">
        <v>44639</v>
      </c>
      <c r="C2858" t="s">
        <v>29</v>
      </c>
      <c r="D2858">
        <v>6.7</v>
      </c>
      <c r="E2858">
        <v>2</v>
      </c>
      <c r="F2858">
        <v>1.2</v>
      </c>
      <c r="G2858">
        <v>3.4</v>
      </c>
      <c r="H2858">
        <v>5.6</v>
      </c>
      <c r="I2858">
        <v>0</v>
      </c>
      <c r="J2858">
        <v>0</v>
      </c>
      <c r="K2858">
        <v>0</v>
      </c>
      <c r="L2858">
        <v>0</v>
      </c>
      <c r="M2858">
        <v>0</v>
      </c>
      <c r="N2858">
        <v>133820</v>
      </c>
      <c r="O2858">
        <v>292802</v>
      </c>
      <c r="P2858">
        <v>320838</v>
      </c>
      <c r="Q2858">
        <v>9</v>
      </c>
      <c r="R2858">
        <v>6</v>
      </c>
      <c r="S2858">
        <v>4</v>
      </c>
      <c r="T2858">
        <v>30</v>
      </c>
      <c r="U2858">
        <v>49</v>
      </c>
    </row>
    <row r="2859" spans="1:21" x14ac:dyDescent="0.35">
      <c r="A2859" t="s">
        <v>28</v>
      </c>
      <c r="B2859" s="1">
        <v>44449</v>
      </c>
      <c r="C2859" t="s">
        <v>25</v>
      </c>
      <c r="D2859">
        <v>182.2</v>
      </c>
      <c r="E2859">
        <v>55.9</v>
      </c>
      <c r="F2859">
        <v>0</v>
      </c>
      <c r="G2859">
        <v>3.3</v>
      </c>
      <c r="H2859">
        <v>0</v>
      </c>
      <c r="I2859">
        <v>0</v>
      </c>
      <c r="J2859">
        <v>0</v>
      </c>
      <c r="K2859">
        <v>0</v>
      </c>
      <c r="L2859">
        <v>0</v>
      </c>
      <c r="M2859">
        <v>0</v>
      </c>
      <c r="N2859">
        <v>172892</v>
      </c>
      <c r="O2859">
        <v>311257</v>
      </c>
      <c r="P2859">
        <v>0</v>
      </c>
      <c r="Q2859">
        <v>315</v>
      </c>
      <c r="R2859">
        <v>174</v>
      </c>
      <c r="S2859">
        <v>0</v>
      </c>
      <c r="T2859">
        <v>18</v>
      </c>
      <c r="U2859">
        <v>29</v>
      </c>
    </row>
    <row r="2860" spans="1:21" x14ac:dyDescent="0.35">
      <c r="A2860" t="s">
        <v>28</v>
      </c>
      <c r="B2860" s="1">
        <v>44338</v>
      </c>
      <c r="C2860" t="s">
        <v>31</v>
      </c>
      <c r="D2860">
        <v>81.7</v>
      </c>
      <c r="E2860">
        <v>14.6</v>
      </c>
      <c r="F2860">
        <v>0</v>
      </c>
      <c r="G2860">
        <v>5.6</v>
      </c>
      <c r="H2860">
        <v>0</v>
      </c>
      <c r="I2860">
        <v>0</v>
      </c>
      <c r="J2860">
        <v>0</v>
      </c>
      <c r="K2860">
        <v>0</v>
      </c>
      <c r="L2860">
        <v>0</v>
      </c>
      <c r="M2860">
        <v>0</v>
      </c>
      <c r="N2860">
        <v>79541</v>
      </c>
      <c r="O2860">
        <v>171129</v>
      </c>
      <c r="P2860">
        <v>0</v>
      </c>
      <c r="Q2860">
        <v>65</v>
      </c>
      <c r="R2860">
        <v>25</v>
      </c>
      <c r="S2860">
        <v>0</v>
      </c>
      <c r="T2860">
        <v>65</v>
      </c>
      <c r="U2860">
        <v>79</v>
      </c>
    </row>
    <row r="2861" spans="1:21" x14ac:dyDescent="0.35">
      <c r="A2861" t="s">
        <v>21</v>
      </c>
      <c r="B2861" s="1">
        <v>44555</v>
      </c>
      <c r="C2861" t="s">
        <v>29</v>
      </c>
      <c r="D2861">
        <v>2.9</v>
      </c>
      <c r="E2861">
        <v>0</v>
      </c>
      <c r="F2861">
        <v>0</v>
      </c>
      <c r="G2861">
        <v>0</v>
      </c>
      <c r="H2861">
        <v>0</v>
      </c>
      <c r="I2861">
        <v>0</v>
      </c>
      <c r="J2861">
        <v>0</v>
      </c>
      <c r="K2861">
        <v>0</v>
      </c>
      <c r="L2861">
        <v>0</v>
      </c>
      <c r="M2861">
        <v>0</v>
      </c>
      <c r="N2861">
        <v>172845</v>
      </c>
      <c r="O2861">
        <v>404756</v>
      </c>
      <c r="P2861">
        <v>175179</v>
      </c>
      <c r="Q2861">
        <v>5</v>
      </c>
      <c r="R2861">
        <v>0</v>
      </c>
      <c r="S2861">
        <v>0</v>
      </c>
      <c r="T2861">
        <v>30</v>
      </c>
      <c r="U2861">
        <v>49</v>
      </c>
    </row>
    <row r="2862" spans="1:21" x14ac:dyDescent="0.35">
      <c r="A2862" t="s">
        <v>21</v>
      </c>
      <c r="B2862" s="1">
        <v>45045</v>
      </c>
      <c r="C2862" t="s">
        <v>24</v>
      </c>
      <c r="D2862">
        <v>0</v>
      </c>
      <c r="E2862">
        <v>0</v>
      </c>
      <c r="F2862">
        <v>0</v>
      </c>
      <c r="G2862">
        <v>0</v>
      </c>
      <c r="H2862">
        <v>0</v>
      </c>
      <c r="I2862">
        <v>0</v>
      </c>
      <c r="J2862">
        <v>0</v>
      </c>
      <c r="K2862">
        <v>0</v>
      </c>
      <c r="L2862">
        <v>0</v>
      </c>
      <c r="M2862">
        <v>0</v>
      </c>
      <c r="N2862">
        <v>90894</v>
      </c>
      <c r="O2862">
        <v>82652</v>
      </c>
      <c r="P2862">
        <v>21236</v>
      </c>
      <c r="Q2862">
        <v>0</v>
      </c>
      <c r="R2862">
        <v>0</v>
      </c>
      <c r="S2862">
        <v>0</v>
      </c>
      <c r="T2862">
        <v>5</v>
      </c>
      <c r="U2862">
        <v>11</v>
      </c>
    </row>
    <row r="2863" spans="1:21" x14ac:dyDescent="0.35">
      <c r="A2863" t="s">
        <v>26</v>
      </c>
      <c r="B2863" s="1">
        <v>44639</v>
      </c>
      <c r="C2863" t="s">
        <v>27</v>
      </c>
      <c r="D2863">
        <v>2.6</v>
      </c>
      <c r="E2863">
        <v>1</v>
      </c>
      <c r="F2863">
        <v>0</v>
      </c>
      <c r="G2863">
        <v>2.6</v>
      </c>
      <c r="H2863">
        <v>0</v>
      </c>
      <c r="I2863">
        <v>0</v>
      </c>
      <c r="J2863">
        <v>0</v>
      </c>
      <c r="K2863">
        <v>0</v>
      </c>
      <c r="L2863">
        <v>0</v>
      </c>
      <c r="M2863">
        <v>0</v>
      </c>
      <c r="N2863">
        <v>38626</v>
      </c>
      <c r="O2863">
        <v>96018</v>
      </c>
      <c r="P2863">
        <v>29614</v>
      </c>
      <c r="Q2863">
        <v>1</v>
      </c>
      <c r="R2863">
        <v>1</v>
      </c>
      <c r="S2863">
        <v>0</v>
      </c>
      <c r="T2863">
        <v>12</v>
      </c>
      <c r="U2863">
        <v>17</v>
      </c>
    </row>
    <row r="2864" spans="1:21" x14ac:dyDescent="0.35">
      <c r="A2864" t="s">
        <v>21</v>
      </c>
      <c r="B2864" s="1">
        <v>44485</v>
      </c>
      <c r="C2864" t="s">
        <v>23</v>
      </c>
      <c r="D2864">
        <v>2.6</v>
      </c>
      <c r="E2864">
        <v>0.6</v>
      </c>
      <c r="F2864">
        <v>0</v>
      </c>
      <c r="G2864">
        <v>4.3</v>
      </c>
      <c r="H2864">
        <v>0</v>
      </c>
      <c r="I2864">
        <v>0</v>
      </c>
      <c r="J2864">
        <v>0</v>
      </c>
      <c r="K2864">
        <v>0</v>
      </c>
      <c r="L2864">
        <v>0</v>
      </c>
      <c r="M2864">
        <v>0</v>
      </c>
      <c r="N2864">
        <v>75689</v>
      </c>
      <c r="O2864">
        <v>329389</v>
      </c>
      <c r="P2864">
        <v>0</v>
      </c>
      <c r="Q2864">
        <v>2</v>
      </c>
      <c r="R2864">
        <v>2</v>
      </c>
      <c r="S2864">
        <v>0</v>
      </c>
      <c r="T2864">
        <v>50</v>
      </c>
      <c r="U2864">
        <v>64</v>
      </c>
    </row>
    <row r="2865" spans="1:21" x14ac:dyDescent="0.35">
      <c r="A2865" t="s">
        <v>21</v>
      </c>
      <c r="B2865" s="1">
        <v>44237</v>
      </c>
      <c r="C2865" t="s">
        <v>29</v>
      </c>
      <c r="D2865">
        <v>2.2999999999999998</v>
      </c>
      <c r="E2865">
        <v>0</v>
      </c>
      <c r="F2865">
        <v>0</v>
      </c>
      <c r="G2865">
        <v>0</v>
      </c>
      <c r="H2865">
        <v>0</v>
      </c>
      <c r="I2865">
        <v>0</v>
      </c>
      <c r="J2865">
        <v>0</v>
      </c>
      <c r="K2865">
        <v>0</v>
      </c>
      <c r="L2865">
        <v>0</v>
      </c>
      <c r="M2865">
        <v>0</v>
      </c>
      <c r="N2865">
        <v>218778</v>
      </c>
      <c r="O2865">
        <v>533019</v>
      </c>
      <c r="P2865">
        <v>0</v>
      </c>
      <c r="Q2865">
        <v>5</v>
      </c>
      <c r="R2865">
        <v>0</v>
      </c>
      <c r="S2865">
        <v>0</v>
      </c>
      <c r="T2865">
        <v>30</v>
      </c>
      <c r="U2865">
        <v>49</v>
      </c>
    </row>
    <row r="2866" spans="1:21" x14ac:dyDescent="0.35">
      <c r="A2866" t="s">
        <v>28</v>
      </c>
      <c r="B2866" s="1">
        <v>44692</v>
      </c>
      <c r="C2866" t="s">
        <v>32</v>
      </c>
      <c r="D2866">
        <v>77.5</v>
      </c>
      <c r="E2866">
        <v>4.9000000000000004</v>
      </c>
      <c r="F2866">
        <v>0</v>
      </c>
      <c r="G2866">
        <v>15.8</v>
      </c>
      <c r="H2866">
        <v>0</v>
      </c>
      <c r="I2866">
        <v>0</v>
      </c>
      <c r="J2866">
        <v>0</v>
      </c>
      <c r="K2866">
        <v>0</v>
      </c>
      <c r="L2866">
        <v>0</v>
      </c>
      <c r="M2866">
        <v>0</v>
      </c>
      <c r="N2866">
        <v>162642</v>
      </c>
      <c r="O2866">
        <v>0</v>
      </c>
      <c r="P2866">
        <v>0</v>
      </c>
      <c r="Q2866">
        <v>126</v>
      </c>
      <c r="R2866">
        <v>8</v>
      </c>
      <c r="S2866">
        <v>0</v>
      </c>
      <c r="T2866">
        <v>0</v>
      </c>
      <c r="U2866">
        <v>4</v>
      </c>
    </row>
    <row r="2867" spans="1:21" x14ac:dyDescent="0.35">
      <c r="A2867" t="s">
        <v>21</v>
      </c>
      <c r="B2867" s="1">
        <v>44966</v>
      </c>
      <c r="C2867" t="s">
        <v>31</v>
      </c>
      <c r="D2867">
        <v>0</v>
      </c>
      <c r="E2867">
        <v>0</v>
      </c>
      <c r="F2867">
        <v>0</v>
      </c>
      <c r="G2867">
        <v>0</v>
      </c>
      <c r="H2867">
        <v>0</v>
      </c>
      <c r="I2867">
        <v>0</v>
      </c>
      <c r="J2867">
        <v>0</v>
      </c>
      <c r="K2867">
        <v>0</v>
      </c>
      <c r="L2867">
        <v>0</v>
      </c>
      <c r="M2867">
        <v>0</v>
      </c>
      <c r="N2867">
        <v>39162</v>
      </c>
      <c r="O2867">
        <v>43414</v>
      </c>
      <c r="P2867">
        <v>171755</v>
      </c>
      <c r="Q2867">
        <v>0</v>
      </c>
      <c r="R2867">
        <v>0</v>
      </c>
      <c r="S2867">
        <v>0</v>
      </c>
      <c r="T2867">
        <v>65</v>
      </c>
      <c r="U2867">
        <v>79</v>
      </c>
    </row>
    <row r="2868" spans="1:21" x14ac:dyDescent="0.35">
      <c r="A2868" t="s">
        <v>28</v>
      </c>
      <c r="B2868" s="1">
        <v>44394</v>
      </c>
      <c r="C2868" t="s">
        <v>27</v>
      </c>
      <c r="D2868">
        <v>40.1</v>
      </c>
      <c r="E2868">
        <v>5.2</v>
      </c>
      <c r="F2868">
        <v>0</v>
      </c>
      <c r="G2868">
        <v>7.7</v>
      </c>
      <c r="H2868">
        <v>0</v>
      </c>
      <c r="I2868">
        <v>0</v>
      </c>
      <c r="J2868">
        <v>0</v>
      </c>
      <c r="K2868">
        <v>0</v>
      </c>
      <c r="L2868">
        <v>0</v>
      </c>
      <c r="M2868">
        <v>0</v>
      </c>
      <c r="N2868">
        <v>102168</v>
      </c>
      <c r="O2868">
        <v>57846</v>
      </c>
      <c r="P2868">
        <v>0</v>
      </c>
      <c r="Q2868">
        <v>41</v>
      </c>
      <c r="R2868">
        <v>3</v>
      </c>
      <c r="S2868">
        <v>0</v>
      </c>
      <c r="T2868">
        <v>12</v>
      </c>
      <c r="U2868">
        <v>17</v>
      </c>
    </row>
    <row r="2869" spans="1:21" x14ac:dyDescent="0.35">
      <c r="A2869" t="s">
        <v>26</v>
      </c>
      <c r="B2869" s="1">
        <v>44692</v>
      </c>
      <c r="C2869" t="s">
        <v>31</v>
      </c>
      <c r="D2869">
        <v>54.4</v>
      </c>
      <c r="E2869">
        <v>36.9</v>
      </c>
      <c r="F2869">
        <v>16.899999999999999</v>
      </c>
      <c r="G2869">
        <v>1.5</v>
      </c>
      <c r="H2869">
        <v>3.2</v>
      </c>
      <c r="I2869">
        <v>0</v>
      </c>
      <c r="J2869">
        <v>0</v>
      </c>
      <c r="K2869">
        <v>0</v>
      </c>
      <c r="L2869">
        <v>0</v>
      </c>
      <c r="M2869">
        <v>0</v>
      </c>
      <c r="N2869">
        <v>42281</v>
      </c>
      <c r="O2869">
        <v>43326</v>
      </c>
      <c r="P2869">
        <v>171562</v>
      </c>
      <c r="Q2869">
        <v>23</v>
      </c>
      <c r="R2869">
        <v>16</v>
      </c>
      <c r="S2869">
        <v>29</v>
      </c>
      <c r="T2869">
        <v>65</v>
      </c>
      <c r="U2869">
        <v>79</v>
      </c>
    </row>
    <row r="2870" spans="1:21" x14ac:dyDescent="0.35">
      <c r="A2870" t="s">
        <v>26</v>
      </c>
      <c r="B2870" s="1">
        <v>45213</v>
      </c>
      <c r="C2870" t="s">
        <v>29</v>
      </c>
      <c r="D2870">
        <v>2.9</v>
      </c>
      <c r="E2870">
        <v>1.1000000000000001</v>
      </c>
      <c r="F2870">
        <v>0.3</v>
      </c>
      <c r="G2870">
        <v>2.6</v>
      </c>
      <c r="H2870">
        <v>9.6999999999999993</v>
      </c>
      <c r="I2870">
        <v>0</v>
      </c>
      <c r="J2870">
        <v>0</v>
      </c>
      <c r="K2870">
        <v>0</v>
      </c>
      <c r="L2870">
        <v>0</v>
      </c>
      <c r="M2870">
        <v>0</v>
      </c>
      <c r="N2870">
        <v>104020</v>
      </c>
      <c r="O2870">
        <v>278747</v>
      </c>
      <c r="P2870">
        <v>347612</v>
      </c>
      <c r="Q2870">
        <v>3</v>
      </c>
      <c r="R2870">
        <v>3</v>
      </c>
      <c r="S2870">
        <v>1</v>
      </c>
      <c r="T2870">
        <v>30</v>
      </c>
      <c r="U2870">
        <v>49</v>
      </c>
    </row>
    <row r="2871" spans="1:21" x14ac:dyDescent="0.35">
      <c r="A2871" t="s">
        <v>21</v>
      </c>
      <c r="B2871" s="1">
        <v>45108</v>
      </c>
      <c r="C2871" t="s">
        <v>22</v>
      </c>
      <c r="D2871">
        <v>0.9</v>
      </c>
      <c r="E2871">
        <v>0.1</v>
      </c>
      <c r="F2871">
        <v>0.6</v>
      </c>
      <c r="G2871">
        <v>9</v>
      </c>
      <c r="H2871">
        <v>1.5</v>
      </c>
      <c r="I2871">
        <v>1.3</v>
      </c>
      <c r="J2871">
        <v>0.3</v>
      </c>
      <c r="K2871">
        <v>0.4</v>
      </c>
      <c r="L2871">
        <v>4.3</v>
      </c>
      <c r="M2871">
        <v>3.1</v>
      </c>
      <c r="N2871">
        <v>553739</v>
      </c>
      <c r="O2871">
        <v>854331</v>
      </c>
      <c r="P2871">
        <v>1040190</v>
      </c>
      <c r="Q2871">
        <v>5</v>
      </c>
      <c r="R2871">
        <v>1</v>
      </c>
      <c r="S2871">
        <v>6</v>
      </c>
      <c r="T2871">
        <v>999</v>
      </c>
      <c r="U2871">
        <v>999</v>
      </c>
    </row>
    <row r="2872" spans="1:21" x14ac:dyDescent="0.35">
      <c r="A2872" t="s">
        <v>26</v>
      </c>
      <c r="B2872" s="1">
        <v>45213</v>
      </c>
      <c r="C2872" t="s">
        <v>27</v>
      </c>
      <c r="D2872">
        <v>0</v>
      </c>
      <c r="E2872">
        <v>0</v>
      </c>
      <c r="F2872">
        <v>0</v>
      </c>
      <c r="G2872">
        <v>0</v>
      </c>
      <c r="H2872">
        <v>0</v>
      </c>
      <c r="I2872">
        <v>0</v>
      </c>
      <c r="J2872">
        <v>0</v>
      </c>
      <c r="K2872">
        <v>0</v>
      </c>
      <c r="L2872">
        <v>0</v>
      </c>
      <c r="M2872">
        <v>0</v>
      </c>
      <c r="N2872">
        <v>31636</v>
      </c>
      <c r="O2872">
        <v>86569</v>
      </c>
      <c r="P2872">
        <v>44606</v>
      </c>
      <c r="Q2872">
        <v>0</v>
      </c>
      <c r="R2872">
        <v>0</v>
      </c>
      <c r="S2872">
        <v>0</v>
      </c>
      <c r="T2872">
        <v>12</v>
      </c>
      <c r="U2872">
        <v>17</v>
      </c>
    </row>
    <row r="2873" spans="1:21" x14ac:dyDescent="0.35">
      <c r="A2873" t="s">
        <v>21</v>
      </c>
      <c r="B2873" s="1">
        <v>44667</v>
      </c>
      <c r="C2873" t="s">
        <v>30</v>
      </c>
      <c r="D2873">
        <v>3.7</v>
      </c>
      <c r="E2873">
        <v>0</v>
      </c>
      <c r="F2873">
        <v>0</v>
      </c>
      <c r="G2873">
        <v>0</v>
      </c>
      <c r="H2873">
        <v>0</v>
      </c>
      <c r="I2873">
        <v>0</v>
      </c>
      <c r="J2873">
        <v>0</v>
      </c>
      <c r="K2873">
        <v>0</v>
      </c>
      <c r="L2873">
        <v>0</v>
      </c>
      <c r="M2873">
        <v>0</v>
      </c>
      <c r="N2873">
        <v>26947</v>
      </c>
      <c r="O2873">
        <v>13608</v>
      </c>
      <c r="P2873">
        <v>43669</v>
      </c>
      <c r="Q2873">
        <v>1</v>
      </c>
      <c r="R2873">
        <v>0</v>
      </c>
      <c r="S2873">
        <v>0</v>
      </c>
      <c r="T2873">
        <v>80</v>
      </c>
      <c r="U2873">
        <v>200</v>
      </c>
    </row>
    <row r="2874" spans="1:21" x14ac:dyDescent="0.35">
      <c r="A2874" t="s">
        <v>21</v>
      </c>
      <c r="B2874" s="1">
        <v>45248</v>
      </c>
      <c r="C2874" t="s">
        <v>22</v>
      </c>
      <c r="D2874">
        <v>0</v>
      </c>
      <c r="E2874">
        <v>0</v>
      </c>
      <c r="F2874">
        <v>0.1</v>
      </c>
      <c r="G2874">
        <v>0</v>
      </c>
      <c r="H2874">
        <v>0</v>
      </c>
      <c r="I2874">
        <v>0</v>
      </c>
      <c r="J2874">
        <v>0</v>
      </c>
      <c r="K2874">
        <v>0.1</v>
      </c>
      <c r="L2874">
        <v>0</v>
      </c>
      <c r="M2874">
        <v>0</v>
      </c>
      <c r="N2874">
        <v>507068</v>
      </c>
      <c r="O2874">
        <v>862707</v>
      </c>
      <c r="P2874">
        <v>1047121</v>
      </c>
      <c r="Q2874">
        <v>0</v>
      </c>
      <c r="R2874">
        <v>0</v>
      </c>
      <c r="S2874">
        <v>1</v>
      </c>
      <c r="T2874">
        <v>999</v>
      </c>
      <c r="U2874">
        <v>999</v>
      </c>
    </row>
    <row r="2875" spans="1:21" x14ac:dyDescent="0.35">
      <c r="A2875" t="s">
        <v>28</v>
      </c>
      <c r="B2875" s="1">
        <v>44259</v>
      </c>
      <c r="C2875" t="s">
        <v>31</v>
      </c>
      <c r="D2875">
        <v>120.8</v>
      </c>
      <c r="E2875">
        <v>18.5</v>
      </c>
      <c r="F2875">
        <v>0</v>
      </c>
      <c r="G2875">
        <v>6.5</v>
      </c>
      <c r="H2875">
        <v>0</v>
      </c>
      <c r="I2875">
        <v>0</v>
      </c>
      <c r="J2875">
        <v>0</v>
      </c>
      <c r="K2875">
        <v>0</v>
      </c>
      <c r="L2875">
        <v>0</v>
      </c>
      <c r="M2875">
        <v>0</v>
      </c>
      <c r="N2875">
        <v>105935</v>
      </c>
      <c r="O2875">
        <v>91962</v>
      </c>
      <c r="P2875">
        <v>0</v>
      </c>
      <c r="Q2875">
        <v>128</v>
      </c>
      <c r="R2875">
        <v>17</v>
      </c>
      <c r="S2875">
        <v>0</v>
      </c>
      <c r="T2875">
        <v>65</v>
      </c>
      <c r="U2875">
        <v>79</v>
      </c>
    </row>
    <row r="2876" spans="1:21" x14ac:dyDescent="0.35">
      <c r="A2876" t="s">
        <v>28</v>
      </c>
      <c r="B2876" s="1">
        <v>44298</v>
      </c>
      <c r="C2876" t="s">
        <v>32</v>
      </c>
      <c r="D2876">
        <v>181.4</v>
      </c>
      <c r="E2876">
        <v>0</v>
      </c>
      <c r="F2876">
        <v>0</v>
      </c>
      <c r="G2876">
        <v>0</v>
      </c>
      <c r="H2876">
        <v>0</v>
      </c>
      <c r="I2876">
        <v>0</v>
      </c>
      <c r="J2876">
        <v>0</v>
      </c>
      <c r="K2876">
        <v>0</v>
      </c>
      <c r="L2876">
        <v>0</v>
      </c>
      <c r="M2876">
        <v>0</v>
      </c>
      <c r="N2876">
        <v>162642</v>
      </c>
      <c r="O2876">
        <v>0</v>
      </c>
      <c r="P2876">
        <v>0</v>
      </c>
      <c r="Q2876">
        <v>295</v>
      </c>
      <c r="R2876">
        <v>0</v>
      </c>
      <c r="S2876">
        <v>0</v>
      </c>
      <c r="T2876">
        <v>0</v>
      </c>
      <c r="U2876">
        <v>4</v>
      </c>
    </row>
    <row r="2877" spans="1:21" x14ac:dyDescent="0.35">
      <c r="A2877" t="s">
        <v>21</v>
      </c>
      <c r="B2877" s="1">
        <v>44871</v>
      </c>
      <c r="C2877" t="s">
        <v>25</v>
      </c>
      <c r="D2877">
        <v>0</v>
      </c>
      <c r="E2877">
        <v>0</v>
      </c>
      <c r="F2877">
        <v>0</v>
      </c>
      <c r="G2877">
        <v>0</v>
      </c>
      <c r="H2877">
        <v>0</v>
      </c>
      <c r="I2877">
        <v>0</v>
      </c>
      <c r="J2877">
        <v>0</v>
      </c>
      <c r="K2877">
        <v>0</v>
      </c>
      <c r="L2877">
        <v>0</v>
      </c>
      <c r="M2877">
        <v>0</v>
      </c>
      <c r="N2877">
        <v>94634</v>
      </c>
      <c r="O2877">
        <v>215581</v>
      </c>
      <c r="P2877">
        <v>154206</v>
      </c>
      <c r="Q2877">
        <v>0</v>
      </c>
      <c r="R2877">
        <v>0</v>
      </c>
      <c r="S2877">
        <v>0</v>
      </c>
      <c r="T2877">
        <v>18</v>
      </c>
      <c r="U2877">
        <v>29</v>
      </c>
    </row>
    <row r="2878" spans="1:21" x14ac:dyDescent="0.35">
      <c r="A2878" t="s">
        <v>21</v>
      </c>
      <c r="B2878" s="1">
        <v>44793</v>
      </c>
      <c r="C2878" t="s">
        <v>29</v>
      </c>
      <c r="D2878">
        <v>0</v>
      </c>
      <c r="E2878">
        <v>0</v>
      </c>
      <c r="F2878">
        <v>0</v>
      </c>
      <c r="G2878">
        <v>0</v>
      </c>
      <c r="H2878">
        <v>0</v>
      </c>
      <c r="I2878">
        <v>0</v>
      </c>
      <c r="J2878">
        <v>0</v>
      </c>
      <c r="K2878">
        <v>0</v>
      </c>
      <c r="L2878">
        <v>0</v>
      </c>
      <c r="M2878">
        <v>0</v>
      </c>
      <c r="N2878">
        <v>125684</v>
      </c>
      <c r="O2878">
        <v>277226</v>
      </c>
      <c r="P2878">
        <v>344772</v>
      </c>
      <c r="Q2878">
        <v>0</v>
      </c>
      <c r="R2878">
        <v>0</v>
      </c>
      <c r="S2878">
        <v>0</v>
      </c>
      <c r="T2878">
        <v>30</v>
      </c>
      <c r="U2878">
        <v>49</v>
      </c>
    </row>
    <row r="2879" spans="1:21" x14ac:dyDescent="0.35">
      <c r="A2879" t="s">
        <v>28</v>
      </c>
      <c r="B2879" s="1">
        <v>44709</v>
      </c>
      <c r="C2879" t="s">
        <v>30</v>
      </c>
      <c r="D2879">
        <v>142.69999999999999</v>
      </c>
      <c r="E2879">
        <v>195.7</v>
      </c>
      <c r="F2879">
        <v>242</v>
      </c>
      <c r="G2879">
        <v>0.7</v>
      </c>
      <c r="H2879">
        <v>0.6</v>
      </c>
      <c r="I2879">
        <v>0</v>
      </c>
      <c r="J2879">
        <v>0</v>
      </c>
      <c r="K2879">
        <v>0</v>
      </c>
      <c r="L2879">
        <v>0</v>
      </c>
      <c r="M2879">
        <v>0</v>
      </c>
      <c r="N2879">
        <v>26624</v>
      </c>
      <c r="O2879">
        <v>12774</v>
      </c>
      <c r="P2879">
        <v>45035</v>
      </c>
      <c r="Q2879">
        <v>38</v>
      </c>
      <c r="R2879">
        <v>25</v>
      </c>
      <c r="S2879">
        <v>109</v>
      </c>
      <c r="T2879">
        <v>80</v>
      </c>
      <c r="U2879">
        <v>200</v>
      </c>
    </row>
    <row r="2880" spans="1:21" x14ac:dyDescent="0.35">
      <c r="A2880" t="s">
        <v>26</v>
      </c>
      <c r="B2880" s="1">
        <v>44683</v>
      </c>
      <c r="C2880" t="s">
        <v>27</v>
      </c>
      <c r="D2880">
        <v>0</v>
      </c>
      <c r="E2880">
        <v>0</v>
      </c>
      <c r="F2880">
        <v>0</v>
      </c>
      <c r="G2880">
        <v>0</v>
      </c>
      <c r="H2880">
        <v>0</v>
      </c>
      <c r="I2880">
        <v>0</v>
      </c>
      <c r="J2880">
        <v>0</v>
      </c>
      <c r="K2880">
        <v>0</v>
      </c>
      <c r="L2880">
        <v>0</v>
      </c>
      <c r="M2880">
        <v>0</v>
      </c>
      <c r="N2880">
        <v>42597</v>
      </c>
      <c r="O2880">
        <v>97526</v>
      </c>
      <c r="P2880">
        <v>18212</v>
      </c>
      <c r="Q2880">
        <v>0</v>
      </c>
      <c r="R2880">
        <v>0</v>
      </c>
      <c r="S2880">
        <v>0</v>
      </c>
      <c r="T2880">
        <v>12</v>
      </c>
      <c r="U2880">
        <v>17</v>
      </c>
    </row>
    <row r="2881" spans="1:21" x14ac:dyDescent="0.35">
      <c r="A2881" t="s">
        <v>28</v>
      </c>
      <c r="B2881" s="1">
        <v>44849</v>
      </c>
      <c r="C2881" t="s">
        <v>27</v>
      </c>
      <c r="D2881">
        <v>95.2</v>
      </c>
      <c r="E2881">
        <v>48.9</v>
      </c>
      <c r="F2881">
        <v>45</v>
      </c>
      <c r="G2881">
        <v>1.9</v>
      </c>
      <c r="H2881">
        <v>2.1</v>
      </c>
      <c r="I2881">
        <v>0</v>
      </c>
      <c r="J2881">
        <v>0</v>
      </c>
      <c r="K2881">
        <v>0</v>
      </c>
      <c r="L2881">
        <v>0</v>
      </c>
      <c r="M2881">
        <v>0</v>
      </c>
      <c r="N2881">
        <v>34672</v>
      </c>
      <c r="O2881">
        <v>85875</v>
      </c>
      <c r="P2881">
        <v>44459</v>
      </c>
      <c r="Q2881">
        <v>33</v>
      </c>
      <c r="R2881">
        <v>42</v>
      </c>
      <c r="S2881">
        <v>20</v>
      </c>
      <c r="T2881">
        <v>12</v>
      </c>
      <c r="U2881">
        <v>17</v>
      </c>
    </row>
    <row r="2882" spans="1:21" x14ac:dyDescent="0.35">
      <c r="A2882" t="s">
        <v>26</v>
      </c>
      <c r="B2882" s="1">
        <v>45241</v>
      </c>
      <c r="C2882" t="s">
        <v>31</v>
      </c>
      <c r="D2882">
        <v>26.6</v>
      </c>
      <c r="E2882">
        <v>4.5</v>
      </c>
      <c r="F2882">
        <v>15.7</v>
      </c>
      <c r="G2882">
        <v>5.9</v>
      </c>
      <c r="H2882">
        <v>1.7</v>
      </c>
      <c r="I2882">
        <v>0</v>
      </c>
      <c r="J2882">
        <v>0</v>
      </c>
      <c r="K2882">
        <v>0</v>
      </c>
      <c r="L2882">
        <v>0</v>
      </c>
      <c r="M2882">
        <v>0</v>
      </c>
      <c r="N2882">
        <v>37622</v>
      </c>
      <c r="O2882">
        <v>44141</v>
      </c>
      <c r="P2882">
        <v>172402</v>
      </c>
      <c r="Q2882">
        <v>10</v>
      </c>
      <c r="R2882">
        <v>2</v>
      </c>
      <c r="S2882">
        <v>27</v>
      </c>
      <c r="T2882">
        <v>65</v>
      </c>
      <c r="U2882">
        <v>79</v>
      </c>
    </row>
    <row r="2883" spans="1:21" x14ac:dyDescent="0.35">
      <c r="A2883" t="s">
        <v>26</v>
      </c>
      <c r="B2883" s="1">
        <v>44520</v>
      </c>
      <c r="C2883" t="s">
        <v>31</v>
      </c>
      <c r="D2883">
        <v>81.599999999999994</v>
      </c>
      <c r="E2883">
        <v>14.2</v>
      </c>
      <c r="F2883">
        <v>1.4</v>
      </c>
      <c r="G2883">
        <v>5.7</v>
      </c>
      <c r="H2883">
        <v>58.3</v>
      </c>
      <c r="I2883">
        <v>0</v>
      </c>
      <c r="J2883">
        <v>0</v>
      </c>
      <c r="K2883">
        <v>0</v>
      </c>
      <c r="L2883">
        <v>0</v>
      </c>
      <c r="M2883">
        <v>0</v>
      </c>
      <c r="N2883">
        <v>56364</v>
      </c>
      <c r="O2883">
        <v>133667</v>
      </c>
      <c r="P2883">
        <v>69658</v>
      </c>
      <c r="Q2883">
        <v>46</v>
      </c>
      <c r="R2883">
        <v>19</v>
      </c>
      <c r="S2883">
        <v>1</v>
      </c>
      <c r="T2883">
        <v>65</v>
      </c>
      <c r="U2883">
        <v>79</v>
      </c>
    </row>
    <row r="2884" spans="1:21" x14ac:dyDescent="0.35">
      <c r="A2884" t="s">
        <v>26</v>
      </c>
      <c r="B2884" s="1">
        <v>44891</v>
      </c>
      <c r="C2884" t="s">
        <v>30</v>
      </c>
      <c r="D2884">
        <v>79.900000000000006</v>
      </c>
      <c r="E2884">
        <v>105.5</v>
      </c>
      <c r="F2884">
        <v>63.7</v>
      </c>
      <c r="G2884">
        <v>0.8</v>
      </c>
      <c r="H2884">
        <v>1.3</v>
      </c>
      <c r="I2884">
        <v>0</v>
      </c>
      <c r="J2884">
        <v>0</v>
      </c>
      <c r="K2884">
        <v>0</v>
      </c>
      <c r="L2884">
        <v>0</v>
      </c>
      <c r="M2884">
        <v>0</v>
      </c>
      <c r="N2884">
        <v>25033</v>
      </c>
      <c r="O2884">
        <v>11373</v>
      </c>
      <c r="P2884">
        <v>47096</v>
      </c>
      <c r="Q2884">
        <v>20</v>
      </c>
      <c r="R2884">
        <v>12</v>
      </c>
      <c r="S2884">
        <v>30</v>
      </c>
      <c r="T2884">
        <v>80</v>
      </c>
      <c r="U2884">
        <v>200</v>
      </c>
    </row>
    <row r="2885" spans="1:21" x14ac:dyDescent="0.35">
      <c r="A2885" t="s">
        <v>26</v>
      </c>
      <c r="B2885" s="1">
        <v>44684</v>
      </c>
      <c r="C2885" t="s">
        <v>24</v>
      </c>
      <c r="D2885">
        <v>0.9</v>
      </c>
      <c r="E2885">
        <v>0</v>
      </c>
      <c r="F2885">
        <v>0</v>
      </c>
      <c r="G2885">
        <v>0</v>
      </c>
      <c r="H2885">
        <v>0</v>
      </c>
      <c r="I2885">
        <v>0</v>
      </c>
      <c r="J2885">
        <v>0</v>
      </c>
      <c r="K2885">
        <v>0</v>
      </c>
      <c r="L2885">
        <v>0</v>
      </c>
      <c r="M2885">
        <v>0</v>
      </c>
      <c r="N2885">
        <v>105610</v>
      </c>
      <c r="O2885">
        <v>83554</v>
      </c>
      <c r="P2885">
        <v>0</v>
      </c>
      <c r="Q2885">
        <v>1</v>
      </c>
      <c r="R2885">
        <v>0</v>
      </c>
      <c r="S2885">
        <v>0</v>
      </c>
      <c r="T2885">
        <v>5</v>
      </c>
      <c r="U2885">
        <v>11</v>
      </c>
    </row>
    <row r="2886" spans="1:21" x14ac:dyDescent="0.35">
      <c r="A2886" t="s">
        <v>26</v>
      </c>
      <c r="B2886" s="1">
        <v>44646</v>
      </c>
      <c r="C2886" t="s">
        <v>27</v>
      </c>
      <c r="D2886">
        <v>0</v>
      </c>
      <c r="E2886">
        <v>0</v>
      </c>
      <c r="F2886">
        <v>0</v>
      </c>
      <c r="G2886">
        <v>0</v>
      </c>
      <c r="H2886">
        <v>0</v>
      </c>
      <c r="I2886">
        <v>0</v>
      </c>
      <c r="J2886">
        <v>0</v>
      </c>
      <c r="K2886">
        <v>0</v>
      </c>
      <c r="L2886">
        <v>0</v>
      </c>
      <c r="M2886">
        <v>0</v>
      </c>
      <c r="N2886">
        <v>38433</v>
      </c>
      <c r="O2886">
        <v>95876</v>
      </c>
      <c r="P2886">
        <v>30389</v>
      </c>
      <c r="Q2886">
        <v>0</v>
      </c>
      <c r="R2886">
        <v>0</v>
      </c>
      <c r="S2886">
        <v>0</v>
      </c>
      <c r="T2886">
        <v>12</v>
      </c>
      <c r="U2886">
        <v>17</v>
      </c>
    </row>
    <row r="2887" spans="1:21" x14ac:dyDescent="0.35">
      <c r="A2887" t="s">
        <v>28</v>
      </c>
      <c r="B2887" s="1">
        <v>44408</v>
      </c>
      <c r="C2887" t="s">
        <v>25</v>
      </c>
      <c r="D2887">
        <v>175.9</v>
      </c>
      <c r="E2887">
        <v>73.3</v>
      </c>
      <c r="F2887">
        <v>0</v>
      </c>
      <c r="G2887">
        <v>2.4</v>
      </c>
      <c r="H2887">
        <v>0</v>
      </c>
      <c r="I2887">
        <v>0</v>
      </c>
      <c r="J2887">
        <v>0</v>
      </c>
      <c r="K2887">
        <v>0</v>
      </c>
      <c r="L2887">
        <v>0</v>
      </c>
      <c r="M2887">
        <v>0</v>
      </c>
      <c r="N2887">
        <v>210867</v>
      </c>
      <c r="O2887">
        <v>279504</v>
      </c>
      <c r="P2887">
        <v>0</v>
      </c>
      <c r="Q2887">
        <v>371</v>
      </c>
      <c r="R2887">
        <v>205</v>
      </c>
      <c r="S2887">
        <v>0</v>
      </c>
      <c r="T2887">
        <v>18</v>
      </c>
      <c r="U2887">
        <v>29</v>
      </c>
    </row>
    <row r="2888" spans="1:21" x14ac:dyDescent="0.35">
      <c r="A2888" t="s">
        <v>26</v>
      </c>
      <c r="B2888" s="1">
        <v>45227</v>
      </c>
      <c r="C2888" t="s">
        <v>31</v>
      </c>
      <c r="D2888">
        <v>7.9</v>
      </c>
      <c r="E2888">
        <v>9.1</v>
      </c>
      <c r="F2888">
        <v>9.9</v>
      </c>
      <c r="G2888">
        <v>0.9</v>
      </c>
      <c r="H2888">
        <v>0.8</v>
      </c>
      <c r="I2888">
        <v>0</v>
      </c>
      <c r="J2888">
        <v>0</v>
      </c>
      <c r="K2888">
        <v>0</v>
      </c>
      <c r="L2888">
        <v>0</v>
      </c>
      <c r="M2888">
        <v>0</v>
      </c>
      <c r="N2888">
        <v>37995</v>
      </c>
      <c r="O2888">
        <v>43884</v>
      </c>
      <c r="P2888">
        <v>172161</v>
      </c>
      <c r="Q2888">
        <v>3</v>
      </c>
      <c r="R2888">
        <v>4</v>
      </c>
      <c r="S2888">
        <v>17</v>
      </c>
      <c r="T2888">
        <v>65</v>
      </c>
      <c r="U2888">
        <v>79</v>
      </c>
    </row>
    <row r="2889" spans="1:21" x14ac:dyDescent="0.35">
      <c r="A2889" t="s">
        <v>26</v>
      </c>
      <c r="B2889" s="1">
        <v>45094</v>
      </c>
      <c r="C2889" t="s">
        <v>24</v>
      </c>
      <c r="D2889">
        <v>0</v>
      </c>
      <c r="E2889">
        <v>0</v>
      </c>
      <c r="F2889">
        <v>0</v>
      </c>
      <c r="G2889">
        <v>0</v>
      </c>
      <c r="H2889">
        <v>0</v>
      </c>
      <c r="I2889">
        <v>0</v>
      </c>
      <c r="J2889">
        <v>0</v>
      </c>
      <c r="K2889">
        <v>0</v>
      </c>
      <c r="L2889">
        <v>0</v>
      </c>
      <c r="M2889">
        <v>0</v>
      </c>
      <c r="N2889">
        <v>90426</v>
      </c>
      <c r="O2889">
        <v>82681</v>
      </c>
      <c r="P2889">
        <v>21245</v>
      </c>
      <c r="Q2889">
        <v>0</v>
      </c>
      <c r="R2889">
        <v>0</v>
      </c>
      <c r="S2889">
        <v>0</v>
      </c>
      <c r="T2889">
        <v>5</v>
      </c>
      <c r="U2889">
        <v>11</v>
      </c>
    </row>
    <row r="2890" spans="1:21" x14ac:dyDescent="0.35">
      <c r="A2890" t="s">
        <v>21</v>
      </c>
      <c r="B2890" s="1">
        <v>44772</v>
      </c>
      <c r="C2890" t="s">
        <v>31</v>
      </c>
      <c r="D2890">
        <v>0</v>
      </c>
      <c r="E2890">
        <v>0</v>
      </c>
      <c r="F2890">
        <v>1.8</v>
      </c>
      <c r="G2890">
        <v>0</v>
      </c>
      <c r="H2890">
        <v>0</v>
      </c>
      <c r="I2890">
        <v>0</v>
      </c>
      <c r="J2890">
        <v>0</v>
      </c>
      <c r="K2890">
        <v>0</v>
      </c>
      <c r="L2890">
        <v>0</v>
      </c>
      <c r="M2890">
        <v>0</v>
      </c>
      <c r="N2890">
        <v>45965</v>
      </c>
      <c r="O2890">
        <v>45025</v>
      </c>
      <c r="P2890">
        <v>169088</v>
      </c>
      <c r="Q2890">
        <v>0</v>
      </c>
      <c r="R2890">
        <v>0</v>
      </c>
      <c r="S2890">
        <v>3</v>
      </c>
      <c r="T2890">
        <v>65</v>
      </c>
      <c r="U2890">
        <v>79</v>
      </c>
    </row>
    <row r="2891" spans="1:21" x14ac:dyDescent="0.35">
      <c r="A2891" t="s">
        <v>21</v>
      </c>
      <c r="B2891" s="1">
        <v>44884</v>
      </c>
      <c r="C2891" t="s">
        <v>22</v>
      </c>
      <c r="D2891">
        <v>0.9</v>
      </c>
      <c r="E2891">
        <v>0.1</v>
      </c>
      <c r="F2891">
        <v>0.2</v>
      </c>
      <c r="G2891">
        <v>9</v>
      </c>
      <c r="H2891">
        <v>4.5</v>
      </c>
      <c r="I2891">
        <v>0.7</v>
      </c>
      <c r="J2891">
        <v>0.3</v>
      </c>
      <c r="K2891">
        <v>0.1</v>
      </c>
      <c r="L2891">
        <v>2.2999999999999998</v>
      </c>
      <c r="M2891">
        <v>4.7</v>
      </c>
      <c r="N2891">
        <v>567313</v>
      </c>
      <c r="O2891">
        <v>849096</v>
      </c>
      <c r="P2891">
        <v>1039651</v>
      </c>
      <c r="Q2891">
        <v>5</v>
      </c>
      <c r="R2891">
        <v>1</v>
      </c>
      <c r="S2891">
        <v>2</v>
      </c>
      <c r="T2891">
        <v>999</v>
      </c>
      <c r="U2891">
        <v>999</v>
      </c>
    </row>
    <row r="2892" spans="1:21" x14ac:dyDescent="0.35">
      <c r="A2892" t="s">
        <v>26</v>
      </c>
      <c r="B2892" s="1">
        <v>44793</v>
      </c>
      <c r="C2892" t="s">
        <v>25</v>
      </c>
      <c r="D2892">
        <v>7.7</v>
      </c>
      <c r="E2892">
        <v>5.2</v>
      </c>
      <c r="F2892">
        <v>1.9</v>
      </c>
      <c r="G2892">
        <v>1.5</v>
      </c>
      <c r="H2892">
        <v>4.0999999999999996</v>
      </c>
      <c r="I2892">
        <v>0</v>
      </c>
      <c r="J2892">
        <v>0</v>
      </c>
      <c r="K2892">
        <v>0</v>
      </c>
      <c r="L2892">
        <v>0</v>
      </c>
      <c r="M2892">
        <v>0</v>
      </c>
      <c r="N2892">
        <v>91431</v>
      </c>
      <c r="O2892">
        <v>212198</v>
      </c>
      <c r="P2892">
        <v>159858</v>
      </c>
      <c r="Q2892">
        <v>7</v>
      </c>
      <c r="R2892">
        <v>11</v>
      </c>
      <c r="S2892">
        <v>3</v>
      </c>
      <c r="T2892">
        <v>18</v>
      </c>
      <c r="U2892">
        <v>29</v>
      </c>
    </row>
    <row r="2893" spans="1:21" x14ac:dyDescent="0.35">
      <c r="A2893" t="s">
        <v>28</v>
      </c>
      <c r="B2893" s="1">
        <v>44509</v>
      </c>
      <c r="C2893" t="s">
        <v>22</v>
      </c>
      <c r="D2893">
        <v>188.9</v>
      </c>
      <c r="E2893">
        <v>71.2</v>
      </c>
      <c r="F2893">
        <v>0</v>
      </c>
      <c r="G2893">
        <v>2.7</v>
      </c>
      <c r="H2893">
        <v>0</v>
      </c>
      <c r="I2893">
        <v>204.9</v>
      </c>
      <c r="J2893">
        <v>57.9</v>
      </c>
      <c r="K2893">
        <v>0</v>
      </c>
      <c r="L2893">
        <v>3.5</v>
      </c>
      <c r="M2893">
        <v>0</v>
      </c>
      <c r="N2893">
        <v>1046939</v>
      </c>
      <c r="O2893">
        <v>1475716</v>
      </c>
      <c r="P2893">
        <v>0</v>
      </c>
      <c r="Q2893">
        <v>1978</v>
      </c>
      <c r="R2893">
        <v>1050</v>
      </c>
      <c r="S2893">
        <v>0</v>
      </c>
      <c r="T2893">
        <v>999</v>
      </c>
      <c r="U2893">
        <v>999</v>
      </c>
    </row>
    <row r="2894" spans="1:21" x14ac:dyDescent="0.35">
      <c r="A2894" t="s">
        <v>21</v>
      </c>
      <c r="B2894" s="1">
        <v>44808</v>
      </c>
      <c r="C2894" t="s">
        <v>31</v>
      </c>
      <c r="D2894">
        <v>2.1</v>
      </c>
      <c r="E2894">
        <v>0</v>
      </c>
      <c r="F2894">
        <v>0.6</v>
      </c>
      <c r="G2894">
        <v>0</v>
      </c>
      <c r="H2894">
        <v>3.5</v>
      </c>
      <c r="I2894">
        <v>0</v>
      </c>
      <c r="J2894">
        <v>0</v>
      </c>
      <c r="K2894">
        <v>0</v>
      </c>
      <c r="L2894">
        <v>0</v>
      </c>
      <c r="M2894">
        <v>0</v>
      </c>
      <c r="N2894">
        <v>48264</v>
      </c>
      <c r="O2894">
        <v>51105</v>
      </c>
      <c r="P2894">
        <v>159712</v>
      </c>
      <c r="Q2894">
        <v>1</v>
      </c>
      <c r="R2894">
        <v>0</v>
      </c>
      <c r="S2894">
        <v>1</v>
      </c>
      <c r="T2894">
        <v>65</v>
      </c>
      <c r="U2894">
        <v>79</v>
      </c>
    </row>
    <row r="2895" spans="1:21" x14ac:dyDescent="0.35">
      <c r="A2895" t="s">
        <v>21</v>
      </c>
      <c r="B2895" s="1">
        <v>45010</v>
      </c>
      <c r="C2895" t="s">
        <v>30</v>
      </c>
      <c r="D2895">
        <v>0</v>
      </c>
      <c r="E2895">
        <v>8.8000000000000007</v>
      </c>
      <c r="F2895">
        <v>2.1</v>
      </c>
      <c r="G2895">
        <v>0</v>
      </c>
      <c r="H2895">
        <v>0</v>
      </c>
      <c r="I2895">
        <v>0</v>
      </c>
      <c r="J2895">
        <v>0</v>
      </c>
      <c r="K2895">
        <v>0</v>
      </c>
      <c r="L2895">
        <v>0</v>
      </c>
      <c r="M2895">
        <v>0</v>
      </c>
      <c r="N2895">
        <v>24648</v>
      </c>
      <c r="O2895">
        <v>11381</v>
      </c>
      <c r="P2895">
        <v>47126</v>
      </c>
      <c r="Q2895">
        <v>0</v>
      </c>
      <c r="R2895">
        <v>1</v>
      </c>
      <c r="S2895">
        <v>1</v>
      </c>
      <c r="T2895">
        <v>80</v>
      </c>
      <c r="U2895">
        <v>200</v>
      </c>
    </row>
    <row r="2896" spans="1:21" x14ac:dyDescent="0.35">
      <c r="A2896" t="s">
        <v>21</v>
      </c>
      <c r="B2896" s="1">
        <v>44884</v>
      </c>
      <c r="C2896" t="s">
        <v>23</v>
      </c>
      <c r="D2896">
        <v>0</v>
      </c>
      <c r="E2896">
        <v>0</v>
      </c>
      <c r="F2896">
        <v>0</v>
      </c>
      <c r="G2896">
        <v>0</v>
      </c>
      <c r="H2896">
        <v>0</v>
      </c>
      <c r="I2896">
        <v>0</v>
      </c>
      <c r="J2896">
        <v>0</v>
      </c>
      <c r="K2896">
        <v>0</v>
      </c>
      <c r="L2896">
        <v>0</v>
      </c>
      <c r="M2896">
        <v>0</v>
      </c>
      <c r="N2896">
        <v>36276</v>
      </c>
      <c r="O2896">
        <v>125309</v>
      </c>
      <c r="P2896">
        <v>246713</v>
      </c>
      <c r="Q2896">
        <v>0</v>
      </c>
      <c r="R2896">
        <v>0</v>
      </c>
      <c r="S2896">
        <v>0</v>
      </c>
      <c r="T2896">
        <v>50</v>
      </c>
      <c r="U2896">
        <v>64</v>
      </c>
    </row>
    <row r="2897" spans="1:21" x14ac:dyDescent="0.35">
      <c r="A2897" t="s">
        <v>21</v>
      </c>
      <c r="B2897" s="1">
        <v>44856</v>
      </c>
      <c r="C2897" t="s">
        <v>30</v>
      </c>
      <c r="D2897">
        <v>0</v>
      </c>
      <c r="E2897">
        <v>0</v>
      </c>
      <c r="F2897">
        <v>2.1</v>
      </c>
      <c r="G2897">
        <v>0</v>
      </c>
      <c r="H2897">
        <v>0</v>
      </c>
      <c r="I2897">
        <v>0</v>
      </c>
      <c r="J2897">
        <v>0</v>
      </c>
      <c r="K2897">
        <v>0</v>
      </c>
      <c r="L2897">
        <v>0</v>
      </c>
      <c r="M2897">
        <v>0</v>
      </c>
      <c r="N2897">
        <v>25467</v>
      </c>
      <c r="O2897">
        <v>11367</v>
      </c>
      <c r="P2897">
        <v>47073</v>
      </c>
      <c r="Q2897">
        <v>0</v>
      </c>
      <c r="R2897">
        <v>0</v>
      </c>
      <c r="S2897">
        <v>1</v>
      </c>
      <c r="T2897">
        <v>80</v>
      </c>
      <c r="U2897">
        <v>200</v>
      </c>
    </row>
    <row r="2898" spans="1:21" x14ac:dyDescent="0.35">
      <c r="A2898" t="s">
        <v>26</v>
      </c>
      <c r="B2898" s="1">
        <v>44954</v>
      </c>
      <c r="C2898" t="s">
        <v>23</v>
      </c>
      <c r="D2898">
        <v>11.7</v>
      </c>
      <c r="E2898">
        <v>4.8</v>
      </c>
      <c r="F2898">
        <v>6.1</v>
      </c>
      <c r="G2898">
        <v>2.4</v>
      </c>
      <c r="H2898">
        <v>1.9</v>
      </c>
      <c r="I2898">
        <v>0</v>
      </c>
      <c r="J2898">
        <v>0</v>
      </c>
      <c r="K2898">
        <v>0</v>
      </c>
      <c r="L2898">
        <v>0</v>
      </c>
      <c r="M2898">
        <v>0</v>
      </c>
      <c r="N2898">
        <v>34286</v>
      </c>
      <c r="O2898">
        <v>125502</v>
      </c>
      <c r="P2898">
        <v>246842</v>
      </c>
      <c r="Q2898">
        <v>4</v>
      </c>
      <c r="R2898">
        <v>6</v>
      </c>
      <c r="S2898">
        <v>15</v>
      </c>
      <c r="T2898">
        <v>50</v>
      </c>
      <c r="U2898">
        <v>64</v>
      </c>
    </row>
    <row r="2899" spans="1:21" x14ac:dyDescent="0.35">
      <c r="A2899" t="s">
        <v>28</v>
      </c>
      <c r="B2899" s="1">
        <v>45101</v>
      </c>
      <c r="C2899" t="s">
        <v>23</v>
      </c>
      <c r="D2899">
        <v>33.6</v>
      </c>
      <c r="E2899">
        <v>6.4</v>
      </c>
      <c r="F2899">
        <v>11.3</v>
      </c>
      <c r="G2899">
        <v>5.2</v>
      </c>
      <c r="H2899">
        <v>3</v>
      </c>
      <c r="I2899">
        <v>0</v>
      </c>
      <c r="J2899">
        <v>0</v>
      </c>
      <c r="K2899">
        <v>0</v>
      </c>
      <c r="L2899">
        <v>0</v>
      </c>
      <c r="M2899">
        <v>0</v>
      </c>
      <c r="N2899">
        <v>32713</v>
      </c>
      <c r="O2899">
        <v>125736</v>
      </c>
      <c r="P2899">
        <v>246925</v>
      </c>
      <c r="Q2899">
        <v>11</v>
      </c>
      <c r="R2899">
        <v>8</v>
      </c>
      <c r="S2899">
        <v>28</v>
      </c>
      <c r="T2899">
        <v>50</v>
      </c>
      <c r="U2899">
        <v>64</v>
      </c>
    </row>
    <row r="2900" spans="1:21" x14ac:dyDescent="0.35">
      <c r="A2900" t="s">
        <v>26</v>
      </c>
      <c r="B2900" s="1">
        <v>44695</v>
      </c>
      <c r="C2900" t="s">
        <v>22</v>
      </c>
      <c r="D2900">
        <v>10.4</v>
      </c>
      <c r="E2900">
        <v>5.3</v>
      </c>
      <c r="F2900">
        <v>7</v>
      </c>
      <c r="G2900">
        <v>2</v>
      </c>
      <c r="H2900">
        <v>1.5</v>
      </c>
      <c r="I2900">
        <v>12.3</v>
      </c>
      <c r="J2900">
        <v>7.2</v>
      </c>
      <c r="K2900">
        <v>5</v>
      </c>
      <c r="L2900">
        <v>1.7</v>
      </c>
      <c r="M2900">
        <v>2.5</v>
      </c>
      <c r="N2900">
        <v>646969</v>
      </c>
      <c r="O2900">
        <v>886432</v>
      </c>
      <c r="P2900">
        <v>961158</v>
      </c>
      <c r="Q2900">
        <v>67</v>
      </c>
      <c r="R2900">
        <v>47</v>
      </c>
      <c r="S2900">
        <v>67</v>
      </c>
      <c r="T2900">
        <v>999</v>
      </c>
      <c r="U2900">
        <v>999</v>
      </c>
    </row>
    <row r="2901" spans="1:21" x14ac:dyDescent="0.35">
      <c r="A2901" t="s">
        <v>28</v>
      </c>
      <c r="B2901" s="1">
        <v>44863</v>
      </c>
      <c r="C2901" t="s">
        <v>27</v>
      </c>
      <c r="D2901">
        <v>142.30000000000001</v>
      </c>
      <c r="E2901">
        <v>74.400000000000006</v>
      </c>
      <c r="F2901">
        <v>83.2</v>
      </c>
      <c r="G2901">
        <v>1.9</v>
      </c>
      <c r="H2901">
        <v>1.7</v>
      </c>
      <c r="I2901">
        <v>0</v>
      </c>
      <c r="J2901">
        <v>0</v>
      </c>
      <c r="K2901">
        <v>0</v>
      </c>
      <c r="L2901">
        <v>0</v>
      </c>
      <c r="M2901">
        <v>0</v>
      </c>
      <c r="N2901">
        <v>34446</v>
      </c>
      <c r="O2901">
        <v>85966</v>
      </c>
      <c r="P2901">
        <v>44479</v>
      </c>
      <c r="Q2901">
        <v>49</v>
      </c>
      <c r="R2901">
        <v>64</v>
      </c>
      <c r="S2901">
        <v>37</v>
      </c>
      <c r="T2901">
        <v>12</v>
      </c>
      <c r="U2901">
        <v>17</v>
      </c>
    </row>
    <row r="2902" spans="1:21" x14ac:dyDescent="0.35">
      <c r="A2902" t="s">
        <v>28</v>
      </c>
      <c r="B2902" s="1">
        <v>44681</v>
      </c>
      <c r="C2902" t="s">
        <v>30</v>
      </c>
      <c r="D2902">
        <v>59.6</v>
      </c>
      <c r="E2902">
        <v>157.6</v>
      </c>
      <c r="F2902">
        <v>124.6</v>
      </c>
      <c r="G2902">
        <v>0.4</v>
      </c>
      <c r="H2902">
        <v>0.5</v>
      </c>
      <c r="I2902">
        <v>0</v>
      </c>
      <c r="J2902">
        <v>0</v>
      </c>
      <c r="K2902">
        <v>0</v>
      </c>
      <c r="L2902">
        <v>0</v>
      </c>
      <c r="M2902">
        <v>0</v>
      </c>
      <c r="N2902">
        <v>26860</v>
      </c>
      <c r="O2902">
        <v>13328</v>
      </c>
      <c r="P2902">
        <v>44158</v>
      </c>
      <c r="Q2902">
        <v>16</v>
      </c>
      <c r="R2902">
        <v>21</v>
      </c>
      <c r="S2902">
        <v>55</v>
      </c>
      <c r="T2902">
        <v>80</v>
      </c>
      <c r="U2902">
        <v>200</v>
      </c>
    </row>
    <row r="2903" spans="1:21" x14ac:dyDescent="0.35">
      <c r="A2903" t="s">
        <v>21</v>
      </c>
      <c r="B2903" s="1">
        <v>45185</v>
      </c>
      <c r="C2903" t="s">
        <v>32</v>
      </c>
      <c r="D2903">
        <v>0</v>
      </c>
      <c r="E2903">
        <v>0</v>
      </c>
      <c r="F2903">
        <v>0</v>
      </c>
      <c r="G2903">
        <v>0</v>
      </c>
      <c r="H2903">
        <v>0</v>
      </c>
      <c r="I2903">
        <v>0</v>
      </c>
      <c r="J2903">
        <v>0</v>
      </c>
      <c r="K2903">
        <v>0</v>
      </c>
      <c r="L2903">
        <v>0</v>
      </c>
      <c r="M2903">
        <v>0</v>
      </c>
      <c r="N2903">
        <v>162642</v>
      </c>
      <c r="O2903">
        <v>0</v>
      </c>
      <c r="P2903">
        <v>0</v>
      </c>
      <c r="Q2903">
        <v>0</v>
      </c>
      <c r="R2903">
        <v>0</v>
      </c>
      <c r="S2903">
        <v>0</v>
      </c>
      <c r="T2903">
        <v>0</v>
      </c>
      <c r="U2903">
        <v>4</v>
      </c>
    </row>
    <row r="2904" spans="1:21" x14ac:dyDescent="0.35">
      <c r="A2904" t="s">
        <v>28</v>
      </c>
      <c r="B2904" s="1">
        <v>44457</v>
      </c>
      <c r="C2904" t="s">
        <v>27</v>
      </c>
      <c r="D2904">
        <v>266.60000000000002</v>
      </c>
      <c r="E2904">
        <v>35.6</v>
      </c>
      <c r="F2904">
        <v>0</v>
      </c>
      <c r="G2904">
        <v>7.5</v>
      </c>
      <c r="H2904">
        <v>0</v>
      </c>
      <c r="I2904">
        <v>0</v>
      </c>
      <c r="J2904">
        <v>0</v>
      </c>
      <c r="K2904">
        <v>0</v>
      </c>
      <c r="L2904">
        <v>0</v>
      </c>
      <c r="M2904">
        <v>0</v>
      </c>
      <c r="N2904">
        <v>71650</v>
      </c>
      <c r="O2904">
        <v>87028</v>
      </c>
      <c r="P2904">
        <v>0</v>
      </c>
      <c r="Q2904">
        <v>191</v>
      </c>
      <c r="R2904">
        <v>31</v>
      </c>
      <c r="S2904">
        <v>0</v>
      </c>
      <c r="T2904">
        <v>12</v>
      </c>
      <c r="U2904">
        <v>17</v>
      </c>
    </row>
    <row r="2905" spans="1:21" x14ac:dyDescent="0.35">
      <c r="A2905" t="s">
        <v>21</v>
      </c>
      <c r="B2905" s="1">
        <v>44331</v>
      </c>
      <c r="C2905" t="s">
        <v>22</v>
      </c>
      <c r="D2905">
        <v>3</v>
      </c>
      <c r="E2905">
        <v>0.2</v>
      </c>
      <c r="F2905">
        <v>0</v>
      </c>
      <c r="G2905">
        <v>15</v>
      </c>
      <c r="H2905">
        <v>0</v>
      </c>
      <c r="I2905">
        <v>4.3</v>
      </c>
      <c r="J2905">
        <v>0.1</v>
      </c>
      <c r="K2905">
        <v>0</v>
      </c>
      <c r="L2905">
        <v>38.6</v>
      </c>
      <c r="M2905">
        <v>0</v>
      </c>
      <c r="N2905">
        <v>1387913</v>
      </c>
      <c r="O2905">
        <v>925369</v>
      </c>
      <c r="P2905">
        <v>0</v>
      </c>
      <c r="Q2905">
        <v>41</v>
      </c>
      <c r="R2905">
        <v>2</v>
      </c>
      <c r="S2905">
        <v>0</v>
      </c>
      <c r="T2905">
        <v>999</v>
      </c>
      <c r="U2905">
        <v>999</v>
      </c>
    </row>
    <row r="2906" spans="1:21" x14ac:dyDescent="0.35">
      <c r="A2906" t="s">
        <v>21</v>
      </c>
      <c r="B2906" s="1">
        <v>44681</v>
      </c>
      <c r="C2906" t="s">
        <v>31</v>
      </c>
      <c r="D2906">
        <v>0</v>
      </c>
      <c r="E2906">
        <v>0</v>
      </c>
      <c r="F2906">
        <v>0</v>
      </c>
      <c r="G2906">
        <v>0</v>
      </c>
      <c r="H2906">
        <v>0</v>
      </c>
      <c r="I2906">
        <v>0</v>
      </c>
      <c r="J2906">
        <v>0</v>
      </c>
      <c r="K2906">
        <v>0</v>
      </c>
      <c r="L2906">
        <v>0</v>
      </c>
      <c r="M2906">
        <v>0</v>
      </c>
      <c r="N2906">
        <v>47714</v>
      </c>
      <c r="O2906">
        <v>49691</v>
      </c>
      <c r="P2906">
        <v>162052</v>
      </c>
      <c r="Q2906">
        <v>0</v>
      </c>
      <c r="R2906">
        <v>0</v>
      </c>
      <c r="S2906">
        <v>0</v>
      </c>
      <c r="T2906">
        <v>65</v>
      </c>
      <c r="U2906">
        <v>79</v>
      </c>
    </row>
    <row r="2907" spans="1:21" x14ac:dyDescent="0.35">
      <c r="A2907" t="s">
        <v>26</v>
      </c>
      <c r="B2907" s="1">
        <v>45220</v>
      </c>
      <c r="C2907" t="s">
        <v>30</v>
      </c>
      <c r="D2907">
        <v>16.5</v>
      </c>
      <c r="E2907">
        <v>17.399999999999999</v>
      </c>
      <c r="F2907">
        <v>55.1</v>
      </c>
      <c r="G2907">
        <v>0.9</v>
      </c>
      <c r="H2907">
        <v>0.3</v>
      </c>
      <c r="I2907">
        <v>0</v>
      </c>
      <c r="J2907">
        <v>0</v>
      </c>
      <c r="K2907">
        <v>0</v>
      </c>
      <c r="L2907">
        <v>0</v>
      </c>
      <c r="M2907">
        <v>0</v>
      </c>
      <c r="N2907">
        <v>24189</v>
      </c>
      <c r="O2907">
        <v>11483</v>
      </c>
      <c r="P2907">
        <v>47191</v>
      </c>
      <c r="Q2907">
        <v>4</v>
      </c>
      <c r="R2907">
        <v>2</v>
      </c>
      <c r="S2907">
        <v>26</v>
      </c>
      <c r="T2907">
        <v>80</v>
      </c>
      <c r="U2907">
        <v>200</v>
      </c>
    </row>
    <row r="2908" spans="1:21" x14ac:dyDescent="0.35">
      <c r="A2908" t="s">
        <v>21</v>
      </c>
      <c r="B2908" s="1">
        <v>44485</v>
      </c>
      <c r="C2908" t="s">
        <v>30</v>
      </c>
      <c r="D2908">
        <v>13.2</v>
      </c>
      <c r="E2908">
        <v>0</v>
      </c>
      <c r="F2908">
        <v>0</v>
      </c>
      <c r="G2908">
        <v>0</v>
      </c>
      <c r="H2908">
        <v>0</v>
      </c>
      <c r="I2908">
        <v>0</v>
      </c>
      <c r="J2908">
        <v>0</v>
      </c>
      <c r="K2908">
        <v>0</v>
      </c>
      <c r="L2908">
        <v>0</v>
      </c>
      <c r="M2908">
        <v>0</v>
      </c>
      <c r="N2908">
        <v>30320</v>
      </c>
      <c r="O2908">
        <v>49996</v>
      </c>
      <c r="P2908">
        <v>0</v>
      </c>
      <c r="Q2908">
        <v>4</v>
      </c>
      <c r="R2908">
        <v>0</v>
      </c>
      <c r="S2908">
        <v>0</v>
      </c>
      <c r="T2908">
        <v>80</v>
      </c>
      <c r="U2908">
        <v>200</v>
      </c>
    </row>
    <row r="2909" spans="1:21" x14ac:dyDescent="0.35">
      <c r="A2909" t="s">
        <v>26</v>
      </c>
      <c r="B2909" s="1">
        <v>44422</v>
      </c>
      <c r="C2909" t="s">
        <v>22</v>
      </c>
      <c r="D2909">
        <v>15.8</v>
      </c>
      <c r="E2909">
        <v>3.3</v>
      </c>
      <c r="F2909">
        <v>0</v>
      </c>
      <c r="G2909">
        <v>4.8</v>
      </c>
      <c r="H2909">
        <v>0</v>
      </c>
      <c r="I2909">
        <v>22.3</v>
      </c>
      <c r="J2909">
        <v>2.5</v>
      </c>
      <c r="K2909">
        <v>0</v>
      </c>
      <c r="L2909">
        <v>9</v>
      </c>
      <c r="M2909">
        <v>0</v>
      </c>
      <c r="N2909">
        <v>1110584</v>
      </c>
      <c r="O2909">
        <v>1424722</v>
      </c>
      <c r="P2909">
        <v>0</v>
      </c>
      <c r="Q2909">
        <v>175</v>
      </c>
      <c r="R2909">
        <v>47</v>
      </c>
      <c r="S2909">
        <v>0</v>
      </c>
      <c r="T2909">
        <v>999</v>
      </c>
      <c r="U2909">
        <v>999</v>
      </c>
    </row>
    <row r="2910" spans="1:21" x14ac:dyDescent="0.35">
      <c r="A2910" t="s">
        <v>26</v>
      </c>
      <c r="B2910" s="1">
        <v>45066</v>
      </c>
      <c r="C2910" t="s">
        <v>24</v>
      </c>
      <c r="D2910">
        <v>0</v>
      </c>
      <c r="E2910">
        <v>0</v>
      </c>
      <c r="F2910">
        <v>0</v>
      </c>
      <c r="G2910">
        <v>0</v>
      </c>
      <c r="H2910">
        <v>0</v>
      </c>
      <c r="I2910">
        <v>0</v>
      </c>
      <c r="J2910">
        <v>0</v>
      </c>
      <c r="K2910">
        <v>0</v>
      </c>
      <c r="L2910">
        <v>0</v>
      </c>
      <c r="M2910">
        <v>0</v>
      </c>
      <c r="N2910">
        <v>90666</v>
      </c>
      <c r="O2910">
        <v>82678</v>
      </c>
      <c r="P2910">
        <v>21243</v>
      </c>
      <c r="Q2910">
        <v>0</v>
      </c>
      <c r="R2910">
        <v>0</v>
      </c>
      <c r="S2910">
        <v>0</v>
      </c>
      <c r="T2910">
        <v>5</v>
      </c>
      <c r="U2910">
        <v>11</v>
      </c>
    </row>
    <row r="2911" spans="1:21" x14ac:dyDescent="0.35">
      <c r="A2911" t="s">
        <v>28</v>
      </c>
      <c r="B2911" s="1">
        <v>44940</v>
      </c>
      <c r="C2911" t="s">
        <v>27</v>
      </c>
      <c r="D2911">
        <v>143.19999999999999</v>
      </c>
      <c r="E2911">
        <v>74.2</v>
      </c>
      <c r="F2911">
        <v>80.8</v>
      </c>
      <c r="G2911">
        <v>1.9</v>
      </c>
      <c r="H2911">
        <v>1.8</v>
      </c>
      <c r="I2911">
        <v>0</v>
      </c>
      <c r="J2911">
        <v>0</v>
      </c>
      <c r="K2911">
        <v>0</v>
      </c>
      <c r="L2911">
        <v>0</v>
      </c>
      <c r="M2911">
        <v>0</v>
      </c>
      <c r="N2911">
        <v>33518</v>
      </c>
      <c r="O2911">
        <v>86264</v>
      </c>
      <c r="P2911">
        <v>44538</v>
      </c>
      <c r="Q2911">
        <v>48</v>
      </c>
      <c r="R2911">
        <v>64</v>
      </c>
      <c r="S2911">
        <v>36</v>
      </c>
      <c r="T2911">
        <v>12</v>
      </c>
      <c r="U2911">
        <v>17</v>
      </c>
    </row>
    <row r="2912" spans="1:21" x14ac:dyDescent="0.35">
      <c r="A2912" t="s">
        <v>28</v>
      </c>
      <c r="B2912" s="1">
        <v>44730</v>
      </c>
      <c r="C2912" t="s">
        <v>31</v>
      </c>
      <c r="D2912">
        <v>214.2</v>
      </c>
      <c r="E2912">
        <v>175.2</v>
      </c>
      <c r="F2912">
        <v>169.9</v>
      </c>
      <c r="G2912">
        <v>1.2</v>
      </c>
      <c r="H2912">
        <v>1.3</v>
      </c>
      <c r="I2912">
        <v>0</v>
      </c>
      <c r="J2912">
        <v>0</v>
      </c>
      <c r="K2912">
        <v>0</v>
      </c>
      <c r="L2912">
        <v>0</v>
      </c>
      <c r="M2912">
        <v>0</v>
      </c>
      <c r="N2912">
        <v>46695</v>
      </c>
      <c r="O2912">
        <v>46794</v>
      </c>
      <c r="P2912">
        <v>166552</v>
      </c>
      <c r="Q2912">
        <v>100</v>
      </c>
      <c r="R2912">
        <v>82</v>
      </c>
      <c r="S2912">
        <v>283</v>
      </c>
      <c r="T2912">
        <v>65</v>
      </c>
      <c r="U2912">
        <v>79</v>
      </c>
    </row>
    <row r="2913" spans="1:21" x14ac:dyDescent="0.35">
      <c r="A2913" t="s">
        <v>21</v>
      </c>
      <c r="B2913" s="1">
        <v>44657</v>
      </c>
      <c r="C2913" t="s">
        <v>27</v>
      </c>
      <c r="D2913">
        <v>0</v>
      </c>
      <c r="E2913">
        <v>0</v>
      </c>
      <c r="F2913">
        <v>0</v>
      </c>
      <c r="G2913">
        <v>0</v>
      </c>
      <c r="H2913">
        <v>0</v>
      </c>
      <c r="I2913">
        <v>0</v>
      </c>
      <c r="J2913">
        <v>0</v>
      </c>
      <c r="K2913">
        <v>0</v>
      </c>
      <c r="L2913">
        <v>0</v>
      </c>
      <c r="M2913">
        <v>0</v>
      </c>
      <c r="N2913">
        <v>36941</v>
      </c>
      <c r="O2913">
        <v>93128</v>
      </c>
      <c r="P2913">
        <v>35358</v>
      </c>
      <c r="Q2913">
        <v>0</v>
      </c>
      <c r="R2913">
        <v>0</v>
      </c>
      <c r="S2913">
        <v>0</v>
      </c>
      <c r="T2913">
        <v>12</v>
      </c>
      <c r="U2913">
        <v>17</v>
      </c>
    </row>
    <row r="2914" spans="1:21" x14ac:dyDescent="0.35">
      <c r="A2914" t="s">
        <v>26</v>
      </c>
      <c r="B2914" s="1">
        <v>44891</v>
      </c>
      <c r="C2914" t="s">
        <v>27</v>
      </c>
      <c r="D2914">
        <v>5.9</v>
      </c>
      <c r="E2914">
        <v>0</v>
      </c>
      <c r="F2914">
        <v>2.2000000000000002</v>
      </c>
      <c r="G2914">
        <v>0</v>
      </c>
      <c r="H2914">
        <v>2.7</v>
      </c>
      <c r="I2914">
        <v>0</v>
      </c>
      <c r="J2914">
        <v>0</v>
      </c>
      <c r="K2914">
        <v>0</v>
      </c>
      <c r="L2914">
        <v>0</v>
      </c>
      <c r="M2914">
        <v>0</v>
      </c>
      <c r="N2914">
        <v>34061</v>
      </c>
      <c r="O2914">
        <v>86072</v>
      </c>
      <c r="P2914">
        <v>44511</v>
      </c>
      <c r="Q2914">
        <v>2</v>
      </c>
      <c r="R2914">
        <v>0</v>
      </c>
      <c r="S2914">
        <v>1</v>
      </c>
      <c r="T2914">
        <v>12</v>
      </c>
      <c r="U2914">
        <v>17</v>
      </c>
    </row>
    <row r="2915" spans="1:21" x14ac:dyDescent="0.35">
      <c r="A2915" t="s">
        <v>26</v>
      </c>
      <c r="B2915" s="1">
        <v>44429</v>
      </c>
      <c r="C2915" t="s">
        <v>25</v>
      </c>
      <c r="D2915">
        <v>10.1</v>
      </c>
      <c r="E2915">
        <v>0.3</v>
      </c>
      <c r="F2915">
        <v>0</v>
      </c>
      <c r="G2915">
        <v>33.700000000000003</v>
      </c>
      <c r="H2915">
        <v>0</v>
      </c>
      <c r="I2915">
        <v>0</v>
      </c>
      <c r="J2915">
        <v>0</v>
      </c>
      <c r="K2915">
        <v>0</v>
      </c>
      <c r="L2915">
        <v>0</v>
      </c>
      <c r="M2915">
        <v>0</v>
      </c>
      <c r="N2915">
        <v>197658</v>
      </c>
      <c r="O2915">
        <v>288634</v>
      </c>
      <c r="P2915">
        <v>0</v>
      </c>
      <c r="Q2915">
        <v>20</v>
      </c>
      <c r="R2915">
        <v>1</v>
      </c>
      <c r="S2915">
        <v>0</v>
      </c>
      <c r="T2915">
        <v>18</v>
      </c>
      <c r="U2915">
        <v>29</v>
      </c>
    </row>
    <row r="2916" spans="1:21" x14ac:dyDescent="0.35">
      <c r="A2916" t="s">
        <v>28</v>
      </c>
      <c r="B2916" s="1">
        <v>45019</v>
      </c>
      <c r="C2916" t="s">
        <v>29</v>
      </c>
      <c r="D2916">
        <v>129.30000000000001</v>
      </c>
      <c r="E2916">
        <v>61.2</v>
      </c>
      <c r="F2916">
        <v>83.2</v>
      </c>
      <c r="G2916">
        <v>2.1</v>
      </c>
      <c r="H2916">
        <v>1.6</v>
      </c>
      <c r="I2916">
        <v>0</v>
      </c>
      <c r="J2916">
        <v>0</v>
      </c>
      <c r="K2916">
        <v>0</v>
      </c>
      <c r="L2916">
        <v>0</v>
      </c>
      <c r="M2916">
        <v>0</v>
      </c>
      <c r="N2916">
        <v>110600</v>
      </c>
      <c r="O2916">
        <v>277895</v>
      </c>
      <c r="P2916">
        <v>347260</v>
      </c>
      <c r="Q2916">
        <v>143</v>
      </c>
      <c r="R2916">
        <v>170</v>
      </c>
      <c r="S2916">
        <v>289</v>
      </c>
      <c r="T2916">
        <v>30</v>
      </c>
      <c r="U2916">
        <v>49</v>
      </c>
    </row>
    <row r="2917" spans="1:21" x14ac:dyDescent="0.35">
      <c r="A2917" t="s">
        <v>21</v>
      </c>
      <c r="B2917" s="1">
        <v>45142</v>
      </c>
      <c r="C2917" t="s">
        <v>30</v>
      </c>
      <c r="D2917">
        <v>4.0999999999999996</v>
      </c>
      <c r="E2917">
        <v>0</v>
      </c>
      <c r="F2917">
        <v>0</v>
      </c>
      <c r="G2917">
        <v>0</v>
      </c>
      <c r="H2917">
        <v>0</v>
      </c>
      <c r="I2917">
        <v>0</v>
      </c>
      <c r="J2917">
        <v>0</v>
      </c>
      <c r="K2917">
        <v>0</v>
      </c>
      <c r="L2917">
        <v>0</v>
      </c>
      <c r="M2917">
        <v>0</v>
      </c>
      <c r="N2917">
        <v>24622</v>
      </c>
      <c r="O2917">
        <v>11383</v>
      </c>
      <c r="P2917">
        <v>47126</v>
      </c>
      <c r="Q2917">
        <v>1</v>
      </c>
      <c r="R2917">
        <v>0</v>
      </c>
      <c r="S2917">
        <v>0</v>
      </c>
      <c r="T2917">
        <v>80</v>
      </c>
      <c r="U2917">
        <v>200</v>
      </c>
    </row>
    <row r="2918" spans="1:21" x14ac:dyDescent="0.35">
      <c r="A2918" t="s">
        <v>28</v>
      </c>
      <c r="B2918" s="1">
        <v>45185</v>
      </c>
      <c r="C2918" t="s">
        <v>31</v>
      </c>
      <c r="D2918">
        <v>74.099999999999994</v>
      </c>
      <c r="E2918">
        <v>73.7</v>
      </c>
      <c r="F2918">
        <v>78.599999999999994</v>
      </c>
      <c r="G2918">
        <v>1</v>
      </c>
      <c r="H2918">
        <v>0.9</v>
      </c>
      <c r="I2918">
        <v>0</v>
      </c>
      <c r="J2918">
        <v>0</v>
      </c>
      <c r="K2918">
        <v>0</v>
      </c>
      <c r="L2918">
        <v>0</v>
      </c>
      <c r="M2918">
        <v>0</v>
      </c>
      <c r="N2918">
        <v>39123</v>
      </c>
      <c r="O2918">
        <v>43414</v>
      </c>
      <c r="P2918">
        <v>171757</v>
      </c>
      <c r="Q2918">
        <v>29</v>
      </c>
      <c r="R2918">
        <v>32</v>
      </c>
      <c r="S2918">
        <v>135</v>
      </c>
      <c r="T2918">
        <v>65</v>
      </c>
      <c r="U2918">
        <v>79</v>
      </c>
    </row>
    <row r="2919" spans="1:21" x14ac:dyDescent="0.35">
      <c r="A2919" t="s">
        <v>21</v>
      </c>
      <c r="B2919" s="1">
        <v>44583</v>
      </c>
      <c r="C2919" t="s">
        <v>24</v>
      </c>
      <c r="D2919">
        <v>0</v>
      </c>
      <c r="E2919">
        <v>0</v>
      </c>
      <c r="F2919">
        <v>0</v>
      </c>
      <c r="G2919">
        <v>0</v>
      </c>
      <c r="H2919">
        <v>0</v>
      </c>
      <c r="I2919">
        <v>0</v>
      </c>
      <c r="J2919">
        <v>0</v>
      </c>
      <c r="K2919">
        <v>0</v>
      </c>
      <c r="L2919">
        <v>0</v>
      </c>
      <c r="M2919">
        <v>0</v>
      </c>
      <c r="N2919">
        <v>119848</v>
      </c>
      <c r="O2919">
        <v>54870</v>
      </c>
      <c r="P2919">
        <v>0</v>
      </c>
      <c r="Q2919">
        <v>0</v>
      </c>
      <c r="R2919">
        <v>0</v>
      </c>
      <c r="S2919">
        <v>0</v>
      </c>
      <c r="T2919">
        <v>5</v>
      </c>
      <c r="U2919">
        <v>11</v>
      </c>
    </row>
    <row r="2920" spans="1:21" x14ac:dyDescent="0.35">
      <c r="A2920" t="s">
        <v>26</v>
      </c>
      <c r="B2920" s="1">
        <v>44473</v>
      </c>
      <c r="C2920" t="s">
        <v>25</v>
      </c>
      <c r="D2920">
        <v>5.7</v>
      </c>
      <c r="E2920">
        <v>1.8</v>
      </c>
      <c r="F2920">
        <v>0</v>
      </c>
      <c r="G2920">
        <v>3.2</v>
      </c>
      <c r="H2920">
        <v>0</v>
      </c>
      <c r="I2920">
        <v>0</v>
      </c>
      <c r="J2920">
        <v>0</v>
      </c>
      <c r="K2920">
        <v>0</v>
      </c>
      <c r="L2920">
        <v>0</v>
      </c>
      <c r="M2920">
        <v>0</v>
      </c>
      <c r="N2920">
        <v>353270</v>
      </c>
      <c r="O2920">
        <v>54598</v>
      </c>
      <c r="P2920">
        <v>0</v>
      </c>
      <c r="Q2920">
        <v>20</v>
      </c>
      <c r="R2920">
        <v>1</v>
      </c>
      <c r="S2920">
        <v>0</v>
      </c>
      <c r="T2920">
        <v>18</v>
      </c>
      <c r="U2920">
        <v>29</v>
      </c>
    </row>
    <row r="2921" spans="1:21" x14ac:dyDescent="0.35">
      <c r="A2921" t="s">
        <v>26</v>
      </c>
      <c r="B2921" s="1">
        <v>45164</v>
      </c>
      <c r="C2921" t="s">
        <v>22</v>
      </c>
      <c r="D2921">
        <v>5.5</v>
      </c>
      <c r="E2921">
        <v>1.9</v>
      </c>
      <c r="F2921">
        <v>4.4000000000000004</v>
      </c>
      <c r="G2921">
        <v>2.9</v>
      </c>
      <c r="H2921">
        <v>1.2</v>
      </c>
      <c r="I2921">
        <v>7</v>
      </c>
      <c r="J2921">
        <v>2.5</v>
      </c>
      <c r="K2921">
        <v>2.9</v>
      </c>
      <c r="L2921">
        <v>2.8</v>
      </c>
      <c r="M2921">
        <v>2.4</v>
      </c>
      <c r="N2921">
        <v>527758</v>
      </c>
      <c r="O2921">
        <v>860290</v>
      </c>
      <c r="P2921">
        <v>1040810</v>
      </c>
      <c r="Q2921">
        <v>29</v>
      </c>
      <c r="R2921">
        <v>16</v>
      </c>
      <c r="S2921">
        <v>46</v>
      </c>
      <c r="T2921">
        <v>999</v>
      </c>
      <c r="U2921">
        <v>999</v>
      </c>
    </row>
    <row r="2922" spans="1:21" x14ac:dyDescent="0.35">
      <c r="A2922" t="s">
        <v>21</v>
      </c>
      <c r="B2922" s="1">
        <v>44358</v>
      </c>
      <c r="C2922" t="s">
        <v>22</v>
      </c>
      <c r="D2922">
        <v>1.9</v>
      </c>
      <c r="E2922">
        <v>0.3</v>
      </c>
      <c r="F2922">
        <v>0</v>
      </c>
      <c r="G2922">
        <v>6.3</v>
      </c>
      <c r="H2922">
        <v>0</v>
      </c>
      <c r="I2922">
        <v>2.8</v>
      </c>
      <c r="J2922">
        <v>0.3</v>
      </c>
      <c r="K2922">
        <v>0</v>
      </c>
      <c r="L2922">
        <v>8.1999999999999993</v>
      </c>
      <c r="M2922">
        <v>0</v>
      </c>
      <c r="N2922">
        <v>953486</v>
      </c>
      <c r="O2922">
        <v>1465628</v>
      </c>
      <c r="P2922">
        <v>120427</v>
      </c>
      <c r="Q2922">
        <v>18</v>
      </c>
      <c r="R2922">
        <v>5</v>
      </c>
      <c r="S2922">
        <v>0</v>
      </c>
      <c r="T2922">
        <v>999</v>
      </c>
      <c r="U2922">
        <v>999</v>
      </c>
    </row>
    <row r="2923" spans="1:21" x14ac:dyDescent="0.35">
      <c r="A2923" t="s">
        <v>28</v>
      </c>
      <c r="B2923" s="1">
        <v>44808</v>
      </c>
      <c r="C2923" t="s">
        <v>27</v>
      </c>
      <c r="D2923">
        <v>120.8</v>
      </c>
      <c r="E2923">
        <v>79.7</v>
      </c>
      <c r="F2923">
        <v>122.6</v>
      </c>
      <c r="G2923">
        <v>1.5</v>
      </c>
      <c r="H2923">
        <v>1</v>
      </c>
      <c r="I2923">
        <v>0</v>
      </c>
      <c r="J2923">
        <v>0</v>
      </c>
      <c r="K2923">
        <v>0</v>
      </c>
      <c r="L2923">
        <v>0</v>
      </c>
      <c r="M2923">
        <v>0</v>
      </c>
      <c r="N2923">
        <v>38070</v>
      </c>
      <c r="O2923">
        <v>95325</v>
      </c>
      <c r="P2923">
        <v>31808</v>
      </c>
      <c r="Q2923">
        <v>46</v>
      </c>
      <c r="R2923">
        <v>76</v>
      </c>
      <c r="S2923">
        <v>39</v>
      </c>
      <c r="T2923">
        <v>12</v>
      </c>
      <c r="U2923">
        <v>17</v>
      </c>
    </row>
    <row r="2924" spans="1:21" x14ac:dyDescent="0.35">
      <c r="A2924" t="s">
        <v>26</v>
      </c>
      <c r="B2924" s="1">
        <v>44536</v>
      </c>
      <c r="C2924" t="s">
        <v>23</v>
      </c>
      <c r="D2924">
        <v>16.100000000000001</v>
      </c>
      <c r="E2924">
        <v>0.7</v>
      </c>
      <c r="F2924">
        <v>0</v>
      </c>
      <c r="G2924">
        <v>23</v>
      </c>
      <c r="H2924">
        <v>0</v>
      </c>
      <c r="I2924">
        <v>0</v>
      </c>
      <c r="J2924">
        <v>0</v>
      </c>
      <c r="K2924">
        <v>0</v>
      </c>
      <c r="L2924">
        <v>0</v>
      </c>
      <c r="M2924">
        <v>0</v>
      </c>
      <c r="N2924">
        <v>117767</v>
      </c>
      <c r="O2924">
        <v>280325</v>
      </c>
      <c r="P2924">
        <v>0</v>
      </c>
      <c r="Q2924">
        <v>19</v>
      </c>
      <c r="R2924">
        <v>2</v>
      </c>
      <c r="S2924">
        <v>0</v>
      </c>
      <c r="T2924">
        <v>50</v>
      </c>
      <c r="U2924">
        <v>64</v>
      </c>
    </row>
    <row r="2925" spans="1:21" x14ac:dyDescent="0.35">
      <c r="A2925" t="s">
        <v>26</v>
      </c>
      <c r="B2925" s="1">
        <v>45038</v>
      </c>
      <c r="C2925" t="s">
        <v>25</v>
      </c>
      <c r="D2925">
        <v>1.3</v>
      </c>
      <c r="E2925">
        <v>0</v>
      </c>
      <c r="F2925">
        <v>0</v>
      </c>
      <c r="G2925">
        <v>0</v>
      </c>
      <c r="H2925">
        <v>0</v>
      </c>
      <c r="I2925">
        <v>0</v>
      </c>
      <c r="J2925">
        <v>0</v>
      </c>
      <c r="K2925">
        <v>0</v>
      </c>
      <c r="L2925">
        <v>0</v>
      </c>
      <c r="M2925">
        <v>0</v>
      </c>
      <c r="N2925">
        <v>75636</v>
      </c>
      <c r="O2925">
        <v>214023</v>
      </c>
      <c r="P2925">
        <v>161683</v>
      </c>
      <c r="Q2925">
        <v>1</v>
      </c>
      <c r="R2925">
        <v>0</v>
      </c>
      <c r="S2925">
        <v>0</v>
      </c>
      <c r="T2925">
        <v>18</v>
      </c>
      <c r="U2925">
        <v>29</v>
      </c>
    </row>
    <row r="2926" spans="1:21" x14ac:dyDescent="0.35">
      <c r="A2926" t="s">
        <v>28</v>
      </c>
      <c r="B2926" s="1">
        <v>45220</v>
      </c>
      <c r="C2926" t="s">
        <v>31</v>
      </c>
      <c r="D2926">
        <v>68.099999999999994</v>
      </c>
      <c r="E2926">
        <v>36.6</v>
      </c>
      <c r="F2926">
        <v>53.5</v>
      </c>
      <c r="G2926">
        <v>1.9</v>
      </c>
      <c r="H2926">
        <v>1.3</v>
      </c>
      <c r="I2926">
        <v>0</v>
      </c>
      <c r="J2926">
        <v>0</v>
      </c>
      <c r="K2926">
        <v>0</v>
      </c>
      <c r="L2926">
        <v>0</v>
      </c>
      <c r="M2926">
        <v>0</v>
      </c>
      <c r="N2926">
        <v>38192</v>
      </c>
      <c r="O2926">
        <v>43745</v>
      </c>
      <c r="P2926">
        <v>172021</v>
      </c>
      <c r="Q2926">
        <v>26</v>
      </c>
      <c r="R2926">
        <v>16</v>
      </c>
      <c r="S2926">
        <v>92</v>
      </c>
      <c r="T2926">
        <v>65</v>
      </c>
      <c r="U2926">
        <v>79</v>
      </c>
    </row>
    <row r="2927" spans="1:21" x14ac:dyDescent="0.35">
      <c r="A2927" t="s">
        <v>26</v>
      </c>
      <c r="B2927" s="1">
        <v>45108</v>
      </c>
      <c r="C2927" t="s">
        <v>29</v>
      </c>
      <c r="D2927">
        <v>16</v>
      </c>
      <c r="E2927">
        <v>4.3</v>
      </c>
      <c r="F2927">
        <v>3.5</v>
      </c>
      <c r="G2927">
        <v>3.7</v>
      </c>
      <c r="H2927">
        <v>4.5999999999999996</v>
      </c>
      <c r="I2927">
        <v>0</v>
      </c>
      <c r="J2927">
        <v>0</v>
      </c>
      <c r="K2927">
        <v>0</v>
      </c>
      <c r="L2927">
        <v>0</v>
      </c>
      <c r="M2927">
        <v>0</v>
      </c>
      <c r="N2927">
        <v>112744</v>
      </c>
      <c r="O2927">
        <v>277305</v>
      </c>
      <c r="P2927">
        <v>347207</v>
      </c>
      <c r="Q2927">
        <v>18</v>
      </c>
      <c r="R2927">
        <v>12</v>
      </c>
      <c r="S2927">
        <v>12</v>
      </c>
      <c r="T2927">
        <v>30</v>
      </c>
      <c r="U2927">
        <v>49</v>
      </c>
    </row>
    <row r="2928" spans="1:21" x14ac:dyDescent="0.35">
      <c r="A2928" t="s">
        <v>26</v>
      </c>
      <c r="B2928" s="1">
        <v>44476</v>
      </c>
      <c r="C2928" t="s">
        <v>27</v>
      </c>
      <c r="D2928">
        <v>0</v>
      </c>
      <c r="E2928">
        <v>0</v>
      </c>
      <c r="F2928">
        <v>0</v>
      </c>
      <c r="G2928">
        <v>0</v>
      </c>
      <c r="H2928">
        <v>0</v>
      </c>
      <c r="I2928">
        <v>0</v>
      </c>
      <c r="J2928">
        <v>0</v>
      </c>
      <c r="K2928">
        <v>0</v>
      </c>
      <c r="L2928">
        <v>0</v>
      </c>
      <c r="M2928">
        <v>0</v>
      </c>
      <c r="N2928">
        <v>105323</v>
      </c>
      <c r="O2928">
        <v>53689</v>
      </c>
      <c r="P2928">
        <v>0</v>
      </c>
      <c r="Q2928">
        <v>0</v>
      </c>
      <c r="R2928">
        <v>0</v>
      </c>
      <c r="S2928">
        <v>0</v>
      </c>
      <c r="T2928">
        <v>12</v>
      </c>
      <c r="U2928">
        <v>17</v>
      </c>
    </row>
    <row r="2929" spans="1:21" x14ac:dyDescent="0.35">
      <c r="A2929" t="s">
        <v>26</v>
      </c>
      <c r="B2929" s="1">
        <v>44843</v>
      </c>
      <c r="C2929" t="s">
        <v>29</v>
      </c>
      <c r="D2929">
        <v>10.4</v>
      </c>
      <c r="E2929">
        <v>3.6</v>
      </c>
      <c r="F2929">
        <v>2.9</v>
      </c>
      <c r="G2929">
        <v>2.9</v>
      </c>
      <c r="H2929">
        <v>3.6</v>
      </c>
      <c r="I2929">
        <v>0</v>
      </c>
      <c r="J2929">
        <v>0</v>
      </c>
      <c r="K2929">
        <v>0</v>
      </c>
      <c r="L2929">
        <v>0</v>
      </c>
      <c r="M2929">
        <v>0</v>
      </c>
      <c r="N2929">
        <v>124669</v>
      </c>
      <c r="O2929">
        <v>276027</v>
      </c>
      <c r="P2929">
        <v>346520</v>
      </c>
      <c r="Q2929">
        <v>13</v>
      </c>
      <c r="R2929">
        <v>10</v>
      </c>
      <c r="S2929">
        <v>10</v>
      </c>
      <c r="T2929">
        <v>30</v>
      </c>
      <c r="U2929">
        <v>49</v>
      </c>
    </row>
    <row r="2930" spans="1:21" x14ac:dyDescent="0.35">
      <c r="A2930" t="s">
        <v>28</v>
      </c>
      <c r="B2930" s="1">
        <v>44571</v>
      </c>
      <c r="C2930" t="s">
        <v>24</v>
      </c>
      <c r="D2930">
        <v>69.7</v>
      </c>
      <c r="E2930">
        <v>76.099999999999994</v>
      </c>
      <c r="F2930">
        <v>150.6</v>
      </c>
      <c r="G2930">
        <v>0.9</v>
      </c>
      <c r="H2930">
        <v>0.5</v>
      </c>
      <c r="I2930">
        <v>0</v>
      </c>
      <c r="J2930">
        <v>0</v>
      </c>
      <c r="K2930">
        <v>0</v>
      </c>
      <c r="L2930">
        <v>0</v>
      </c>
      <c r="M2930">
        <v>0</v>
      </c>
      <c r="N2930">
        <v>94700</v>
      </c>
      <c r="O2930">
        <v>81441</v>
      </c>
      <c r="P2930">
        <v>19254</v>
      </c>
      <c r="Q2930">
        <v>66</v>
      </c>
      <c r="R2930">
        <v>62</v>
      </c>
      <c r="S2930">
        <v>29</v>
      </c>
      <c r="T2930">
        <v>5</v>
      </c>
      <c r="U2930">
        <v>11</v>
      </c>
    </row>
    <row r="2931" spans="1:21" x14ac:dyDescent="0.35">
      <c r="A2931" t="s">
        <v>21</v>
      </c>
      <c r="B2931" s="1">
        <v>44991</v>
      </c>
      <c r="C2931" t="s">
        <v>29</v>
      </c>
      <c r="D2931">
        <v>0</v>
      </c>
      <c r="E2931">
        <v>0.4</v>
      </c>
      <c r="F2931">
        <v>0</v>
      </c>
      <c r="G2931">
        <v>0</v>
      </c>
      <c r="H2931">
        <v>0</v>
      </c>
      <c r="I2931">
        <v>0</v>
      </c>
      <c r="J2931">
        <v>0</v>
      </c>
      <c r="K2931">
        <v>0</v>
      </c>
      <c r="L2931">
        <v>0</v>
      </c>
      <c r="M2931">
        <v>0</v>
      </c>
      <c r="N2931">
        <v>108436</v>
      </c>
      <c r="O2931">
        <v>278399</v>
      </c>
      <c r="P2931">
        <v>347302</v>
      </c>
      <c r="Q2931">
        <v>0</v>
      </c>
      <c r="R2931">
        <v>1</v>
      </c>
      <c r="S2931">
        <v>0</v>
      </c>
      <c r="T2931">
        <v>30</v>
      </c>
      <c r="U2931">
        <v>49</v>
      </c>
    </row>
    <row r="2932" spans="1:21" x14ac:dyDescent="0.35">
      <c r="A2932" t="s">
        <v>21</v>
      </c>
      <c r="B2932" s="1">
        <v>45066</v>
      </c>
      <c r="C2932" t="s">
        <v>30</v>
      </c>
      <c r="D2932">
        <v>8.1</v>
      </c>
      <c r="E2932">
        <v>0</v>
      </c>
      <c r="F2932">
        <v>2.1</v>
      </c>
      <c r="G2932">
        <v>0</v>
      </c>
      <c r="H2932">
        <v>3.9</v>
      </c>
      <c r="I2932">
        <v>0</v>
      </c>
      <c r="J2932">
        <v>0</v>
      </c>
      <c r="K2932">
        <v>0</v>
      </c>
      <c r="L2932">
        <v>0</v>
      </c>
      <c r="M2932">
        <v>0</v>
      </c>
      <c r="N2932">
        <v>24557</v>
      </c>
      <c r="O2932">
        <v>11384</v>
      </c>
      <c r="P2932">
        <v>47128</v>
      </c>
      <c r="Q2932">
        <v>2</v>
      </c>
      <c r="R2932">
        <v>0</v>
      </c>
      <c r="S2932">
        <v>1</v>
      </c>
      <c r="T2932">
        <v>80</v>
      </c>
      <c r="U2932">
        <v>200</v>
      </c>
    </row>
    <row r="2933" spans="1:21" x14ac:dyDescent="0.35">
      <c r="A2933" t="s">
        <v>26</v>
      </c>
      <c r="B2933" s="1">
        <v>44856</v>
      </c>
      <c r="C2933" t="s">
        <v>31</v>
      </c>
      <c r="D2933">
        <v>30.2</v>
      </c>
      <c r="E2933">
        <v>27.7</v>
      </c>
      <c r="F2933">
        <v>16.899999999999999</v>
      </c>
      <c r="G2933">
        <v>1.1000000000000001</v>
      </c>
      <c r="H2933">
        <v>1.8</v>
      </c>
      <c r="I2933">
        <v>0</v>
      </c>
      <c r="J2933">
        <v>0</v>
      </c>
      <c r="K2933">
        <v>0</v>
      </c>
      <c r="L2933">
        <v>0</v>
      </c>
      <c r="M2933">
        <v>0</v>
      </c>
      <c r="N2933">
        <v>43032</v>
      </c>
      <c r="O2933">
        <v>43378</v>
      </c>
      <c r="P2933">
        <v>171472</v>
      </c>
      <c r="Q2933">
        <v>13</v>
      </c>
      <c r="R2933">
        <v>12</v>
      </c>
      <c r="S2933">
        <v>29</v>
      </c>
      <c r="T2933">
        <v>65</v>
      </c>
      <c r="U2933">
        <v>79</v>
      </c>
    </row>
    <row r="2934" spans="1:21" x14ac:dyDescent="0.35">
      <c r="A2934" t="s">
        <v>28</v>
      </c>
      <c r="B2934" s="1">
        <v>45178</v>
      </c>
      <c r="C2934" t="s">
        <v>25</v>
      </c>
      <c r="D2934">
        <v>99.7</v>
      </c>
      <c r="E2934">
        <v>18.7</v>
      </c>
      <c r="F2934">
        <v>30.9</v>
      </c>
      <c r="G2934">
        <v>5.3</v>
      </c>
      <c r="H2934">
        <v>3.2</v>
      </c>
      <c r="I2934">
        <v>0</v>
      </c>
      <c r="J2934">
        <v>0</v>
      </c>
      <c r="K2934">
        <v>0</v>
      </c>
      <c r="L2934">
        <v>0</v>
      </c>
      <c r="M2934">
        <v>0</v>
      </c>
      <c r="N2934">
        <v>73215</v>
      </c>
      <c r="O2934">
        <v>214129</v>
      </c>
      <c r="P2934">
        <v>161722</v>
      </c>
      <c r="Q2934">
        <v>73</v>
      </c>
      <c r="R2934">
        <v>40</v>
      </c>
      <c r="S2934">
        <v>50</v>
      </c>
      <c r="T2934">
        <v>18</v>
      </c>
      <c r="U2934">
        <v>29</v>
      </c>
    </row>
    <row r="2935" spans="1:21" x14ac:dyDescent="0.35">
      <c r="A2935" t="s">
        <v>28</v>
      </c>
      <c r="B2935" s="1">
        <v>44639</v>
      </c>
      <c r="C2935" t="s">
        <v>25</v>
      </c>
      <c r="D2935">
        <v>85.1</v>
      </c>
      <c r="E2935">
        <v>32.200000000000003</v>
      </c>
      <c r="F2935">
        <v>68.2</v>
      </c>
      <c r="G2935">
        <v>2.6</v>
      </c>
      <c r="H2935">
        <v>1.2</v>
      </c>
      <c r="I2935">
        <v>0</v>
      </c>
      <c r="J2935">
        <v>0</v>
      </c>
      <c r="K2935">
        <v>0</v>
      </c>
      <c r="L2935">
        <v>0</v>
      </c>
      <c r="M2935">
        <v>0</v>
      </c>
      <c r="N2935">
        <v>99842</v>
      </c>
      <c r="O2935">
        <v>220707</v>
      </c>
      <c r="P2935">
        <v>143769</v>
      </c>
      <c r="Q2935">
        <v>85</v>
      </c>
      <c r="R2935">
        <v>71</v>
      </c>
      <c r="S2935">
        <v>98</v>
      </c>
      <c r="T2935">
        <v>18</v>
      </c>
      <c r="U2935">
        <v>29</v>
      </c>
    </row>
    <row r="2936" spans="1:21" x14ac:dyDescent="0.35">
      <c r="A2936" t="s">
        <v>28</v>
      </c>
      <c r="B2936" s="1">
        <v>44709</v>
      </c>
      <c r="C2936" t="s">
        <v>25</v>
      </c>
      <c r="D2936">
        <v>410.2</v>
      </c>
      <c r="E2936">
        <v>169.2</v>
      </c>
      <c r="F2936">
        <v>402.3</v>
      </c>
      <c r="G2936">
        <v>2.4</v>
      </c>
      <c r="H2936">
        <v>1</v>
      </c>
      <c r="I2936">
        <v>0</v>
      </c>
      <c r="J2936">
        <v>0</v>
      </c>
      <c r="K2936">
        <v>0</v>
      </c>
      <c r="L2936">
        <v>0</v>
      </c>
      <c r="M2936">
        <v>0</v>
      </c>
      <c r="N2936">
        <v>95327</v>
      </c>
      <c r="O2936">
        <v>216374</v>
      </c>
      <c r="P2936">
        <v>152861</v>
      </c>
      <c r="Q2936">
        <v>391</v>
      </c>
      <c r="R2936">
        <v>366</v>
      </c>
      <c r="S2936">
        <v>615</v>
      </c>
      <c r="T2936">
        <v>18</v>
      </c>
      <c r="U2936">
        <v>29</v>
      </c>
    </row>
    <row r="2937" spans="1:21" x14ac:dyDescent="0.35">
      <c r="A2937" t="s">
        <v>26</v>
      </c>
      <c r="B2937" s="1">
        <v>44366</v>
      </c>
      <c r="C2937" t="s">
        <v>27</v>
      </c>
      <c r="D2937">
        <v>0</v>
      </c>
      <c r="E2937">
        <v>0</v>
      </c>
      <c r="F2937">
        <v>0</v>
      </c>
      <c r="G2937">
        <v>0</v>
      </c>
      <c r="H2937">
        <v>0</v>
      </c>
      <c r="I2937">
        <v>0</v>
      </c>
      <c r="J2937">
        <v>0</v>
      </c>
      <c r="K2937">
        <v>0</v>
      </c>
      <c r="L2937">
        <v>0</v>
      </c>
      <c r="M2937">
        <v>0</v>
      </c>
      <c r="N2937">
        <v>114743</v>
      </c>
      <c r="O2937">
        <v>24556</v>
      </c>
      <c r="P2937">
        <v>0</v>
      </c>
      <c r="Q2937">
        <v>0</v>
      </c>
      <c r="R2937">
        <v>0</v>
      </c>
      <c r="S2937">
        <v>0</v>
      </c>
      <c r="T2937">
        <v>12</v>
      </c>
      <c r="U2937">
        <v>17</v>
      </c>
    </row>
    <row r="2938" spans="1:21" x14ac:dyDescent="0.35">
      <c r="A2938" t="s">
        <v>21</v>
      </c>
      <c r="B2938" s="1">
        <v>44702</v>
      </c>
      <c r="C2938" t="s">
        <v>31</v>
      </c>
      <c r="D2938">
        <v>2.1</v>
      </c>
      <c r="E2938">
        <v>2.1</v>
      </c>
      <c r="F2938">
        <v>1.2</v>
      </c>
      <c r="G2938">
        <v>1</v>
      </c>
      <c r="H2938">
        <v>1.8</v>
      </c>
      <c r="I2938">
        <v>0</v>
      </c>
      <c r="J2938">
        <v>0</v>
      </c>
      <c r="K2938">
        <v>0</v>
      </c>
      <c r="L2938">
        <v>0</v>
      </c>
      <c r="M2938">
        <v>0</v>
      </c>
      <c r="N2938">
        <v>47243</v>
      </c>
      <c r="O2938">
        <v>48398</v>
      </c>
      <c r="P2938">
        <v>164100</v>
      </c>
      <c r="Q2938">
        <v>1</v>
      </c>
      <c r="R2938">
        <v>1</v>
      </c>
      <c r="S2938">
        <v>2</v>
      </c>
      <c r="T2938">
        <v>65</v>
      </c>
      <c r="U2938">
        <v>79</v>
      </c>
    </row>
    <row r="2939" spans="1:21" x14ac:dyDescent="0.35">
      <c r="A2939" t="s">
        <v>21</v>
      </c>
      <c r="B2939" s="1">
        <v>44485</v>
      </c>
      <c r="C2939" t="s">
        <v>29</v>
      </c>
      <c r="D2939">
        <v>2.9</v>
      </c>
      <c r="E2939">
        <v>0</v>
      </c>
      <c r="F2939">
        <v>0</v>
      </c>
      <c r="G2939">
        <v>0</v>
      </c>
      <c r="H2939">
        <v>0</v>
      </c>
      <c r="I2939">
        <v>0</v>
      </c>
      <c r="J2939">
        <v>0</v>
      </c>
      <c r="K2939">
        <v>0</v>
      </c>
      <c r="L2939">
        <v>0</v>
      </c>
      <c r="M2939">
        <v>0</v>
      </c>
      <c r="N2939">
        <v>210412</v>
      </c>
      <c r="O2939">
        <v>535672</v>
      </c>
      <c r="P2939">
        <v>0</v>
      </c>
      <c r="Q2939">
        <v>6</v>
      </c>
      <c r="R2939">
        <v>0</v>
      </c>
      <c r="S2939">
        <v>0</v>
      </c>
      <c r="T2939">
        <v>30</v>
      </c>
      <c r="U2939">
        <v>49</v>
      </c>
    </row>
    <row r="2940" spans="1:21" x14ac:dyDescent="0.35">
      <c r="A2940" t="s">
        <v>26</v>
      </c>
      <c r="B2940" s="1">
        <v>44322</v>
      </c>
      <c r="C2940" t="s">
        <v>27</v>
      </c>
      <c r="D2940">
        <v>0.8</v>
      </c>
      <c r="E2940">
        <v>0</v>
      </c>
      <c r="F2940">
        <v>0</v>
      </c>
      <c r="G2940">
        <v>0</v>
      </c>
      <c r="H2940">
        <v>0</v>
      </c>
      <c r="I2940">
        <v>0</v>
      </c>
      <c r="J2940">
        <v>0</v>
      </c>
      <c r="K2940">
        <v>0</v>
      </c>
      <c r="L2940">
        <v>0</v>
      </c>
      <c r="M2940">
        <v>0</v>
      </c>
      <c r="N2940">
        <v>122939</v>
      </c>
      <c r="O2940">
        <v>11914</v>
      </c>
      <c r="P2940">
        <v>0</v>
      </c>
      <c r="Q2940">
        <v>1</v>
      </c>
      <c r="R2940">
        <v>0</v>
      </c>
      <c r="S2940">
        <v>0</v>
      </c>
      <c r="T2940">
        <v>12</v>
      </c>
      <c r="U2940">
        <v>17</v>
      </c>
    </row>
    <row r="2941" spans="1:21" x14ac:dyDescent="0.35">
      <c r="A2941" t="s">
        <v>28</v>
      </c>
      <c r="B2941" s="1">
        <v>44681</v>
      </c>
      <c r="C2941" t="s">
        <v>24</v>
      </c>
      <c r="D2941">
        <v>191.1</v>
      </c>
      <c r="E2941">
        <v>316.10000000000002</v>
      </c>
      <c r="F2941">
        <v>0</v>
      </c>
      <c r="G2941">
        <v>0.6</v>
      </c>
      <c r="H2941">
        <v>0</v>
      </c>
      <c r="I2941">
        <v>0</v>
      </c>
      <c r="J2941">
        <v>0</v>
      </c>
      <c r="K2941">
        <v>0</v>
      </c>
      <c r="L2941">
        <v>0</v>
      </c>
      <c r="M2941">
        <v>0</v>
      </c>
      <c r="N2941">
        <v>102021</v>
      </c>
      <c r="O2941">
        <v>93311</v>
      </c>
      <c r="P2941">
        <v>0</v>
      </c>
      <c r="Q2941">
        <v>195</v>
      </c>
      <c r="R2941">
        <v>295</v>
      </c>
      <c r="S2941">
        <v>0</v>
      </c>
      <c r="T2941">
        <v>5</v>
      </c>
      <c r="U2941">
        <v>11</v>
      </c>
    </row>
    <row r="2942" spans="1:21" x14ac:dyDescent="0.35">
      <c r="A2942" t="s">
        <v>26</v>
      </c>
      <c r="B2942" s="1">
        <v>45027</v>
      </c>
      <c r="C2942" t="s">
        <v>25</v>
      </c>
      <c r="D2942">
        <v>2.9</v>
      </c>
      <c r="E2942">
        <v>0.9</v>
      </c>
      <c r="F2942">
        <v>1.2</v>
      </c>
      <c r="G2942">
        <v>3.2</v>
      </c>
      <c r="H2942">
        <v>2.4</v>
      </c>
      <c r="I2942">
        <v>0</v>
      </c>
      <c r="J2942">
        <v>0</v>
      </c>
      <c r="K2942">
        <v>0</v>
      </c>
      <c r="L2942">
        <v>0</v>
      </c>
      <c r="M2942">
        <v>0</v>
      </c>
      <c r="N2942">
        <v>69457</v>
      </c>
      <c r="O2942">
        <v>215124</v>
      </c>
      <c r="P2942">
        <v>162370</v>
      </c>
      <c r="Q2942">
        <v>2</v>
      </c>
      <c r="R2942">
        <v>2</v>
      </c>
      <c r="S2942">
        <v>2</v>
      </c>
      <c r="T2942">
        <v>18</v>
      </c>
      <c r="U2942">
        <v>29</v>
      </c>
    </row>
    <row r="2943" spans="1:21" x14ac:dyDescent="0.35">
      <c r="A2943" t="s">
        <v>28</v>
      </c>
      <c r="B2943" s="1">
        <v>44618</v>
      </c>
      <c r="C2943" t="s">
        <v>29</v>
      </c>
      <c r="D2943">
        <v>88.7</v>
      </c>
      <c r="E2943">
        <v>31</v>
      </c>
      <c r="F2943">
        <v>61.2</v>
      </c>
      <c r="G2943">
        <v>2.9</v>
      </c>
      <c r="H2943">
        <v>1.4</v>
      </c>
      <c r="I2943">
        <v>0</v>
      </c>
      <c r="J2943">
        <v>0</v>
      </c>
      <c r="K2943">
        <v>0</v>
      </c>
      <c r="L2943">
        <v>0</v>
      </c>
      <c r="M2943">
        <v>0</v>
      </c>
      <c r="N2943">
        <v>136458</v>
      </c>
      <c r="O2943">
        <v>296367</v>
      </c>
      <c r="P2943">
        <v>310294</v>
      </c>
      <c r="Q2943">
        <v>121</v>
      </c>
      <c r="R2943">
        <v>92</v>
      </c>
      <c r="S2943">
        <v>190</v>
      </c>
      <c r="T2943">
        <v>30</v>
      </c>
      <c r="U2943">
        <v>49</v>
      </c>
    </row>
    <row r="2944" spans="1:21" x14ac:dyDescent="0.35">
      <c r="A2944" t="s">
        <v>21</v>
      </c>
      <c r="B2944" s="1">
        <v>44730</v>
      </c>
      <c r="C2944" t="s">
        <v>24</v>
      </c>
      <c r="D2944">
        <v>0</v>
      </c>
      <c r="E2944">
        <v>0</v>
      </c>
      <c r="F2944">
        <v>0</v>
      </c>
      <c r="G2944">
        <v>0</v>
      </c>
      <c r="H2944">
        <v>0</v>
      </c>
      <c r="I2944">
        <v>0</v>
      </c>
      <c r="J2944">
        <v>0</v>
      </c>
      <c r="K2944">
        <v>0</v>
      </c>
      <c r="L2944">
        <v>0</v>
      </c>
      <c r="M2944">
        <v>0</v>
      </c>
      <c r="N2944">
        <v>99854</v>
      </c>
      <c r="O2944">
        <v>91897</v>
      </c>
      <c r="P2944">
        <v>4155</v>
      </c>
      <c r="Q2944">
        <v>0</v>
      </c>
      <c r="R2944">
        <v>0</v>
      </c>
      <c r="S2944">
        <v>0</v>
      </c>
      <c r="T2944">
        <v>5</v>
      </c>
      <c r="U2944">
        <v>11</v>
      </c>
    </row>
    <row r="2945" spans="1:21" x14ac:dyDescent="0.35">
      <c r="A2945" t="s">
        <v>26</v>
      </c>
      <c r="B2945" s="1">
        <v>44298</v>
      </c>
      <c r="C2945" t="s">
        <v>31</v>
      </c>
      <c r="D2945">
        <v>149.19999999999999</v>
      </c>
      <c r="E2945">
        <v>36</v>
      </c>
      <c r="F2945">
        <v>5.3</v>
      </c>
      <c r="G2945">
        <v>4.0999999999999996</v>
      </c>
      <c r="H2945">
        <v>28.2</v>
      </c>
      <c r="I2945">
        <v>0</v>
      </c>
      <c r="J2945">
        <v>0</v>
      </c>
      <c r="K2945">
        <v>0</v>
      </c>
      <c r="L2945">
        <v>0</v>
      </c>
      <c r="M2945">
        <v>0</v>
      </c>
      <c r="N2945">
        <v>54957</v>
      </c>
      <c r="O2945">
        <v>111079</v>
      </c>
      <c r="P2945">
        <v>93634</v>
      </c>
      <c r="Q2945">
        <v>82</v>
      </c>
      <c r="R2945">
        <v>40</v>
      </c>
      <c r="S2945">
        <v>5</v>
      </c>
      <c r="T2945">
        <v>65</v>
      </c>
      <c r="U2945">
        <v>79</v>
      </c>
    </row>
    <row r="2946" spans="1:21" x14ac:dyDescent="0.35">
      <c r="A2946" t="s">
        <v>28</v>
      </c>
      <c r="B2946" s="1">
        <v>45066</v>
      </c>
      <c r="C2946" t="s">
        <v>27</v>
      </c>
      <c r="D2946">
        <v>43</v>
      </c>
      <c r="E2946">
        <v>17.3</v>
      </c>
      <c r="F2946">
        <v>20.2</v>
      </c>
      <c r="G2946">
        <v>2.5</v>
      </c>
      <c r="H2946">
        <v>2.1</v>
      </c>
      <c r="I2946">
        <v>0</v>
      </c>
      <c r="J2946">
        <v>0</v>
      </c>
      <c r="K2946">
        <v>0</v>
      </c>
      <c r="L2946">
        <v>0</v>
      </c>
      <c r="M2946">
        <v>0</v>
      </c>
      <c r="N2946">
        <v>32543</v>
      </c>
      <c r="O2946">
        <v>86583</v>
      </c>
      <c r="P2946">
        <v>44578</v>
      </c>
      <c r="Q2946">
        <v>14</v>
      </c>
      <c r="R2946">
        <v>15</v>
      </c>
      <c r="S2946">
        <v>9</v>
      </c>
      <c r="T2946">
        <v>12</v>
      </c>
      <c r="U2946">
        <v>17</v>
      </c>
    </row>
    <row r="2947" spans="1:21" x14ac:dyDescent="0.35">
      <c r="A2947" t="s">
        <v>28</v>
      </c>
      <c r="B2947" s="1">
        <v>44695</v>
      </c>
      <c r="C2947" t="s">
        <v>23</v>
      </c>
      <c r="D2947">
        <v>581.20000000000005</v>
      </c>
      <c r="E2947">
        <v>202.5</v>
      </c>
      <c r="F2947">
        <v>340.2</v>
      </c>
      <c r="G2947">
        <v>2.9</v>
      </c>
      <c r="H2947">
        <v>1.7</v>
      </c>
      <c r="I2947">
        <v>0</v>
      </c>
      <c r="J2947">
        <v>0</v>
      </c>
      <c r="K2947">
        <v>0</v>
      </c>
      <c r="L2947">
        <v>0</v>
      </c>
      <c r="M2947">
        <v>0</v>
      </c>
      <c r="N2947">
        <v>43533</v>
      </c>
      <c r="O2947">
        <v>133809</v>
      </c>
      <c r="P2947">
        <v>234246</v>
      </c>
      <c r="Q2947">
        <v>253</v>
      </c>
      <c r="R2947">
        <v>271</v>
      </c>
      <c r="S2947">
        <v>797</v>
      </c>
      <c r="T2947">
        <v>50</v>
      </c>
      <c r="U2947">
        <v>64</v>
      </c>
    </row>
    <row r="2948" spans="1:21" x14ac:dyDescent="0.35">
      <c r="A2948" t="s">
        <v>28</v>
      </c>
      <c r="B2948" s="1">
        <v>44681</v>
      </c>
      <c r="C2948" t="s">
        <v>27</v>
      </c>
      <c r="D2948">
        <v>255.2</v>
      </c>
      <c r="E2948">
        <v>147.19999999999999</v>
      </c>
      <c r="F2948">
        <v>173.8</v>
      </c>
      <c r="G2948">
        <v>1.7</v>
      </c>
      <c r="H2948">
        <v>1.5</v>
      </c>
      <c r="I2948">
        <v>0</v>
      </c>
      <c r="J2948">
        <v>0</v>
      </c>
      <c r="K2948">
        <v>0</v>
      </c>
      <c r="L2948">
        <v>0</v>
      </c>
      <c r="M2948">
        <v>0</v>
      </c>
      <c r="N2948">
        <v>37619</v>
      </c>
      <c r="O2948">
        <v>94445</v>
      </c>
      <c r="P2948">
        <v>33365</v>
      </c>
      <c r="Q2948">
        <v>96</v>
      </c>
      <c r="R2948">
        <v>139</v>
      </c>
      <c r="S2948">
        <v>58</v>
      </c>
      <c r="T2948">
        <v>12</v>
      </c>
      <c r="U2948">
        <v>17</v>
      </c>
    </row>
    <row r="2949" spans="1:21" x14ac:dyDescent="0.35">
      <c r="A2949" t="s">
        <v>26</v>
      </c>
      <c r="B2949" s="1">
        <v>44639</v>
      </c>
      <c r="C2949" t="s">
        <v>31</v>
      </c>
      <c r="D2949">
        <v>14.4</v>
      </c>
      <c r="E2949">
        <v>5.7</v>
      </c>
      <c r="F2949">
        <v>5.0999999999999996</v>
      </c>
      <c r="G2949">
        <v>2.5</v>
      </c>
      <c r="H2949">
        <v>2.8</v>
      </c>
      <c r="I2949">
        <v>0</v>
      </c>
      <c r="J2949">
        <v>0</v>
      </c>
      <c r="K2949">
        <v>0</v>
      </c>
      <c r="L2949">
        <v>0</v>
      </c>
      <c r="M2949">
        <v>0</v>
      </c>
      <c r="N2949">
        <v>48719</v>
      </c>
      <c r="O2949">
        <v>52553</v>
      </c>
      <c r="P2949">
        <v>157887</v>
      </c>
      <c r="Q2949">
        <v>7</v>
      </c>
      <c r="R2949">
        <v>3</v>
      </c>
      <c r="S2949">
        <v>8</v>
      </c>
      <c r="T2949">
        <v>65</v>
      </c>
      <c r="U2949">
        <v>79</v>
      </c>
    </row>
    <row r="2950" spans="1:21" x14ac:dyDescent="0.35">
      <c r="A2950" t="s">
        <v>21</v>
      </c>
      <c r="B2950" s="1">
        <v>44436</v>
      </c>
      <c r="C2950" t="s">
        <v>22</v>
      </c>
      <c r="D2950">
        <v>2</v>
      </c>
      <c r="E2950">
        <v>0.3</v>
      </c>
      <c r="F2950">
        <v>0</v>
      </c>
      <c r="G2950">
        <v>6.7</v>
      </c>
      <c r="H2950">
        <v>0</v>
      </c>
      <c r="I2950">
        <v>2.8</v>
      </c>
      <c r="J2950">
        <v>0.2</v>
      </c>
      <c r="K2950">
        <v>0</v>
      </c>
      <c r="L2950">
        <v>12.1</v>
      </c>
      <c r="M2950">
        <v>0</v>
      </c>
      <c r="N2950">
        <v>1076102</v>
      </c>
      <c r="O2950">
        <v>1450111</v>
      </c>
      <c r="P2950">
        <v>0</v>
      </c>
      <c r="Q2950">
        <v>22</v>
      </c>
      <c r="R2950">
        <v>4</v>
      </c>
      <c r="S2950">
        <v>0</v>
      </c>
      <c r="T2950">
        <v>999</v>
      </c>
      <c r="U2950">
        <v>999</v>
      </c>
    </row>
    <row r="2951" spans="1:21" x14ac:dyDescent="0.35">
      <c r="A2951" t="s">
        <v>28</v>
      </c>
      <c r="B2951" s="1">
        <v>44473</v>
      </c>
      <c r="C2951" t="s">
        <v>29</v>
      </c>
      <c r="D2951">
        <v>339.1</v>
      </c>
      <c r="E2951">
        <v>26.7</v>
      </c>
      <c r="F2951">
        <v>0</v>
      </c>
      <c r="G2951">
        <v>12.7</v>
      </c>
      <c r="H2951">
        <v>0</v>
      </c>
      <c r="I2951">
        <v>0</v>
      </c>
      <c r="J2951">
        <v>0</v>
      </c>
      <c r="K2951">
        <v>0</v>
      </c>
      <c r="L2951">
        <v>0</v>
      </c>
      <c r="M2951">
        <v>0</v>
      </c>
      <c r="N2951">
        <v>455598</v>
      </c>
      <c r="O2951">
        <v>123661</v>
      </c>
      <c r="P2951">
        <v>0</v>
      </c>
      <c r="Q2951">
        <v>1545</v>
      </c>
      <c r="R2951">
        <v>33</v>
      </c>
      <c r="S2951">
        <v>0</v>
      </c>
      <c r="T2951">
        <v>30</v>
      </c>
      <c r="U2951">
        <v>49</v>
      </c>
    </row>
    <row r="2952" spans="1:21" x14ac:dyDescent="0.35">
      <c r="A2952" t="s">
        <v>21</v>
      </c>
      <c r="B2952" s="1">
        <v>44772</v>
      </c>
      <c r="C2952" t="s">
        <v>25</v>
      </c>
      <c r="D2952">
        <v>0</v>
      </c>
      <c r="E2952">
        <v>0</v>
      </c>
      <c r="F2952">
        <v>0</v>
      </c>
      <c r="G2952">
        <v>0</v>
      </c>
      <c r="H2952">
        <v>0</v>
      </c>
      <c r="I2952">
        <v>0</v>
      </c>
      <c r="J2952">
        <v>0</v>
      </c>
      <c r="K2952">
        <v>0</v>
      </c>
      <c r="L2952">
        <v>0</v>
      </c>
      <c r="M2952">
        <v>0</v>
      </c>
      <c r="N2952">
        <v>92439</v>
      </c>
      <c r="O2952">
        <v>213184</v>
      </c>
      <c r="P2952">
        <v>158188</v>
      </c>
      <c r="Q2952">
        <v>0</v>
      </c>
      <c r="R2952">
        <v>0</v>
      </c>
      <c r="S2952">
        <v>0</v>
      </c>
      <c r="T2952">
        <v>18</v>
      </c>
      <c r="U2952">
        <v>29</v>
      </c>
    </row>
    <row r="2953" spans="1:21" x14ac:dyDescent="0.35">
      <c r="A2953" t="s">
        <v>26</v>
      </c>
      <c r="B2953" s="1">
        <v>44898</v>
      </c>
      <c r="C2953" t="s">
        <v>29</v>
      </c>
      <c r="D2953">
        <v>4.5</v>
      </c>
      <c r="E2953">
        <v>2.7</v>
      </c>
      <c r="F2953">
        <v>0.9</v>
      </c>
      <c r="G2953">
        <v>1.7</v>
      </c>
      <c r="H2953">
        <v>5</v>
      </c>
      <c r="I2953">
        <v>0</v>
      </c>
      <c r="J2953">
        <v>0</v>
      </c>
      <c r="K2953">
        <v>0</v>
      </c>
      <c r="L2953">
        <v>0</v>
      </c>
      <c r="M2953">
        <v>0</v>
      </c>
      <c r="N2953">
        <v>134617</v>
      </c>
      <c r="O2953">
        <v>294114</v>
      </c>
      <c r="P2953">
        <v>317904</v>
      </c>
      <c r="Q2953">
        <v>6</v>
      </c>
      <c r="R2953">
        <v>8</v>
      </c>
      <c r="S2953">
        <v>3</v>
      </c>
      <c r="T2953">
        <v>30</v>
      </c>
      <c r="U2953">
        <v>49</v>
      </c>
    </row>
    <row r="2954" spans="1:21" x14ac:dyDescent="0.35">
      <c r="A2954" t="s">
        <v>21</v>
      </c>
      <c r="B2954" s="1">
        <v>45101</v>
      </c>
      <c r="C2954" t="s">
        <v>27</v>
      </c>
      <c r="D2954">
        <v>0</v>
      </c>
      <c r="E2954">
        <v>0</v>
      </c>
      <c r="F2954">
        <v>0</v>
      </c>
      <c r="G2954">
        <v>0</v>
      </c>
      <c r="H2954">
        <v>0</v>
      </c>
      <c r="I2954">
        <v>0</v>
      </c>
      <c r="J2954">
        <v>0</v>
      </c>
      <c r="K2954">
        <v>0</v>
      </c>
      <c r="L2954">
        <v>0</v>
      </c>
      <c r="M2954">
        <v>0</v>
      </c>
      <c r="N2954">
        <v>32320</v>
      </c>
      <c r="O2954">
        <v>86578</v>
      </c>
      <c r="P2954">
        <v>44587</v>
      </c>
      <c r="Q2954">
        <v>0</v>
      </c>
      <c r="R2954">
        <v>0</v>
      </c>
      <c r="S2954">
        <v>0</v>
      </c>
      <c r="T2954">
        <v>12</v>
      </c>
      <c r="U2954">
        <v>17</v>
      </c>
    </row>
    <row r="2955" spans="1:21" x14ac:dyDescent="0.35">
      <c r="A2955" t="s">
        <v>28</v>
      </c>
      <c r="B2955" s="1">
        <v>44737</v>
      </c>
      <c r="C2955" t="s">
        <v>30</v>
      </c>
      <c r="D2955">
        <v>177.5</v>
      </c>
      <c r="E2955">
        <v>162.9</v>
      </c>
      <c r="F2955">
        <v>220.6</v>
      </c>
      <c r="G2955">
        <v>1.1000000000000001</v>
      </c>
      <c r="H2955">
        <v>0.8</v>
      </c>
      <c r="I2955">
        <v>0</v>
      </c>
      <c r="J2955">
        <v>0</v>
      </c>
      <c r="K2955">
        <v>0</v>
      </c>
      <c r="L2955">
        <v>0</v>
      </c>
      <c r="M2955">
        <v>0</v>
      </c>
      <c r="N2955">
        <v>26485</v>
      </c>
      <c r="O2955">
        <v>12274</v>
      </c>
      <c r="P2955">
        <v>45782</v>
      </c>
      <c r="Q2955">
        <v>47</v>
      </c>
      <c r="R2955">
        <v>20</v>
      </c>
      <c r="S2955">
        <v>101</v>
      </c>
      <c r="T2955">
        <v>80</v>
      </c>
      <c r="U2955">
        <v>200</v>
      </c>
    </row>
    <row r="2956" spans="1:21" x14ac:dyDescent="0.35">
      <c r="A2956" t="s">
        <v>28</v>
      </c>
      <c r="B2956" s="1">
        <v>44667</v>
      </c>
      <c r="C2956" t="s">
        <v>22</v>
      </c>
      <c r="D2956">
        <v>117</v>
      </c>
      <c r="E2956">
        <v>76.900000000000006</v>
      </c>
      <c r="F2956">
        <v>186.8</v>
      </c>
      <c r="G2956">
        <v>1.5</v>
      </c>
      <c r="H2956">
        <v>0.6</v>
      </c>
      <c r="I2956">
        <v>133.5</v>
      </c>
      <c r="J2956">
        <v>70.3</v>
      </c>
      <c r="K2956">
        <v>162.4</v>
      </c>
      <c r="L2956">
        <v>1.9</v>
      </c>
      <c r="M2956">
        <v>0.8</v>
      </c>
      <c r="N2956">
        <v>653769</v>
      </c>
      <c r="O2956">
        <v>896402</v>
      </c>
      <c r="P2956">
        <v>943061</v>
      </c>
      <c r="Q2956">
        <v>765</v>
      </c>
      <c r="R2956">
        <v>689</v>
      </c>
      <c r="S2956">
        <v>1762</v>
      </c>
      <c r="T2956">
        <v>999</v>
      </c>
      <c r="U2956">
        <v>999</v>
      </c>
    </row>
    <row r="2957" spans="1:21" x14ac:dyDescent="0.35">
      <c r="A2957" t="s">
        <v>28</v>
      </c>
      <c r="B2957" s="1">
        <v>44639</v>
      </c>
      <c r="C2957" t="s">
        <v>22</v>
      </c>
      <c r="D2957">
        <v>56.2</v>
      </c>
      <c r="E2957">
        <v>33.200000000000003</v>
      </c>
      <c r="F2957">
        <v>52.5</v>
      </c>
      <c r="G2957">
        <v>1.7</v>
      </c>
      <c r="H2957">
        <v>1.1000000000000001</v>
      </c>
      <c r="I2957">
        <v>63.9</v>
      </c>
      <c r="J2957">
        <v>31.4</v>
      </c>
      <c r="K2957">
        <v>45.1</v>
      </c>
      <c r="L2957">
        <v>2</v>
      </c>
      <c r="M2957">
        <v>1.4</v>
      </c>
      <c r="N2957">
        <v>662148</v>
      </c>
      <c r="O2957">
        <v>905646</v>
      </c>
      <c r="P2957">
        <v>919703</v>
      </c>
      <c r="Q2957">
        <v>372</v>
      </c>
      <c r="R2957">
        <v>301</v>
      </c>
      <c r="S2957">
        <v>483</v>
      </c>
      <c r="T2957">
        <v>999</v>
      </c>
      <c r="U2957">
        <v>999</v>
      </c>
    </row>
    <row r="2958" spans="1:21" x14ac:dyDescent="0.35">
      <c r="A2958" t="s">
        <v>21</v>
      </c>
      <c r="B2958" s="1">
        <v>44843</v>
      </c>
      <c r="C2958" t="s">
        <v>27</v>
      </c>
      <c r="D2958">
        <v>0</v>
      </c>
      <c r="E2958">
        <v>0</v>
      </c>
      <c r="F2958">
        <v>0</v>
      </c>
      <c r="G2958">
        <v>0</v>
      </c>
      <c r="H2958">
        <v>0</v>
      </c>
      <c r="I2958">
        <v>0</v>
      </c>
      <c r="J2958">
        <v>0</v>
      </c>
      <c r="K2958">
        <v>0</v>
      </c>
      <c r="L2958">
        <v>0</v>
      </c>
      <c r="M2958">
        <v>0</v>
      </c>
      <c r="N2958">
        <v>35208</v>
      </c>
      <c r="O2958">
        <v>85939</v>
      </c>
      <c r="P2958">
        <v>44085</v>
      </c>
      <c r="Q2958">
        <v>0</v>
      </c>
      <c r="R2958">
        <v>0</v>
      </c>
      <c r="S2958">
        <v>0</v>
      </c>
      <c r="T2958">
        <v>12</v>
      </c>
      <c r="U2958">
        <v>17</v>
      </c>
    </row>
    <row r="2959" spans="1:21" x14ac:dyDescent="0.35">
      <c r="A2959" t="s">
        <v>26</v>
      </c>
      <c r="B2959" s="1">
        <v>44720</v>
      </c>
      <c r="C2959" t="s">
        <v>27</v>
      </c>
      <c r="D2959">
        <v>5.6</v>
      </c>
      <c r="E2959">
        <v>0</v>
      </c>
      <c r="F2959">
        <v>0</v>
      </c>
      <c r="G2959">
        <v>0</v>
      </c>
      <c r="H2959">
        <v>0</v>
      </c>
      <c r="I2959">
        <v>0</v>
      </c>
      <c r="J2959">
        <v>0</v>
      </c>
      <c r="K2959">
        <v>0</v>
      </c>
      <c r="L2959">
        <v>0</v>
      </c>
      <c r="M2959">
        <v>0</v>
      </c>
      <c r="N2959">
        <v>35790</v>
      </c>
      <c r="O2959">
        <v>89217</v>
      </c>
      <c r="P2959">
        <v>40287</v>
      </c>
      <c r="Q2959">
        <v>2</v>
      </c>
      <c r="R2959">
        <v>0</v>
      </c>
      <c r="S2959">
        <v>0</v>
      </c>
      <c r="T2959">
        <v>12</v>
      </c>
      <c r="U2959">
        <v>17</v>
      </c>
    </row>
    <row r="2960" spans="1:21" x14ac:dyDescent="0.35">
      <c r="A2960" t="s">
        <v>28</v>
      </c>
      <c r="B2960" s="1">
        <v>44596</v>
      </c>
      <c r="C2960" t="s">
        <v>24</v>
      </c>
      <c r="D2960">
        <v>61.9</v>
      </c>
      <c r="E2960">
        <v>131.9</v>
      </c>
      <c r="F2960">
        <v>0</v>
      </c>
      <c r="G2960">
        <v>0.5</v>
      </c>
      <c r="H2960">
        <v>0</v>
      </c>
      <c r="I2960">
        <v>0</v>
      </c>
      <c r="J2960">
        <v>0</v>
      </c>
      <c r="K2960">
        <v>0</v>
      </c>
      <c r="L2960">
        <v>0</v>
      </c>
      <c r="M2960">
        <v>0</v>
      </c>
      <c r="N2960">
        <v>103457</v>
      </c>
      <c r="O2960">
        <v>90969</v>
      </c>
      <c r="P2960">
        <v>0</v>
      </c>
      <c r="Q2960">
        <v>64</v>
      </c>
      <c r="R2960">
        <v>120</v>
      </c>
      <c r="S2960">
        <v>0</v>
      </c>
      <c r="T2960">
        <v>5</v>
      </c>
      <c r="U2960">
        <v>11</v>
      </c>
    </row>
    <row r="2961" spans="1:21" x14ac:dyDescent="0.35">
      <c r="A2961" t="s">
        <v>21</v>
      </c>
      <c r="B2961" s="1">
        <v>45038</v>
      </c>
      <c r="C2961" t="s">
        <v>25</v>
      </c>
      <c r="D2961">
        <v>0</v>
      </c>
      <c r="E2961">
        <v>0</v>
      </c>
      <c r="F2961">
        <v>0</v>
      </c>
      <c r="G2961">
        <v>0</v>
      </c>
      <c r="H2961">
        <v>0</v>
      </c>
      <c r="I2961">
        <v>0</v>
      </c>
      <c r="J2961">
        <v>0</v>
      </c>
      <c r="K2961">
        <v>0</v>
      </c>
      <c r="L2961">
        <v>0</v>
      </c>
      <c r="M2961">
        <v>0</v>
      </c>
      <c r="N2961">
        <v>75636</v>
      </c>
      <c r="O2961">
        <v>214023</v>
      </c>
      <c r="P2961">
        <v>161683</v>
      </c>
      <c r="Q2961">
        <v>0</v>
      </c>
      <c r="R2961">
        <v>0</v>
      </c>
      <c r="S2961">
        <v>0</v>
      </c>
      <c r="T2961">
        <v>18</v>
      </c>
      <c r="U2961">
        <v>29</v>
      </c>
    </row>
    <row r="2962" spans="1:21" x14ac:dyDescent="0.35">
      <c r="A2962" t="s">
        <v>28</v>
      </c>
      <c r="B2962" s="1">
        <v>44828</v>
      </c>
      <c r="C2962" t="s">
        <v>25</v>
      </c>
      <c r="D2962">
        <v>159.5</v>
      </c>
      <c r="E2962">
        <v>42.1</v>
      </c>
      <c r="F2962">
        <v>89.8</v>
      </c>
      <c r="G2962">
        <v>3.8</v>
      </c>
      <c r="H2962">
        <v>1.8</v>
      </c>
      <c r="I2962">
        <v>0</v>
      </c>
      <c r="J2962">
        <v>0</v>
      </c>
      <c r="K2962">
        <v>0</v>
      </c>
      <c r="L2962">
        <v>0</v>
      </c>
      <c r="M2962">
        <v>0</v>
      </c>
      <c r="N2962">
        <v>89038</v>
      </c>
      <c r="O2962">
        <v>211579</v>
      </c>
      <c r="P2962">
        <v>161435</v>
      </c>
      <c r="Q2962">
        <v>142</v>
      </c>
      <c r="R2962">
        <v>89</v>
      </c>
      <c r="S2962">
        <v>145</v>
      </c>
      <c r="T2962">
        <v>18</v>
      </c>
      <c r="U2962">
        <v>29</v>
      </c>
    </row>
    <row r="2963" spans="1:21" x14ac:dyDescent="0.35">
      <c r="A2963" t="s">
        <v>26</v>
      </c>
      <c r="B2963" s="1">
        <v>44828</v>
      </c>
      <c r="C2963" t="s">
        <v>29</v>
      </c>
      <c r="D2963">
        <v>10.6</v>
      </c>
      <c r="E2963">
        <v>2.5</v>
      </c>
      <c r="F2963">
        <v>2</v>
      </c>
      <c r="G2963">
        <v>4.2</v>
      </c>
      <c r="H2963">
        <v>5.3</v>
      </c>
      <c r="I2963">
        <v>0</v>
      </c>
      <c r="J2963">
        <v>0</v>
      </c>
      <c r="K2963">
        <v>0</v>
      </c>
      <c r="L2963">
        <v>0</v>
      </c>
      <c r="M2963">
        <v>0</v>
      </c>
      <c r="N2963">
        <v>122951</v>
      </c>
      <c r="O2963">
        <v>275932</v>
      </c>
      <c r="P2963">
        <v>346890</v>
      </c>
      <c r="Q2963">
        <v>13</v>
      </c>
      <c r="R2963">
        <v>7</v>
      </c>
      <c r="S2963">
        <v>7</v>
      </c>
      <c r="T2963">
        <v>30</v>
      </c>
      <c r="U2963">
        <v>49</v>
      </c>
    </row>
    <row r="2964" spans="1:21" x14ac:dyDescent="0.35">
      <c r="A2964" t="s">
        <v>21</v>
      </c>
      <c r="B2964" s="1">
        <v>44422</v>
      </c>
      <c r="C2964" t="s">
        <v>29</v>
      </c>
      <c r="D2964">
        <v>1.2</v>
      </c>
      <c r="E2964">
        <v>0</v>
      </c>
      <c r="F2964">
        <v>0</v>
      </c>
      <c r="G2964">
        <v>0</v>
      </c>
      <c r="H2964">
        <v>0</v>
      </c>
      <c r="I2964">
        <v>0</v>
      </c>
      <c r="J2964">
        <v>0</v>
      </c>
      <c r="K2964">
        <v>0</v>
      </c>
      <c r="L2964">
        <v>0</v>
      </c>
      <c r="M2964">
        <v>0</v>
      </c>
      <c r="N2964">
        <v>254572</v>
      </c>
      <c r="O2964">
        <v>504735</v>
      </c>
      <c r="P2964">
        <v>0</v>
      </c>
      <c r="Q2964">
        <v>3</v>
      </c>
      <c r="R2964">
        <v>0</v>
      </c>
      <c r="S2964">
        <v>0</v>
      </c>
      <c r="T2964">
        <v>30</v>
      </c>
      <c r="U2964">
        <v>49</v>
      </c>
    </row>
    <row r="2965" spans="1:21" x14ac:dyDescent="0.35">
      <c r="A2965" t="s">
        <v>28</v>
      </c>
      <c r="B2965" s="1">
        <v>44884</v>
      </c>
      <c r="C2965" t="s">
        <v>31</v>
      </c>
      <c r="D2965">
        <v>163</v>
      </c>
      <c r="E2965">
        <v>131.5</v>
      </c>
      <c r="F2965">
        <v>141.6</v>
      </c>
      <c r="G2965">
        <v>1.2</v>
      </c>
      <c r="H2965">
        <v>1.2</v>
      </c>
      <c r="I2965">
        <v>0</v>
      </c>
      <c r="J2965">
        <v>0</v>
      </c>
      <c r="K2965">
        <v>0</v>
      </c>
      <c r="L2965">
        <v>0</v>
      </c>
      <c r="M2965">
        <v>0</v>
      </c>
      <c r="N2965">
        <v>41725</v>
      </c>
      <c r="O2965">
        <v>43336</v>
      </c>
      <c r="P2965">
        <v>171598</v>
      </c>
      <c r="Q2965">
        <v>68</v>
      </c>
      <c r="R2965">
        <v>57</v>
      </c>
      <c r="S2965">
        <v>243</v>
      </c>
      <c r="T2965">
        <v>65</v>
      </c>
      <c r="U2965">
        <v>79</v>
      </c>
    </row>
    <row r="2966" spans="1:21" x14ac:dyDescent="0.35">
      <c r="A2966" t="s">
        <v>21</v>
      </c>
      <c r="B2966" s="1">
        <v>44846</v>
      </c>
      <c r="C2966" t="s">
        <v>27</v>
      </c>
      <c r="D2966">
        <v>0</v>
      </c>
      <c r="E2966">
        <v>0</v>
      </c>
      <c r="F2966">
        <v>0</v>
      </c>
      <c r="G2966">
        <v>0</v>
      </c>
      <c r="H2966">
        <v>0</v>
      </c>
      <c r="I2966">
        <v>0</v>
      </c>
      <c r="J2966">
        <v>0</v>
      </c>
      <c r="K2966">
        <v>0</v>
      </c>
      <c r="L2966">
        <v>0</v>
      </c>
      <c r="M2966">
        <v>0</v>
      </c>
      <c r="N2966">
        <v>33887</v>
      </c>
      <c r="O2966">
        <v>86131</v>
      </c>
      <c r="P2966">
        <v>44514</v>
      </c>
      <c r="Q2966">
        <v>0</v>
      </c>
      <c r="R2966">
        <v>0</v>
      </c>
      <c r="S2966">
        <v>0</v>
      </c>
      <c r="T2966">
        <v>12</v>
      </c>
      <c r="U2966">
        <v>17</v>
      </c>
    </row>
    <row r="2967" spans="1:21" x14ac:dyDescent="0.35">
      <c r="A2967" t="s">
        <v>26</v>
      </c>
      <c r="B2967" s="1">
        <v>44898</v>
      </c>
      <c r="C2967" t="s">
        <v>27</v>
      </c>
      <c r="D2967">
        <v>0</v>
      </c>
      <c r="E2967">
        <v>0</v>
      </c>
      <c r="F2967">
        <v>0</v>
      </c>
      <c r="G2967">
        <v>0</v>
      </c>
      <c r="H2967">
        <v>0</v>
      </c>
      <c r="I2967">
        <v>0</v>
      </c>
      <c r="J2967">
        <v>0</v>
      </c>
      <c r="K2967">
        <v>0</v>
      </c>
      <c r="L2967">
        <v>0</v>
      </c>
      <c r="M2967">
        <v>0</v>
      </c>
      <c r="N2967">
        <v>38897</v>
      </c>
      <c r="O2967">
        <v>95971</v>
      </c>
      <c r="P2967">
        <v>28723</v>
      </c>
      <c r="Q2967">
        <v>0</v>
      </c>
      <c r="R2967">
        <v>0</v>
      </c>
      <c r="S2967">
        <v>0</v>
      </c>
      <c r="T2967">
        <v>12</v>
      </c>
      <c r="U2967">
        <v>17</v>
      </c>
    </row>
    <row r="2968" spans="1:21" x14ac:dyDescent="0.35">
      <c r="A2968" t="s">
        <v>21</v>
      </c>
      <c r="B2968" s="1">
        <v>44947</v>
      </c>
      <c r="C2968" t="s">
        <v>29</v>
      </c>
      <c r="D2968">
        <v>0</v>
      </c>
      <c r="E2968">
        <v>0</v>
      </c>
      <c r="F2968">
        <v>0</v>
      </c>
      <c r="G2968">
        <v>0</v>
      </c>
      <c r="H2968">
        <v>0</v>
      </c>
      <c r="I2968">
        <v>0</v>
      </c>
      <c r="J2968">
        <v>0</v>
      </c>
      <c r="K2968">
        <v>0</v>
      </c>
      <c r="L2968">
        <v>0</v>
      </c>
      <c r="M2968">
        <v>0</v>
      </c>
      <c r="N2968">
        <v>112078</v>
      </c>
      <c r="O2968">
        <v>277463</v>
      </c>
      <c r="P2968">
        <v>347220</v>
      </c>
      <c r="Q2968">
        <v>0</v>
      </c>
      <c r="R2968">
        <v>0</v>
      </c>
      <c r="S2968">
        <v>0</v>
      </c>
      <c r="T2968">
        <v>30</v>
      </c>
      <c r="U2968">
        <v>49</v>
      </c>
    </row>
    <row r="2969" spans="1:21" x14ac:dyDescent="0.35">
      <c r="A2969" t="s">
        <v>26</v>
      </c>
      <c r="B2969" s="1">
        <v>44422</v>
      </c>
      <c r="C2969" t="s">
        <v>31</v>
      </c>
      <c r="D2969">
        <v>41.4</v>
      </c>
      <c r="E2969">
        <v>9.8000000000000007</v>
      </c>
      <c r="F2969">
        <v>0</v>
      </c>
      <c r="G2969">
        <v>4.2</v>
      </c>
      <c r="H2969">
        <v>0</v>
      </c>
      <c r="I2969">
        <v>0</v>
      </c>
      <c r="J2969">
        <v>0</v>
      </c>
      <c r="K2969">
        <v>0</v>
      </c>
      <c r="L2969">
        <v>0</v>
      </c>
      <c r="M2969">
        <v>0</v>
      </c>
      <c r="N2969">
        <v>67653</v>
      </c>
      <c r="O2969">
        <v>193586</v>
      </c>
      <c r="P2969">
        <v>0</v>
      </c>
      <c r="Q2969">
        <v>28</v>
      </c>
      <c r="R2969">
        <v>19</v>
      </c>
      <c r="S2969">
        <v>0</v>
      </c>
      <c r="T2969">
        <v>65</v>
      </c>
      <c r="U2969">
        <v>79</v>
      </c>
    </row>
    <row r="2970" spans="1:21" x14ac:dyDescent="0.35">
      <c r="A2970" t="s">
        <v>26</v>
      </c>
      <c r="B2970" s="1">
        <v>45031</v>
      </c>
      <c r="C2970" t="s">
        <v>24</v>
      </c>
      <c r="D2970">
        <v>2.2000000000000002</v>
      </c>
      <c r="E2970">
        <v>0</v>
      </c>
      <c r="F2970">
        <v>4.7</v>
      </c>
      <c r="G2970">
        <v>0</v>
      </c>
      <c r="H2970">
        <v>0.5</v>
      </c>
      <c r="I2970">
        <v>0</v>
      </c>
      <c r="J2970">
        <v>0</v>
      </c>
      <c r="K2970">
        <v>0</v>
      </c>
      <c r="L2970">
        <v>0</v>
      </c>
      <c r="M2970">
        <v>0</v>
      </c>
      <c r="N2970">
        <v>91051</v>
      </c>
      <c r="O2970">
        <v>82568</v>
      </c>
      <c r="P2970">
        <v>21228</v>
      </c>
      <c r="Q2970">
        <v>2</v>
      </c>
      <c r="R2970">
        <v>0</v>
      </c>
      <c r="S2970">
        <v>1</v>
      </c>
      <c r="T2970">
        <v>5</v>
      </c>
      <c r="U2970">
        <v>11</v>
      </c>
    </row>
    <row r="2971" spans="1:21" x14ac:dyDescent="0.35">
      <c r="A2971" t="s">
        <v>26</v>
      </c>
      <c r="B2971" s="1">
        <v>44303</v>
      </c>
      <c r="C2971" t="s">
        <v>31</v>
      </c>
      <c r="D2971">
        <v>58.3</v>
      </c>
      <c r="E2971">
        <v>8</v>
      </c>
      <c r="F2971">
        <v>0</v>
      </c>
      <c r="G2971">
        <v>7.3</v>
      </c>
      <c r="H2971">
        <v>0</v>
      </c>
      <c r="I2971">
        <v>0</v>
      </c>
      <c r="J2971">
        <v>0</v>
      </c>
      <c r="K2971">
        <v>0</v>
      </c>
      <c r="L2971">
        <v>0</v>
      </c>
      <c r="M2971">
        <v>0</v>
      </c>
      <c r="N2971">
        <v>94416</v>
      </c>
      <c r="O2971">
        <v>124678</v>
      </c>
      <c r="P2971">
        <v>0</v>
      </c>
      <c r="Q2971">
        <v>55</v>
      </c>
      <c r="R2971">
        <v>10</v>
      </c>
      <c r="S2971">
        <v>0</v>
      </c>
      <c r="T2971">
        <v>65</v>
      </c>
      <c r="U2971">
        <v>79</v>
      </c>
    </row>
    <row r="2972" spans="1:21" x14ac:dyDescent="0.35">
      <c r="A2972" t="s">
        <v>28</v>
      </c>
      <c r="B2972" s="1">
        <v>45220</v>
      </c>
      <c r="C2972" t="s">
        <v>24</v>
      </c>
      <c r="D2972">
        <v>12.3</v>
      </c>
      <c r="E2972">
        <v>6.1</v>
      </c>
      <c r="F2972">
        <v>18.7</v>
      </c>
      <c r="G2972">
        <v>2</v>
      </c>
      <c r="H2972">
        <v>0.7</v>
      </c>
      <c r="I2972">
        <v>0</v>
      </c>
      <c r="J2972">
        <v>0</v>
      </c>
      <c r="K2972">
        <v>0</v>
      </c>
      <c r="L2972">
        <v>0</v>
      </c>
      <c r="M2972">
        <v>0</v>
      </c>
      <c r="N2972">
        <v>89096</v>
      </c>
      <c r="O2972">
        <v>82596</v>
      </c>
      <c r="P2972">
        <v>21371</v>
      </c>
      <c r="Q2972">
        <v>11</v>
      </c>
      <c r="R2972">
        <v>5</v>
      </c>
      <c r="S2972">
        <v>4</v>
      </c>
      <c r="T2972">
        <v>5</v>
      </c>
      <c r="U2972">
        <v>11</v>
      </c>
    </row>
    <row r="2973" spans="1:21" x14ac:dyDescent="0.35">
      <c r="A2973" t="s">
        <v>28</v>
      </c>
      <c r="B2973" s="1">
        <v>44646</v>
      </c>
      <c r="C2973" t="s">
        <v>27</v>
      </c>
      <c r="D2973">
        <v>57.2</v>
      </c>
      <c r="E2973">
        <v>38.6</v>
      </c>
      <c r="F2973">
        <v>95.4</v>
      </c>
      <c r="G2973">
        <v>1.5</v>
      </c>
      <c r="H2973">
        <v>0.6</v>
      </c>
      <c r="I2973">
        <v>0</v>
      </c>
      <c r="J2973">
        <v>0</v>
      </c>
      <c r="K2973">
        <v>0</v>
      </c>
      <c r="L2973">
        <v>0</v>
      </c>
      <c r="M2973">
        <v>0</v>
      </c>
      <c r="N2973">
        <v>38433</v>
      </c>
      <c r="O2973">
        <v>95876</v>
      </c>
      <c r="P2973">
        <v>30389</v>
      </c>
      <c r="Q2973">
        <v>22</v>
      </c>
      <c r="R2973">
        <v>37</v>
      </c>
      <c r="S2973">
        <v>29</v>
      </c>
      <c r="T2973">
        <v>12</v>
      </c>
      <c r="U2973">
        <v>17</v>
      </c>
    </row>
    <row r="2974" spans="1:21" x14ac:dyDescent="0.35">
      <c r="A2974" t="s">
        <v>26</v>
      </c>
      <c r="B2974" s="1">
        <v>45122</v>
      </c>
      <c r="C2974" t="s">
        <v>25</v>
      </c>
      <c r="D2974">
        <v>0</v>
      </c>
      <c r="E2974">
        <v>0</v>
      </c>
      <c r="F2974">
        <v>0</v>
      </c>
      <c r="G2974">
        <v>0</v>
      </c>
      <c r="H2974">
        <v>0</v>
      </c>
      <c r="I2974">
        <v>0</v>
      </c>
      <c r="J2974">
        <v>0</v>
      </c>
      <c r="K2974">
        <v>0</v>
      </c>
      <c r="L2974">
        <v>0</v>
      </c>
      <c r="M2974">
        <v>0</v>
      </c>
      <c r="N2974">
        <v>74031</v>
      </c>
      <c r="O2974">
        <v>214138</v>
      </c>
      <c r="P2974">
        <v>161706</v>
      </c>
      <c r="Q2974">
        <v>0</v>
      </c>
      <c r="R2974">
        <v>0</v>
      </c>
      <c r="S2974">
        <v>0</v>
      </c>
      <c r="T2974">
        <v>18</v>
      </c>
      <c r="U2974">
        <v>29</v>
      </c>
    </row>
    <row r="2975" spans="1:21" x14ac:dyDescent="0.35">
      <c r="A2975" t="s">
        <v>21</v>
      </c>
      <c r="B2975" s="1">
        <v>44449</v>
      </c>
      <c r="C2975" t="s">
        <v>29</v>
      </c>
      <c r="D2975">
        <v>1.4</v>
      </c>
      <c r="E2975">
        <v>0</v>
      </c>
      <c r="F2975">
        <v>0</v>
      </c>
      <c r="G2975">
        <v>0</v>
      </c>
      <c r="H2975">
        <v>0</v>
      </c>
      <c r="I2975">
        <v>0</v>
      </c>
      <c r="J2975">
        <v>0</v>
      </c>
      <c r="K2975">
        <v>0</v>
      </c>
      <c r="L2975">
        <v>0</v>
      </c>
      <c r="M2975">
        <v>0</v>
      </c>
      <c r="N2975">
        <v>214640</v>
      </c>
      <c r="O2975">
        <v>537114</v>
      </c>
      <c r="P2975">
        <v>0</v>
      </c>
      <c r="Q2975">
        <v>3</v>
      </c>
      <c r="R2975">
        <v>0</v>
      </c>
      <c r="S2975">
        <v>0</v>
      </c>
      <c r="T2975">
        <v>30</v>
      </c>
      <c r="U2975">
        <v>49</v>
      </c>
    </row>
    <row r="2976" spans="1:21" x14ac:dyDescent="0.35">
      <c r="A2976" t="s">
        <v>21</v>
      </c>
      <c r="B2976" s="1">
        <v>44657</v>
      </c>
      <c r="C2976" t="s">
        <v>23</v>
      </c>
      <c r="D2976">
        <v>2.2999999999999998</v>
      </c>
      <c r="E2976">
        <v>0</v>
      </c>
      <c r="F2976">
        <v>0</v>
      </c>
      <c r="G2976">
        <v>0</v>
      </c>
      <c r="H2976">
        <v>0</v>
      </c>
      <c r="I2976">
        <v>0</v>
      </c>
      <c r="J2976">
        <v>0</v>
      </c>
      <c r="K2976">
        <v>0</v>
      </c>
      <c r="L2976">
        <v>0</v>
      </c>
      <c r="M2976">
        <v>0</v>
      </c>
      <c r="N2976">
        <v>42758</v>
      </c>
      <c r="O2976">
        <v>131758</v>
      </c>
      <c r="P2976">
        <v>237215</v>
      </c>
      <c r="Q2976">
        <v>1</v>
      </c>
      <c r="R2976">
        <v>0</v>
      </c>
      <c r="S2976">
        <v>0</v>
      </c>
      <c r="T2976">
        <v>50</v>
      </c>
      <c r="U2976">
        <v>64</v>
      </c>
    </row>
    <row r="2977" spans="1:21" x14ac:dyDescent="0.35">
      <c r="A2977" t="s">
        <v>21</v>
      </c>
      <c r="B2977" s="1">
        <v>44912</v>
      </c>
      <c r="C2977" t="s">
        <v>24</v>
      </c>
      <c r="D2977">
        <v>0</v>
      </c>
      <c r="E2977">
        <v>0</v>
      </c>
      <c r="F2977">
        <v>0</v>
      </c>
      <c r="G2977">
        <v>0</v>
      </c>
      <c r="H2977">
        <v>0</v>
      </c>
      <c r="I2977">
        <v>0</v>
      </c>
      <c r="J2977">
        <v>0</v>
      </c>
      <c r="K2977">
        <v>0</v>
      </c>
      <c r="L2977">
        <v>0</v>
      </c>
      <c r="M2977">
        <v>0</v>
      </c>
      <c r="N2977">
        <v>92628</v>
      </c>
      <c r="O2977">
        <v>81328</v>
      </c>
      <c r="P2977">
        <v>21134</v>
      </c>
      <c r="Q2977">
        <v>0</v>
      </c>
      <c r="R2977">
        <v>0</v>
      </c>
      <c r="S2977">
        <v>0</v>
      </c>
      <c r="T2977">
        <v>5</v>
      </c>
      <c r="U2977">
        <v>11</v>
      </c>
    </row>
    <row r="2978" spans="1:21" x14ac:dyDescent="0.35">
      <c r="A2978" t="s">
        <v>28</v>
      </c>
      <c r="B2978" s="1">
        <v>45027</v>
      </c>
      <c r="C2978" t="s">
        <v>27</v>
      </c>
      <c r="D2978">
        <v>15.8</v>
      </c>
      <c r="E2978">
        <v>16.2</v>
      </c>
      <c r="F2978">
        <v>17.899999999999999</v>
      </c>
      <c r="G2978">
        <v>1</v>
      </c>
      <c r="H2978">
        <v>0.9</v>
      </c>
      <c r="I2978">
        <v>0</v>
      </c>
      <c r="J2978">
        <v>0</v>
      </c>
      <c r="K2978">
        <v>0</v>
      </c>
      <c r="L2978">
        <v>0</v>
      </c>
      <c r="M2978">
        <v>0</v>
      </c>
      <c r="N2978">
        <v>31567</v>
      </c>
      <c r="O2978">
        <v>86534</v>
      </c>
      <c r="P2978">
        <v>44661</v>
      </c>
      <c r="Q2978">
        <v>5</v>
      </c>
      <c r="R2978">
        <v>14</v>
      </c>
      <c r="S2978">
        <v>8</v>
      </c>
      <c r="T2978">
        <v>12</v>
      </c>
      <c r="U2978">
        <v>17</v>
      </c>
    </row>
    <row r="2979" spans="1:21" x14ac:dyDescent="0.35">
      <c r="A2979" t="s">
        <v>26</v>
      </c>
      <c r="B2979" s="1">
        <v>45019</v>
      </c>
      <c r="C2979" t="s">
        <v>30</v>
      </c>
      <c r="D2979">
        <v>36.5</v>
      </c>
      <c r="E2979">
        <v>61.5</v>
      </c>
      <c r="F2979">
        <v>50.9</v>
      </c>
      <c r="G2979">
        <v>0.6</v>
      </c>
      <c r="H2979">
        <v>0.7</v>
      </c>
      <c r="I2979">
        <v>0</v>
      </c>
      <c r="J2979">
        <v>0</v>
      </c>
      <c r="K2979">
        <v>0</v>
      </c>
      <c r="L2979">
        <v>0</v>
      </c>
      <c r="M2979">
        <v>0</v>
      </c>
      <c r="N2979">
        <v>24686</v>
      </c>
      <c r="O2979">
        <v>11377</v>
      </c>
      <c r="P2979">
        <v>47125</v>
      </c>
      <c r="Q2979">
        <v>9</v>
      </c>
      <c r="R2979">
        <v>7</v>
      </c>
      <c r="S2979">
        <v>24</v>
      </c>
      <c r="T2979">
        <v>80</v>
      </c>
      <c r="U2979">
        <v>200</v>
      </c>
    </row>
    <row r="2980" spans="1:21" x14ac:dyDescent="0.35">
      <c r="A2980" t="s">
        <v>28</v>
      </c>
      <c r="B2980" s="1">
        <v>44933</v>
      </c>
      <c r="C2980" t="s">
        <v>24</v>
      </c>
      <c r="D2980">
        <v>4.4000000000000004</v>
      </c>
      <c r="E2980">
        <v>2.4</v>
      </c>
      <c r="F2980">
        <v>0</v>
      </c>
      <c r="G2980">
        <v>1.8</v>
      </c>
      <c r="H2980">
        <v>0</v>
      </c>
      <c r="I2980">
        <v>0</v>
      </c>
      <c r="J2980">
        <v>0</v>
      </c>
      <c r="K2980">
        <v>0</v>
      </c>
      <c r="L2980">
        <v>0</v>
      </c>
      <c r="M2980">
        <v>0</v>
      </c>
      <c r="N2980">
        <v>90262</v>
      </c>
      <c r="O2980">
        <v>82673</v>
      </c>
      <c r="P2980">
        <v>21253</v>
      </c>
      <c r="Q2980">
        <v>4</v>
      </c>
      <c r="R2980">
        <v>2</v>
      </c>
      <c r="S2980">
        <v>0</v>
      </c>
      <c r="T2980">
        <v>5</v>
      </c>
      <c r="U2980">
        <v>11</v>
      </c>
    </row>
    <row r="2981" spans="1:21" x14ac:dyDescent="0.35">
      <c r="A2981" t="s">
        <v>28</v>
      </c>
      <c r="B2981" s="1">
        <v>44891</v>
      </c>
      <c r="C2981" t="s">
        <v>23</v>
      </c>
      <c r="D2981">
        <v>354.9</v>
      </c>
      <c r="E2981">
        <v>98.9</v>
      </c>
      <c r="F2981">
        <v>119.2</v>
      </c>
      <c r="G2981">
        <v>3.6</v>
      </c>
      <c r="H2981">
        <v>3</v>
      </c>
      <c r="I2981">
        <v>0</v>
      </c>
      <c r="J2981">
        <v>0</v>
      </c>
      <c r="K2981">
        <v>0</v>
      </c>
      <c r="L2981">
        <v>0</v>
      </c>
      <c r="M2981">
        <v>0</v>
      </c>
      <c r="N2981">
        <v>36067</v>
      </c>
      <c r="O2981">
        <v>125335</v>
      </c>
      <c r="P2981">
        <v>246724</v>
      </c>
      <c r="Q2981">
        <v>128</v>
      </c>
      <c r="R2981">
        <v>124</v>
      </c>
      <c r="S2981">
        <v>294</v>
      </c>
      <c r="T2981">
        <v>50</v>
      </c>
      <c r="U2981">
        <v>64</v>
      </c>
    </row>
    <row r="2982" spans="1:21" x14ac:dyDescent="0.35">
      <c r="A2982" t="s">
        <v>26</v>
      </c>
      <c r="B2982" s="1">
        <v>44737</v>
      </c>
      <c r="C2982" t="s">
        <v>27</v>
      </c>
      <c r="D2982">
        <v>5.5</v>
      </c>
      <c r="E2982">
        <v>1.1000000000000001</v>
      </c>
      <c r="F2982">
        <v>2.7</v>
      </c>
      <c r="G2982">
        <v>5</v>
      </c>
      <c r="H2982">
        <v>2</v>
      </c>
      <c r="I2982">
        <v>0</v>
      </c>
      <c r="J2982">
        <v>0</v>
      </c>
      <c r="K2982">
        <v>0</v>
      </c>
      <c r="L2982">
        <v>0</v>
      </c>
      <c r="M2982">
        <v>0</v>
      </c>
      <c r="N2982">
        <v>36604</v>
      </c>
      <c r="O2982">
        <v>92093</v>
      </c>
      <c r="P2982">
        <v>36756</v>
      </c>
      <c r="Q2982">
        <v>2</v>
      </c>
      <c r="R2982">
        <v>1</v>
      </c>
      <c r="S2982">
        <v>1</v>
      </c>
      <c r="T2982">
        <v>12</v>
      </c>
      <c r="U2982">
        <v>17</v>
      </c>
    </row>
    <row r="2983" spans="1:21" x14ac:dyDescent="0.35">
      <c r="A2983" t="s">
        <v>28</v>
      </c>
      <c r="B2983" s="1">
        <v>44786</v>
      </c>
      <c r="C2983" t="s">
        <v>24</v>
      </c>
      <c r="D2983">
        <v>84.8</v>
      </c>
      <c r="E2983">
        <v>71.400000000000006</v>
      </c>
      <c r="F2983">
        <v>100.6</v>
      </c>
      <c r="G2983">
        <v>1.2</v>
      </c>
      <c r="H2983">
        <v>0.8</v>
      </c>
      <c r="I2983">
        <v>0</v>
      </c>
      <c r="J2983">
        <v>0</v>
      </c>
      <c r="K2983">
        <v>0</v>
      </c>
      <c r="L2983">
        <v>0</v>
      </c>
      <c r="M2983">
        <v>0</v>
      </c>
      <c r="N2983">
        <v>96738</v>
      </c>
      <c r="O2983">
        <v>85405</v>
      </c>
      <c r="P2983">
        <v>12921</v>
      </c>
      <c r="Q2983">
        <v>82</v>
      </c>
      <c r="R2983">
        <v>61</v>
      </c>
      <c r="S2983">
        <v>13</v>
      </c>
      <c r="T2983">
        <v>5</v>
      </c>
      <c r="U2983">
        <v>11</v>
      </c>
    </row>
    <row r="2984" spans="1:21" x14ac:dyDescent="0.35">
      <c r="A2984" t="s">
        <v>28</v>
      </c>
      <c r="B2984" s="1">
        <v>44555</v>
      </c>
      <c r="C2984" t="s">
        <v>29</v>
      </c>
      <c r="D2984">
        <v>2493.6</v>
      </c>
      <c r="E2984">
        <v>1654.3</v>
      </c>
      <c r="F2984">
        <v>1139.4000000000001</v>
      </c>
      <c r="G2984">
        <v>1.5</v>
      </c>
      <c r="H2984">
        <v>2.2000000000000002</v>
      </c>
      <c r="I2984">
        <v>0</v>
      </c>
      <c r="J2984">
        <v>0</v>
      </c>
      <c r="K2984">
        <v>0</v>
      </c>
      <c r="L2984">
        <v>0</v>
      </c>
      <c r="M2984">
        <v>0</v>
      </c>
      <c r="N2984">
        <v>172845</v>
      </c>
      <c r="O2984">
        <v>404756</v>
      </c>
      <c r="P2984">
        <v>175179</v>
      </c>
      <c r="Q2984">
        <v>4310</v>
      </c>
      <c r="R2984">
        <v>6696</v>
      </c>
      <c r="S2984">
        <v>1996</v>
      </c>
      <c r="T2984">
        <v>30</v>
      </c>
      <c r="U2984">
        <v>49</v>
      </c>
    </row>
    <row r="2985" spans="1:21" x14ac:dyDescent="0.35">
      <c r="A2985" t="s">
        <v>21</v>
      </c>
      <c r="B2985" s="1">
        <v>44947</v>
      </c>
      <c r="C2985" t="s">
        <v>30</v>
      </c>
      <c r="D2985">
        <v>8.1</v>
      </c>
      <c r="E2985">
        <v>0</v>
      </c>
      <c r="F2985">
        <v>6.4</v>
      </c>
      <c r="G2985">
        <v>0</v>
      </c>
      <c r="H2985">
        <v>1.3</v>
      </c>
      <c r="I2985">
        <v>0</v>
      </c>
      <c r="J2985">
        <v>0</v>
      </c>
      <c r="K2985">
        <v>0</v>
      </c>
      <c r="L2985">
        <v>0</v>
      </c>
      <c r="M2985">
        <v>0</v>
      </c>
      <c r="N2985">
        <v>24751</v>
      </c>
      <c r="O2985">
        <v>11374</v>
      </c>
      <c r="P2985">
        <v>47117</v>
      </c>
      <c r="Q2985">
        <v>2</v>
      </c>
      <c r="R2985">
        <v>0</v>
      </c>
      <c r="S2985">
        <v>3</v>
      </c>
      <c r="T2985">
        <v>80</v>
      </c>
      <c r="U2985">
        <v>200</v>
      </c>
    </row>
    <row r="2986" spans="1:21" x14ac:dyDescent="0.35">
      <c r="A2986" t="s">
        <v>28</v>
      </c>
      <c r="B2986" s="1">
        <v>44828</v>
      </c>
      <c r="C2986" t="s">
        <v>29</v>
      </c>
      <c r="D2986">
        <v>122.8</v>
      </c>
      <c r="E2986">
        <v>58.7</v>
      </c>
      <c r="F2986">
        <v>94.8</v>
      </c>
      <c r="G2986">
        <v>2.1</v>
      </c>
      <c r="H2986">
        <v>1.3</v>
      </c>
      <c r="I2986">
        <v>0</v>
      </c>
      <c r="J2986">
        <v>0</v>
      </c>
      <c r="K2986">
        <v>0</v>
      </c>
      <c r="L2986">
        <v>0</v>
      </c>
      <c r="M2986">
        <v>0</v>
      </c>
      <c r="N2986">
        <v>122951</v>
      </c>
      <c r="O2986">
        <v>275932</v>
      </c>
      <c r="P2986">
        <v>346890</v>
      </c>
      <c r="Q2986">
        <v>151</v>
      </c>
      <c r="R2986">
        <v>162</v>
      </c>
      <c r="S2986">
        <v>329</v>
      </c>
      <c r="T2986">
        <v>30</v>
      </c>
      <c r="U2986">
        <v>49</v>
      </c>
    </row>
    <row r="2987" spans="1:21" x14ac:dyDescent="0.35">
      <c r="A2987" t="s">
        <v>21</v>
      </c>
      <c r="B2987" s="1">
        <v>45241</v>
      </c>
      <c r="C2987" t="s">
        <v>23</v>
      </c>
      <c r="D2987">
        <v>0</v>
      </c>
      <c r="E2987">
        <v>0</v>
      </c>
      <c r="F2987">
        <v>0.4</v>
      </c>
      <c r="G2987">
        <v>0</v>
      </c>
      <c r="H2987">
        <v>0</v>
      </c>
      <c r="I2987">
        <v>0</v>
      </c>
      <c r="J2987">
        <v>0</v>
      </c>
      <c r="K2987">
        <v>0</v>
      </c>
      <c r="L2987">
        <v>0</v>
      </c>
      <c r="M2987">
        <v>0</v>
      </c>
      <c r="N2987">
        <v>30308</v>
      </c>
      <c r="O2987">
        <v>125745</v>
      </c>
      <c r="P2987">
        <v>247813</v>
      </c>
      <c r="Q2987">
        <v>0</v>
      </c>
      <c r="R2987">
        <v>0</v>
      </c>
      <c r="S2987">
        <v>1</v>
      </c>
      <c r="T2987">
        <v>50</v>
      </c>
      <c r="U2987">
        <v>64</v>
      </c>
    </row>
    <row r="2988" spans="1:21" x14ac:dyDescent="0.35">
      <c r="A2988" t="s">
        <v>21</v>
      </c>
      <c r="B2988" s="1">
        <v>44940</v>
      </c>
      <c r="C2988" t="s">
        <v>29</v>
      </c>
      <c r="D2988">
        <v>0</v>
      </c>
      <c r="E2988">
        <v>0</v>
      </c>
      <c r="F2988">
        <v>0</v>
      </c>
      <c r="G2988">
        <v>0</v>
      </c>
      <c r="H2988">
        <v>0</v>
      </c>
      <c r="I2988">
        <v>0</v>
      </c>
      <c r="J2988">
        <v>0</v>
      </c>
      <c r="K2988">
        <v>0</v>
      </c>
      <c r="L2988">
        <v>0</v>
      </c>
      <c r="M2988">
        <v>0</v>
      </c>
      <c r="N2988">
        <v>112361</v>
      </c>
      <c r="O2988">
        <v>277385</v>
      </c>
      <c r="P2988">
        <v>347213</v>
      </c>
      <c r="Q2988">
        <v>0</v>
      </c>
      <c r="R2988">
        <v>0</v>
      </c>
      <c r="S2988">
        <v>0</v>
      </c>
      <c r="T2988">
        <v>30</v>
      </c>
      <c r="U2988">
        <v>49</v>
      </c>
    </row>
    <row r="2989" spans="1:21" x14ac:dyDescent="0.35">
      <c r="A2989" t="s">
        <v>28</v>
      </c>
      <c r="B2989" s="1">
        <v>44856</v>
      </c>
      <c r="C2989" t="s">
        <v>29</v>
      </c>
      <c r="D2989">
        <v>146.1</v>
      </c>
      <c r="E2989">
        <v>63.7</v>
      </c>
      <c r="F2989">
        <v>84.4</v>
      </c>
      <c r="G2989">
        <v>2.2999999999999998</v>
      </c>
      <c r="H2989">
        <v>1.7</v>
      </c>
      <c r="I2989">
        <v>0</v>
      </c>
      <c r="J2989">
        <v>0</v>
      </c>
      <c r="K2989">
        <v>0</v>
      </c>
      <c r="L2989">
        <v>0</v>
      </c>
      <c r="M2989">
        <v>0</v>
      </c>
      <c r="N2989">
        <v>119057</v>
      </c>
      <c r="O2989">
        <v>276343</v>
      </c>
      <c r="P2989">
        <v>347017</v>
      </c>
      <c r="Q2989">
        <v>174</v>
      </c>
      <c r="R2989">
        <v>176</v>
      </c>
      <c r="S2989">
        <v>293</v>
      </c>
      <c r="T2989">
        <v>30</v>
      </c>
      <c r="U2989">
        <v>49</v>
      </c>
    </row>
    <row r="2990" spans="1:21" x14ac:dyDescent="0.35">
      <c r="A2990" t="s">
        <v>21</v>
      </c>
      <c r="B2990" s="1">
        <v>44436</v>
      </c>
      <c r="C2990" t="s">
        <v>31</v>
      </c>
      <c r="D2990">
        <v>9.1</v>
      </c>
      <c r="E2990">
        <v>0</v>
      </c>
      <c r="F2990">
        <v>0</v>
      </c>
      <c r="G2990">
        <v>0</v>
      </c>
      <c r="H2990">
        <v>0</v>
      </c>
      <c r="I2990">
        <v>0</v>
      </c>
      <c r="J2990">
        <v>0</v>
      </c>
      <c r="K2990">
        <v>0</v>
      </c>
      <c r="L2990">
        <v>0</v>
      </c>
      <c r="M2990">
        <v>0</v>
      </c>
      <c r="N2990">
        <v>65885</v>
      </c>
      <c r="O2990">
        <v>194871</v>
      </c>
      <c r="P2990">
        <v>0</v>
      </c>
      <c r="Q2990">
        <v>6</v>
      </c>
      <c r="R2990">
        <v>0</v>
      </c>
      <c r="S2990">
        <v>0</v>
      </c>
      <c r="T2990">
        <v>65</v>
      </c>
      <c r="U2990">
        <v>79</v>
      </c>
    </row>
    <row r="2991" spans="1:21" x14ac:dyDescent="0.35">
      <c r="A2991" t="s">
        <v>26</v>
      </c>
      <c r="B2991" s="1">
        <v>44897</v>
      </c>
      <c r="C2991" t="s">
        <v>27</v>
      </c>
      <c r="D2991">
        <v>2.4</v>
      </c>
      <c r="E2991">
        <v>1</v>
      </c>
      <c r="F2991">
        <v>4.5999999999999996</v>
      </c>
      <c r="G2991">
        <v>2.4</v>
      </c>
      <c r="H2991">
        <v>0.5</v>
      </c>
      <c r="I2991">
        <v>0</v>
      </c>
      <c r="J2991">
        <v>0</v>
      </c>
      <c r="K2991">
        <v>0</v>
      </c>
      <c r="L2991">
        <v>0</v>
      </c>
      <c r="M2991">
        <v>0</v>
      </c>
      <c r="N2991">
        <v>41212</v>
      </c>
      <c r="O2991">
        <v>95886</v>
      </c>
      <c r="P2991">
        <v>21795</v>
      </c>
      <c r="Q2991">
        <v>1</v>
      </c>
      <c r="R2991">
        <v>1</v>
      </c>
      <c r="S2991">
        <v>1</v>
      </c>
      <c r="T2991">
        <v>12</v>
      </c>
      <c r="U2991">
        <v>17</v>
      </c>
    </row>
    <row r="2992" spans="1:21" x14ac:dyDescent="0.35">
      <c r="A2992" t="s">
        <v>26</v>
      </c>
      <c r="B2992" s="1">
        <v>44629</v>
      </c>
      <c r="C2992" t="s">
        <v>22</v>
      </c>
      <c r="D2992">
        <v>13.7</v>
      </c>
      <c r="E2992">
        <v>5.8</v>
      </c>
      <c r="F2992">
        <v>10.4</v>
      </c>
      <c r="G2992">
        <v>2.4</v>
      </c>
      <c r="H2992">
        <v>1.3</v>
      </c>
      <c r="I2992">
        <v>17.8</v>
      </c>
      <c r="J2992">
        <v>8</v>
      </c>
      <c r="K2992">
        <v>7.2</v>
      </c>
      <c r="L2992">
        <v>2.2000000000000002</v>
      </c>
      <c r="M2992">
        <v>2.5</v>
      </c>
      <c r="N2992">
        <v>604544</v>
      </c>
      <c r="O2992">
        <v>842367</v>
      </c>
      <c r="P2992">
        <v>1030965</v>
      </c>
      <c r="Q2992">
        <v>83</v>
      </c>
      <c r="R2992">
        <v>49</v>
      </c>
      <c r="S2992">
        <v>107</v>
      </c>
      <c r="T2992">
        <v>999</v>
      </c>
      <c r="U2992">
        <v>999</v>
      </c>
    </row>
    <row r="2993" spans="1:21" x14ac:dyDescent="0.35">
      <c r="A2993" t="s">
        <v>28</v>
      </c>
      <c r="B2993" s="1">
        <v>45192</v>
      </c>
      <c r="C2993" t="s">
        <v>29</v>
      </c>
      <c r="D2993">
        <v>68.599999999999994</v>
      </c>
      <c r="E2993">
        <v>25.5</v>
      </c>
      <c r="F2993">
        <v>38.9</v>
      </c>
      <c r="G2993">
        <v>2.7</v>
      </c>
      <c r="H2993">
        <v>1.8</v>
      </c>
      <c r="I2993">
        <v>0</v>
      </c>
      <c r="J2993">
        <v>0</v>
      </c>
      <c r="K2993">
        <v>0</v>
      </c>
      <c r="L2993">
        <v>0</v>
      </c>
      <c r="M2993">
        <v>0</v>
      </c>
      <c r="N2993">
        <v>106401</v>
      </c>
      <c r="O2993">
        <v>278395</v>
      </c>
      <c r="P2993">
        <v>347328</v>
      </c>
      <c r="Q2993">
        <v>73</v>
      </c>
      <c r="R2993">
        <v>71</v>
      </c>
      <c r="S2993">
        <v>135</v>
      </c>
      <c r="T2993">
        <v>30</v>
      </c>
      <c r="U2993">
        <v>49</v>
      </c>
    </row>
    <row r="2994" spans="1:21" x14ac:dyDescent="0.35">
      <c r="A2994" t="s">
        <v>21</v>
      </c>
      <c r="B2994" s="1">
        <v>44513</v>
      </c>
      <c r="C2994" t="s">
        <v>22</v>
      </c>
      <c r="D2994">
        <v>1.7</v>
      </c>
      <c r="E2994">
        <v>1.1000000000000001</v>
      </c>
      <c r="F2994">
        <v>0.6</v>
      </c>
      <c r="G2994">
        <v>1.5</v>
      </c>
      <c r="H2994">
        <v>2.8</v>
      </c>
      <c r="I2994">
        <v>2.7</v>
      </c>
      <c r="J2994">
        <v>1</v>
      </c>
      <c r="K2994">
        <v>0.2</v>
      </c>
      <c r="L2994">
        <v>2.7</v>
      </c>
      <c r="M2994">
        <v>16.2</v>
      </c>
      <c r="N2994">
        <v>918456</v>
      </c>
      <c r="O2994">
        <v>1426503</v>
      </c>
      <c r="P2994">
        <v>169151</v>
      </c>
      <c r="Q2994">
        <v>16</v>
      </c>
      <c r="R2994">
        <v>15</v>
      </c>
      <c r="S2994">
        <v>1</v>
      </c>
      <c r="T2994">
        <v>999</v>
      </c>
      <c r="U2994">
        <v>999</v>
      </c>
    </row>
    <row r="2995" spans="1:21" x14ac:dyDescent="0.35">
      <c r="A2995" t="s">
        <v>26</v>
      </c>
      <c r="B2995" s="1">
        <v>45248</v>
      </c>
      <c r="C2995" t="s">
        <v>24</v>
      </c>
      <c r="D2995">
        <v>2.2999999999999998</v>
      </c>
      <c r="E2995">
        <v>0</v>
      </c>
      <c r="F2995">
        <v>0</v>
      </c>
      <c r="G2995">
        <v>0</v>
      </c>
      <c r="H2995">
        <v>0</v>
      </c>
      <c r="I2995">
        <v>0</v>
      </c>
      <c r="J2995">
        <v>0</v>
      </c>
      <c r="K2995">
        <v>0</v>
      </c>
      <c r="L2995">
        <v>0</v>
      </c>
      <c r="M2995">
        <v>0</v>
      </c>
      <c r="N2995">
        <v>88375</v>
      </c>
      <c r="O2995">
        <v>81993</v>
      </c>
      <c r="P2995">
        <v>22205</v>
      </c>
      <c r="Q2995">
        <v>2</v>
      </c>
      <c r="R2995">
        <v>0</v>
      </c>
      <c r="S2995">
        <v>0</v>
      </c>
      <c r="T2995">
        <v>5</v>
      </c>
      <c r="U2995">
        <v>11</v>
      </c>
    </row>
    <row r="2996" spans="1:21" x14ac:dyDescent="0.35">
      <c r="A2996" t="s">
        <v>26</v>
      </c>
      <c r="B2996" s="1">
        <v>44536</v>
      </c>
      <c r="C2996" t="s">
        <v>27</v>
      </c>
      <c r="D2996">
        <v>1.7</v>
      </c>
      <c r="E2996">
        <v>0</v>
      </c>
      <c r="F2996">
        <v>0</v>
      </c>
      <c r="G2996">
        <v>0</v>
      </c>
      <c r="H2996">
        <v>0</v>
      </c>
      <c r="I2996">
        <v>0</v>
      </c>
      <c r="J2996">
        <v>0</v>
      </c>
      <c r="K2996">
        <v>0</v>
      </c>
      <c r="L2996">
        <v>0</v>
      </c>
      <c r="M2996">
        <v>0</v>
      </c>
      <c r="N2996">
        <v>118282</v>
      </c>
      <c r="O2996">
        <v>13905</v>
      </c>
      <c r="P2996">
        <v>0</v>
      </c>
      <c r="Q2996">
        <v>2</v>
      </c>
      <c r="R2996">
        <v>0</v>
      </c>
      <c r="S2996">
        <v>0</v>
      </c>
      <c r="T2996">
        <v>12</v>
      </c>
      <c r="U2996">
        <v>17</v>
      </c>
    </row>
    <row r="2997" spans="1:21" x14ac:dyDescent="0.35">
      <c r="A2997" t="s">
        <v>28</v>
      </c>
      <c r="B2997" s="1">
        <v>44345</v>
      </c>
      <c r="C2997" t="s">
        <v>25</v>
      </c>
      <c r="D2997">
        <v>82.7</v>
      </c>
      <c r="E2997">
        <v>3.4</v>
      </c>
      <c r="F2997">
        <v>0</v>
      </c>
      <c r="G2997">
        <v>24.3</v>
      </c>
      <c r="H2997">
        <v>0</v>
      </c>
      <c r="I2997">
        <v>0</v>
      </c>
      <c r="J2997">
        <v>0</v>
      </c>
      <c r="K2997">
        <v>0</v>
      </c>
      <c r="L2997">
        <v>0</v>
      </c>
      <c r="M2997">
        <v>0</v>
      </c>
      <c r="N2997">
        <v>246752</v>
      </c>
      <c r="O2997">
        <v>207387</v>
      </c>
      <c r="P2997">
        <v>0</v>
      </c>
      <c r="Q2997">
        <v>204</v>
      </c>
      <c r="R2997">
        <v>7</v>
      </c>
      <c r="S2997">
        <v>0</v>
      </c>
      <c r="T2997">
        <v>18</v>
      </c>
      <c r="U2997">
        <v>29</v>
      </c>
    </row>
    <row r="2998" spans="1:21" x14ac:dyDescent="0.35">
      <c r="A2998" t="s">
        <v>21</v>
      </c>
      <c r="B2998" s="1">
        <v>44811</v>
      </c>
      <c r="C2998" t="s">
        <v>23</v>
      </c>
      <c r="D2998">
        <v>0</v>
      </c>
      <c r="E2998">
        <v>0</v>
      </c>
      <c r="F2998">
        <v>0.4</v>
      </c>
      <c r="G2998">
        <v>0</v>
      </c>
      <c r="H2998">
        <v>0</v>
      </c>
      <c r="I2998">
        <v>0</v>
      </c>
      <c r="J2998">
        <v>0</v>
      </c>
      <c r="K2998">
        <v>0</v>
      </c>
      <c r="L2998">
        <v>0</v>
      </c>
      <c r="M2998">
        <v>0</v>
      </c>
      <c r="N2998">
        <v>41738</v>
      </c>
      <c r="O2998">
        <v>129197</v>
      </c>
      <c r="P2998">
        <v>240866</v>
      </c>
      <c r="Q2998">
        <v>0</v>
      </c>
      <c r="R2998">
        <v>0</v>
      </c>
      <c r="S2998">
        <v>1</v>
      </c>
      <c r="T2998">
        <v>50</v>
      </c>
      <c r="U2998">
        <v>64</v>
      </c>
    </row>
    <row r="2999" spans="1:21" x14ac:dyDescent="0.35">
      <c r="A2999" t="s">
        <v>21</v>
      </c>
      <c r="B2999" s="1">
        <v>44632</v>
      </c>
      <c r="C2999" t="s">
        <v>30</v>
      </c>
      <c r="D2999">
        <v>12</v>
      </c>
      <c r="E2999">
        <v>26.4</v>
      </c>
      <c r="F2999">
        <v>0</v>
      </c>
      <c r="G2999">
        <v>0.5</v>
      </c>
      <c r="H2999">
        <v>0</v>
      </c>
      <c r="I2999">
        <v>0</v>
      </c>
      <c r="J2999">
        <v>0</v>
      </c>
      <c r="K2999">
        <v>0</v>
      </c>
      <c r="L2999">
        <v>0</v>
      </c>
      <c r="M2999">
        <v>0</v>
      </c>
      <c r="N2999">
        <v>24971</v>
      </c>
      <c r="O2999">
        <v>11375</v>
      </c>
      <c r="P2999">
        <v>47102</v>
      </c>
      <c r="Q2999">
        <v>3</v>
      </c>
      <c r="R2999">
        <v>3</v>
      </c>
      <c r="S2999">
        <v>0</v>
      </c>
      <c r="T2999">
        <v>80</v>
      </c>
      <c r="U2999">
        <v>200</v>
      </c>
    </row>
    <row r="3000" spans="1:21" x14ac:dyDescent="0.35">
      <c r="A3000" t="s">
        <v>28</v>
      </c>
      <c r="B3000" s="1">
        <v>44408</v>
      </c>
      <c r="C3000" t="s">
        <v>23</v>
      </c>
      <c r="D3000">
        <v>131.30000000000001</v>
      </c>
      <c r="E3000">
        <v>39.200000000000003</v>
      </c>
      <c r="F3000">
        <v>0</v>
      </c>
      <c r="G3000">
        <v>3.3</v>
      </c>
      <c r="H3000">
        <v>0</v>
      </c>
      <c r="I3000">
        <v>0</v>
      </c>
      <c r="J3000">
        <v>0</v>
      </c>
      <c r="K3000">
        <v>0</v>
      </c>
      <c r="L3000">
        <v>0</v>
      </c>
      <c r="M3000">
        <v>0</v>
      </c>
      <c r="N3000">
        <v>99806</v>
      </c>
      <c r="O3000">
        <v>313577</v>
      </c>
      <c r="P3000">
        <v>0</v>
      </c>
      <c r="Q3000">
        <v>131</v>
      </c>
      <c r="R3000">
        <v>123</v>
      </c>
      <c r="S3000">
        <v>0</v>
      </c>
      <c r="T3000">
        <v>50</v>
      </c>
      <c r="U3000">
        <v>64</v>
      </c>
    </row>
    <row r="3001" spans="1:21" x14ac:dyDescent="0.35">
      <c r="A3001" t="s">
        <v>21</v>
      </c>
      <c r="B3001" s="1">
        <v>45018</v>
      </c>
      <c r="C3001" t="s">
        <v>30</v>
      </c>
      <c r="D3001">
        <v>4</v>
      </c>
      <c r="E3001">
        <v>0</v>
      </c>
      <c r="F3001">
        <v>4.2</v>
      </c>
      <c r="G3001">
        <v>0</v>
      </c>
      <c r="H3001">
        <v>1</v>
      </c>
      <c r="I3001">
        <v>0</v>
      </c>
      <c r="J3001">
        <v>0</v>
      </c>
      <c r="K3001">
        <v>0</v>
      </c>
      <c r="L3001">
        <v>0</v>
      </c>
      <c r="M3001">
        <v>0</v>
      </c>
      <c r="N3001">
        <v>24721</v>
      </c>
      <c r="O3001">
        <v>11375</v>
      </c>
      <c r="P3001">
        <v>47121</v>
      </c>
      <c r="Q3001">
        <v>1</v>
      </c>
      <c r="R3001">
        <v>0</v>
      </c>
      <c r="S3001">
        <v>2</v>
      </c>
      <c r="T3001">
        <v>80</v>
      </c>
      <c r="U3001">
        <v>200</v>
      </c>
    </row>
    <row r="3002" spans="1:21" x14ac:dyDescent="0.35">
      <c r="A3002" t="s">
        <v>28</v>
      </c>
      <c r="B3002" s="1">
        <v>44599</v>
      </c>
      <c r="C3002" t="s">
        <v>29</v>
      </c>
      <c r="D3002">
        <v>337.8</v>
      </c>
      <c r="E3002">
        <v>163.1</v>
      </c>
      <c r="F3002">
        <v>301.5</v>
      </c>
      <c r="G3002">
        <v>2.1</v>
      </c>
      <c r="H3002">
        <v>1.1000000000000001</v>
      </c>
      <c r="I3002">
        <v>0</v>
      </c>
      <c r="J3002">
        <v>0</v>
      </c>
      <c r="K3002">
        <v>0</v>
      </c>
      <c r="L3002">
        <v>0</v>
      </c>
      <c r="M3002">
        <v>0</v>
      </c>
      <c r="N3002">
        <v>127872</v>
      </c>
      <c r="O3002">
        <v>280840</v>
      </c>
      <c r="P3002">
        <v>339580</v>
      </c>
      <c r="Q3002">
        <v>432</v>
      </c>
      <c r="R3002">
        <v>458</v>
      </c>
      <c r="S3002">
        <v>1024</v>
      </c>
      <c r="T3002">
        <v>30</v>
      </c>
      <c r="U3002">
        <v>49</v>
      </c>
    </row>
    <row r="3003" spans="1:21" x14ac:dyDescent="0.35">
      <c r="A3003" t="s">
        <v>26</v>
      </c>
      <c r="B3003" s="1">
        <v>44646</v>
      </c>
      <c r="C3003" t="s">
        <v>31</v>
      </c>
      <c r="D3003">
        <v>6.2</v>
      </c>
      <c r="E3003">
        <v>5.8</v>
      </c>
      <c r="F3003">
        <v>5</v>
      </c>
      <c r="G3003">
        <v>1.1000000000000001</v>
      </c>
      <c r="H3003">
        <v>1.2</v>
      </c>
      <c r="I3003">
        <v>0</v>
      </c>
      <c r="J3003">
        <v>0</v>
      </c>
      <c r="K3003">
        <v>0</v>
      </c>
      <c r="L3003">
        <v>0</v>
      </c>
      <c r="M3003">
        <v>0</v>
      </c>
      <c r="N3003">
        <v>48633</v>
      </c>
      <c r="O3003">
        <v>52066</v>
      </c>
      <c r="P3003">
        <v>158525</v>
      </c>
      <c r="Q3003">
        <v>3</v>
      </c>
      <c r="R3003">
        <v>3</v>
      </c>
      <c r="S3003">
        <v>8</v>
      </c>
      <c r="T3003">
        <v>65</v>
      </c>
      <c r="U3003">
        <v>79</v>
      </c>
    </row>
    <row r="3004" spans="1:21" x14ac:dyDescent="0.35">
      <c r="A3004" t="s">
        <v>21</v>
      </c>
      <c r="B3004" s="1">
        <v>45027</v>
      </c>
      <c r="C3004" t="s">
        <v>22</v>
      </c>
      <c r="D3004">
        <v>0.2</v>
      </c>
      <c r="E3004">
        <v>0</v>
      </c>
      <c r="F3004">
        <v>0.2</v>
      </c>
      <c r="G3004">
        <v>0</v>
      </c>
      <c r="H3004">
        <v>1</v>
      </c>
      <c r="I3004">
        <v>0.2</v>
      </c>
      <c r="J3004">
        <v>0</v>
      </c>
      <c r="K3004">
        <v>0.1</v>
      </c>
      <c r="L3004">
        <v>0</v>
      </c>
      <c r="M3004">
        <v>1.9</v>
      </c>
      <c r="N3004">
        <v>512405</v>
      </c>
      <c r="O3004">
        <v>862552</v>
      </c>
      <c r="P3004">
        <v>1044756</v>
      </c>
      <c r="Q3004">
        <v>1</v>
      </c>
      <c r="R3004">
        <v>0</v>
      </c>
      <c r="S3004">
        <v>2</v>
      </c>
      <c r="T3004">
        <v>999</v>
      </c>
      <c r="U3004">
        <v>999</v>
      </c>
    </row>
    <row r="3005" spans="1:21" x14ac:dyDescent="0.35">
      <c r="A3005" t="s">
        <v>28</v>
      </c>
      <c r="B3005" s="1">
        <v>44811</v>
      </c>
      <c r="C3005" t="s">
        <v>29</v>
      </c>
      <c r="D3005">
        <v>313.5</v>
      </c>
      <c r="E3005">
        <v>159.1</v>
      </c>
      <c r="F3005">
        <v>275.89999999999998</v>
      </c>
      <c r="G3005">
        <v>2</v>
      </c>
      <c r="H3005">
        <v>1.1000000000000001</v>
      </c>
      <c r="I3005">
        <v>0</v>
      </c>
      <c r="J3005">
        <v>0</v>
      </c>
      <c r="K3005">
        <v>0</v>
      </c>
      <c r="L3005">
        <v>0</v>
      </c>
      <c r="M3005">
        <v>0</v>
      </c>
      <c r="N3005">
        <v>127602</v>
      </c>
      <c r="O3005">
        <v>280376</v>
      </c>
      <c r="P3005">
        <v>340282</v>
      </c>
      <c r="Q3005">
        <v>400</v>
      </c>
      <c r="R3005">
        <v>446</v>
      </c>
      <c r="S3005">
        <v>939</v>
      </c>
      <c r="T3005">
        <v>30</v>
      </c>
      <c r="U3005">
        <v>49</v>
      </c>
    </row>
    <row r="3006" spans="1:21" x14ac:dyDescent="0.35">
      <c r="A3006" t="s">
        <v>21</v>
      </c>
      <c r="B3006" s="1">
        <v>44982</v>
      </c>
      <c r="C3006" t="s">
        <v>30</v>
      </c>
      <c r="D3006">
        <v>4</v>
      </c>
      <c r="E3006">
        <v>8.8000000000000007</v>
      </c>
      <c r="F3006">
        <v>0</v>
      </c>
      <c r="G3006">
        <v>0.5</v>
      </c>
      <c r="H3006">
        <v>0</v>
      </c>
      <c r="I3006">
        <v>0</v>
      </c>
      <c r="J3006">
        <v>0</v>
      </c>
      <c r="K3006">
        <v>0</v>
      </c>
      <c r="L3006">
        <v>0</v>
      </c>
      <c r="M3006">
        <v>0</v>
      </c>
      <c r="N3006">
        <v>24695</v>
      </c>
      <c r="O3006">
        <v>11378</v>
      </c>
      <c r="P3006">
        <v>47124</v>
      </c>
      <c r="Q3006">
        <v>1</v>
      </c>
      <c r="R3006">
        <v>1</v>
      </c>
      <c r="S3006">
        <v>0</v>
      </c>
      <c r="T3006">
        <v>80</v>
      </c>
      <c r="U3006">
        <v>200</v>
      </c>
    </row>
    <row r="3007" spans="1:21" x14ac:dyDescent="0.35">
      <c r="A3007" t="s">
        <v>21</v>
      </c>
      <c r="B3007" s="1">
        <v>45054</v>
      </c>
      <c r="C3007" t="s">
        <v>22</v>
      </c>
      <c r="D3007">
        <v>0</v>
      </c>
      <c r="E3007">
        <v>0</v>
      </c>
      <c r="F3007">
        <v>0</v>
      </c>
      <c r="G3007">
        <v>0</v>
      </c>
      <c r="H3007">
        <v>0</v>
      </c>
      <c r="I3007">
        <v>0</v>
      </c>
      <c r="J3007">
        <v>0</v>
      </c>
      <c r="K3007">
        <v>0</v>
      </c>
      <c r="L3007">
        <v>0</v>
      </c>
      <c r="M3007">
        <v>0</v>
      </c>
      <c r="N3007">
        <v>529533</v>
      </c>
      <c r="O3007">
        <v>860315</v>
      </c>
      <c r="P3007">
        <v>1040778</v>
      </c>
      <c r="Q3007">
        <v>0</v>
      </c>
      <c r="R3007">
        <v>0</v>
      </c>
      <c r="S3007">
        <v>0</v>
      </c>
      <c r="T3007">
        <v>999</v>
      </c>
      <c r="U3007">
        <v>999</v>
      </c>
    </row>
    <row r="3008" spans="1:21" x14ac:dyDescent="0.35">
      <c r="A3008" t="s">
        <v>26</v>
      </c>
      <c r="B3008" s="1">
        <v>45248</v>
      </c>
      <c r="C3008" t="s">
        <v>25</v>
      </c>
      <c r="D3008">
        <v>1.5</v>
      </c>
      <c r="E3008">
        <v>1.4</v>
      </c>
      <c r="F3008">
        <v>1.2</v>
      </c>
      <c r="G3008">
        <v>1.1000000000000001</v>
      </c>
      <c r="H3008">
        <v>1.2</v>
      </c>
      <c r="I3008">
        <v>0</v>
      </c>
      <c r="J3008">
        <v>0</v>
      </c>
      <c r="K3008">
        <v>0</v>
      </c>
      <c r="L3008">
        <v>0</v>
      </c>
      <c r="M3008">
        <v>0</v>
      </c>
      <c r="N3008">
        <v>68264</v>
      </c>
      <c r="O3008">
        <v>215430</v>
      </c>
      <c r="P3008">
        <v>162672</v>
      </c>
      <c r="Q3008">
        <v>1</v>
      </c>
      <c r="R3008">
        <v>3</v>
      </c>
      <c r="S3008">
        <v>2</v>
      </c>
      <c r="T3008">
        <v>18</v>
      </c>
      <c r="U3008">
        <v>29</v>
      </c>
    </row>
    <row r="3009" spans="1:21" x14ac:dyDescent="0.35">
      <c r="A3009" t="s">
        <v>26</v>
      </c>
      <c r="B3009" s="1">
        <v>44684</v>
      </c>
      <c r="C3009" t="s">
        <v>23</v>
      </c>
      <c r="D3009">
        <v>8.6</v>
      </c>
      <c r="E3009">
        <v>3.5</v>
      </c>
      <c r="F3009">
        <v>0.9</v>
      </c>
      <c r="G3009">
        <v>2.5</v>
      </c>
      <c r="H3009">
        <v>9.6</v>
      </c>
      <c r="I3009">
        <v>0</v>
      </c>
      <c r="J3009">
        <v>0</v>
      </c>
      <c r="K3009">
        <v>0</v>
      </c>
      <c r="L3009">
        <v>0</v>
      </c>
      <c r="M3009">
        <v>0</v>
      </c>
      <c r="N3009">
        <v>46352</v>
      </c>
      <c r="O3009">
        <v>143917</v>
      </c>
      <c r="P3009">
        <v>219986</v>
      </c>
      <c r="Q3009">
        <v>4</v>
      </c>
      <c r="R3009">
        <v>5</v>
      </c>
      <c r="S3009">
        <v>2</v>
      </c>
      <c r="T3009">
        <v>50</v>
      </c>
      <c r="U3009">
        <v>64</v>
      </c>
    </row>
    <row r="3010" spans="1:21" x14ac:dyDescent="0.35">
      <c r="A3010" t="s">
        <v>21</v>
      </c>
      <c r="B3010" s="1">
        <v>45045</v>
      </c>
      <c r="C3010" t="s">
        <v>29</v>
      </c>
      <c r="D3010">
        <v>0.9</v>
      </c>
      <c r="E3010">
        <v>0</v>
      </c>
      <c r="F3010">
        <v>0</v>
      </c>
      <c r="G3010">
        <v>0</v>
      </c>
      <c r="H3010">
        <v>0</v>
      </c>
      <c r="I3010">
        <v>0</v>
      </c>
      <c r="J3010">
        <v>0</v>
      </c>
      <c r="K3010">
        <v>0</v>
      </c>
      <c r="L3010">
        <v>0</v>
      </c>
      <c r="M3010">
        <v>0</v>
      </c>
      <c r="N3010">
        <v>109218</v>
      </c>
      <c r="O3010">
        <v>278370</v>
      </c>
      <c r="P3010">
        <v>347292</v>
      </c>
      <c r="Q3010">
        <v>1</v>
      </c>
      <c r="R3010">
        <v>0</v>
      </c>
      <c r="S3010">
        <v>0</v>
      </c>
      <c r="T3010">
        <v>30</v>
      </c>
      <c r="U3010">
        <v>49</v>
      </c>
    </row>
    <row r="3011" spans="1:21" x14ac:dyDescent="0.35">
      <c r="A3011" t="s">
        <v>21</v>
      </c>
      <c r="B3011" s="1">
        <v>45199</v>
      </c>
      <c r="C3011" t="s">
        <v>31</v>
      </c>
      <c r="D3011">
        <v>0</v>
      </c>
      <c r="E3011">
        <v>0</v>
      </c>
      <c r="F3011">
        <v>0.6</v>
      </c>
      <c r="G3011">
        <v>0</v>
      </c>
      <c r="H3011">
        <v>0</v>
      </c>
      <c r="I3011">
        <v>0</v>
      </c>
      <c r="J3011">
        <v>0</v>
      </c>
      <c r="K3011">
        <v>0</v>
      </c>
      <c r="L3011">
        <v>0</v>
      </c>
      <c r="M3011">
        <v>0</v>
      </c>
      <c r="N3011">
        <v>38891</v>
      </c>
      <c r="O3011">
        <v>43410</v>
      </c>
      <c r="P3011">
        <v>171762</v>
      </c>
      <c r="Q3011">
        <v>0</v>
      </c>
      <c r="R3011">
        <v>0</v>
      </c>
      <c r="S3011">
        <v>1</v>
      </c>
      <c r="T3011">
        <v>65</v>
      </c>
      <c r="U3011">
        <v>79</v>
      </c>
    </row>
    <row r="3012" spans="1:21" x14ac:dyDescent="0.35">
      <c r="A3012" t="s">
        <v>21</v>
      </c>
      <c r="B3012" s="1">
        <v>44947</v>
      </c>
      <c r="C3012" t="s">
        <v>22</v>
      </c>
      <c r="D3012">
        <v>0.7</v>
      </c>
      <c r="E3012">
        <v>0</v>
      </c>
      <c r="F3012">
        <v>0.3</v>
      </c>
      <c r="G3012">
        <v>0</v>
      </c>
      <c r="H3012">
        <v>2.2999999999999998</v>
      </c>
      <c r="I3012">
        <v>0.7</v>
      </c>
      <c r="J3012">
        <v>0</v>
      </c>
      <c r="K3012">
        <v>0.2</v>
      </c>
      <c r="L3012">
        <v>0</v>
      </c>
      <c r="M3012">
        <v>3.4</v>
      </c>
      <c r="N3012">
        <v>550760</v>
      </c>
      <c r="O3012">
        <v>855236</v>
      </c>
      <c r="P3012">
        <v>1040253</v>
      </c>
      <c r="Q3012">
        <v>4</v>
      </c>
      <c r="R3012">
        <v>0</v>
      </c>
      <c r="S3012">
        <v>3</v>
      </c>
      <c r="T3012">
        <v>999</v>
      </c>
      <c r="U3012">
        <v>999</v>
      </c>
    </row>
    <row r="3013" spans="1:21" x14ac:dyDescent="0.35">
      <c r="A3013" t="s">
        <v>26</v>
      </c>
      <c r="B3013" s="1">
        <v>44966</v>
      </c>
      <c r="C3013" t="s">
        <v>32</v>
      </c>
      <c r="D3013">
        <v>1.8</v>
      </c>
      <c r="E3013">
        <v>0</v>
      </c>
      <c r="F3013">
        <v>0</v>
      </c>
      <c r="G3013">
        <v>0</v>
      </c>
      <c r="H3013">
        <v>0</v>
      </c>
      <c r="I3013">
        <v>0</v>
      </c>
      <c r="J3013">
        <v>0</v>
      </c>
      <c r="K3013">
        <v>0</v>
      </c>
      <c r="L3013">
        <v>0</v>
      </c>
      <c r="M3013">
        <v>0</v>
      </c>
      <c r="N3013">
        <v>162642</v>
      </c>
      <c r="O3013">
        <v>0</v>
      </c>
      <c r="P3013">
        <v>0</v>
      </c>
      <c r="Q3013">
        <v>3</v>
      </c>
      <c r="R3013">
        <v>0</v>
      </c>
      <c r="S3013">
        <v>0</v>
      </c>
      <c r="T3013">
        <v>0</v>
      </c>
      <c r="U3013">
        <v>4</v>
      </c>
    </row>
    <row r="3014" spans="1:21" x14ac:dyDescent="0.35">
      <c r="A3014" t="s">
        <v>28</v>
      </c>
      <c r="B3014" s="1">
        <v>44639</v>
      </c>
      <c r="C3014" t="s">
        <v>31</v>
      </c>
      <c r="D3014">
        <v>34.9</v>
      </c>
      <c r="E3014">
        <v>22.8</v>
      </c>
      <c r="F3014">
        <v>29.1</v>
      </c>
      <c r="G3014">
        <v>1.5</v>
      </c>
      <c r="H3014">
        <v>1.2</v>
      </c>
      <c r="I3014">
        <v>0</v>
      </c>
      <c r="J3014">
        <v>0</v>
      </c>
      <c r="K3014">
        <v>0</v>
      </c>
      <c r="L3014">
        <v>0</v>
      </c>
      <c r="M3014">
        <v>0</v>
      </c>
      <c r="N3014">
        <v>48719</v>
      </c>
      <c r="O3014">
        <v>52553</v>
      </c>
      <c r="P3014">
        <v>157887</v>
      </c>
      <c r="Q3014">
        <v>17</v>
      </c>
      <c r="R3014">
        <v>12</v>
      </c>
      <c r="S3014">
        <v>46</v>
      </c>
      <c r="T3014">
        <v>65</v>
      </c>
      <c r="U3014">
        <v>79</v>
      </c>
    </row>
    <row r="3015" spans="1:21" x14ac:dyDescent="0.35">
      <c r="A3015" t="s">
        <v>28</v>
      </c>
      <c r="B3015" s="1">
        <v>44783</v>
      </c>
      <c r="C3015" t="s">
        <v>23</v>
      </c>
      <c r="D3015">
        <v>214.8</v>
      </c>
      <c r="E3015">
        <v>63.9</v>
      </c>
      <c r="F3015">
        <v>108.7</v>
      </c>
      <c r="G3015">
        <v>3.4</v>
      </c>
      <c r="H3015">
        <v>2</v>
      </c>
      <c r="I3015">
        <v>0</v>
      </c>
      <c r="J3015">
        <v>0</v>
      </c>
      <c r="K3015">
        <v>0</v>
      </c>
      <c r="L3015">
        <v>0</v>
      </c>
      <c r="M3015">
        <v>0</v>
      </c>
      <c r="N3015">
        <v>38636</v>
      </c>
      <c r="O3015">
        <v>125178</v>
      </c>
      <c r="P3015">
        <v>246593</v>
      </c>
      <c r="Q3015">
        <v>83</v>
      </c>
      <c r="R3015">
        <v>80</v>
      </c>
      <c r="S3015">
        <v>268</v>
      </c>
      <c r="T3015">
        <v>50</v>
      </c>
      <c r="U3015">
        <v>64</v>
      </c>
    </row>
    <row r="3016" spans="1:21" x14ac:dyDescent="0.35">
      <c r="A3016" t="s">
        <v>26</v>
      </c>
      <c r="B3016" s="1">
        <v>44599</v>
      </c>
      <c r="C3016" t="s">
        <v>31</v>
      </c>
      <c r="D3016">
        <v>36.6</v>
      </c>
      <c r="E3016">
        <v>21.7</v>
      </c>
      <c r="F3016">
        <v>17.3</v>
      </c>
      <c r="G3016">
        <v>1.7</v>
      </c>
      <c r="H3016">
        <v>2.1</v>
      </c>
      <c r="I3016">
        <v>0</v>
      </c>
      <c r="J3016">
        <v>0</v>
      </c>
      <c r="K3016">
        <v>0</v>
      </c>
      <c r="L3016">
        <v>0</v>
      </c>
      <c r="M3016">
        <v>0</v>
      </c>
      <c r="N3016">
        <v>46481</v>
      </c>
      <c r="O3016">
        <v>46183</v>
      </c>
      <c r="P3016">
        <v>167465</v>
      </c>
      <c r="Q3016">
        <v>17</v>
      </c>
      <c r="R3016">
        <v>10</v>
      </c>
      <c r="S3016">
        <v>29</v>
      </c>
      <c r="T3016">
        <v>65</v>
      </c>
      <c r="U3016">
        <v>79</v>
      </c>
    </row>
    <row r="3017" spans="1:21" x14ac:dyDescent="0.35">
      <c r="A3017" t="s">
        <v>26</v>
      </c>
      <c r="B3017" s="1">
        <v>45129</v>
      </c>
      <c r="C3017" t="s">
        <v>25</v>
      </c>
      <c r="D3017">
        <v>0</v>
      </c>
      <c r="E3017">
        <v>0.5</v>
      </c>
      <c r="F3017">
        <v>0</v>
      </c>
      <c r="G3017">
        <v>0</v>
      </c>
      <c r="H3017">
        <v>0</v>
      </c>
      <c r="I3017">
        <v>0</v>
      </c>
      <c r="J3017">
        <v>0</v>
      </c>
      <c r="K3017">
        <v>0</v>
      </c>
      <c r="L3017">
        <v>0</v>
      </c>
      <c r="M3017">
        <v>0</v>
      </c>
      <c r="N3017">
        <v>73902</v>
      </c>
      <c r="O3017">
        <v>214135</v>
      </c>
      <c r="P3017">
        <v>161709</v>
      </c>
      <c r="Q3017">
        <v>0</v>
      </c>
      <c r="R3017">
        <v>1</v>
      </c>
      <c r="S3017">
        <v>0</v>
      </c>
      <c r="T3017">
        <v>18</v>
      </c>
      <c r="U3017">
        <v>29</v>
      </c>
    </row>
    <row r="3018" spans="1:21" x14ac:dyDescent="0.35">
      <c r="A3018" t="s">
        <v>26</v>
      </c>
      <c r="B3018" s="1">
        <v>44599</v>
      </c>
      <c r="C3018" t="s">
        <v>24</v>
      </c>
      <c r="D3018">
        <v>2</v>
      </c>
      <c r="E3018">
        <v>2.2000000000000002</v>
      </c>
      <c r="F3018">
        <v>0</v>
      </c>
      <c r="G3018">
        <v>0.9</v>
      </c>
      <c r="H3018">
        <v>0</v>
      </c>
      <c r="I3018">
        <v>0</v>
      </c>
      <c r="J3018">
        <v>0</v>
      </c>
      <c r="K3018">
        <v>0</v>
      </c>
      <c r="L3018">
        <v>0</v>
      </c>
      <c r="M3018">
        <v>0</v>
      </c>
      <c r="N3018">
        <v>99299</v>
      </c>
      <c r="O3018">
        <v>90057</v>
      </c>
      <c r="P3018">
        <v>6610</v>
      </c>
      <c r="Q3018">
        <v>2</v>
      </c>
      <c r="R3018">
        <v>2</v>
      </c>
      <c r="S3018">
        <v>0</v>
      </c>
      <c r="T3018">
        <v>5</v>
      </c>
      <c r="U3018">
        <v>11</v>
      </c>
    </row>
    <row r="3019" spans="1:21" x14ac:dyDescent="0.35">
      <c r="A3019" t="s">
        <v>26</v>
      </c>
      <c r="B3019" s="1">
        <v>45094</v>
      </c>
      <c r="C3019" t="s">
        <v>25</v>
      </c>
      <c r="D3019">
        <v>1.3</v>
      </c>
      <c r="E3019">
        <v>0.5</v>
      </c>
      <c r="F3019">
        <v>0</v>
      </c>
      <c r="G3019">
        <v>2.6</v>
      </c>
      <c r="H3019">
        <v>0</v>
      </c>
      <c r="I3019">
        <v>0</v>
      </c>
      <c r="J3019">
        <v>0</v>
      </c>
      <c r="K3019">
        <v>0</v>
      </c>
      <c r="L3019">
        <v>0</v>
      </c>
      <c r="M3019">
        <v>0</v>
      </c>
      <c r="N3019">
        <v>74493</v>
      </c>
      <c r="O3019">
        <v>214135</v>
      </c>
      <c r="P3019">
        <v>161700</v>
      </c>
      <c r="Q3019">
        <v>1</v>
      </c>
      <c r="R3019">
        <v>1</v>
      </c>
      <c r="S3019">
        <v>0</v>
      </c>
      <c r="T3019">
        <v>18</v>
      </c>
      <c r="U3019">
        <v>29</v>
      </c>
    </row>
    <row r="3020" spans="1:21" x14ac:dyDescent="0.35">
      <c r="A3020" t="s">
        <v>26</v>
      </c>
      <c r="B3020" s="1">
        <v>44555</v>
      </c>
      <c r="C3020" t="s">
        <v>31</v>
      </c>
      <c r="D3020">
        <v>223.2</v>
      </c>
      <c r="E3020">
        <v>117.7</v>
      </c>
      <c r="F3020">
        <v>20</v>
      </c>
      <c r="G3020">
        <v>1.9</v>
      </c>
      <c r="H3020">
        <v>11.2</v>
      </c>
      <c r="I3020">
        <v>0</v>
      </c>
      <c r="J3020">
        <v>0</v>
      </c>
      <c r="K3020">
        <v>0</v>
      </c>
      <c r="L3020">
        <v>0</v>
      </c>
      <c r="M3020">
        <v>0</v>
      </c>
      <c r="N3020">
        <v>52868</v>
      </c>
      <c r="O3020">
        <v>86648</v>
      </c>
      <c r="P3020">
        <v>119716</v>
      </c>
      <c r="Q3020">
        <v>118</v>
      </c>
      <c r="R3020">
        <v>102</v>
      </c>
      <c r="S3020">
        <v>24</v>
      </c>
      <c r="T3020">
        <v>65</v>
      </c>
      <c r="U3020">
        <v>79</v>
      </c>
    </row>
    <row r="3021" spans="1:21" x14ac:dyDescent="0.35">
      <c r="A3021" t="s">
        <v>26</v>
      </c>
      <c r="B3021" s="1">
        <v>44457</v>
      </c>
      <c r="C3021" t="s">
        <v>23</v>
      </c>
      <c r="D3021">
        <v>71.3</v>
      </c>
      <c r="E3021">
        <v>3.4</v>
      </c>
      <c r="F3021">
        <v>0</v>
      </c>
      <c r="G3021">
        <v>21</v>
      </c>
      <c r="H3021">
        <v>0</v>
      </c>
      <c r="I3021">
        <v>0</v>
      </c>
      <c r="J3021">
        <v>0</v>
      </c>
      <c r="K3021">
        <v>0</v>
      </c>
      <c r="L3021">
        <v>0</v>
      </c>
      <c r="M3021">
        <v>0</v>
      </c>
      <c r="N3021">
        <v>82757</v>
      </c>
      <c r="O3021">
        <v>327000</v>
      </c>
      <c r="P3021">
        <v>0</v>
      </c>
      <c r="Q3021">
        <v>59</v>
      </c>
      <c r="R3021">
        <v>11</v>
      </c>
      <c r="S3021">
        <v>0</v>
      </c>
      <c r="T3021">
        <v>50</v>
      </c>
      <c r="U3021">
        <v>64</v>
      </c>
    </row>
    <row r="3022" spans="1:21" x14ac:dyDescent="0.35">
      <c r="A3022" t="s">
        <v>26</v>
      </c>
      <c r="B3022" s="1">
        <v>44919</v>
      </c>
      <c r="C3022" t="s">
        <v>25</v>
      </c>
      <c r="D3022">
        <v>10</v>
      </c>
      <c r="E3022">
        <v>4.2</v>
      </c>
      <c r="F3022">
        <v>0.6</v>
      </c>
      <c r="G3022">
        <v>2.4</v>
      </c>
      <c r="H3022">
        <v>16.7</v>
      </c>
      <c r="I3022">
        <v>0</v>
      </c>
      <c r="J3022">
        <v>0</v>
      </c>
      <c r="K3022">
        <v>0</v>
      </c>
      <c r="L3022">
        <v>0</v>
      </c>
      <c r="M3022">
        <v>0</v>
      </c>
      <c r="N3022">
        <v>79625</v>
      </c>
      <c r="O3022">
        <v>212863</v>
      </c>
      <c r="P3022">
        <v>161605</v>
      </c>
      <c r="Q3022">
        <v>8</v>
      </c>
      <c r="R3022">
        <v>9</v>
      </c>
      <c r="S3022">
        <v>1</v>
      </c>
      <c r="T3022">
        <v>18</v>
      </c>
      <c r="U3022">
        <v>29</v>
      </c>
    </row>
    <row r="3023" spans="1:21" x14ac:dyDescent="0.35">
      <c r="A3023" t="s">
        <v>28</v>
      </c>
      <c r="B3023" s="1">
        <v>44891</v>
      </c>
      <c r="C3023" t="s">
        <v>30</v>
      </c>
      <c r="D3023">
        <v>147.80000000000001</v>
      </c>
      <c r="E3023">
        <v>219.8</v>
      </c>
      <c r="F3023">
        <v>233.6</v>
      </c>
      <c r="G3023">
        <v>0.7</v>
      </c>
      <c r="H3023">
        <v>0.6</v>
      </c>
      <c r="I3023">
        <v>0</v>
      </c>
      <c r="J3023">
        <v>0</v>
      </c>
      <c r="K3023">
        <v>0</v>
      </c>
      <c r="L3023">
        <v>0</v>
      </c>
      <c r="M3023">
        <v>0</v>
      </c>
      <c r="N3023">
        <v>25033</v>
      </c>
      <c r="O3023">
        <v>11373</v>
      </c>
      <c r="P3023">
        <v>47096</v>
      </c>
      <c r="Q3023">
        <v>37</v>
      </c>
      <c r="R3023">
        <v>25</v>
      </c>
      <c r="S3023">
        <v>110</v>
      </c>
      <c r="T3023">
        <v>80</v>
      </c>
      <c r="U3023">
        <v>200</v>
      </c>
    </row>
    <row r="3024" spans="1:21" x14ac:dyDescent="0.35">
      <c r="A3024" t="s">
        <v>21</v>
      </c>
      <c r="B3024" s="1">
        <v>44982</v>
      </c>
      <c r="C3024" t="s">
        <v>27</v>
      </c>
      <c r="D3024">
        <v>0</v>
      </c>
      <c r="E3024">
        <v>0</v>
      </c>
      <c r="F3024">
        <v>0</v>
      </c>
      <c r="G3024">
        <v>0</v>
      </c>
      <c r="H3024">
        <v>0</v>
      </c>
      <c r="I3024">
        <v>0</v>
      </c>
      <c r="J3024">
        <v>0</v>
      </c>
      <c r="K3024">
        <v>0</v>
      </c>
      <c r="L3024">
        <v>0</v>
      </c>
      <c r="M3024">
        <v>0</v>
      </c>
      <c r="N3024">
        <v>33176</v>
      </c>
      <c r="O3024">
        <v>86371</v>
      </c>
      <c r="P3024">
        <v>44558</v>
      </c>
      <c r="Q3024">
        <v>0</v>
      </c>
      <c r="R3024">
        <v>0</v>
      </c>
      <c r="S3024">
        <v>0</v>
      </c>
      <c r="T3024">
        <v>12</v>
      </c>
      <c r="U3024">
        <v>17</v>
      </c>
    </row>
    <row r="3025" spans="1:21" x14ac:dyDescent="0.35">
      <c r="A3025" t="s">
        <v>28</v>
      </c>
      <c r="B3025" s="1">
        <v>44808</v>
      </c>
      <c r="C3025" t="s">
        <v>22</v>
      </c>
      <c r="D3025">
        <v>106.1</v>
      </c>
      <c r="E3025">
        <v>80.7</v>
      </c>
      <c r="F3025">
        <v>150.5</v>
      </c>
      <c r="G3025">
        <v>1.3</v>
      </c>
      <c r="H3025">
        <v>0.7</v>
      </c>
      <c r="I3025">
        <v>111.8</v>
      </c>
      <c r="J3025">
        <v>74.900000000000006</v>
      </c>
      <c r="K3025">
        <v>132.6</v>
      </c>
      <c r="L3025">
        <v>1.5</v>
      </c>
      <c r="M3025">
        <v>0.8</v>
      </c>
      <c r="N3025">
        <v>655822</v>
      </c>
      <c r="O3025">
        <v>898944</v>
      </c>
      <c r="P3025">
        <v>937807</v>
      </c>
      <c r="Q3025">
        <v>696</v>
      </c>
      <c r="R3025">
        <v>725</v>
      </c>
      <c r="S3025">
        <v>1411</v>
      </c>
      <c r="T3025">
        <v>999</v>
      </c>
      <c r="U3025">
        <v>999</v>
      </c>
    </row>
    <row r="3026" spans="1:21" x14ac:dyDescent="0.35">
      <c r="A3026" t="s">
        <v>28</v>
      </c>
      <c r="B3026" s="1">
        <v>44783</v>
      </c>
      <c r="C3026" t="s">
        <v>22</v>
      </c>
      <c r="D3026">
        <v>105.2</v>
      </c>
      <c r="E3026">
        <v>62.2</v>
      </c>
      <c r="F3026">
        <v>93.1</v>
      </c>
      <c r="G3026">
        <v>1.7</v>
      </c>
      <c r="H3026">
        <v>1.1000000000000001</v>
      </c>
      <c r="I3026">
        <v>127.4</v>
      </c>
      <c r="J3026">
        <v>63.6</v>
      </c>
      <c r="K3026">
        <v>83.5</v>
      </c>
      <c r="L3026">
        <v>2</v>
      </c>
      <c r="M3026">
        <v>1.5</v>
      </c>
      <c r="N3026">
        <v>588205</v>
      </c>
      <c r="O3026">
        <v>843467</v>
      </c>
      <c r="P3026">
        <v>1037728</v>
      </c>
      <c r="Q3026">
        <v>619</v>
      </c>
      <c r="R3026">
        <v>525</v>
      </c>
      <c r="S3026">
        <v>966</v>
      </c>
      <c r="T3026">
        <v>999</v>
      </c>
      <c r="U3026">
        <v>999</v>
      </c>
    </row>
    <row r="3027" spans="1:21" x14ac:dyDescent="0.35">
      <c r="A3027" t="s">
        <v>28</v>
      </c>
      <c r="B3027" s="1">
        <v>44828</v>
      </c>
      <c r="C3027" t="s">
        <v>24</v>
      </c>
      <c r="D3027">
        <v>88.5</v>
      </c>
      <c r="E3027">
        <v>82</v>
      </c>
      <c r="F3027">
        <v>112.2</v>
      </c>
      <c r="G3027">
        <v>1.1000000000000001</v>
      </c>
      <c r="H3027">
        <v>0.8</v>
      </c>
      <c r="I3027">
        <v>0</v>
      </c>
      <c r="J3027">
        <v>0</v>
      </c>
      <c r="K3027">
        <v>0</v>
      </c>
      <c r="L3027">
        <v>0</v>
      </c>
      <c r="M3027">
        <v>0</v>
      </c>
      <c r="N3027">
        <v>94919</v>
      </c>
      <c r="O3027">
        <v>81672</v>
      </c>
      <c r="P3027">
        <v>18722</v>
      </c>
      <c r="Q3027">
        <v>84</v>
      </c>
      <c r="R3027">
        <v>67</v>
      </c>
      <c r="S3027">
        <v>21</v>
      </c>
      <c r="T3027">
        <v>5</v>
      </c>
      <c r="U3027">
        <v>11</v>
      </c>
    </row>
    <row r="3028" spans="1:21" x14ac:dyDescent="0.35">
      <c r="A3028" t="s">
        <v>26</v>
      </c>
      <c r="B3028" s="1">
        <v>44863</v>
      </c>
      <c r="C3028" t="s">
        <v>32</v>
      </c>
      <c r="D3028">
        <v>2.5</v>
      </c>
      <c r="E3028">
        <v>0</v>
      </c>
      <c r="F3028">
        <v>0</v>
      </c>
      <c r="G3028">
        <v>0</v>
      </c>
      <c r="H3028">
        <v>0</v>
      </c>
      <c r="I3028">
        <v>0</v>
      </c>
      <c r="J3028">
        <v>0</v>
      </c>
      <c r="K3028">
        <v>0</v>
      </c>
      <c r="L3028">
        <v>0</v>
      </c>
      <c r="M3028">
        <v>0</v>
      </c>
      <c r="N3028">
        <v>162642</v>
      </c>
      <c r="O3028">
        <v>0</v>
      </c>
      <c r="P3028">
        <v>0</v>
      </c>
      <c r="Q3028">
        <v>4</v>
      </c>
      <c r="R3028">
        <v>0</v>
      </c>
      <c r="S3028">
        <v>0</v>
      </c>
      <c r="T3028">
        <v>0</v>
      </c>
      <c r="U3028">
        <v>4</v>
      </c>
    </row>
    <row r="3029" spans="1:21" x14ac:dyDescent="0.35">
      <c r="A3029" t="s">
        <v>28</v>
      </c>
      <c r="B3029" s="1">
        <v>45145</v>
      </c>
      <c r="C3029" t="s">
        <v>27</v>
      </c>
      <c r="D3029">
        <v>6.2</v>
      </c>
      <c r="E3029">
        <v>0</v>
      </c>
      <c r="F3029">
        <v>0</v>
      </c>
      <c r="G3029">
        <v>0</v>
      </c>
      <c r="H3029">
        <v>0</v>
      </c>
      <c r="I3029">
        <v>0</v>
      </c>
      <c r="J3029">
        <v>0</v>
      </c>
      <c r="K3029">
        <v>0</v>
      </c>
      <c r="L3029">
        <v>0</v>
      </c>
      <c r="M3029">
        <v>0</v>
      </c>
      <c r="N3029">
        <v>32241</v>
      </c>
      <c r="O3029">
        <v>86577</v>
      </c>
      <c r="P3029">
        <v>44590</v>
      </c>
      <c r="Q3029">
        <v>2</v>
      </c>
      <c r="R3029">
        <v>0</v>
      </c>
      <c r="S3029">
        <v>0</v>
      </c>
      <c r="T3029">
        <v>12</v>
      </c>
      <c r="U3029">
        <v>17</v>
      </c>
    </row>
    <row r="3030" spans="1:21" x14ac:dyDescent="0.35">
      <c r="A3030" t="s">
        <v>28</v>
      </c>
      <c r="B3030" s="1">
        <v>44618</v>
      </c>
      <c r="C3030" t="s">
        <v>31</v>
      </c>
      <c r="D3030">
        <v>61.1</v>
      </c>
      <c r="E3030">
        <v>32.799999999999997</v>
      </c>
      <c r="F3030">
        <v>40</v>
      </c>
      <c r="G3030">
        <v>1.9</v>
      </c>
      <c r="H3030">
        <v>1.5</v>
      </c>
      <c r="I3030">
        <v>0</v>
      </c>
      <c r="J3030">
        <v>0</v>
      </c>
      <c r="K3030">
        <v>0</v>
      </c>
      <c r="L3030">
        <v>0</v>
      </c>
      <c r="M3030">
        <v>0</v>
      </c>
      <c r="N3030">
        <v>49070</v>
      </c>
      <c r="O3030">
        <v>54948</v>
      </c>
      <c r="P3030">
        <v>154842</v>
      </c>
      <c r="Q3030">
        <v>30</v>
      </c>
      <c r="R3030">
        <v>18</v>
      </c>
      <c r="S3030">
        <v>62</v>
      </c>
      <c r="T3030">
        <v>65</v>
      </c>
      <c r="U3030">
        <v>79</v>
      </c>
    </row>
    <row r="3031" spans="1:21" x14ac:dyDescent="0.35">
      <c r="A3031" t="s">
        <v>26</v>
      </c>
      <c r="B3031" s="1">
        <v>44774</v>
      </c>
      <c r="C3031" t="s">
        <v>32</v>
      </c>
      <c r="D3031">
        <v>21.5</v>
      </c>
      <c r="E3031">
        <v>0</v>
      </c>
      <c r="F3031">
        <v>0</v>
      </c>
      <c r="G3031">
        <v>0</v>
      </c>
      <c r="H3031">
        <v>0</v>
      </c>
      <c r="I3031">
        <v>0</v>
      </c>
      <c r="J3031">
        <v>0</v>
      </c>
      <c r="K3031">
        <v>0</v>
      </c>
      <c r="L3031">
        <v>0</v>
      </c>
      <c r="M3031">
        <v>0</v>
      </c>
      <c r="N3031">
        <v>162642</v>
      </c>
      <c r="O3031">
        <v>0</v>
      </c>
      <c r="P3031">
        <v>0</v>
      </c>
      <c r="Q3031">
        <v>35</v>
      </c>
      <c r="R3031">
        <v>0</v>
      </c>
      <c r="S3031">
        <v>0</v>
      </c>
      <c r="T3031">
        <v>0</v>
      </c>
      <c r="U3031">
        <v>4</v>
      </c>
    </row>
    <row r="3032" spans="1:21" x14ac:dyDescent="0.35">
      <c r="A3032" t="s">
        <v>28</v>
      </c>
      <c r="B3032" s="1">
        <v>45248</v>
      </c>
      <c r="C3032" t="s">
        <v>25</v>
      </c>
      <c r="D3032">
        <v>73.2</v>
      </c>
      <c r="E3032">
        <v>23.2</v>
      </c>
      <c r="F3032">
        <v>28.3</v>
      </c>
      <c r="G3032">
        <v>3.2</v>
      </c>
      <c r="H3032">
        <v>2.6</v>
      </c>
      <c r="I3032">
        <v>0</v>
      </c>
      <c r="J3032">
        <v>0</v>
      </c>
      <c r="K3032">
        <v>0</v>
      </c>
      <c r="L3032">
        <v>0</v>
      </c>
      <c r="M3032">
        <v>0</v>
      </c>
      <c r="N3032">
        <v>68264</v>
      </c>
      <c r="O3032">
        <v>215430</v>
      </c>
      <c r="P3032">
        <v>162672</v>
      </c>
      <c r="Q3032">
        <v>50</v>
      </c>
      <c r="R3032">
        <v>50</v>
      </c>
      <c r="S3032">
        <v>46</v>
      </c>
      <c r="T3032">
        <v>18</v>
      </c>
      <c r="U3032">
        <v>29</v>
      </c>
    </row>
    <row r="3033" spans="1:21" x14ac:dyDescent="0.35">
      <c r="A3033" t="s">
        <v>28</v>
      </c>
      <c r="B3033" s="1">
        <v>45248</v>
      </c>
      <c r="C3033" t="s">
        <v>27</v>
      </c>
      <c r="D3033">
        <v>41.3</v>
      </c>
      <c r="E3033">
        <v>16.2</v>
      </c>
      <c r="F3033">
        <v>29.1</v>
      </c>
      <c r="G3033">
        <v>2.5</v>
      </c>
      <c r="H3033">
        <v>1.4</v>
      </c>
      <c r="I3033">
        <v>0</v>
      </c>
      <c r="J3033">
        <v>0</v>
      </c>
      <c r="K3033">
        <v>0</v>
      </c>
      <c r="L3033">
        <v>0</v>
      </c>
      <c r="M3033">
        <v>0</v>
      </c>
      <c r="N3033">
        <v>31480</v>
      </c>
      <c r="O3033">
        <v>86496</v>
      </c>
      <c r="P3033">
        <v>44716</v>
      </c>
      <c r="Q3033">
        <v>13</v>
      </c>
      <c r="R3033">
        <v>14</v>
      </c>
      <c r="S3033">
        <v>13</v>
      </c>
      <c r="T3033">
        <v>12</v>
      </c>
      <c r="U3033">
        <v>17</v>
      </c>
    </row>
    <row r="3034" spans="1:21" x14ac:dyDescent="0.35">
      <c r="A3034" t="s">
        <v>28</v>
      </c>
      <c r="B3034" s="1">
        <v>44345</v>
      </c>
      <c r="C3034" t="s">
        <v>27</v>
      </c>
      <c r="D3034">
        <v>42.9</v>
      </c>
      <c r="E3034">
        <v>11.3</v>
      </c>
      <c r="F3034">
        <v>0</v>
      </c>
      <c r="G3034">
        <v>3.8</v>
      </c>
      <c r="H3034">
        <v>0</v>
      </c>
      <c r="I3034">
        <v>0</v>
      </c>
      <c r="J3034">
        <v>0</v>
      </c>
      <c r="K3034">
        <v>0</v>
      </c>
      <c r="L3034">
        <v>0</v>
      </c>
      <c r="M3034">
        <v>0</v>
      </c>
      <c r="N3034">
        <v>128173</v>
      </c>
      <c r="O3034">
        <v>8885</v>
      </c>
      <c r="P3034">
        <v>0</v>
      </c>
      <c r="Q3034">
        <v>55</v>
      </c>
      <c r="R3034">
        <v>1</v>
      </c>
      <c r="S3034">
        <v>0</v>
      </c>
      <c r="T3034">
        <v>12</v>
      </c>
      <c r="U3034">
        <v>17</v>
      </c>
    </row>
    <row r="3035" spans="1:21" x14ac:dyDescent="0.35">
      <c r="A3035" t="s">
        <v>21</v>
      </c>
      <c r="B3035" s="1">
        <v>44366</v>
      </c>
      <c r="C3035" t="s">
        <v>27</v>
      </c>
      <c r="D3035">
        <v>0</v>
      </c>
      <c r="E3035">
        <v>0</v>
      </c>
      <c r="F3035">
        <v>0</v>
      </c>
      <c r="G3035">
        <v>0</v>
      </c>
      <c r="H3035">
        <v>0</v>
      </c>
      <c r="I3035">
        <v>0</v>
      </c>
      <c r="J3035">
        <v>0</v>
      </c>
      <c r="K3035">
        <v>0</v>
      </c>
      <c r="L3035">
        <v>0</v>
      </c>
      <c r="M3035">
        <v>0</v>
      </c>
      <c r="N3035">
        <v>114743</v>
      </c>
      <c r="O3035">
        <v>24556</v>
      </c>
      <c r="P3035">
        <v>0</v>
      </c>
      <c r="Q3035">
        <v>0</v>
      </c>
      <c r="R3035">
        <v>0</v>
      </c>
      <c r="S3035">
        <v>0</v>
      </c>
      <c r="T3035">
        <v>12</v>
      </c>
      <c r="U3035">
        <v>17</v>
      </c>
    </row>
    <row r="3036" spans="1:21" x14ac:dyDescent="0.35">
      <c r="A3036" t="s">
        <v>26</v>
      </c>
      <c r="B3036" s="1">
        <v>45073</v>
      </c>
      <c r="C3036" t="s">
        <v>25</v>
      </c>
      <c r="D3036">
        <v>0</v>
      </c>
      <c r="E3036">
        <v>0</v>
      </c>
      <c r="F3036">
        <v>0</v>
      </c>
      <c r="G3036">
        <v>0</v>
      </c>
      <c r="H3036">
        <v>0</v>
      </c>
      <c r="I3036">
        <v>0</v>
      </c>
      <c r="J3036">
        <v>0</v>
      </c>
      <c r="K3036">
        <v>0</v>
      </c>
      <c r="L3036">
        <v>0</v>
      </c>
      <c r="M3036">
        <v>0</v>
      </c>
      <c r="N3036">
        <v>74841</v>
      </c>
      <c r="O3036">
        <v>214134</v>
      </c>
      <c r="P3036">
        <v>161693</v>
      </c>
      <c r="Q3036">
        <v>0</v>
      </c>
      <c r="R3036">
        <v>0</v>
      </c>
      <c r="S3036">
        <v>0</v>
      </c>
      <c r="T3036">
        <v>18</v>
      </c>
      <c r="U3036">
        <v>29</v>
      </c>
    </row>
    <row r="3037" spans="1:21" x14ac:dyDescent="0.35">
      <c r="A3037" t="s">
        <v>28</v>
      </c>
      <c r="B3037" s="1">
        <v>44259</v>
      </c>
      <c r="C3037" t="s">
        <v>30</v>
      </c>
      <c r="D3037">
        <v>85.5</v>
      </c>
      <c r="E3037">
        <v>15.2</v>
      </c>
      <c r="F3037">
        <v>0</v>
      </c>
      <c r="G3037">
        <v>5.6</v>
      </c>
      <c r="H3037">
        <v>0</v>
      </c>
      <c r="I3037">
        <v>0</v>
      </c>
      <c r="J3037">
        <v>0</v>
      </c>
      <c r="K3037">
        <v>0</v>
      </c>
      <c r="L3037">
        <v>0</v>
      </c>
      <c r="M3037">
        <v>0</v>
      </c>
      <c r="N3037">
        <v>42122</v>
      </c>
      <c r="O3037">
        <v>26360</v>
      </c>
      <c r="P3037">
        <v>0</v>
      </c>
      <c r="Q3037">
        <v>36</v>
      </c>
      <c r="R3037">
        <v>4</v>
      </c>
      <c r="S3037">
        <v>0</v>
      </c>
      <c r="T3037">
        <v>80</v>
      </c>
      <c r="U3037">
        <v>200</v>
      </c>
    </row>
    <row r="3038" spans="1:21" x14ac:dyDescent="0.35">
      <c r="A3038" t="s">
        <v>28</v>
      </c>
      <c r="B3038" s="1">
        <v>45220</v>
      </c>
      <c r="C3038" t="s">
        <v>29</v>
      </c>
      <c r="D3038">
        <v>54.2</v>
      </c>
      <c r="E3038">
        <v>21.2</v>
      </c>
      <c r="F3038">
        <v>21.6</v>
      </c>
      <c r="G3038">
        <v>2.6</v>
      </c>
      <c r="H3038">
        <v>2.5</v>
      </c>
      <c r="I3038">
        <v>0</v>
      </c>
      <c r="J3038">
        <v>0</v>
      </c>
      <c r="K3038">
        <v>0</v>
      </c>
      <c r="L3038">
        <v>0</v>
      </c>
      <c r="M3038">
        <v>0</v>
      </c>
      <c r="N3038">
        <v>103249</v>
      </c>
      <c r="O3038">
        <v>278946</v>
      </c>
      <c r="P3038">
        <v>347858</v>
      </c>
      <c r="Q3038">
        <v>56</v>
      </c>
      <c r="R3038">
        <v>59</v>
      </c>
      <c r="S3038">
        <v>75</v>
      </c>
      <c r="T3038">
        <v>30</v>
      </c>
      <c r="U3038">
        <v>49</v>
      </c>
    </row>
    <row r="3039" spans="1:21" x14ac:dyDescent="0.35">
      <c r="A3039" t="s">
        <v>26</v>
      </c>
      <c r="B3039" s="1">
        <v>44681</v>
      </c>
      <c r="C3039" t="s">
        <v>30</v>
      </c>
      <c r="D3039">
        <v>22.3</v>
      </c>
      <c r="E3039">
        <v>67.5</v>
      </c>
      <c r="F3039">
        <v>27.2</v>
      </c>
      <c r="G3039">
        <v>0.3</v>
      </c>
      <c r="H3039">
        <v>0.8</v>
      </c>
      <c r="I3039">
        <v>0</v>
      </c>
      <c r="J3039">
        <v>0</v>
      </c>
      <c r="K3039">
        <v>0</v>
      </c>
      <c r="L3039">
        <v>0</v>
      </c>
      <c r="M3039">
        <v>0</v>
      </c>
      <c r="N3039">
        <v>26860</v>
      </c>
      <c r="O3039">
        <v>13328</v>
      </c>
      <c r="P3039">
        <v>44158</v>
      </c>
      <c r="Q3039">
        <v>6</v>
      </c>
      <c r="R3039">
        <v>9</v>
      </c>
      <c r="S3039">
        <v>12</v>
      </c>
      <c r="T3039">
        <v>80</v>
      </c>
      <c r="U3039">
        <v>200</v>
      </c>
    </row>
    <row r="3040" spans="1:21" x14ac:dyDescent="0.35">
      <c r="A3040" t="s">
        <v>26</v>
      </c>
      <c r="B3040" s="1">
        <v>45031</v>
      </c>
      <c r="C3040" t="s">
        <v>25</v>
      </c>
      <c r="D3040">
        <v>2.6</v>
      </c>
      <c r="E3040">
        <v>1.9</v>
      </c>
      <c r="F3040">
        <v>0.6</v>
      </c>
      <c r="G3040">
        <v>1.4</v>
      </c>
      <c r="H3040">
        <v>4.3</v>
      </c>
      <c r="I3040">
        <v>0</v>
      </c>
      <c r="J3040">
        <v>0</v>
      </c>
      <c r="K3040">
        <v>0</v>
      </c>
      <c r="L3040">
        <v>0</v>
      </c>
      <c r="M3040">
        <v>0</v>
      </c>
      <c r="N3040">
        <v>75787</v>
      </c>
      <c r="O3040">
        <v>213968</v>
      </c>
      <c r="P3040">
        <v>161682</v>
      </c>
      <c r="Q3040">
        <v>2</v>
      </c>
      <c r="R3040">
        <v>4</v>
      </c>
      <c r="S3040">
        <v>1</v>
      </c>
      <c r="T3040">
        <v>18</v>
      </c>
      <c r="U3040">
        <v>29</v>
      </c>
    </row>
    <row r="3041" spans="1:21" x14ac:dyDescent="0.35">
      <c r="A3041" t="s">
        <v>28</v>
      </c>
      <c r="B3041" s="1">
        <v>44786</v>
      </c>
      <c r="C3041" t="s">
        <v>22</v>
      </c>
      <c r="D3041">
        <v>222.9</v>
      </c>
      <c r="E3041">
        <v>122.8</v>
      </c>
      <c r="F3041">
        <v>203.5</v>
      </c>
      <c r="G3041">
        <v>1.8</v>
      </c>
      <c r="H3041">
        <v>1.1000000000000001</v>
      </c>
      <c r="I3041">
        <v>263.60000000000002</v>
      </c>
      <c r="J3041">
        <v>119.4</v>
      </c>
      <c r="K3041">
        <v>173.6</v>
      </c>
      <c r="L3041">
        <v>2.2000000000000002</v>
      </c>
      <c r="M3041">
        <v>1.5</v>
      </c>
      <c r="N3041">
        <v>611563</v>
      </c>
      <c r="O3041">
        <v>848751</v>
      </c>
      <c r="P3041">
        <v>1018396</v>
      </c>
      <c r="Q3041">
        <v>1363</v>
      </c>
      <c r="R3041">
        <v>1042</v>
      </c>
      <c r="S3041">
        <v>2072</v>
      </c>
      <c r="T3041">
        <v>999</v>
      </c>
      <c r="U3041">
        <v>999</v>
      </c>
    </row>
    <row r="3042" spans="1:21" x14ac:dyDescent="0.35">
      <c r="A3042" t="s">
        <v>26</v>
      </c>
      <c r="B3042" s="1">
        <v>45003</v>
      </c>
      <c r="C3042" t="s">
        <v>27</v>
      </c>
      <c r="D3042">
        <v>0</v>
      </c>
      <c r="E3042">
        <v>1.2</v>
      </c>
      <c r="F3042">
        <v>0</v>
      </c>
      <c r="G3042">
        <v>0</v>
      </c>
      <c r="H3042">
        <v>0</v>
      </c>
      <c r="I3042">
        <v>0</v>
      </c>
      <c r="J3042">
        <v>0</v>
      </c>
      <c r="K3042">
        <v>0</v>
      </c>
      <c r="L3042">
        <v>0</v>
      </c>
      <c r="M3042">
        <v>0</v>
      </c>
      <c r="N3042">
        <v>33016</v>
      </c>
      <c r="O3042">
        <v>86456</v>
      </c>
      <c r="P3042">
        <v>44563</v>
      </c>
      <c r="Q3042">
        <v>0</v>
      </c>
      <c r="R3042">
        <v>1</v>
      </c>
      <c r="S3042">
        <v>0</v>
      </c>
      <c r="T3042">
        <v>12</v>
      </c>
      <c r="U3042">
        <v>17</v>
      </c>
    </row>
    <row r="3043" spans="1:21" x14ac:dyDescent="0.35">
      <c r="A3043" t="s">
        <v>28</v>
      </c>
      <c r="B3043" s="1">
        <v>44527</v>
      </c>
      <c r="C3043" t="s">
        <v>22</v>
      </c>
      <c r="D3043">
        <v>242.4</v>
      </c>
      <c r="E3043">
        <v>101.3</v>
      </c>
      <c r="F3043">
        <v>32.799999999999997</v>
      </c>
      <c r="G3043">
        <v>2.4</v>
      </c>
      <c r="H3043">
        <v>7.4</v>
      </c>
      <c r="I3043">
        <v>281.89999999999998</v>
      </c>
      <c r="J3043">
        <v>82.4</v>
      </c>
      <c r="K3043">
        <v>26.7</v>
      </c>
      <c r="L3043">
        <v>3.4</v>
      </c>
      <c r="M3043">
        <v>10.5</v>
      </c>
      <c r="N3043">
        <v>879918</v>
      </c>
      <c r="O3043">
        <v>1338551</v>
      </c>
      <c r="P3043">
        <v>274264</v>
      </c>
      <c r="Q3043">
        <v>2133</v>
      </c>
      <c r="R3043">
        <v>1356</v>
      </c>
      <c r="S3043">
        <v>90</v>
      </c>
      <c r="T3043">
        <v>999</v>
      </c>
      <c r="U3043">
        <v>999</v>
      </c>
    </row>
    <row r="3044" spans="1:21" x14ac:dyDescent="0.35">
      <c r="A3044" t="s">
        <v>28</v>
      </c>
      <c r="B3044" s="1">
        <v>44527</v>
      </c>
      <c r="C3044" t="s">
        <v>23</v>
      </c>
      <c r="D3044">
        <v>397.9</v>
      </c>
      <c r="E3044">
        <v>87.7</v>
      </c>
      <c r="F3044">
        <v>30.1</v>
      </c>
      <c r="G3044">
        <v>4.5</v>
      </c>
      <c r="H3044">
        <v>13.2</v>
      </c>
      <c r="I3044">
        <v>0</v>
      </c>
      <c r="J3044">
        <v>0</v>
      </c>
      <c r="K3044">
        <v>0</v>
      </c>
      <c r="L3044">
        <v>0</v>
      </c>
      <c r="M3044">
        <v>0</v>
      </c>
      <c r="N3044">
        <v>66092</v>
      </c>
      <c r="O3044">
        <v>285061</v>
      </c>
      <c r="P3044">
        <v>63187</v>
      </c>
      <c r="Q3044">
        <v>263</v>
      </c>
      <c r="R3044">
        <v>250</v>
      </c>
      <c r="S3044">
        <v>19</v>
      </c>
      <c r="T3044">
        <v>50</v>
      </c>
      <c r="U3044">
        <v>64</v>
      </c>
    </row>
    <row r="3045" spans="1:21" x14ac:dyDescent="0.35">
      <c r="A3045" t="s">
        <v>26</v>
      </c>
      <c r="B3045" s="1">
        <v>44954</v>
      </c>
      <c r="C3045" t="s">
        <v>24</v>
      </c>
      <c r="D3045">
        <v>0</v>
      </c>
      <c r="E3045">
        <v>0</v>
      </c>
      <c r="F3045">
        <v>0</v>
      </c>
      <c r="G3045">
        <v>0</v>
      </c>
      <c r="H3045">
        <v>0</v>
      </c>
      <c r="I3045">
        <v>0</v>
      </c>
      <c r="J3045">
        <v>0</v>
      </c>
      <c r="K3045">
        <v>0</v>
      </c>
      <c r="L3045">
        <v>0</v>
      </c>
      <c r="M3045">
        <v>0</v>
      </c>
      <c r="N3045">
        <v>91930</v>
      </c>
      <c r="O3045">
        <v>81866</v>
      </c>
      <c r="P3045">
        <v>21179</v>
      </c>
      <c r="Q3045">
        <v>0</v>
      </c>
      <c r="R3045">
        <v>0</v>
      </c>
      <c r="S3045">
        <v>0</v>
      </c>
      <c r="T3045">
        <v>5</v>
      </c>
      <c r="U3045">
        <v>11</v>
      </c>
    </row>
    <row r="3046" spans="1:21" x14ac:dyDescent="0.35">
      <c r="A3046" t="s">
        <v>21</v>
      </c>
      <c r="B3046" s="1">
        <v>45157</v>
      </c>
      <c r="C3046" t="s">
        <v>31</v>
      </c>
      <c r="D3046">
        <v>0</v>
      </c>
      <c r="E3046">
        <v>0</v>
      </c>
      <c r="F3046">
        <v>0.6</v>
      </c>
      <c r="G3046">
        <v>0</v>
      </c>
      <c r="H3046">
        <v>0</v>
      </c>
      <c r="I3046">
        <v>0</v>
      </c>
      <c r="J3046">
        <v>0</v>
      </c>
      <c r="K3046">
        <v>0</v>
      </c>
      <c r="L3046">
        <v>0</v>
      </c>
      <c r="M3046">
        <v>0</v>
      </c>
      <c r="N3046">
        <v>39214</v>
      </c>
      <c r="O3046">
        <v>43417</v>
      </c>
      <c r="P3046">
        <v>171752</v>
      </c>
      <c r="Q3046">
        <v>0</v>
      </c>
      <c r="R3046">
        <v>0</v>
      </c>
      <c r="S3046">
        <v>1</v>
      </c>
      <c r="T3046">
        <v>65</v>
      </c>
      <c r="U3046">
        <v>79</v>
      </c>
    </row>
    <row r="3047" spans="1:21" x14ac:dyDescent="0.35">
      <c r="A3047" t="s">
        <v>21</v>
      </c>
      <c r="B3047" s="1">
        <v>44555</v>
      </c>
      <c r="C3047" t="s">
        <v>22</v>
      </c>
      <c r="D3047">
        <v>7.6</v>
      </c>
      <c r="E3047">
        <v>2.8</v>
      </c>
      <c r="F3047">
        <v>1</v>
      </c>
      <c r="G3047">
        <v>2.7</v>
      </c>
      <c r="H3047">
        <v>7.6</v>
      </c>
      <c r="I3047">
        <v>10.9</v>
      </c>
      <c r="J3047">
        <v>3.2</v>
      </c>
      <c r="K3047">
        <v>0.4</v>
      </c>
      <c r="L3047">
        <v>3.4</v>
      </c>
      <c r="M3047">
        <v>26.9</v>
      </c>
      <c r="N3047">
        <v>814632</v>
      </c>
      <c r="O3047">
        <v>1161444</v>
      </c>
      <c r="P3047">
        <v>517372</v>
      </c>
      <c r="Q3047">
        <v>62</v>
      </c>
      <c r="R3047">
        <v>32</v>
      </c>
      <c r="S3047">
        <v>5</v>
      </c>
      <c r="T3047">
        <v>999</v>
      </c>
      <c r="U3047">
        <v>999</v>
      </c>
    </row>
    <row r="3048" spans="1:21" x14ac:dyDescent="0.35">
      <c r="A3048" t="s">
        <v>21</v>
      </c>
      <c r="B3048" s="1">
        <v>44933</v>
      </c>
      <c r="C3048" t="s">
        <v>22</v>
      </c>
      <c r="D3048">
        <v>0</v>
      </c>
      <c r="E3048">
        <v>0</v>
      </c>
      <c r="F3048">
        <v>0.1</v>
      </c>
      <c r="G3048">
        <v>0</v>
      </c>
      <c r="H3048">
        <v>0</v>
      </c>
      <c r="I3048">
        <v>0</v>
      </c>
      <c r="J3048">
        <v>0</v>
      </c>
      <c r="K3048">
        <v>0.1</v>
      </c>
      <c r="L3048">
        <v>0</v>
      </c>
      <c r="M3048">
        <v>0</v>
      </c>
      <c r="N3048">
        <v>532370</v>
      </c>
      <c r="O3048">
        <v>860333</v>
      </c>
      <c r="P3048">
        <v>1040733</v>
      </c>
      <c r="Q3048">
        <v>0</v>
      </c>
      <c r="R3048">
        <v>0</v>
      </c>
      <c r="S3048">
        <v>1</v>
      </c>
      <c r="T3048">
        <v>999</v>
      </c>
      <c r="U3048">
        <v>999</v>
      </c>
    </row>
    <row r="3049" spans="1:21" x14ac:dyDescent="0.35">
      <c r="A3049" t="s">
        <v>21</v>
      </c>
      <c r="B3049" s="1">
        <v>44520</v>
      </c>
      <c r="C3049" t="s">
        <v>22</v>
      </c>
      <c r="D3049">
        <v>1.9</v>
      </c>
      <c r="E3049">
        <v>0.7</v>
      </c>
      <c r="F3049">
        <v>0.5</v>
      </c>
      <c r="G3049">
        <v>2.7</v>
      </c>
      <c r="H3049">
        <v>3.8</v>
      </c>
      <c r="I3049">
        <v>3</v>
      </c>
      <c r="J3049">
        <v>0.7</v>
      </c>
      <c r="K3049">
        <v>0.2</v>
      </c>
      <c r="L3049">
        <v>4.0999999999999996</v>
      </c>
      <c r="M3049">
        <v>16.7</v>
      </c>
      <c r="N3049">
        <v>893891</v>
      </c>
      <c r="O3049">
        <v>1383374</v>
      </c>
      <c r="P3049">
        <v>221328</v>
      </c>
      <c r="Q3049">
        <v>17</v>
      </c>
      <c r="R3049">
        <v>9</v>
      </c>
      <c r="S3049">
        <v>1</v>
      </c>
      <c r="T3049">
        <v>999</v>
      </c>
      <c r="U3049">
        <v>999</v>
      </c>
    </row>
    <row r="3050" spans="1:21" x14ac:dyDescent="0.35">
      <c r="A3050" t="s">
        <v>28</v>
      </c>
      <c r="B3050" s="1">
        <v>44991</v>
      </c>
      <c r="C3050" t="s">
        <v>31</v>
      </c>
      <c r="D3050">
        <v>20.3</v>
      </c>
      <c r="E3050">
        <v>11.5</v>
      </c>
      <c r="F3050">
        <v>26.2</v>
      </c>
      <c r="G3050">
        <v>1.8</v>
      </c>
      <c r="H3050">
        <v>0.8</v>
      </c>
      <c r="I3050">
        <v>0</v>
      </c>
      <c r="J3050">
        <v>0</v>
      </c>
      <c r="K3050">
        <v>0</v>
      </c>
      <c r="L3050">
        <v>0</v>
      </c>
      <c r="M3050">
        <v>0</v>
      </c>
      <c r="N3050">
        <v>39483</v>
      </c>
      <c r="O3050">
        <v>43434</v>
      </c>
      <c r="P3050">
        <v>171732</v>
      </c>
      <c r="Q3050">
        <v>8</v>
      </c>
      <c r="R3050">
        <v>5</v>
      </c>
      <c r="S3050">
        <v>45</v>
      </c>
      <c r="T3050">
        <v>65</v>
      </c>
      <c r="U3050">
        <v>79</v>
      </c>
    </row>
    <row r="3051" spans="1:21" x14ac:dyDescent="0.35">
      <c r="A3051" t="s">
        <v>28</v>
      </c>
      <c r="B3051" s="1">
        <v>44808</v>
      </c>
      <c r="C3051" t="s">
        <v>29</v>
      </c>
      <c r="D3051">
        <v>118.7</v>
      </c>
      <c r="E3051">
        <v>62.5</v>
      </c>
      <c r="F3051">
        <v>225.3</v>
      </c>
      <c r="G3051">
        <v>1.9</v>
      </c>
      <c r="H3051">
        <v>0.5</v>
      </c>
      <c r="I3051">
        <v>0</v>
      </c>
      <c r="J3051">
        <v>0</v>
      </c>
      <c r="K3051">
        <v>0</v>
      </c>
      <c r="L3051">
        <v>0</v>
      </c>
      <c r="M3051">
        <v>0</v>
      </c>
      <c r="N3051">
        <v>132219</v>
      </c>
      <c r="O3051">
        <v>289629</v>
      </c>
      <c r="P3051">
        <v>326607</v>
      </c>
      <c r="Q3051">
        <v>157</v>
      </c>
      <c r="R3051">
        <v>181</v>
      </c>
      <c r="S3051">
        <v>736</v>
      </c>
      <c r="T3051">
        <v>30</v>
      </c>
      <c r="U3051">
        <v>49</v>
      </c>
    </row>
    <row r="3052" spans="1:21" x14ac:dyDescent="0.35">
      <c r="A3052" t="s">
        <v>26</v>
      </c>
      <c r="B3052" s="1">
        <v>44590</v>
      </c>
      <c r="C3052" t="s">
        <v>30</v>
      </c>
      <c r="D3052">
        <v>123.8</v>
      </c>
      <c r="E3052">
        <v>137.9</v>
      </c>
      <c r="F3052">
        <v>45.1</v>
      </c>
      <c r="G3052">
        <v>0.9</v>
      </c>
      <c r="H3052">
        <v>2.7</v>
      </c>
      <c r="I3052">
        <v>0</v>
      </c>
      <c r="J3052">
        <v>0</v>
      </c>
      <c r="K3052">
        <v>0</v>
      </c>
      <c r="L3052">
        <v>0</v>
      </c>
      <c r="M3052">
        <v>0</v>
      </c>
      <c r="N3052">
        <v>27458</v>
      </c>
      <c r="O3052">
        <v>16677</v>
      </c>
      <c r="P3052">
        <v>39936</v>
      </c>
      <c r="Q3052">
        <v>34</v>
      </c>
      <c r="R3052">
        <v>23</v>
      </c>
      <c r="S3052">
        <v>18</v>
      </c>
      <c r="T3052">
        <v>80</v>
      </c>
      <c r="U3052">
        <v>200</v>
      </c>
    </row>
    <row r="3053" spans="1:21" x14ac:dyDescent="0.35">
      <c r="A3053" t="s">
        <v>26</v>
      </c>
      <c r="B3053" s="1">
        <v>44401</v>
      </c>
      <c r="C3053" t="s">
        <v>27</v>
      </c>
      <c r="D3053">
        <v>0</v>
      </c>
      <c r="E3053">
        <v>0</v>
      </c>
      <c r="F3053">
        <v>0</v>
      </c>
      <c r="G3053">
        <v>0</v>
      </c>
      <c r="H3053">
        <v>0</v>
      </c>
      <c r="I3053">
        <v>0</v>
      </c>
      <c r="J3053">
        <v>0</v>
      </c>
      <c r="K3053">
        <v>0</v>
      </c>
      <c r="L3053">
        <v>0</v>
      </c>
      <c r="M3053">
        <v>0</v>
      </c>
      <c r="N3053">
        <v>98632</v>
      </c>
      <c r="O3053">
        <v>61084</v>
      </c>
      <c r="P3053">
        <v>0</v>
      </c>
      <c r="Q3053">
        <v>0</v>
      </c>
      <c r="R3053">
        <v>0</v>
      </c>
      <c r="S3053">
        <v>0</v>
      </c>
      <c r="T3053">
        <v>12</v>
      </c>
      <c r="U3053">
        <v>17</v>
      </c>
    </row>
    <row r="3054" spans="1:21" x14ac:dyDescent="0.35">
      <c r="A3054" t="s">
        <v>26</v>
      </c>
      <c r="B3054" s="1">
        <v>44571</v>
      </c>
      <c r="C3054" t="s">
        <v>31</v>
      </c>
      <c r="D3054">
        <v>24.8</v>
      </c>
      <c r="E3054">
        <v>18.399999999999999</v>
      </c>
      <c r="F3054">
        <v>14</v>
      </c>
      <c r="G3054">
        <v>1.3</v>
      </c>
      <c r="H3054">
        <v>1.8</v>
      </c>
      <c r="I3054">
        <v>0</v>
      </c>
      <c r="J3054">
        <v>0</v>
      </c>
      <c r="K3054">
        <v>0</v>
      </c>
      <c r="L3054">
        <v>0</v>
      </c>
      <c r="M3054">
        <v>0</v>
      </c>
      <c r="N3054">
        <v>44363</v>
      </c>
      <c r="O3054">
        <v>43409</v>
      </c>
      <c r="P3054">
        <v>171376</v>
      </c>
      <c r="Q3054">
        <v>11</v>
      </c>
      <c r="R3054">
        <v>8</v>
      </c>
      <c r="S3054">
        <v>24</v>
      </c>
      <c r="T3054">
        <v>65</v>
      </c>
      <c r="U3054">
        <v>79</v>
      </c>
    </row>
    <row r="3055" spans="1:21" x14ac:dyDescent="0.35">
      <c r="A3055" t="s">
        <v>28</v>
      </c>
      <c r="B3055" s="1">
        <v>44783</v>
      </c>
      <c r="C3055" t="s">
        <v>29</v>
      </c>
      <c r="D3055">
        <v>129.6</v>
      </c>
      <c r="E3055">
        <v>55</v>
      </c>
      <c r="F3055">
        <v>75.5</v>
      </c>
      <c r="G3055">
        <v>2.4</v>
      </c>
      <c r="H3055">
        <v>1.7</v>
      </c>
      <c r="I3055">
        <v>0</v>
      </c>
      <c r="J3055">
        <v>0</v>
      </c>
      <c r="K3055">
        <v>0</v>
      </c>
      <c r="L3055">
        <v>0</v>
      </c>
      <c r="M3055">
        <v>0</v>
      </c>
      <c r="N3055">
        <v>121106</v>
      </c>
      <c r="O3055">
        <v>276136</v>
      </c>
      <c r="P3055">
        <v>346953</v>
      </c>
      <c r="Q3055">
        <v>157</v>
      </c>
      <c r="R3055">
        <v>152</v>
      </c>
      <c r="S3055">
        <v>262</v>
      </c>
      <c r="T3055">
        <v>30</v>
      </c>
      <c r="U3055">
        <v>49</v>
      </c>
    </row>
    <row r="3056" spans="1:21" x14ac:dyDescent="0.35">
      <c r="A3056" t="s">
        <v>21</v>
      </c>
      <c r="B3056" s="1">
        <v>45145</v>
      </c>
      <c r="C3056" t="s">
        <v>30</v>
      </c>
      <c r="D3056">
        <v>0</v>
      </c>
      <c r="E3056">
        <v>0</v>
      </c>
      <c r="F3056">
        <v>2.1</v>
      </c>
      <c r="G3056">
        <v>0</v>
      </c>
      <c r="H3056">
        <v>0</v>
      </c>
      <c r="I3056">
        <v>0</v>
      </c>
      <c r="J3056">
        <v>0</v>
      </c>
      <c r="K3056">
        <v>0</v>
      </c>
      <c r="L3056">
        <v>0</v>
      </c>
      <c r="M3056">
        <v>0</v>
      </c>
      <c r="N3056">
        <v>24498</v>
      </c>
      <c r="O3056">
        <v>11383</v>
      </c>
      <c r="P3056">
        <v>47130</v>
      </c>
      <c r="Q3056">
        <v>0</v>
      </c>
      <c r="R3056">
        <v>0</v>
      </c>
      <c r="S3056">
        <v>1</v>
      </c>
      <c r="T3056">
        <v>80</v>
      </c>
      <c r="U3056">
        <v>200</v>
      </c>
    </row>
    <row r="3057" spans="1:21" x14ac:dyDescent="0.35">
      <c r="A3057" t="s">
        <v>28</v>
      </c>
      <c r="B3057" s="1">
        <v>45164</v>
      </c>
      <c r="C3057" t="s">
        <v>27</v>
      </c>
      <c r="D3057">
        <v>18.899999999999999</v>
      </c>
      <c r="E3057">
        <v>21.9</v>
      </c>
      <c r="F3057">
        <v>20.2</v>
      </c>
      <c r="G3057">
        <v>0.9</v>
      </c>
      <c r="H3057">
        <v>0.9</v>
      </c>
      <c r="I3057">
        <v>0</v>
      </c>
      <c r="J3057">
        <v>0</v>
      </c>
      <c r="K3057">
        <v>0</v>
      </c>
      <c r="L3057">
        <v>0</v>
      </c>
      <c r="M3057">
        <v>0</v>
      </c>
      <c r="N3057">
        <v>31822</v>
      </c>
      <c r="O3057">
        <v>86575</v>
      </c>
      <c r="P3057">
        <v>44594</v>
      </c>
      <c r="Q3057">
        <v>6</v>
      </c>
      <c r="R3057">
        <v>19</v>
      </c>
      <c r="S3057">
        <v>9</v>
      </c>
      <c r="T3057">
        <v>12</v>
      </c>
      <c r="U3057">
        <v>17</v>
      </c>
    </row>
    <row r="3058" spans="1:21" x14ac:dyDescent="0.35">
      <c r="A3058" t="s">
        <v>26</v>
      </c>
      <c r="B3058" s="1">
        <v>45220</v>
      </c>
      <c r="C3058" t="s">
        <v>25</v>
      </c>
      <c r="D3058">
        <v>2.8</v>
      </c>
      <c r="E3058">
        <v>0</v>
      </c>
      <c r="F3058">
        <v>0.6</v>
      </c>
      <c r="G3058">
        <v>0</v>
      </c>
      <c r="H3058">
        <v>4.7</v>
      </c>
      <c r="I3058">
        <v>0</v>
      </c>
      <c r="J3058">
        <v>0</v>
      </c>
      <c r="K3058">
        <v>0</v>
      </c>
      <c r="L3058">
        <v>0</v>
      </c>
      <c r="M3058">
        <v>0</v>
      </c>
      <c r="N3058">
        <v>70650</v>
      </c>
      <c r="O3058">
        <v>214710</v>
      </c>
      <c r="P3058">
        <v>162045</v>
      </c>
      <c r="Q3058">
        <v>2</v>
      </c>
      <c r="R3058">
        <v>0</v>
      </c>
      <c r="S3058">
        <v>1</v>
      </c>
      <c r="T3058">
        <v>18</v>
      </c>
      <c r="U3058">
        <v>29</v>
      </c>
    </row>
    <row r="3059" spans="1:21" x14ac:dyDescent="0.35">
      <c r="A3059" t="s">
        <v>21</v>
      </c>
      <c r="B3059" s="1">
        <v>44555</v>
      </c>
      <c r="C3059" t="s">
        <v>24</v>
      </c>
      <c r="D3059">
        <v>0</v>
      </c>
      <c r="E3059">
        <v>0</v>
      </c>
      <c r="F3059">
        <v>0</v>
      </c>
      <c r="G3059">
        <v>0</v>
      </c>
      <c r="H3059">
        <v>0</v>
      </c>
      <c r="I3059">
        <v>0</v>
      </c>
      <c r="J3059">
        <v>0</v>
      </c>
      <c r="K3059">
        <v>0</v>
      </c>
      <c r="L3059">
        <v>0</v>
      </c>
      <c r="M3059">
        <v>0</v>
      </c>
      <c r="N3059">
        <v>143394</v>
      </c>
      <c r="O3059">
        <v>37144</v>
      </c>
      <c r="P3059">
        <v>0</v>
      </c>
      <c r="Q3059">
        <v>0</v>
      </c>
      <c r="R3059">
        <v>0</v>
      </c>
      <c r="S3059">
        <v>0</v>
      </c>
      <c r="T3059">
        <v>5</v>
      </c>
      <c r="U3059">
        <v>11</v>
      </c>
    </row>
    <row r="3060" spans="1:21" x14ac:dyDescent="0.35">
      <c r="A3060" t="s">
        <v>21</v>
      </c>
      <c r="B3060" s="1">
        <v>45018</v>
      </c>
      <c r="C3060" t="s">
        <v>22</v>
      </c>
      <c r="D3060">
        <v>0.5</v>
      </c>
      <c r="E3060">
        <v>0.1</v>
      </c>
      <c r="F3060">
        <v>0.4</v>
      </c>
      <c r="G3060">
        <v>5</v>
      </c>
      <c r="H3060">
        <v>1.2</v>
      </c>
      <c r="I3060">
        <v>0.8</v>
      </c>
      <c r="J3060">
        <v>0.1</v>
      </c>
      <c r="K3060">
        <v>0.3</v>
      </c>
      <c r="L3060">
        <v>6.7</v>
      </c>
      <c r="M3060">
        <v>3.1</v>
      </c>
      <c r="N3060">
        <v>548376</v>
      </c>
      <c r="O3060">
        <v>856091</v>
      </c>
      <c r="P3060">
        <v>1040343</v>
      </c>
      <c r="Q3060">
        <v>3</v>
      </c>
      <c r="R3060">
        <v>1</v>
      </c>
      <c r="S3060">
        <v>4</v>
      </c>
      <c r="T3060">
        <v>999</v>
      </c>
      <c r="U3060">
        <v>999</v>
      </c>
    </row>
    <row r="3061" spans="1:21" x14ac:dyDescent="0.35">
      <c r="A3061" t="s">
        <v>28</v>
      </c>
      <c r="B3061" s="1">
        <v>44583</v>
      </c>
      <c r="C3061" t="s">
        <v>30</v>
      </c>
      <c r="D3061">
        <v>453.3</v>
      </c>
      <c r="E3061">
        <v>549.20000000000005</v>
      </c>
      <c r="F3061">
        <v>338.2</v>
      </c>
      <c r="G3061">
        <v>0.8</v>
      </c>
      <c r="H3061">
        <v>1.3</v>
      </c>
      <c r="I3061">
        <v>0</v>
      </c>
      <c r="J3061">
        <v>0</v>
      </c>
      <c r="K3061">
        <v>0</v>
      </c>
      <c r="L3061">
        <v>0</v>
      </c>
      <c r="M3061">
        <v>0</v>
      </c>
      <c r="N3061">
        <v>27573</v>
      </c>
      <c r="O3061">
        <v>17479</v>
      </c>
      <c r="P3061">
        <v>39032</v>
      </c>
      <c r="Q3061">
        <v>125</v>
      </c>
      <c r="R3061">
        <v>96</v>
      </c>
      <c r="S3061">
        <v>132</v>
      </c>
      <c r="T3061">
        <v>80</v>
      </c>
      <c r="U3061">
        <v>200</v>
      </c>
    </row>
    <row r="3062" spans="1:21" x14ac:dyDescent="0.35">
      <c r="A3062" t="s">
        <v>26</v>
      </c>
      <c r="B3062" s="1">
        <v>44562</v>
      </c>
      <c r="C3062" t="s">
        <v>22</v>
      </c>
      <c r="D3062">
        <v>105.7</v>
      </c>
      <c r="E3062">
        <v>49.6</v>
      </c>
      <c r="F3062">
        <v>20.9</v>
      </c>
      <c r="G3062">
        <v>2.1</v>
      </c>
      <c r="H3062">
        <v>5.0999999999999996</v>
      </c>
      <c r="I3062">
        <v>143.9</v>
      </c>
      <c r="J3062">
        <v>55.1</v>
      </c>
      <c r="K3062">
        <v>12.8</v>
      </c>
      <c r="L3062">
        <v>2.6</v>
      </c>
      <c r="M3062">
        <v>11.2</v>
      </c>
      <c r="N3062">
        <v>797277</v>
      </c>
      <c r="O3062">
        <v>1104766</v>
      </c>
      <c r="P3062">
        <v>587380</v>
      </c>
      <c r="Q3062">
        <v>843</v>
      </c>
      <c r="R3062">
        <v>548</v>
      </c>
      <c r="S3062">
        <v>123</v>
      </c>
      <c r="T3062">
        <v>999</v>
      </c>
      <c r="U3062">
        <v>999</v>
      </c>
    </row>
    <row r="3063" spans="1:21" x14ac:dyDescent="0.35">
      <c r="A3063" t="s">
        <v>26</v>
      </c>
      <c r="B3063" s="1">
        <v>44548</v>
      </c>
      <c r="C3063" t="s">
        <v>25</v>
      </c>
      <c r="D3063">
        <v>43.3</v>
      </c>
      <c r="E3063">
        <v>4.2</v>
      </c>
      <c r="F3063">
        <v>0</v>
      </c>
      <c r="G3063">
        <v>10.3</v>
      </c>
      <c r="H3063">
        <v>0</v>
      </c>
      <c r="I3063">
        <v>0</v>
      </c>
      <c r="J3063">
        <v>0</v>
      </c>
      <c r="K3063">
        <v>0</v>
      </c>
      <c r="L3063">
        <v>0</v>
      </c>
      <c r="M3063">
        <v>0</v>
      </c>
      <c r="N3063">
        <v>143348</v>
      </c>
      <c r="O3063">
        <v>288118</v>
      </c>
      <c r="P3063">
        <v>46808</v>
      </c>
      <c r="Q3063">
        <v>62</v>
      </c>
      <c r="R3063">
        <v>12</v>
      </c>
      <c r="S3063">
        <v>0</v>
      </c>
      <c r="T3063">
        <v>18</v>
      </c>
      <c r="U3063">
        <v>29</v>
      </c>
    </row>
    <row r="3064" spans="1:21" x14ac:dyDescent="0.35">
      <c r="A3064" t="s">
        <v>21</v>
      </c>
      <c r="B3064" s="1">
        <v>45066</v>
      </c>
      <c r="C3064" t="s">
        <v>29</v>
      </c>
      <c r="D3064">
        <v>0</v>
      </c>
      <c r="E3064">
        <v>0</v>
      </c>
      <c r="F3064">
        <v>0</v>
      </c>
      <c r="G3064">
        <v>0</v>
      </c>
      <c r="H3064">
        <v>0</v>
      </c>
      <c r="I3064">
        <v>0</v>
      </c>
      <c r="J3064">
        <v>0</v>
      </c>
      <c r="K3064">
        <v>0</v>
      </c>
      <c r="L3064">
        <v>0</v>
      </c>
      <c r="M3064">
        <v>0</v>
      </c>
      <c r="N3064">
        <v>108712</v>
      </c>
      <c r="O3064">
        <v>278401</v>
      </c>
      <c r="P3064">
        <v>347297</v>
      </c>
      <c r="Q3064">
        <v>0</v>
      </c>
      <c r="R3064">
        <v>0</v>
      </c>
      <c r="S3064">
        <v>0</v>
      </c>
      <c r="T3064">
        <v>30</v>
      </c>
      <c r="U3064">
        <v>49</v>
      </c>
    </row>
    <row r="3065" spans="1:21" x14ac:dyDescent="0.35">
      <c r="A3065" t="s">
        <v>26</v>
      </c>
      <c r="B3065" s="1">
        <v>44692</v>
      </c>
      <c r="C3065" t="s">
        <v>29</v>
      </c>
      <c r="D3065">
        <v>15.3</v>
      </c>
      <c r="E3065">
        <v>3.6</v>
      </c>
      <c r="F3065">
        <v>2.9</v>
      </c>
      <c r="G3065">
        <v>4.2</v>
      </c>
      <c r="H3065">
        <v>5.3</v>
      </c>
      <c r="I3065">
        <v>0</v>
      </c>
      <c r="J3065">
        <v>0</v>
      </c>
      <c r="K3065">
        <v>0</v>
      </c>
      <c r="L3065">
        <v>0</v>
      </c>
      <c r="M3065">
        <v>0</v>
      </c>
      <c r="N3065">
        <v>117430</v>
      </c>
      <c r="O3065">
        <v>276538</v>
      </c>
      <c r="P3065">
        <v>347053</v>
      </c>
      <c r="Q3065">
        <v>18</v>
      </c>
      <c r="R3065">
        <v>10</v>
      </c>
      <c r="S3065">
        <v>10</v>
      </c>
      <c r="T3065">
        <v>30</v>
      </c>
      <c r="U3065">
        <v>49</v>
      </c>
    </row>
    <row r="3066" spans="1:21" x14ac:dyDescent="0.35">
      <c r="A3066" t="s">
        <v>28</v>
      </c>
      <c r="B3066" s="1">
        <v>45255</v>
      </c>
      <c r="C3066" t="s">
        <v>27</v>
      </c>
      <c r="D3066">
        <v>38.200000000000003</v>
      </c>
      <c r="E3066">
        <v>10.4</v>
      </c>
      <c r="F3066">
        <v>11.2</v>
      </c>
      <c r="G3066">
        <v>3.7</v>
      </c>
      <c r="H3066">
        <v>3.4</v>
      </c>
      <c r="I3066">
        <v>0</v>
      </c>
      <c r="J3066">
        <v>0</v>
      </c>
      <c r="K3066">
        <v>0</v>
      </c>
      <c r="L3066">
        <v>0</v>
      </c>
      <c r="M3066">
        <v>0</v>
      </c>
      <c r="N3066">
        <v>31452</v>
      </c>
      <c r="O3066">
        <v>86469</v>
      </c>
      <c r="P3066">
        <v>44749</v>
      </c>
      <c r="Q3066">
        <v>12</v>
      </c>
      <c r="R3066">
        <v>9</v>
      </c>
      <c r="S3066">
        <v>5</v>
      </c>
      <c r="T3066">
        <v>12</v>
      </c>
      <c r="U3066">
        <v>17</v>
      </c>
    </row>
    <row r="3067" spans="1:21" x14ac:dyDescent="0.35">
      <c r="A3067" t="s">
        <v>28</v>
      </c>
      <c r="B3067" s="1">
        <v>44429</v>
      </c>
      <c r="C3067" t="s">
        <v>29</v>
      </c>
      <c r="D3067">
        <v>286.60000000000002</v>
      </c>
      <c r="E3067">
        <v>118</v>
      </c>
      <c r="F3067">
        <v>0</v>
      </c>
      <c r="G3067">
        <v>2.4</v>
      </c>
      <c r="H3067">
        <v>0</v>
      </c>
      <c r="I3067">
        <v>0</v>
      </c>
      <c r="J3067">
        <v>0</v>
      </c>
      <c r="K3067">
        <v>0</v>
      </c>
      <c r="L3067">
        <v>0</v>
      </c>
      <c r="M3067">
        <v>0</v>
      </c>
      <c r="N3067">
        <v>249126</v>
      </c>
      <c r="O3067">
        <v>508434</v>
      </c>
      <c r="P3067">
        <v>0</v>
      </c>
      <c r="Q3067">
        <v>714</v>
      </c>
      <c r="R3067">
        <v>600</v>
      </c>
      <c r="S3067">
        <v>0</v>
      </c>
      <c r="T3067">
        <v>30</v>
      </c>
      <c r="U3067">
        <v>49</v>
      </c>
    </row>
    <row r="3068" spans="1:21" x14ac:dyDescent="0.35">
      <c r="A3068" t="s">
        <v>21</v>
      </c>
      <c r="B3068" s="1">
        <v>45232</v>
      </c>
      <c r="C3068" t="s">
        <v>31</v>
      </c>
      <c r="D3068">
        <v>2.5</v>
      </c>
      <c r="E3068">
        <v>4.5999999999999996</v>
      </c>
      <c r="F3068">
        <v>0.6</v>
      </c>
      <c r="G3068">
        <v>0.5</v>
      </c>
      <c r="H3068">
        <v>4.2</v>
      </c>
      <c r="I3068">
        <v>0</v>
      </c>
      <c r="J3068">
        <v>0</v>
      </c>
      <c r="K3068">
        <v>0</v>
      </c>
      <c r="L3068">
        <v>0</v>
      </c>
      <c r="M3068">
        <v>0</v>
      </c>
      <c r="N3068">
        <v>40183</v>
      </c>
      <c r="O3068">
        <v>43393</v>
      </c>
      <c r="P3068">
        <v>171693</v>
      </c>
      <c r="Q3068">
        <v>1</v>
      </c>
      <c r="R3068">
        <v>2</v>
      </c>
      <c r="S3068">
        <v>1</v>
      </c>
      <c r="T3068">
        <v>65</v>
      </c>
      <c r="U3068">
        <v>79</v>
      </c>
    </row>
    <row r="3069" spans="1:21" x14ac:dyDescent="0.35">
      <c r="A3069" t="s">
        <v>26</v>
      </c>
      <c r="B3069" s="1">
        <v>44991</v>
      </c>
      <c r="C3069" t="s">
        <v>24</v>
      </c>
      <c r="D3069">
        <v>0</v>
      </c>
      <c r="E3069">
        <v>0</v>
      </c>
      <c r="F3069">
        <v>4.7</v>
      </c>
      <c r="G3069">
        <v>0</v>
      </c>
      <c r="H3069">
        <v>0</v>
      </c>
      <c r="I3069">
        <v>0</v>
      </c>
      <c r="J3069">
        <v>0</v>
      </c>
      <c r="K3069">
        <v>0</v>
      </c>
      <c r="L3069">
        <v>0</v>
      </c>
      <c r="M3069">
        <v>0</v>
      </c>
      <c r="N3069">
        <v>90556</v>
      </c>
      <c r="O3069">
        <v>82682</v>
      </c>
      <c r="P3069">
        <v>21243</v>
      </c>
      <c r="Q3069">
        <v>0</v>
      </c>
      <c r="R3069">
        <v>0</v>
      </c>
      <c r="S3069">
        <v>1</v>
      </c>
      <c r="T3069">
        <v>5</v>
      </c>
      <c r="U3069">
        <v>11</v>
      </c>
    </row>
    <row r="3070" spans="1:21" x14ac:dyDescent="0.35">
      <c r="A3070" t="s">
        <v>21</v>
      </c>
      <c r="B3070" s="1">
        <v>44737</v>
      </c>
      <c r="C3070" t="s">
        <v>24</v>
      </c>
      <c r="D3070">
        <v>0</v>
      </c>
      <c r="E3070">
        <v>0</v>
      </c>
      <c r="F3070">
        <v>0</v>
      </c>
      <c r="G3070">
        <v>0</v>
      </c>
      <c r="H3070">
        <v>0</v>
      </c>
      <c r="I3070">
        <v>0</v>
      </c>
      <c r="J3070">
        <v>0</v>
      </c>
      <c r="K3070">
        <v>0</v>
      </c>
      <c r="L3070">
        <v>0</v>
      </c>
      <c r="M3070">
        <v>0</v>
      </c>
      <c r="N3070">
        <v>99599</v>
      </c>
      <c r="O3070">
        <v>91151</v>
      </c>
      <c r="P3070">
        <v>5230</v>
      </c>
      <c r="Q3070">
        <v>0</v>
      </c>
      <c r="R3070">
        <v>0</v>
      </c>
      <c r="S3070">
        <v>0</v>
      </c>
      <c r="T3070">
        <v>5</v>
      </c>
      <c r="U3070">
        <v>11</v>
      </c>
    </row>
    <row r="3071" spans="1:21" x14ac:dyDescent="0.35">
      <c r="A3071" t="s">
        <v>28</v>
      </c>
      <c r="B3071" s="1">
        <v>44856</v>
      </c>
      <c r="C3071" t="s">
        <v>27</v>
      </c>
      <c r="D3071">
        <v>170.8</v>
      </c>
      <c r="E3071">
        <v>46.6</v>
      </c>
      <c r="F3071">
        <v>51.7</v>
      </c>
      <c r="G3071">
        <v>3.7</v>
      </c>
      <c r="H3071">
        <v>3.3</v>
      </c>
      <c r="I3071">
        <v>0</v>
      </c>
      <c r="J3071">
        <v>0</v>
      </c>
      <c r="K3071">
        <v>0</v>
      </c>
      <c r="L3071">
        <v>0</v>
      </c>
      <c r="M3071">
        <v>0</v>
      </c>
      <c r="N3071">
        <v>34553</v>
      </c>
      <c r="O3071">
        <v>85923</v>
      </c>
      <c r="P3071">
        <v>44472</v>
      </c>
      <c r="Q3071">
        <v>59</v>
      </c>
      <c r="R3071">
        <v>40</v>
      </c>
      <c r="S3071">
        <v>23</v>
      </c>
      <c r="T3071">
        <v>12</v>
      </c>
      <c r="U3071">
        <v>17</v>
      </c>
    </row>
    <row r="3072" spans="1:21" x14ac:dyDescent="0.35">
      <c r="A3072" t="s">
        <v>28</v>
      </c>
      <c r="B3072" s="1">
        <v>44338</v>
      </c>
      <c r="C3072" t="s">
        <v>22</v>
      </c>
      <c r="D3072">
        <v>109.7</v>
      </c>
      <c r="E3072">
        <v>11.3</v>
      </c>
      <c r="F3072">
        <v>0</v>
      </c>
      <c r="G3072">
        <v>9.6999999999999993</v>
      </c>
      <c r="H3072">
        <v>0</v>
      </c>
      <c r="I3072">
        <v>120.5</v>
      </c>
      <c r="J3072">
        <v>8.1</v>
      </c>
      <c r="K3072">
        <v>0</v>
      </c>
      <c r="L3072">
        <v>14.9</v>
      </c>
      <c r="M3072">
        <v>0</v>
      </c>
      <c r="N3072">
        <v>1335903</v>
      </c>
      <c r="O3072">
        <v>1010820</v>
      </c>
      <c r="P3072">
        <v>0</v>
      </c>
      <c r="Q3072">
        <v>1465</v>
      </c>
      <c r="R3072">
        <v>114</v>
      </c>
      <c r="S3072">
        <v>0</v>
      </c>
      <c r="T3072">
        <v>999</v>
      </c>
      <c r="U3072">
        <v>999</v>
      </c>
    </row>
    <row r="3073" spans="1:21" x14ac:dyDescent="0.35">
      <c r="A3073" t="s">
        <v>26</v>
      </c>
      <c r="B3073" s="1">
        <v>44657</v>
      </c>
      <c r="C3073" t="s">
        <v>30</v>
      </c>
      <c r="D3073">
        <v>63.9</v>
      </c>
      <c r="E3073">
        <v>63.4</v>
      </c>
      <c r="F3073">
        <v>81.7</v>
      </c>
      <c r="G3073">
        <v>1</v>
      </c>
      <c r="H3073">
        <v>0.8</v>
      </c>
      <c r="I3073">
        <v>0</v>
      </c>
      <c r="J3073">
        <v>0</v>
      </c>
      <c r="K3073">
        <v>0</v>
      </c>
      <c r="L3073">
        <v>0</v>
      </c>
      <c r="M3073">
        <v>0</v>
      </c>
      <c r="N3073">
        <v>26586</v>
      </c>
      <c r="O3073">
        <v>12627</v>
      </c>
      <c r="P3073">
        <v>45272</v>
      </c>
      <c r="Q3073">
        <v>17</v>
      </c>
      <c r="R3073">
        <v>8</v>
      </c>
      <c r="S3073">
        <v>37</v>
      </c>
      <c r="T3073">
        <v>80</v>
      </c>
      <c r="U3073">
        <v>200</v>
      </c>
    </row>
    <row r="3074" spans="1:21" x14ac:dyDescent="0.35">
      <c r="A3074" t="s">
        <v>21</v>
      </c>
      <c r="B3074" s="1">
        <v>45101</v>
      </c>
      <c r="C3074" t="s">
        <v>25</v>
      </c>
      <c r="D3074">
        <v>0</v>
      </c>
      <c r="E3074">
        <v>0</v>
      </c>
      <c r="F3074">
        <v>0</v>
      </c>
      <c r="G3074">
        <v>0</v>
      </c>
      <c r="H3074">
        <v>0</v>
      </c>
      <c r="I3074">
        <v>0</v>
      </c>
      <c r="J3074">
        <v>0</v>
      </c>
      <c r="K3074">
        <v>0</v>
      </c>
      <c r="L3074">
        <v>0</v>
      </c>
      <c r="M3074">
        <v>0</v>
      </c>
      <c r="N3074">
        <v>74402</v>
      </c>
      <c r="O3074">
        <v>214137</v>
      </c>
      <c r="P3074">
        <v>161700</v>
      </c>
      <c r="Q3074">
        <v>0</v>
      </c>
      <c r="R3074">
        <v>0</v>
      </c>
      <c r="S3074">
        <v>0</v>
      </c>
      <c r="T3074">
        <v>18</v>
      </c>
      <c r="U3074">
        <v>29</v>
      </c>
    </row>
    <row r="3075" spans="1:21" x14ac:dyDescent="0.35">
      <c r="A3075" t="s">
        <v>28</v>
      </c>
      <c r="B3075" s="1">
        <v>44991</v>
      </c>
      <c r="C3075" t="s">
        <v>27</v>
      </c>
      <c r="D3075">
        <v>6.2</v>
      </c>
      <c r="E3075">
        <v>6.9</v>
      </c>
      <c r="F3075">
        <v>9</v>
      </c>
      <c r="G3075">
        <v>0.9</v>
      </c>
      <c r="H3075">
        <v>0.7</v>
      </c>
      <c r="I3075">
        <v>0</v>
      </c>
      <c r="J3075">
        <v>0</v>
      </c>
      <c r="K3075">
        <v>0</v>
      </c>
      <c r="L3075">
        <v>0</v>
      </c>
      <c r="M3075">
        <v>0</v>
      </c>
      <c r="N3075">
        <v>32449</v>
      </c>
      <c r="O3075">
        <v>86581</v>
      </c>
      <c r="P3075">
        <v>44580</v>
      </c>
      <c r="Q3075">
        <v>2</v>
      </c>
      <c r="R3075">
        <v>6</v>
      </c>
      <c r="S3075">
        <v>4</v>
      </c>
      <c r="T3075">
        <v>12</v>
      </c>
      <c r="U3075">
        <v>17</v>
      </c>
    </row>
    <row r="3076" spans="1:21" x14ac:dyDescent="0.35">
      <c r="A3076" t="s">
        <v>28</v>
      </c>
      <c r="B3076" s="1">
        <v>44811</v>
      </c>
      <c r="C3076" t="s">
        <v>25</v>
      </c>
      <c r="D3076">
        <v>295.2</v>
      </c>
      <c r="E3076">
        <v>142.30000000000001</v>
      </c>
      <c r="F3076">
        <v>255.2</v>
      </c>
      <c r="G3076">
        <v>2.1</v>
      </c>
      <c r="H3076">
        <v>1.2</v>
      </c>
      <c r="I3076">
        <v>0</v>
      </c>
      <c r="J3076">
        <v>0</v>
      </c>
      <c r="K3076">
        <v>0</v>
      </c>
      <c r="L3076">
        <v>0</v>
      </c>
      <c r="M3076">
        <v>0</v>
      </c>
      <c r="N3076">
        <v>93482</v>
      </c>
      <c r="O3076">
        <v>214304</v>
      </c>
      <c r="P3076">
        <v>156355</v>
      </c>
      <c r="Q3076">
        <v>276</v>
      </c>
      <c r="R3076">
        <v>305</v>
      </c>
      <c r="S3076">
        <v>399</v>
      </c>
      <c r="T3076">
        <v>18</v>
      </c>
      <c r="U3076">
        <v>29</v>
      </c>
    </row>
    <row r="3077" spans="1:21" x14ac:dyDescent="0.35">
      <c r="A3077" t="s">
        <v>26</v>
      </c>
      <c r="B3077" s="1">
        <v>44692</v>
      </c>
      <c r="C3077" t="s">
        <v>30</v>
      </c>
      <c r="D3077">
        <v>59.4</v>
      </c>
      <c r="E3077">
        <v>61.6</v>
      </c>
      <c r="F3077">
        <v>46.7</v>
      </c>
      <c r="G3077">
        <v>1</v>
      </c>
      <c r="H3077">
        <v>1.3</v>
      </c>
      <c r="I3077">
        <v>0</v>
      </c>
      <c r="J3077">
        <v>0</v>
      </c>
      <c r="K3077">
        <v>0</v>
      </c>
      <c r="L3077">
        <v>0</v>
      </c>
      <c r="M3077">
        <v>0</v>
      </c>
      <c r="N3077">
        <v>25236</v>
      </c>
      <c r="O3077">
        <v>11367</v>
      </c>
      <c r="P3077">
        <v>47086</v>
      </c>
      <c r="Q3077">
        <v>15</v>
      </c>
      <c r="R3077">
        <v>7</v>
      </c>
      <c r="S3077">
        <v>22</v>
      </c>
      <c r="T3077">
        <v>80</v>
      </c>
      <c r="U3077">
        <v>200</v>
      </c>
    </row>
    <row r="3078" spans="1:21" x14ac:dyDescent="0.35">
      <c r="A3078" t="s">
        <v>26</v>
      </c>
      <c r="B3078" s="1">
        <v>45117</v>
      </c>
      <c r="C3078" t="s">
        <v>25</v>
      </c>
      <c r="D3078">
        <v>0</v>
      </c>
      <c r="E3078">
        <v>0.9</v>
      </c>
      <c r="F3078">
        <v>0</v>
      </c>
      <c r="G3078">
        <v>0</v>
      </c>
      <c r="H3078">
        <v>0</v>
      </c>
      <c r="I3078">
        <v>0</v>
      </c>
      <c r="J3078">
        <v>0</v>
      </c>
      <c r="K3078">
        <v>0</v>
      </c>
      <c r="L3078">
        <v>0</v>
      </c>
      <c r="M3078">
        <v>0</v>
      </c>
      <c r="N3078">
        <v>71968</v>
      </c>
      <c r="O3078">
        <v>214276</v>
      </c>
      <c r="P3078">
        <v>161803</v>
      </c>
      <c r="Q3078">
        <v>0</v>
      </c>
      <c r="R3078">
        <v>2</v>
      </c>
      <c r="S3078">
        <v>0</v>
      </c>
      <c r="T3078">
        <v>18</v>
      </c>
      <c r="U3078">
        <v>29</v>
      </c>
    </row>
    <row r="3079" spans="1:21" x14ac:dyDescent="0.35">
      <c r="A3079" t="s">
        <v>28</v>
      </c>
      <c r="B3079" s="1">
        <v>45232</v>
      </c>
      <c r="C3079" t="s">
        <v>23</v>
      </c>
      <c r="D3079">
        <v>240.8</v>
      </c>
      <c r="E3079">
        <v>64.5</v>
      </c>
      <c r="F3079">
        <v>92.4</v>
      </c>
      <c r="G3079">
        <v>3.7</v>
      </c>
      <c r="H3079">
        <v>2.6</v>
      </c>
      <c r="I3079">
        <v>0</v>
      </c>
      <c r="J3079">
        <v>0</v>
      </c>
      <c r="K3079">
        <v>0</v>
      </c>
      <c r="L3079">
        <v>0</v>
      </c>
      <c r="M3079">
        <v>0</v>
      </c>
      <c r="N3079">
        <v>34058</v>
      </c>
      <c r="O3079">
        <v>125536</v>
      </c>
      <c r="P3079">
        <v>246859</v>
      </c>
      <c r="Q3079">
        <v>82</v>
      </c>
      <c r="R3079">
        <v>81</v>
      </c>
      <c r="S3079">
        <v>228</v>
      </c>
      <c r="T3079">
        <v>50</v>
      </c>
      <c r="U3079">
        <v>64</v>
      </c>
    </row>
    <row r="3080" spans="1:21" x14ac:dyDescent="0.35">
      <c r="A3080" t="s">
        <v>21</v>
      </c>
      <c r="B3080" s="1">
        <v>45122</v>
      </c>
      <c r="C3080" t="s">
        <v>24</v>
      </c>
      <c r="D3080">
        <v>0</v>
      </c>
      <c r="E3080">
        <v>0</v>
      </c>
      <c r="F3080">
        <v>0</v>
      </c>
      <c r="G3080">
        <v>0</v>
      </c>
      <c r="H3080">
        <v>0</v>
      </c>
      <c r="I3080">
        <v>0</v>
      </c>
      <c r="J3080">
        <v>0</v>
      </c>
      <c r="K3080">
        <v>0</v>
      </c>
      <c r="L3080">
        <v>0</v>
      </c>
      <c r="M3080">
        <v>0</v>
      </c>
      <c r="N3080">
        <v>90116</v>
      </c>
      <c r="O3080">
        <v>82668</v>
      </c>
      <c r="P3080">
        <v>21259</v>
      </c>
      <c r="Q3080">
        <v>0</v>
      </c>
      <c r="R3080">
        <v>0</v>
      </c>
      <c r="S3080">
        <v>0</v>
      </c>
      <c r="T3080">
        <v>5</v>
      </c>
      <c r="U3080">
        <v>11</v>
      </c>
    </row>
    <row r="3081" spans="1:21" x14ac:dyDescent="0.35">
      <c r="A3081" t="s">
        <v>26</v>
      </c>
      <c r="B3081" s="1">
        <v>45192</v>
      </c>
      <c r="C3081" t="s">
        <v>32</v>
      </c>
      <c r="D3081">
        <v>3.1</v>
      </c>
      <c r="E3081">
        <v>0</v>
      </c>
      <c r="F3081">
        <v>0</v>
      </c>
      <c r="G3081">
        <v>0</v>
      </c>
      <c r="H3081">
        <v>0</v>
      </c>
      <c r="I3081">
        <v>0</v>
      </c>
      <c r="J3081">
        <v>0</v>
      </c>
      <c r="K3081">
        <v>0</v>
      </c>
      <c r="L3081">
        <v>0</v>
      </c>
      <c r="M3081">
        <v>0</v>
      </c>
      <c r="N3081">
        <v>162642</v>
      </c>
      <c r="O3081">
        <v>0</v>
      </c>
      <c r="P3081">
        <v>0</v>
      </c>
      <c r="Q3081">
        <v>5</v>
      </c>
      <c r="R3081">
        <v>0</v>
      </c>
      <c r="S3081">
        <v>0</v>
      </c>
      <c r="T3081">
        <v>0</v>
      </c>
      <c r="U3081">
        <v>4</v>
      </c>
    </row>
    <row r="3082" spans="1:21" x14ac:dyDescent="0.35">
      <c r="A3082" t="s">
        <v>21</v>
      </c>
      <c r="B3082" s="1">
        <v>45094</v>
      </c>
      <c r="C3082" t="s">
        <v>22</v>
      </c>
      <c r="D3082">
        <v>0</v>
      </c>
      <c r="E3082">
        <v>0</v>
      </c>
      <c r="F3082">
        <v>0.1</v>
      </c>
      <c r="G3082">
        <v>0</v>
      </c>
      <c r="H3082">
        <v>0</v>
      </c>
      <c r="I3082">
        <v>0</v>
      </c>
      <c r="J3082">
        <v>0</v>
      </c>
      <c r="K3082">
        <v>0.1</v>
      </c>
      <c r="L3082">
        <v>0</v>
      </c>
      <c r="M3082">
        <v>0</v>
      </c>
      <c r="N3082">
        <v>533523</v>
      </c>
      <c r="O3082">
        <v>860344</v>
      </c>
      <c r="P3082">
        <v>1040706</v>
      </c>
      <c r="Q3082">
        <v>0</v>
      </c>
      <c r="R3082">
        <v>0</v>
      </c>
      <c r="S3082">
        <v>1</v>
      </c>
      <c r="T3082">
        <v>999</v>
      </c>
      <c r="U3082">
        <v>999</v>
      </c>
    </row>
    <row r="3083" spans="1:21" x14ac:dyDescent="0.35">
      <c r="A3083" t="s">
        <v>21</v>
      </c>
      <c r="B3083" s="1">
        <v>44548</v>
      </c>
      <c r="C3083" t="s">
        <v>25</v>
      </c>
      <c r="D3083">
        <v>0</v>
      </c>
      <c r="E3083">
        <v>0</v>
      </c>
      <c r="F3083">
        <v>0</v>
      </c>
      <c r="G3083">
        <v>0</v>
      </c>
      <c r="H3083">
        <v>0</v>
      </c>
      <c r="I3083">
        <v>0</v>
      </c>
      <c r="J3083">
        <v>0</v>
      </c>
      <c r="K3083">
        <v>0</v>
      </c>
      <c r="L3083">
        <v>0</v>
      </c>
      <c r="M3083">
        <v>0</v>
      </c>
      <c r="N3083">
        <v>143348</v>
      </c>
      <c r="O3083">
        <v>288118</v>
      </c>
      <c r="P3083">
        <v>46808</v>
      </c>
      <c r="Q3083">
        <v>0</v>
      </c>
      <c r="R3083">
        <v>0</v>
      </c>
      <c r="S3083">
        <v>0</v>
      </c>
      <c r="T3083">
        <v>18</v>
      </c>
      <c r="U3083">
        <v>29</v>
      </c>
    </row>
    <row r="3084" spans="1:21" x14ac:dyDescent="0.35">
      <c r="A3084" t="s">
        <v>26</v>
      </c>
      <c r="B3084" s="1">
        <v>44828</v>
      </c>
      <c r="C3084" t="s">
        <v>22</v>
      </c>
      <c r="D3084">
        <v>10.6</v>
      </c>
      <c r="E3084">
        <v>4.5999999999999996</v>
      </c>
      <c r="F3084">
        <v>7.3</v>
      </c>
      <c r="G3084">
        <v>2.2999999999999998</v>
      </c>
      <c r="H3084">
        <v>1.5</v>
      </c>
      <c r="I3084">
        <v>13.9</v>
      </c>
      <c r="J3084">
        <v>6.1</v>
      </c>
      <c r="K3084">
        <v>4.9000000000000004</v>
      </c>
      <c r="L3084">
        <v>2.2999999999999998</v>
      </c>
      <c r="M3084">
        <v>2.8</v>
      </c>
      <c r="N3084">
        <v>595648</v>
      </c>
      <c r="O3084">
        <v>841554</v>
      </c>
      <c r="P3084">
        <v>1036367</v>
      </c>
      <c r="Q3084">
        <v>63</v>
      </c>
      <c r="R3084">
        <v>39</v>
      </c>
      <c r="S3084">
        <v>76</v>
      </c>
      <c r="T3084">
        <v>999</v>
      </c>
      <c r="U3084">
        <v>999</v>
      </c>
    </row>
    <row r="3085" spans="1:21" x14ac:dyDescent="0.35">
      <c r="A3085" t="s">
        <v>26</v>
      </c>
      <c r="B3085" s="1">
        <v>44512</v>
      </c>
      <c r="C3085" t="s">
        <v>23</v>
      </c>
      <c r="D3085">
        <v>141.19999999999999</v>
      </c>
      <c r="E3085">
        <v>13.2</v>
      </c>
      <c r="F3085">
        <v>0</v>
      </c>
      <c r="G3085">
        <v>10.7</v>
      </c>
      <c r="H3085">
        <v>0</v>
      </c>
      <c r="I3085">
        <v>0</v>
      </c>
      <c r="J3085">
        <v>0</v>
      </c>
      <c r="K3085">
        <v>0</v>
      </c>
      <c r="L3085">
        <v>0</v>
      </c>
      <c r="M3085">
        <v>0</v>
      </c>
      <c r="N3085">
        <v>62340</v>
      </c>
      <c r="O3085">
        <v>258308</v>
      </c>
      <c r="P3085">
        <v>92192</v>
      </c>
      <c r="Q3085">
        <v>88</v>
      </c>
      <c r="R3085">
        <v>34</v>
      </c>
      <c r="S3085">
        <v>0</v>
      </c>
      <c r="T3085">
        <v>50</v>
      </c>
      <c r="U3085">
        <v>64</v>
      </c>
    </row>
    <row r="3086" spans="1:21" x14ac:dyDescent="0.35">
      <c r="A3086" t="s">
        <v>26</v>
      </c>
      <c r="B3086" s="1">
        <v>44849</v>
      </c>
      <c r="C3086" t="s">
        <v>25</v>
      </c>
      <c r="D3086">
        <v>3.5</v>
      </c>
      <c r="E3086">
        <v>0.9</v>
      </c>
      <c r="F3086">
        <v>0.6</v>
      </c>
      <c r="G3086">
        <v>3.9</v>
      </c>
      <c r="H3086">
        <v>5.8</v>
      </c>
      <c r="I3086">
        <v>0</v>
      </c>
      <c r="J3086">
        <v>0</v>
      </c>
      <c r="K3086">
        <v>0</v>
      </c>
      <c r="L3086">
        <v>0</v>
      </c>
      <c r="M3086">
        <v>0</v>
      </c>
      <c r="N3086">
        <v>86242</v>
      </c>
      <c r="O3086">
        <v>211934</v>
      </c>
      <c r="P3086">
        <v>161484</v>
      </c>
      <c r="Q3086">
        <v>3</v>
      </c>
      <c r="R3086">
        <v>2</v>
      </c>
      <c r="S3086">
        <v>1</v>
      </c>
      <c r="T3086">
        <v>18</v>
      </c>
      <c r="U3086">
        <v>29</v>
      </c>
    </row>
    <row r="3087" spans="1:21" x14ac:dyDescent="0.35">
      <c r="A3087" t="s">
        <v>28</v>
      </c>
      <c r="B3087" s="1">
        <v>44919</v>
      </c>
      <c r="C3087" t="s">
        <v>30</v>
      </c>
      <c r="D3087">
        <v>112.7</v>
      </c>
      <c r="E3087">
        <v>351.8</v>
      </c>
      <c r="F3087">
        <v>303.5</v>
      </c>
      <c r="G3087">
        <v>0.3</v>
      </c>
      <c r="H3087">
        <v>0.4</v>
      </c>
      <c r="I3087">
        <v>0</v>
      </c>
      <c r="J3087">
        <v>0</v>
      </c>
      <c r="K3087">
        <v>0</v>
      </c>
      <c r="L3087">
        <v>0</v>
      </c>
      <c r="M3087">
        <v>0</v>
      </c>
      <c r="N3087">
        <v>24842</v>
      </c>
      <c r="O3087">
        <v>11369</v>
      </c>
      <c r="P3087">
        <v>47114</v>
      </c>
      <c r="Q3087">
        <v>28</v>
      </c>
      <c r="R3087">
        <v>40</v>
      </c>
      <c r="S3087">
        <v>143</v>
      </c>
      <c r="T3087">
        <v>80</v>
      </c>
      <c r="U3087">
        <v>200</v>
      </c>
    </row>
    <row r="3088" spans="1:21" x14ac:dyDescent="0.35">
      <c r="A3088" t="s">
        <v>21</v>
      </c>
      <c r="B3088" s="1">
        <v>44583</v>
      </c>
      <c r="C3088" t="s">
        <v>25</v>
      </c>
      <c r="D3088">
        <v>0.9</v>
      </c>
      <c r="E3088">
        <v>0</v>
      </c>
      <c r="F3088">
        <v>0</v>
      </c>
      <c r="G3088">
        <v>0</v>
      </c>
      <c r="H3088">
        <v>0</v>
      </c>
      <c r="I3088">
        <v>0</v>
      </c>
      <c r="J3088">
        <v>0</v>
      </c>
      <c r="K3088">
        <v>0</v>
      </c>
      <c r="L3088">
        <v>0</v>
      </c>
      <c r="M3088">
        <v>0</v>
      </c>
      <c r="N3088">
        <v>116024</v>
      </c>
      <c r="O3088">
        <v>239720</v>
      </c>
      <c r="P3088">
        <v>103823</v>
      </c>
      <c r="Q3088">
        <v>1</v>
      </c>
      <c r="R3088">
        <v>0</v>
      </c>
      <c r="S3088">
        <v>0</v>
      </c>
      <c r="T3088">
        <v>18</v>
      </c>
      <c r="U3088">
        <v>29</v>
      </c>
    </row>
    <row r="3089" spans="1:21" x14ac:dyDescent="0.35">
      <c r="A3089" t="s">
        <v>26</v>
      </c>
      <c r="B3089" s="1">
        <v>44846</v>
      </c>
      <c r="C3089" t="s">
        <v>30</v>
      </c>
      <c r="D3089">
        <v>72.2</v>
      </c>
      <c r="E3089">
        <v>87.9</v>
      </c>
      <c r="F3089">
        <v>82.8</v>
      </c>
      <c r="G3089">
        <v>0.8</v>
      </c>
      <c r="H3089">
        <v>0.9</v>
      </c>
      <c r="I3089">
        <v>0</v>
      </c>
      <c r="J3089">
        <v>0</v>
      </c>
      <c r="K3089">
        <v>0</v>
      </c>
      <c r="L3089">
        <v>0</v>
      </c>
      <c r="M3089">
        <v>0</v>
      </c>
      <c r="N3089">
        <v>24925</v>
      </c>
      <c r="O3089">
        <v>11373</v>
      </c>
      <c r="P3089">
        <v>47104</v>
      </c>
      <c r="Q3089">
        <v>18</v>
      </c>
      <c r="R3089">
        <v>10</v>
      </c>
      <c r="S3089">
        <v>39</v>
      </c>
      <c r="T3089">
        <v>80</v>
      </c>
      <c r="U3089">
        <v>200</v>
      </c>
    </row>
    <row r="3090" spans="1:21" x14ac:dyDescent="0.35">
      <c r="A3090" t="s">
        <v>26</v>
      </c>
      <c r="B3090" s="1">
        <v>45241</v>
      </c>
      <c r="C3090" t="s">
        <v>25</v>
      </c>
      <c r="D3090">
        <v>4.4000000000000004</v>
      </c>
      <c r="E3090">
        <v>1.4</v>
      </c>
      <c r="F3090">
        <v>0.6</v>
      </c>
      <c r="G3090">
        <v>3.1</v>
      </c>
      <c r="H3090">
        <v>7.3</v>
      </c>
      <c r="I3090">
        <v>0</v>
      </c>
      <c r="J3090">
        <v>0</v>
      </c>
      <c r="K3090">
        <v>0</v>
      </c>
      <c r="L3090">
        <v>0</v>
      </c>
      <c r="M3090">
        <v>0</v>
      </c>
      <c r="N3090">
        <v>68798</v>
      </c>
      <c r="O3090">
        <v>215294</v>
      </c>
      <c r="P3090">
        <v>162511</v>
      </c>
      <c r="Q3090">
        <v>3</v>
      </c>
      <c r="R3090">
        <v>3</v>
      </c>
      <c r="S3090">
        <v>1</v>
      </c>
      <c r="T3090">
        <v>18</v>
      </c>
      <c r="U3090">
        <v>29</v>
      </c>
    </row>
    <row r="3091" spans="1:21" x14ac:dyDescent="0.35">
      <c r="A3091" t="s">
        <v>28</v>
      </c>
      <c r="B3091" s="1">
        <v>44982</v>
      </c>
      <c r="C3091" t="s">
        <v>23</v>
      </c>
      <c r="D3091">
        <v>274.7</v>
      </c>
      <c r="E3091">
        <v>78</v>
      </c>
      <c r="F3091">
        <v>94.8</v>
      </c>
      <c r="G3091">
        <v>3.5</v>
      </c>
      <c r="H3091">
        <v>2.9</v>
      </c>
      <c r="I3091">
        <v>0</v>
      </c>
      <c r="J3091">
        <v>0</v>
      </c>
      <c r="K3091">
        <v>0</v>
      </c>
      <c r="L3091">
        <v>0</v>
      </c>
      <c r="M3091">
        <v>0</v>
      </c>
      <c r="N3091">
        <v>33861</v>
      </c>
      <c r="O3091">
        <v>125587</v>
      </c>
      <c r="P3091">
        <v>246869</v>
      </c>
      <c r="Q3091">
        <v>93</v>
      </c>
      <c r="R3091">
        <v>98</v>
      </c>
      <c r="S3091">
        <v>234</v>
      </c>
      <c r="T3091">
        <v>50</v>
      </c>
      <c r="U3091">
        <v>64</v>
      </c>
    </row>
    <row r="3092" spans="1:21" x14ac:dyDescent="0.35">
      <c r="A3092" t="s">
        <v>21</v>
      </c>
      <c r="B3092" s="1">
        <v>44457</v>
      </c>
      <c r="C3092" t="s">
        <v>31</v>
      </c>
      <c r="D3092">
        <v>12.5</v>
      </c>
      <c r="E3092">
        <v>0.5</v>
      </c>
      <c r="F3092">
        <v>0</v>
      </c>
      <c r="G3092">
        <v>25</v>
      </c>
      <c r="H3092">
        <v>0</v>
      </c>
      <c r="I3092">
        <v>0</v>
      </c>
      <c r="J3092">
        <v>0</v>
      </c>
      <c r="K3092">
        <v>0</v>
      </c>
      <c r="L3092">
        <v>0</v>
      </c>
      <c r="M3092">
        <v>0</v>
      </c>
      <c r="N3092">
        <v>63900</v>
      </c>
      <c r="O3092">
        <v>193739</v>
      </c>
      <c r="P3092">
        <v>0</v>
      </c>
      <c r="Q3092">
        <v>8</v>
      </c>
      <c r="R3092">
        <v>1</v>
      </c>
      <c r="S3092">
        <v>0</v>
      </c>
      <c r="T3092">
        <v>65</v>
      </c>
      <c r="U3092">
        <v>79</v>
      </c>
    </row>
    <row r="3093" spans="1:21" x14ac:dyDescent="0.35">
      <c r="A3093" t="s">
        <v>26</v>
      </c>
      <c r="B3093" s="1">
        <v>44201</v>
      </c>
      <c r="C3093" t="s">
        <v>31</v>
      </c>
      <c r="D3093">
        <v>55.3</v>
      </c>
      <c r="E3093">
        <v>5.2</v>
      </c>
      <c r="F3093">
        <v>0</v>
      </c>
      <c r="G3093">
        <v>10.6</v>
      </c>
      <c r="H3093">
        <v>0</v>
      </c>
      <c r="I3093">
        <v>0</v>
      </c>
      <c r="J3093">
        <v>0</v>
      </c>
      <c r="K3093">
        <v>0</v>
      </c>
      <c r="L3093">
        <v>0</v>
      </c>
      <c r="M3093">
        <v>0</v>
      </c>
      <c r="N3093">
        <v>86807</v>
      </c>
      <c r="O3093">
        <v>152729</v>
      </c>
      <c r="P3093">
        <v>0</v>
      </c>
      <c r="Q3093">
        <v>48</v>
      </c>
      <c r="R3093">
        <v>8</v>
      </c>
      <c r="S3093">
        <v>0</v>
      </c>
      <c r="T3093">
        <v>65</v>
      </c>
      <c r="U3093">
        <v>79</v>
      </c>
    </row>
    <row r="3094" spans="1:21" x14ac:dyDescent="0.35">
      <c r="A3094" t="s">
        <v>21</v>
      </c>
      <c r="B3094" s="1">
        <v>45227</v>
      </c>
      <c r="C3094" t="s">
        <v>25</v>
      </c>
      <c r="D3094">
        <v>0</v>
      </c>
      <c r="E3094">
        <v>0</v>
      </c>
      <c r="F3094">
        <v>0</v>
      </c>
      <c r="G3094">
        <v>0</v>
      </c>
      <c r="H3094">
        <v>0</v>
      </c>
      <c r="I3094">
        <v>0</v>
      </c>
      <c r="J3094">
        <v>0</v>
      </c>
      <c r="K3094">
        <v>0</v>
      </c>
      <c r="L3094">
        <v>0</v>
      </c>
      <c r="M3094">
        <v>0</v>
      </c>
      <c r="N3094">
        <v>70076</v>
      </c>
      <c r="O3094">
        <v>214953</v>
      </c>
      <c r="P3094">
        <v>162196</v>
      </c>
      <c r="Q3094">
        <v>0</v>
      </c>
      <c r="R3094">
        <v>0</v>
      </c>
      <c r="S3094">
        <v>0</v>
      </c>
      <c r="T3094">
        <v>18</v>
      </c>
      <c r="U3094">
        <v>29</v>
      </c>
    </row>
    <row r="3095" spans="1:21" x14ac:dyDescent="0.35">
      <c r="A3095" t="s">
        <v>26</v>
      </c>
      <c r="B3095" s="1">
        <v>45027</v>
      </c>
      <c r="C3095" t="s">
        <v>31</v>
      </c>
      <c r="D3095">
        <v>18.5</v>
      </c>
      <c r="E3095">
        <v>13.6</v>
      </c>
      <c r="F3095">
        <v>12.2</v>
      </c>
      <c r="G3095">
        <v>1.4</v>
      </c>
      <c r="H3095">
        <v>1.5</v>
      </c>
      <c r="I3095">
        <v>0</v>
      </c>
      <c r="J3095">
        <v>0</v>
      </c>
      <c r="K3095">
        <v>0</v>
      </c>
      <c r="L3095">
        <v>0</v>
      </c>
      <c r="M3095">
        <v>0</v>
      </c>
      <c r="N3095">
        <v>37857</v>
      </c>
      <c r="O3095">
        <v>44044</v>
      </c>
      <c r="P3095">
        <v>172280</v>
      </c>
      <c r="Q3095">
        <v>7</v>
      </c>
      <c r="R3095">
        <v>6</v>
      </c>
      <c r="S3095">
        <v>21</v>
      </c>
      <c r="T3095">
        <v>65</v>
      </c>
      <c r="U3095">
        <v>79</v>
      </c>
    </row>
    <row r="3096" spans="1:21" x14ac:dyDescent="0.35">
      <c r="A3096" t="s">
        <v>26</v>
      </c>
      <c r="B3096" s="1">
        <v>44611</v>
      </c>
      <c r="C3096" t="s">
        <v>24</v>
      </c>
      <c r="D3096">
        <v>0</v>
      </c>
      <c r="E3096">
        <v>1.3</v>
      </c>
      <c r="F3096">
        <v>0</v>
      </c>
      <c r="G3096">
        <v>0</v>
      </c>
      <c r="H3096">
        <v>0</v>
      </c>
      <c r="I3096">
        <v>0</v>
      </c>
      <c r="J3096">
        <v>0</v>
      </c>
      <c r="K3096">
        <v>0</v>
      </c>
      <c r="L3096">
        <v>0</v>
      </c>
      <c r="M3096">
        <v>0</v>
      </c>
      <c r="N3096">
        <v>107897</v>
      </c>
      <c r="O3096">
        <v>74396</v>
      </c>
      <c r="P3096">
        <v>0</v>
      </c>
      <c r="Q3096">
        <v>0</v>
      </c>
      <c r="R3096">
        <v>1</v>
      </c>
      <c r="S3096">
        <v>0</v>
      </c>
      <c r="T3096">
        <v>5</v>
      </c>
      <c r="U3096">
        <v>11</v>
      </c>
    </row>
    <row r="3097" spans="1:21" x14ac:dyDescent="0.35">
      <c r="A3097" t="s">
        <v>21</v>
      </c>
      <c r="B3097" s="1">
        <v>44982</v>
      </c>
      <c r="C3097" t="s">
        <v>24</v>
      </c>
      <c r="D3097">
        <v>0</v>
      </c>
      <c r="E3097">
        <v>0</v>
      </c>
      <c r="F3097">
        <v>0</v>
      </c>
      <c r="G3097">
        <v>0</v>
      </c>
      <c r="H3097">
        <v>0</v>
      </c>
      <c r="I3097">
        <v>0</v>
      </c>
      <c r="J3097">
        <v>0</v>
      </c>
      <c r="K3097">
        <v>0</v>
      </c>
      <c r="L3097">
        <v>0</v>
      </c>
      <c r="M3097">
        <v>0</v>
      </c>
      <c r="N3097">
        <v>91529</v>
      </c>
      <c r="O3097">
        <v>82191</v>
      </c>
      <c r="P3097">
        <v>21200</v>
      </c>
      <c r="Q3097">
        <v>0</v>
      </c>
      <c r="R3097">
        <v>0</v>
      </c>
      <c r="S3097">
        <v>0</v>
      </c>
      <c r="T3097">
        <v>5</v>
      </c>
      <c r="U3097">
        <v>11</v>
      </c>
    </row>
    <row r="3098" spans="1:21" x14ac:dyDescent="0.35">
      <c r="A3098" t="s">
        <v>21</v>
      </c>
      <c r="B3098" s="1">
        <v>44429</v>
      </c>
      <c r="C3098" t="s">
        <v>27</v>
      </c>
      <c r="D3098">
        <v>1.2</v>
      </c>
      <c r="E3098">
        <v>0</v>
      </c>
      <c r="F3098">
        <v>0</v>
      </c>
      <c r="G3098">
        <v>0</v>
      </c>
      <c r="H3098">
        <v>0</v>
      </c>
      <c r="I3098">
        <v>0</v>
      </c>
      <c r="J3098">
        <v>0</v>
      </c>
      <c r="K3098">
        <v>0</v>
      </c>
      <c r="L3098">
        <v>0</v>
      </c>
      <c r="M3098">
        <v>0</v>
      </c>
      <c r="N3098">
        <v>81744</v>
      </c>
      <c r="O3098">
        <v>72763</v>
      </c>
      <c r="P3098">
        <v>0</v>
      </c>
      <c r="Q3098">
        <v>1</v>
      </c>
      <c r="R3098">
        <v>0</v>
      </c>
      <c r="S3098">
        <v>0</v>
      </c>
      <c r="T3098">
        <v>12</v>
      </c>
      <c r="U3098">
        <v>17</v>
      </c>
    </row>
    <row r="3099" spans="1:21" x14ac:dyDescent="0.35">
      <c r="A3099" t="s">
        <v>21</v>
      </c>
      <c r="B3099" s="1">
        <v>45227</v>
      </c>
      <c r="C3099" t="s">
        <v>27</v>
      </c>
      <c r="D3099">
        <v>0</v>
      </c>
      <c r="E3099">
        <v>0</v>
      </c>
      <c r="F3099">
        <v>0</v>
      </c>
      <c r="G3099">
        <v>0</v>
      </c>
      <c r="H3099">
        <v>0</v>
      </c>
      <c r="I3099">
        <v>0</v>
      </c>
      <c r="J3099">
        <v>0</v>
      </c>
      <c r="K3099">
        <v>0</v>
      </c>
      <c r="L3099">
        <v>0</v>
      </c>
      <c r="M3099">
        <v>0</v>
      </c>
      <c r="N3099">
        <v>31598</v>
      </c>
      <c r="O3099">
        <v>86545</v>
      </c>
      <c r="P3099">
        <v>44641</v>
      </c>
      <c r="Q3099">
        <v>0</v>
      </c>
      <c r="R3099">
        <v>0</v>
      </c>
      <c r="S3099">
        <v>0</v>
      </c>
      <c r="T3099">
        <v>12</v>
      </c>
      <c r="U3099">
        <v>17</v>
      </c>
    </row>
    <row r="3100" spans="1:21" x14ac:dyDescent="0.35">
      <c r="A3100" t="s">
        <v>21</v>
      </c>
      <c r="B3100" s="1">
        <v>44966</v>
      </c>
      <c r="C3100" t="s">
        <v>22</v>
      </c>
      <c r="D3100">
        <v>0</v>
      </c>
      <c r="E3100">
        <v>0</v>
      </c>
      <c r="F3100">
        <v>0.1</v>
      </c>
      <c r="G3100">
        <v>0</v>
      </c>
      <c r="H3100">
        <v>0</v>
      </c>
      <c r="I3100">
        <v>0</v>
      </c>
      <c r="J3100">
        <v>0</v>
      </c>
      <c r="K3100">
        <v>0.1</v>
      </c>
      <c r="L3100">
        <v>0</v>
      </c>
      <c r="M3100">
        <v>0</v>
      </c>
      <c r="N3100">
        <v>527182</v>
      </c>
      <c r="O3100">
        <v>860288</v>
      </c>
      <c r="P3100">
        <v>1040815</v>
      </c>
      <c r="Q3100">
        <v>0</v>
      </c>
      <c r="R3100">
        <v>0</v>
      </c>
      <c r="S3100">
        <v>1</v>
      </c>
      <c r="T3100">
        <v>999</v>
      </c>
      <c r="U3100">
        <v>999</v>
      </c>
    </row>
    <row r="3101" spans="1:21" x14ac:dyDescent="0.35">
      <c r="A3101" t="s">
        <v>26</v>
      </c>
      <c r="B3101" s="1">
        <v>44747</v>
      </c>
      <c r="C3101" t="s">
        <v>30</v>
      </c>
      <c r="D3101">
        <v>22.4</v>
      </c>
      <c r="E3101">
        <v>60.5</v>
      </c>
      <c r="F3101">
        <v>40.6</v>
      </c>
      <c r="G3101">
        <v>0.4</v>
      </c>
      <c r="H3101">
        <v>0.6</v>
      </c>
      <c r="I3101">
        <v>0</v>
      </c>
      <c r="J3101">
        <v>0</v>
      </c>
      <c r="K3101">
        <v>0</v>
      </c>
      <c r="L3101">
        <v>0</v>
      </c>
      <c r="M3101">
        <v>0</v>
      </c>
      <c r="N3101">
        <v>26811</v>
      </c>
      <c r="O3101">
        <v>13219</v>
      </c>
      <c r="P3101">
        <v>44353</v>
      </c>
      <c r="Q3101">
        <v>6</v>
      </c>
      <c r="R3101">
        <v>8</v>
      </c>
      <c r="S3101">
        <v>18</v>
      </c>
      <c r="T3101">
        <v>80</v>
      </c>
      <c r="U3101">
        <v>200</v>
      </c>
    </row>
    <row r="3102" spans="1:21" x14ac:dyDescent="0.35">
      <c r="A3102" t="s">
        <v>21</v>
      </c>
      <c r="B3102" s="1">
        <v>45045</v>
      </c>
      <c r="C3102" t="s">
        <v>27</v>
      </c>
      <c r="D3102">
        <v>0</v>
      </c>
      <c r="E3102">
        <v>0</v>
      </c>
      <c r="F3102">
        <v>0</v>
      </c>
      <c r="G3102">
        <v>0</v>
      </c>
      <c r="H3102">
        <v>0</v>
      </c>
      <c r="I3102">
        <v>0</v>
      </c>
      <c r="J3102">
        <v>0</v>
      </c>
      <c r="K3102">
        <v>0</v>
      </c>
      <c r="L3102">
        <v>0</v>
      </c>
      <c r="M3102">
        <v>0</v>
      </c>
      <c r="N3102">
        <v>32734</v>
      </c>
      <c r="O3102">
        <v>86571</v>
      </c>
      <c r="P3102">
        <v>44574</v>
      </c>
      <c r="Q3102">
        <v>0</v>
      </c>
      <c r="R3102">
        <v>0</v>
      </c>
      <c r="S3102">
        <v>0</v>
      </c>
      <c r="T3102">
        <v>12</v>
      </c>
      <c r="U3102">
        <v>17</v>
      </c>
    </row>
    <row r="3103" spans="1:21" x14ac:dyDescent="0.35">
      <c r="A3103" t="s">
        <v>26</v>
      </c>
      <c r="B3103" s="1">
        <v>45073</v>
      </c>
      <c r="C3103" t="s">
        <v>30</v>
      </c>
      <c r="D3103">
        <v>4.0999999999999996</v>
      </c>
      <c r="E3103">
        <v>0</v>
      </c>
      <c r="F3103">
        <v>14.9</v>
      </c>
      <c r="G3103">
        <v>0</v>
      </c>
      <c r="H3103">
        <v>0.3</v>
      </c>
      <c r="I3103">
        <v>0</v>
      </c>
      <c r="J3103">
        <v>0</v>
      </c>
      <c r="K3103">
        <v>0</v>
      </c>
      <c r="L3103">
        <v>0</v>
      </c>
      <c r="M3103">
        <v>0</v>
      </c>
      <c r="N3103">
        <v>24542</v>
      </c>
      <c r="O3103">
        <v>11384</v>
      </c>
      <c r="P3103">
        <v>47129</v>
      </c>
      <c r="Q3103">
        <v>1</v>
      </c>
      <c r="R3103">
        <v>0</v>
      </c>
      <c r="S3103">
        <v>7</v>
      </c>
      <c r="T3103">
        <v>80</v>
      </c>
      <c r="U3103">
        <v>200</v>
      </c>
    </row>
    <row r="3104" spans="1:21" x14ac:dyDescent="0.35">
      <c r="A3104" t="s">
        <v>28</v>
      </c>
      <c r="B3104" s="1">
        <v>44926</v>
      </c>
      <c r="C3104" t="s">
        <v>23</v>
      </c>
      <c r="D3104">
        <v>332.6</v>
      </c>
      <c r="E3104">
        <v>101.3</v>
      </c>
      <c r="F3104">
        <v>128.4</v>
      </c>
      <c r="G3104">
        <v>3.3</v>
      </c>
      <c r="H3104">
        <v>2.6</v>
      </c>
      <c r="I3104">
        <v>0</v>
      </c>
      <c r="J3104">
        <v>0</v>
      </c>
      <c r="K3104">
        <v>0</v>
      </c>
      <c r="L3104">
        <v>0</v>
      </c>
      <c r="M3104">
        <v>0</v>
      </c>
      <c r="N3104">
        <v>34879</v>
      </c>
      <c r="O3104">
        <v>125419</v>
      </c>
      <c r="P3104">
        <v>246812</v>
      </c>
      <c r="Q3104">
        <v>116</v>
      </c>
      <c r="R3104">
        <v>127</v>
      </c>
      <c r="S3104">
        <v>317</v>
      </c>
      <c r="T3104">
        <v>50</v>
      </c>
      <c r="U3104">
        <v>64</v>
      </c>
    </row>
    <row r="3105" spans="1:21" x14ac:dyDescent="0.35">
      <c r="A3105" t="s">
        <v>21</v>
      </c>
      <c r="B3105" s="1">
        <v>44821</v>
      </c>
      <c r="C3105" t="s">
        <v>29</v>
      </c>
      <c r="D3105">
        <v>0</v>
      </c>
      <c r="E3105">
        <v>0</v>
      </c>
      <c r="F3105">
        <v>0</v>
      </c>
      <c r="G3105">
        <v>0</v>
      </c>
      <c r="H3105">
        <v>0</v>
      </c>
      <c r="I3105">
        <v>0</v>
      </c>
      <c r="J3105">
        <v>0</v>
      </c>
      <c r="K3105">
        <v>0</v>
      </c>
      <c r="L3105">
        <v>0</v>
      </c>
      <c r="M3105">
        <v>0</v>
      </c>
      <c r="N3105">
        <v>123875</v>
      </c>
      <c r="O3105">
        <v>275892</v>
      </c>
      <c r="P3105">
        <v>346825</v>
      </c>
      <c r="Q3105">
        <v>0</v>
      </c>
      <c r="R3105">
        <v>0</v>
      </c>
      <c r="S3105">
        <v>0</v>
      </c>
      <c r="T3105">
        <v>30</v>
      </c>
      <c r="U3105">
        <v>49</v>
      </c>
    </row>
    <row r="3106" spans="1:21" x14ac:dyDescent="0.35">
      <c r="A3106" t="s">
        <v>28</v>
      </c>
      <c r="B3106" s="1">
        <v>45094</v>
      </c>
      <c r="C3106" t="s">
        <v>23</v>
      </c>
      <c r="D3106">
        <v>18.3</v>
      </c>
      <c r="E3106">
        <v>5.6</v>
      </c>
      <c r="F3106">
        <v>13</v>
      </c>
      <c r="G3106">
        <v>3.3</v>
      </c>
      <c r="H3106">
        <v>1.4</v>
      </c>
      <c r="I3106">
        <v>0</v>
      </c>
      <c r="J3106">
        <v>0</v>
      </c>
      <c r="K3106">
        <v>0</v>
      </c>
      <c r="L3106">
        <v>0</v>
      </c>
      <c r="M3106">
        <v>0</v>
      </c>
      <c r="N3106">
        <v>32757</v>
      </c>
      <c r="O3106">
        <v>125738</v>
      </c>
      <c r="P3106">
        <v>246922</v>
      </c>
      <c r="Q3106">
        <v>6</v>
      </c>
      <c r="R3106">
        <v>7</v>
      </c>
      <c r="S3106">
        <v>32</v>
      </c>
      <c r="T3106">
        <v>50</v>
      </c>
      <c r="U3106">
        <v>64</v>
      </c>
    </row>
    <row r="3107" spans="1:21" x14ac:dyDescent="0.35">
      <c r="A3107" t="s">
        <v>26</v>
      </c>
      <c r="B3107" s="1">
        <v>44808</v>
      </c>
      <c r="C3107" t="s">
        <v>31</v>
      </c>
      <c r="D3107">
        <v>10.4</v>
      </c>
      <c r="E3107">
        <v>9.8000000000000007</v>
      </c>
      <c r="F3107">
        <v>5</v>
      </c>
      <c r="G3107">
        <v>1.1000000000000001</v>
      </c>
      <c r="H3107">
        <v>2.1</v>
      </c>
      <c r="I3107">
        <v>0</v>
      </c>
      <c r="J3107">
        <v>0</v>
      </c>
      <c r="K3107">
        <v>0</v>
      </c>
      <c r="L3107">
        <v>0</v>
      </c>
      <c r="M3107">
        <v>0</v>
      </c>
      <c r="N3107">
        <v>48264</v>
      </c>
      <c r="O3107">
        <v>51105</v>
      </c>
      <c r="P3107">
        <v>159712</v>
      </c>
      <c r="Q3107">
        <v>5</v>
      </c>
      <c r="R3107">
        <v>5</v>
      </c>
      <c r="S3107">
        <v>8</v>
      </c>
      <c r="T3107">
        <v>65</v>
      </c>
      <c r="U3107">
        <v>79</v>
      </c>
    </row>
    <row r="3108" spans="1:21" x14ac:dyDescent="0.35">
      <c r="A3108" t="s">
        <v>26</v>
      </c>
      <c r="B3108" s="1">
        <v>44513</v>
      </c>
      <c r="C3108" t="s">
        <v>31</v>
      </c>
      <c r="D3108">
        <v>40.1</v>
      </c>
      <c r="E3108">
        <v>13.7</v>
      </c>
      <c r="F3108">
        <v>1.8</v>
      </c>
      <c r="G3108">
        <v>2.9</v>
      </c>
      <c r="H3108">
        <v>22.3</v>
      </c>
      <c r="I3108">
        <v>0</v>
      </c>
      <c r="J3108">
        <v>0</v>
      </c>
      <c r="K3108">
        <v>0</v>
      </c>
      <c r="L3108">
        <v>0</v>
      </c>
      <c r="M3108">
        <v>0</v>
      </c>
      <c r="N3108">
        <v>57295</v>
      </c>
      <c r="O3108">
        <v>146087</v>
      </c>
      <c r="P3108">
        <v>56482</v>
      </c>
      <c r="Q3108">
        <v>23</v>
      </c>
      <c r="R3108">
        <v>20</v>
      </c>
      <c r="S3108">
        <v>1</v>
      </c>
      <c r="T3108">
        <v>65</v>
      </c>
      <c r="U3108">
        <v>79</v>
      </c>
    </row>
    <row r="3109" spans="1:21" x14ac:dyDescent="0.35">
      <c r="A3109" t="s">
        <v>21</v>
      </c>
      <c r="B3109" s="1">
        <v>45073</v>
      </c>
      <c r="C3109" t="s">
        <v>24</v>
      </c>
      <c r="D3109">
        <v>0</v>
      </c>
      <c r="E3109">
        <v>0</v>
      </c>
      <c r="F3109">
        <v>0</v>
      </c>
      <c r="G3109">
        <v>0</v>
      </c>
      <c r="H3109">
        <v>0</v>
      </c>
      <c r="I3109">
        <v>0</v>
      </c>
      <c r="J3109">
        <v>0</v>
      </c>
      <c r="K3109">
        <v>0</v>
      </c>
      <c r="L3109">
        <v>0</v>
      </c>
      <c r="M3109">
        <v>0</v>
      </c>
      <c r="N3109">
        <v>90605</v>
      </c>
      <c r="O3109">
        <v>82681</v>
      </c>
      <c r="P3109">
        <v>21243</v>
      </c>
      <c r="Q3109">
        <v>0</v>
      </c>
      <c r="R3109">
        <v>0</v>
      </c>
      <c r="S3109">
        <v>0</v>
      </c>
      <c r="T3109">
        <v>5</v>
      </c>
      <c r="U3109">
        <v>11</v>
      </c>
    </row>
    <row r="3110" spans="1:21" x14ac:dyDescent="0.35">
      <c r="A3110" t="s">
        <v>21</v>
      </c>
      <c r="B3110" s="1">
        <v>44821</v>
      </c>
      <c r="C3110" t="s">
        <v>23</v>
      </c>
      <c r="D3110">
        <v>2.5</v>
      </c>
      <c r="E3110">
        <v>0</v>
      </c>
      <c r="F3110">
        <v>0</v>
      </c>
      <c r="G3110">
        <v>0</v>
      </c>
      <c r="H3110">
        <v>0</v>
      </c>
      <c r="I3110">
        <v>0</v>
      </c>
      <c r="J3110">
        <v>0</v>
      </c>
      <c r="K3110">
        <v>0</v>
      </c>
      <c r="L3110">
        <v>0</v>
      </c>
      <c r="M3110">
        <v>0</v>
      </c>
      <c r="N3110">
        <v>39763</v>
      </c>
      <c r="O3110">
        <v>125132</v>
      </c>
      <c r="P3110">
        <v>246490</v>
      </c>
      <c r="Q3110">
        <v>1</v>
      </c>
      <c r="R3110">
        <v>0</v>
      </c>
      <c r="S3110">
        <v>0</v>
      </c>
      <c r="T3110">
        <v>50</v>
      </c>
      <c r="U3110">
        <v>64</v>
      </c>
    </row>
    <row r="3111" spans="1:21" x14ac:dyDescent="0.35">
      <c r="A3111" t="s">
        <v>21</v>
      </c>
      <c r="B3111" s="1">
        <v>44401</v>
      </c>
      <c r="C3111" t="s">
        <v>29</v>
      </c>
      <c r="D3111">
        <v>0.4</v>
      </c>
      <c r="E3111">
        <v>0</v>
      </c>
      <c r="F3111">
        <v>0</v>
      </c>
      <c r="G3111">
        <v>0</v>
      </c>
      <c r="H3111">
        <v>0</v>
      </c>
      <c r="I3111">
        <v>0</v>
      </c>
      <c r="J3111">
        <v>0</v>
      </c>
      <c r="K3111">
        <v>0</v>
      </c>
      <c r="L3111">
        <v>0</v>
      </c>
      <c r="M3111">
        <v>0</v>
      </c>
      <c r="N3111">
        <v>272185</v>
      </c>
      <c r="O3111">
        <v>492321</v>
      </c>
      <c r="P3111">
        <v>0</v>
      </c>
      <c r="Q3111">
        <v>1</v>
      </c>
      <c r="R3111">
        <v>0</v>
      </c>
      <c r="S3111">
        <v>0</v>
      </c>
      <c r="T3111">
        <v>30</v>
      </c>
      <c r="U3111">
        <v>49</v>
      </c>
    </row>
    <row r="3112" spans="1:21" x14ac:dyDescent="0.35">
      <c r="A3112" t="s">
        <v>21</v>
      </c>
      <c r="B3112" s="1">
        <v>44786</v>
      </c>
      <c r="C3112" t="s">
        <v>25</v>
      </c>
      <c r="D3112">
        <v>0</v>
      </c>
      <c r="E3112">
        <v>0</v>
      </c>
      <c r="F3112">
        <v>0</v>
      </c>
      <c r="G3112">
        <v>0</v>
      </c>
      <c r="H3112">
        <v>0</v>
      </c>
      <c r="I3112">
        <v>0</v>
      </c>
      <c r="J3112">
        <v>0</v>
      </c>
      <c r="K3112">
        <v>0</v>
      </c>
      <c r="L3112">
        <v>0</v>
      </c>
      <c r="M3112">
        <v>0</v>
      </c>
      <c r="N3112">
        <v>91761</v>
      </c>
      <c r="O3112">
        <v>212510</v>
      </c>
      <c r="P3112">
        <v>159319</v>
      </c>
      <c r="Q3112">
        <v>0</v>
      </c>
      <c r="R3112">
        <v>0</v>
      </c>
      <c r="S3112">
        <v>0</v>
      </c>
      <c r="T3112">
        <v>18</v>
      </c>
      <c r="U3112">
        <v>29</v>
      </c>
    </row>
    <row r="3113" spans="1:21" x14ac:dyDescent="0.35">
      <c r="A3113" t="s">
        <v>28</v>
      </c>
      <c r="B3113" s="1">
        <v>44629</v>
      </c>
      <c r="C3113" t="s">
        <v>23</v>
      </c>
      <c r="D3113">
        <v>335.4</v>
      </c>
      <c r="E3113">
        <v>123.4</v>
      </c>
      <c r="F3113">
        <v>155.80000000000001</v>
      </c>
      <c r="G3113">
        <v>2.7</v>
      </c>
      <c r="H3113">
        <v>2.2000000000000002</v>
      </c>
      <c r="I3113">
        <v>0</v>
      </c>
      <c r="J3113">
        <v>0</v>
      </c>
      <c r="K3113">
        <v>0</v>
      </c>
      <c r="L3113">
        <v>0</v>
      </c>
      <c r="M3113">
        <v>0</v>
      </c>
      <c r="N3113">
        <v>40251</v>
      </c>
      <c r="O3113">
        <v>125600</v>
      </c>
      <c r="P3113">
        <v>245831</v>
      </c>
      <c r="Q3113">
        <v>135</v>
      </c>
      <c r="R3113">
        <v>155</v>
      </c>
      <c r="S3113">
        <v>383</v>
      </c>
      <c r="T3113">
        <v>50</v>
      </c>
      <c r="U3113">
        <v>64</v>
      </c>
    </row>
    <row r="3114" spans="1:21" x14ac:dyDescent="0.35">
      <c r="A3114" t="s">
        <v>21</v>
      </c>
      <c r="B3114" s="1">
        <v>44747</v>
      </c>
      <c r="C3114" t="s">
        <v>29</v>
      </c>
      <c r="D3114">
        <v>0</v>
      </c>
      <c r="E3114">
        <v>0</v>
      </c>
      <c r="F3114">
        <v>0</v>
      </c>
      <c r="G3114">
        <v>0</v>
      </c>
      <c r="H3114">
        <v>0</v>
      </c>
      <c r="I3114">
        <v>0</v>
      </c>
      <c r="J3114">
        <v>0</v>
      </c>
      <c r="K3114">
        <v>0</v>
      </c>
      <c r="L3114">
        <v>0</v>
      </c>
      <c r="M3114">
        <v>0</v>
      </c>
      <c r="N3114">
        <v>130589</v>
      </c>
      <c r="O3114">
        <v>286382</v>
      </c>
      <c r="P3114">
        <v>331646</v>
      </c>
      <c r="Q3114">
        <v>0</v>
      </c>
      <c r="R3114">
        <v>0</v>
      </c>
      <c r="S3114">
        <v>0</v>
      </c>
      <c r="T3114">
        <v>30</v>
      </c>
      <c r="U3114">
        <v>49</v>
      </c>
    </row>
    <row r="3115" spans="1:21" x14ac:dyDescent="0.35">
      <c r="A3115" t="s">
        <v>26</v>
      </c>
      <c r="B3115" s="1">
        <v>45268</v>
      </c>
      <c r="C3115" t="s">
        <v>27</v>
      </c>
      <c r="D3115">
        <v>0</v>
      </c>
      <c r="E3115">
        <v>2.2999999999999998</v>
      </c>
      <c r="F3115">
        <v>0</v>
      </c>
      <c r="G3115">
        <v>0</v>
      </c>
      <c r="H3115">
        <v>0</v>
      </c>
      <c r="I3115">
        <v>0</v>
      </c>
      <c r="J3115">
        <v>0</v>
      </c>
      <c r="K3115">
        <v>0</v>
      </c>
      <c r="L3115">
        <v>0</v>
      </c>
      <c r="M3115">
        <v>0</v>
      </c>
      <c r="N3115">
        <v>31954</v>
      </c>
      <c r="O3115">
        <v>86577</v>
      </c>
      <c r="P3115">
        <v>44592</v>
      </c>
      <c r="Q3115">
        <v>0</v>
      </c>
      <c r="R3115">
        <v>2</v>
      </c>
      <c r="S3115">
        <v>0</v>
      </c>
      <c r="T3115">
        <v>12</v>
      </c>
      <c r="U3115">
        <v>17</v>
      </c>
    </row>
    <row r="3116" spans="1:21" x14ac:dyDescent="0.35">
      <c r="A3116" t="s">
        <v>21</v>
      </c>
      <c r="B3116" s="1">
        <v>44940</v>
      </c>
      <c r="C3116" t="s">
        <v>30</v>
      </c>
      <c r="D3116">
        <v>16.100000000000001</v>
      </c>
      <c r="E3116">
        <v>17.600000000000001</v>
      </c>
      <c r="F3116">
        <v>10.6</v>
      </c>
      <c r="G3116">
        <v>0.9</v>
      </c>
      <c r="H3116">
        <v>1.5</v>
      </c>
      <c r="I3116">
        <v>0</v>
      </c>
      <c r="J3116">
        <v>0</v>
      </c>
      <c r="K3116">
        <v>0</v>
      </c>
      <c r="L3116">
        <v>0</v>
      </c>
      <c r="M3116">
        <v>0</v>
      </c>
      <c r="N3116">
        <v>24777</v>
      </c>
      <c r="O3116">
        <v>11372</v>
      </c>
      <c r="P3116">
        <v>47117</v>
      </c>
      <c r="Q3116">
        <v>4</v>
      </c>
      <c r="R3116">
        <v>2</v>
      </c>
      <c r="S3116">
        <v>5</v>
      </c>
      <c r="T3116">
        <v>80</v>
      </c>
      <c r="U3116">
        <v>200</v>
      </c>
    </row>
    <row r="3117" spans="1:21" x14ac:dyDescent="0.35">
      <c r="A3117" t="s">
        <v>21</v>
      </c>
      <c r="B3117" s="1">
        <v>44843</v>
      </c>
      <c r="C3117" t="s">
        <v>23</v>
      </c>
      <c r="D3117">
        <v>0</v>
      </c>
      <c r="E3117">
        <v>0</v>
      </c>
      <c r="F3117">
        <v>0.4</v>
      </c>
      <c r="G3117">
        <v>0</v>
      </c>
      <c r="H3117">
        <v>0</v>
      </c>
      <c r="I3117">
        <v>0</v>
      </c>
      <c r="J3117">
        <v>0</v>
      </c>
      <c r="K3117">
        <v>0</v>
      </c>
      <c r="L3117">
        <v>0</v>
      </c>
      <c r="M3117">
        <v>0</v>
      </c>
      <c r="N3117">
        <v>40087</v>
      </c>
      <c r="O3117">
        <v>125285</v>
      </c>
      <c r="P3117">
        <v>246259</v>
      </c>
      <c r="Q3117">
        <v>0</v>
      </c>
      <c r="R3117">
        <v>0</v>
      </c>
      <c r="S3117">
        <v>1</v>
      </c>
      <c r="T3117">
        <v>50</v>
      </c>
      <c r="U3117">
        <v>64</v>
      </c>
    </row>
    <row r="3118" spans="1:21" x14ac:dyDescent="0.35">
      <c r="A3118" t="s">
        <v>26</v>
      </c>
      <c r="B3118" s="1">
        <v>45094</v>
      </c>
      <c r="C3118" t="s">
        <v>31</v>
      </c>
      <c r="D3118">
        <v>5.0999999999999996</v>
      </c>
      <c r="E3118">
        <v>2.2999999999999998</v>
      </c>
      <c r="F3118">
        <v>3.5</v>
      </c>
      <c r="G3118">
        <v>2.2000000000000002</v>
      </c>
      <c r="H3118">
        <v>1.5</v>
      </c>
      <c r="I3118">
        <v>0</v>
      </c>
      <c r="J3118">
        <v>0</v>
      </c>
      <c r="K3118">
        <v>0</v>
      </c>
      <c r="L3118">
        <v>0</v>
      </c>
      <c r="M3118">
        <v>0</v>
      </c>
      <c r="N3118">
        <v>39420</v>
      </c>
      <c r="O3118">
        <v>43432</v>
      </c>
      <c r="P3118">
        <v>171735</v>
      </c>
      <c r="Q3118">
        <v>2</v>
      </c>
      <c r="R3118">
        <v>1</v>
      </c>
      <c r="S3118">
        <v>6</v>
      </c>
      <c r="T3118">
        <v>65</v>
      </c>
      <c r="U3118">
        <v>79</v>
      </c>
    </row>
    <row r="3119" spans="1:21" x14ac:dyDescent="0.35">
      <c r="A3119" t="s">
        <v>26</v>
      </c>
      <c r="B3119" s="1">
        <v>44737</v>
      </c>
      <c r="C3119" t="s">
        <v>30</v>
      </c>
      <c r="D3119">
        <v>60.4</v>
      </c>
      <c r="E3119">
        <v>73.3</v>
      </c>
      <c r="F3119">
        <v>59</v>
      </c>
      <c r="G3119">
        <v>0.8</v>
      </c>
      <c r="H3119">
        <v>1</v>
      </c>
      <c r="I3119">
        <v>0</v>
      </c>
      <c r="J3119">
        <v>0</v>
      </c>
      <c r="K3119">
        <v>0</v>
      </c>
      <c r="L3119">
        <v>0</v>
      </c>
      <c r="M3119">
        <v>0</v>
      </c>
      <c r="N3119">
        <v>26485</v>
      </c>
      <c r="O3119">
        <v>12274</v>
      </c>
      <c r="P3119">
        <v>45782</v>
      </c>
      <c r="Q3119">
        <v>16</v>
      </c>
      <c r="R3119">
        <v>9</v>
      </c>
      <c r="S3119">
        <v>27</v>
      </c>
      <c r="T3119">
        <v>80</v>
      </c>
      <c r="U3119">
        <v>200</v>
      </c>
    </row>
    <row r="3120" spans="1:21" x14ac:dyDescent="0.35">
      <c r="A3120" t="s">
        <v>28</v>
      </c>
      <c r="B3120" s="1">
        <v>45073</v>
      </c>
      <c r="C3120" t="s">
        <v>24</v>
      </c>
      <c r="D3120">
        <v>33.1</v>
      </c>
      <c r="E3120">
        <v>18.100000000000001</v>
      </c>
      <c r="F3120">
        <v>9.4</v>
      </c>
      <c r="G3120">
        <v>1.8</v>
      </c>
      <c r="H3120">
        <v>3.5</v>
      </c>
      <c r="I3120">
        <v>0</v>
      </c>
      <c r="J3120">
        <v>0</v>
      </c>
      <c r="K3120">
        <v>0</v>
      </c>
      <c r="L3120">
        <v>0</v>
      </c>
      <c r="M3120">
        <v>0</v>
      </c>
      <c r="N3120">
        <v>90605</v>
      </c>
      <c r="O3120">
        <v>82681</v>
      </c>
      <c r="P3120">
        <v>21243</v>
      </c>
      <c r="Q3120">
        <v>30</v>
      </c>
      <c r="R3120">
        <v>15</v>
      </c>
      <c r="S3120">
        <v>2</v>
      </c>
      <c r="T3120">
        <v>5</v>
      </c>
      <c r="U3120">
        <v>11</v>
      </c>
    </row>
    <row r="3121" spans="1:21" x14ac:dyDescent="0.35">
      <c r="A3121" t="s">
        <v>26</v>
      </c>
      <c r="B3121" s="1">
        <v>45157</v>
      </c>
      <c r="C3121" t="s">
        <v>29</v>
      </c>
      <c r="D3121">
        <v>4.7</v>
      </c>
      <c r="E3121">
        <v>0.4</v>
      </c>
      <c r="F3121">
        <v>1.4</v>
      </c>
      <c r="G3121">
        <v>11.8</v>
      </c>
      <c r="H3121">
        <v>3.4</v>
      </c>
      <c r="I3121">
        <v>0</v>
      </c>
      <c r="J3121">
        <v>0</v>
      </c>
      <c r="K3121">
        <v>0</v>
      </c>
      <c r="L3121">
        <v>0</v>
      </c>
      <c r="M3121">
        <v>0</v>
      </c>
      <c r="N3121">
        <v>107178</v>
      </c>
      <c r="O3121">
        <v>278399</v>
      </c>
      <c r="P3121">
        <v>347317</v>
      </c>
      <c r="Q3121">
        <v>5</v>
      </c>
      <c r="R3121">
        <v>1</v>
      </c>
      <c r="S3121">
        <v>5</v>
      </c>
      <c r="T3121">
        <v>30</v>
      </c>
      <c r="U3121">
        <v>49</v>
      </c>
    </row>
    <row r="3122" spans="1:21" x14ac:dyDescent="0.35">
      <c r="A3122" t="s">
        <v>26</v>
      </c>
      <c r="B3122" s="1">
        <v>45136</v>
      </c>
      <c r="C3122" t="s">
        <v>23</v>
      </c>
      <c r="D3122">
        <v>9.1999999999999993</v>
      </c>
      <c r="E3122">
        <v>0</v>
      </c>
      <c r="F3122">
        <v>2.4</v>
      </c>
      <c r="G3122">
        <v>0</v>
      </c>
      <c r="H3122">
        <v>3.8</v>
      </c>
      <c r="I3122">
        <v>0</v>
      </c>
      <c r="J3122">
        <v>0</v>
      </c>
      <c r="K3122">
        <v>0</v>
      </c>
      <c r="L3122">
        <v>0</v>
      </c>
      <c r="M3122">
        <v>0</v>
      </c>
      <c r="N3122">
        <v>32542</v>
      </c>
      <c r="O3122">
        <v>125729</v>
      </c>
      <c r="P3122">
        <v>246933</v>
      </c>
      <c r="Q3122">
        <v>3</v>
      </c>
      <c r="R3122">
        <v>0</v>
      </c>
      <c r="S3122">
        <v>6</v>
      </c>
      <c r="T3122">
        <v>50</v>
      </c>
      <c r="U3122">
        <v>64</v>
      </c>
    </row>
    <row r="3123" spans="1:21" x14ac:dyDescent="0.35">
      <c r="A3123" t="s">
        <v>28</v>
      </c>
      <c r="B3123" s="1">
        <v>44772</v>
      </c>
      <c r="C3123" t="s">
        <v>29</v>
      </c>
      <c r="D3123">
        <v>361.8</v>
      </c>
      <c r="E3123">
        <v>177.2</v>
      </c>
      <c r="F3123">
        <v>244.9</v>
      </c>
      <c r="G3123">
        <v>2</v>
      </c>
      <c r="H3123">
        <v>1.5</v>
      </c>
      <c r="I3123">
        <v>0</v>
      </c>
      <c r="J3123">
        <v>0</v>
      </c>
      <c r="K3123">
        <v>0</v>
      </c>
      <c r="L3123">
        <v>0</v>
      </c>
      <c r="M3123">
        <v>0</v>
      </c>
      <c r="N3123">
        <v>126589</v>
      </c>
      <c r="O3123">
        <v>278749</v>
      </c>
      <c r="P3123">
        <v>342597</v>
      </c>
      <c r="Q3123">
        <v>458</v>
      </c>
      <c r="R3123">
        <v>494</v>
      </c>
      <c r="S3123">
        <v>839</v>
      </c>
      <c r="T3123">
        <v>30</v>
      </c>
      <c r="U3123">
        <v>49</v>
      </c>
    </row>
    <row r="3124" spans="1:21" x14ac:dyDescent="0.35">
      <c r="A3124" t="s">
        <v>21</v>
      </c>
      <c r="B3124" s="1">
        <v>44933</v>
      </c>
      <c r="C3124" t="s">
        <v>30</v>
      </c>
      <c r="D3124">
        <v>0</v>
      </c>
      <c r="E3124">
        <v>0</v>
      </c>
      <c r="F3124">
        <v>0</v>
      </c>
      <c r="G3124">
        <v>0</v>
      </c>
      <c r="H3124">
        <v>0</v>
      </c>
      <c r="I3124">
        <v>0</v>
      </c>
      <c r="J3124">
        <v>0</v>
      </c>
      <c r="K3124">
        <v>0</v>
      </c>
      <c r="L3124">
        <v>0</v>
      </c>
      <c r="M3124">
        <v>0</v>
      </c>
      <c r="N3124">
        <v>24502</v>
      </c>
      <c r="O3124">
        <v>11383</v>
      </c>
      <c r="P3124">
        <v>47130</v>
      </c>
      <c r="Q3124">
        <v>0</v>
      </c>
      <c r="R3124">
        <v>0</v>
      </c>
      <c r="S3124">
        <v>0</v>
      </c>
      <c r="T3124">
        <v>80</v>
      </c>
      <c r="U3124">
        <v>200</v>
      </c>
    </row>
    <row r="3125" spans="1:21" x14ac:dyDescent="0.35">
      <c r="A3125" t="s">
        <v>21</v>
      </c>
      <c r="B3125" s="1">
        <v>44692</v>
      </c>
      <c r="C3125" t="s">
        <v>24</v>
      </c>
      <c r="D3125">
        <v>0</v>
      </c>
      <c r="E3125">
        <v>0</v>
      </c>
      <c r="F3125">
        <v>0</v>
      </c>
      <c r="G3125">
        <v>0</v>
      </c>
      <c r="H3125">
        <v>0</v>
      </c>
      <c r="I3125">
        <v>0</v>
      </c>
      <c r="J3125">
        <v>0</v>
      </c>
      <c r="K3125">
        <v>0</v>
      </c>
      <c r="L3125">
        <v>0</v>
      </c>
      <c r="M3125">
        <v>0</v>
      </c>
      <c r="N3125">
        <v>93672</v>
      </c>
      <c r="O3125">
        <v>80665</v>
      </c>
      <c r="P3125">
        <v>21005</v>
      </c>
      <c r="Q3125">
        <v>0</v>
      </c>
      <c r="R3125">
        <v>0</v>
      </c>
      <c r="S3125">
        <v>0</v>
      </c>
      <c r="T3125">
        <v>5</v>
      </c>
      <c r="U3125">
        <v>11</v>
      </c>
    </row>
    <row r="3126" spans="1:21" x14ac:dyDescent="0.35">
      <c r="A3126" t="s">
        <v>28</v>
      </c>
      <c r="B3126" s="1">
        <v>44596</v>
      </c>
      <c r="C3126" t="s">
        <v>23</v>
      </c>
      <c r="D3126">
        <v>108.5</v>
      </c>
      <c r="E3126">
        <v>36.700000000000003</v>
      </c>
      <c r="F3126">
        <v>68.7</v>
      </c>
      <c r="G3126">
        <v>3</v>
      </c>
      <c r="H3126">
        <v>1.6</v>
      </c>
      <c r="I3126">
        <v>0</v>
      </c>
      <c r="J3126">
        <v>0</v>
      </c>
      <c r="K3126">
        <v>0</v>
      </c>
      <c r="L3126">
        <v>0</v>
      </c>
      <c r="M3126">
        <v>0</v>
      </c>
      <c r="N3126">
        <v>45178</v>
      </c>
      <c r="O3126">
        <v>138856</v>
      </c>
      <c r="P3126">
        <v>227154</v>
      </c>
      <c r="Q3126">
        <v>49</v>
      </c>
      <c r="R3126">
        <v>51</v>
      </c>
      <c r="S3126">
        <v>156</v>
      </c>
      <c r="T3126">
        <v>50</v>
      </c>
      <c r="U3126">
        <v>64</v>
      </c>
    </row>
    <row r="3127" spans="1:21" x14ac:dyDescent="0.35">
      <c r="A3127" t="s">
        <v>28</v>
      </c>
      <c r="B3127" s="1">
        <v>44681</v>
      </c>
      <c r="C3127" t="s">
        <v>31</v>
      </c>
      <c r="D3127">
        <v>155.1</v>
      </c>
      <c r="E3127">
        <v>108.7</v>
      </c>
      <c r="F3127">
        <v>133.30000000000001</v>
      </c>
      <c r="G3127">
        <v>1.4</v>
      </c>
      <c r="H3127">
        <v>1.2</v>
      </c>
      <c r="I3127">
        <v>0</v>
      </c>
      <c r="J3127">
        <v>0</v>
      </c>
      <c r="K3127">
        <v>0</v>
      </c>
      <c r="L3127">
        <v>0</v>
      </c>
      <c r="M3127">
        <v>0</v>
      </c>
      <c r="N3127">
        <v>47714</v>
      </c>
      <c r="O3127">
        <v>49691</v>
      </c>
      <c r="P3127">
        <v>162052</v>
      </c>
      <c r="Q3127">
        <v>74</v>
      </c>
      <c r="R3127">
        <v>54</v>
      </c>
      <c r="S3127">
        <v>216</v>
      </c>
      <c r="T3127">
        <v>65</v>
      </c>
      <c r="U3127">
        <v>79</v>
      </c>
    </row>
    <row r="3128" spans="1:21" x14ac:dyDescent="0.35">
      <c r="A3128" t="s">
        <v>26</v>
      </c>
      <c r="B3128" s="1">
        <v>45227</v>
      </c>
      <c r="C3128" t="s">
        <v>32</v>
      </c>
      <c r="D3128">
        <v>2.5</v>
      </c>
      <c r="E3128">
        <v>0</v>
      </c>
      <c r="F3128">
        <v>0</v>
      </c>
      <c r="G3128">
        <v>0</v>
      </c>
      <c r="H3128">
        <v>0</v>
      </c>
      <c r="I3128">
        <v>0</v>
      </c>
      <c r="J3128">
        <v>0</v>
      </c>
      <c r="K3128">
        <v>0</v>
      </c>
      <c r="L3128">
        <v>0</v>
      </c>
      <c r="M3128">
        <v>0</v>
      </c>
      <c r="N3128">
        <v>162642</v>
      </c>
      <c r="O3128">
        <v>0</v>
      </c>
      <c r="P3128">
        <v>0</v>
      </c>
      <c r="Q3128">
        <v>4</v>
      </c>
      <c r="R3128">
        <v>0</v>
      </c>
      <c r="S3128">
        <v>0</v>
      </c>
      <c r="T3128">
        <v>0</v>
      </c>
      <c r="U3128">
        <v>4</v>
      </c>
    </row>
    <row r="3129" spans="1:21" x14ac:dyDescent="0.35">
      <c r="A3129" t="s">
        <v>21</v>
      </c>
      <c r="B3129" s="1">
        <v>45054</v>
      </c>
      <c r="C3129" t="s">
        <v>23</v>
      </c>
      <c r="D3129">
        <v>0</v>
      </c>
      <c r="E3129">
        <v>0</v>
      </c>
      <c r="F3129">
        <v>0</v>
      </c>
      <c r="G3129">
        <v>0</v>
      </c>
      <c r="H3129">
        <v>0</v>
      </c>
      <c r="I3129">
        <v>0</v>
      </c>
      <c r="J3129">
        <v>0</v>
      </c>
      <c r="K3129">
        <v>0</v>
      </c>
      <c r="L3129">
        <v>0</v>
      </c>
      <c r="M3129">
        <v>0</v>
      </c>
      <c r="N3129">
        <v>32496</v>
      </c>
      <c r="O3129">
        <v>125728</v>
      </c>
      <c r="P3129">
        <v>246934</v>
      </c>
      <c r="Q3129">
        <v>0</v>
      </c>
      <c r="R3129">
        <v>0</v>
      </c>
      <c r="S3129">
        <v>0</v>
      </c>
      <c r="T3129">
        <v>50</v>
      </c>
      <c r="U3129">
        <v>64</v>
      </c>
    </row>
    <row r="3130" spans="1:21" x14ac:dyDescent="0.35">
      <c r="A3130" t="s">
        <v>26</v>
      </c>
      <c r="B3130" s="1">
        <v>44774</v>
      </c>
      <c r="C3130" t="s">
        <v>22</v>
      </c>
      <c r="D3130">
        <v>107.4</v>
      </c>
      <c r="E3130">
        <v>55.2</v>
      </c>
      <c r="F3130">
        <v>28.7</v>
      </c>
      <c r="G3130">
        <v>1.9</v>
      </c>
      <c r="H3130">
        <v>3.7</v>
      </c>
      <c r="I3130">
        <v>149.1</v>
      </c>
      <c r="J3130">
        <v>64.099999999999994</v>
      </c>
      <c r="K3130">
        <v>17.2</v>
      </c>
      <c r="L3130">
        <v>2.2999999999999998</v>
      </c>
      <c r="M3130">
        <v>8.6999999999999993</v>
      </c>
      <c r="N3130">
        <v>771844</v>
      </c>
      <c r="O3130">
        <v>1058475</v>
      </c>
      <c r="P3130">
        <v>641998</v>
      </c>
      <c r="Q3130">
        <v>829</v>
      </c>
      <c r="R3130">
        <v>584</v>
      </c>
      <c r="S3130">
        <v>184</v>
      </c>
      <c r="T3130">
        <v>999</v>
      </c>
      <c r="U3130">
        <v>999</v>
      </c>
    </row>
    <row r="3131" spans="1:21" x14ac:dyDescent="0.35">
      <c r="A3131" t="s">
        <v>26</v>
      </c>
      <c r="B3131" s="1">
        <v>44786</v>
      </c>
      <c r="C3131" t="s">
        <v>29</v>
      </c>
      <c r="D3131">
        <v>10.3</v>
      </c>
      <c r="E3131">
        <v>5.8</v>
      </c>
      <c r="F3131">
        <v>4.4000000000000004</v>
      </c>
      <c r="G3131">
        <v>1.8</v>
      </c>
      <c r="H3131">
        <v>2.2999999999999998</v>
      </c>
      <c r="I3131">
        <v>0</v>
      </c>
      <c r="J3131">
        <v>0</v>
      </c>
      <c r="K3131">
        <v>0</v>
      </c>
      <c r="L3131">
        <v>0</v>
      </c>
      <c r="M3131">
        <v>0</v>
      </c>
      <c r="N3131">
        <v>125984</v>
      </c>
      <c r="O3131">
        <v>277655</v>
      </c>
      <c r="P3131">
        <v>344132</v>
      </c>
      <c r="Q3131">
        <v>13</v>
      </c>
      <c r="R3131">
        <v>16</v>
      </c>
      <c r="S3131">
        <v>15</v>
      </c>
      <c r="T3131">
        <v>30</v>
      </c>
      <c r="U3131">
        <v>49</v>
      </c>
    </row>
    <row r="3132" spans="1:21" x14ac:dyDescent="0.35">
      <c r="A3132" t="s">
        <v>21</v>
      </c>
      <c r="B3132" s="1">
        <v>44259</v>
      </c>
      <c r="C3132" t="s">
        <v>29</v>
      </c>
      <c r="D3132">
        <v>0.8</v>
      </c>
      <c r="E3132">
        <v>0</v>
      </c>
      <c r="F3132">
        <v>0</v>
      </c>
      <c r="G3132">
        <v>0</v>
      </c>
      <c r="H3132">
        <v>0</v>
      </c>
      <c r="I3132">
        <v>0</v>
      </c>
      <c r="J3132">
        <v>0</v>
      </c>
      <c r="K3132">
        <v>0</v>
      </c>
      <c r="L3132">
        <v>0</v>
      </c>
      <c r="M3132">
        <v>0</v>
      </c>
      <c r="N3132">
        <v>506745</v>
      </c>
      <c r="O3132">
        <v>105885</v>
      </c>
      <c r="P3132">
        <v>0</v>
      </c>
      <c r="Q3132">
        <v>4</v>
      </c>
      <c r="R3132">
        <v>0</v>
      </c>
      <c r="S3132">
        <v>0</v>
      </c>
      <c r="T3132">
        <v>30</v>
      </c>
      <c r="U3132">
        <v>49</v>
      </c>
    </row>
    <row r="3133" spans="1:21" x14ac:dyDescent="0.35">
      <c r="A3133" t="s">
        <v>26</v>
      </c>
      <c r="B3133" s="1">
        <v>44871</v>
      </c>
      <c r="C3133" t="s">
        <v>22</v>
      </c>
      <c r="D3133">
        <v>8</v>
      </c>
      <c r="E3133">
        <v>7</v>
      </c>
      <c r="F3133">
        <v>7.5</v>
      </c>
      <c r="G3133">
        <v>1.1000000000000001</v>
      </c>
      <c r="H3133">
        <v>1.1000000000000001</v>
      </c>
      <c r="I3133">
        <v>10.1</v>
      </c>
      <c r="J3133">
        <v>9.6999999999999993</v>
      </c>
      <c r="K3133">
        <v>5.4</v>
      </c>
      <c r="L3133">
        <v>1</v>
      </c>
      <c r="M3133">
        <v>1.9</v>
      </c>
      <c r="N3133">
        <v>640279</v>
      </c>
      <c r="O3133">
        <v>874417</v>
      </c>
      <c r="P3133">
        <v>979825</v>
      </c>
      <c r="Q3133">
        <v>51</v>
      </c>
      <c r="R3133">
        <v>61</v>
      </c>
      <c r="S3133">
        <v>73</v>
      </c>
      <c r="T3133">
        <v>999</v>
      </c>
      <c r="U3133">
        <v>999</v>
      </c>
    </row>
    <row r="3134" spans="1:21" x14ac:dyDescent="0.35">
      <c r="A3134" t="s">
        <v>26</v>
      </c>
      <c r="B3134" s="1">
        <v>44954</v>
      </c>
      <c r="C3134" t="s">
        <v>31</v>
      </c>
      <c r="D3134">
        <v>44.6</v>
      </c>
      <c r="E3134">
        <v>23.1</v>
      </c>
      <c r="F3134">
        <v>19.2</v>
      </c>
      <c r="G3134">
        <v>1.9</v>
      </c>
      <c r="H3134">
        <v>2.2999999999999998</v>
      </c>
      <c r="I3134">
        <v>0</v>
      </c>
      <c r="J3134">
        <v>0</v>
      </c>
      <c r="K3134">
        <v>0</v>
      </c>
      <c r="L3134">
        <v>0</v>
      </c>
      <c r="M3134">
        <v>0</v>
      </c>
      <c r="N3134">
        <v>40317</v>
      </c>
      <c r="O3134">
        <v>43381</v>
      </c>
      <c r="P3134">
        <v>171689</v>
      </c>
      <c r="Q3134">
        <v>18</v>
      </c>
      <c r="R3134">
        <v>10</v>
      </c>
      <c r="S3134">
        <v>33</v>
      </c>
      <c r="T3134">
        <v>65</v>
      </c>
      <c r="U3134">
        <v>79</v>
      </c>
    </row>
    <row r="3135" spans="1:21" x14ac:dyDescent="0.35">
      <c r="A3135" t="s">
        <v>28</v>
      </c>
      <c r="B3135" s="1">
        <v>44512</v>
      </c>
      <c r="C3135" t="s">
        <v>29</v>
      </c>
      <c r="D3135">
        <v>669.8</v>
      </c>
      <c r="E3135">
        <v>258.5</v>
      </c>
      <c r="F3135">
        <v>87.1</v>
      </c>
      <c r="G3135">
        <v>2.6</v>
      </c>
      <c r="H3135">
        <v>7.7</v>
      </c>
      <c r="I3135">
        <v>0</v>
      </c>
      <c r="J3135">
        <v>0</v>
      </c>
      <c r="K3135">
        <v>0</v>
      </c>
      <c r="L3135">
        <v>0</v>
      </c>
      <c r="M3135">
        <v>0</v>
      </c>
      <c r="N3135">
        <v>181110</v>
      </c>
      <c r="O3135">
        <v>452975</v>
      </c>
      <c r="P3135">
        <v>121631</v>
      </c>
      <c r="Q3135">
        <v>1213</v>
      </c>
      <c r="R3135">
        <v>1171</v>
      </c>
      <c r="S3135">
        <v>106</v>
      </c>
      <c r="T3135">
        <v>30</v>
      </c>
      <c r="U3135">
        <v>49</v>
      </c>
    </row>
    <row r="3136" spans="1:21" x14ac:dyDescent="0.35">
      <c r="A3136" t="s">
        <v>28</v>
      </c>
      <c r="B3136" s="1">
        <v>44898</v>
      </c>
      <c r="C3136" t="s">
        <v>27</v>
      </c>
      <c r="D3136">
        <v>61.7</v>
      </c>
      <c r="E3136">
        <v>21.9</v>
      </c>
      <c r="F3136">
        <v>52.2</v>
      </c>
      <c r="G3136">
        <v>2.8</v>
      </c>
      <c r="H3136">
        <v>1.2</v>
      </c>
      <c r="I3136">
        <v>0</v>
      </c>
      <c r="J3136">
        <v>0</v>
      </c>
      <c r="K3136">
        <v>0</v>
      </c>
      <c r="L3136">
        <v>0</v>
      </c>
      <c r="M3136">
        <v>0</v>
      </c>
      <c r="N3136">
        <v>38897</v>
      </c>
      <c r="O3136">
        <v>95971</v>
      </c>
      <c r="P3136">
        <v>28723</v>
      </c>
      <c r="Q3136">
        <v>24</v>
      </c>
      <c r="R3136">
        <v>21</v>
      </c>
      <c r="S3136">
        <v>15</v>
      </c>
      <c r="T3136">
        <v>12</v>
      </c>
      <c r="U3136">
        <v>17</v>
      </c>
    </row>
    <row r="3137" spans="1:21" x14ac:dyDescent="0.35">
      <c r="A3137" t="s">
        <v>21</v>
      </c>
      <c r="B3137" s="1">
        <v>44629</v>
      </c>
      <c r="C3137" t="s">
        <v>29</v>
      </c>
      <c r="D3137">
        <v>0</v>
      </c>
      <c r="E3137">
        <v>0</v>
      </c>
      <c r="F3137">
        <v>0.3</v>
      </c>
      <c r="G3137">
        <v>0</v>
      </c>
      <c r="H3137">
        <v>0</v>
      </c>
      <c r="I3137">
        <v>0</v>
      </c>
      <c r="J3137">
        <v>0</v>
      </c>
      <c r="K3137">
        <v>0</v>
      </c>
      <c r="L3137">
        <v>0</v>
      </c>
      <c r="M3137">
        <v>0</v>
      </c>
      <c r="N3137">
        <v>125170</v>
      </c>
      <c r="O3137">
        <v>276368</v>
      </c>
      <c r="P3137">
        <v>345994</v>
      </c>
      <c r="Q3137">
        <v>0</v>
      </c>
      <c r="R3137">
        <v>0</v>
      </c>
      <c r="S3137">
        <v>1</v>
      </c>
      <c r="T3137">
        <v>30</v>
      </c>
      <c r="U3137">
        <v>49</v>
      </c>
    </row>
    <row r="3138" spans="1:21" x14ac:dyDescent="0.35">
      <c r="A3138" t="s">
        <v>21</v>
      </c>
      <c r="B3138" s="1">
        <v>44536</v>
      </c>
      <c r="C3138" t="s">
        <v>25</v>
      </c>
      <c r="D3138">
        <v>0</v>
      </c>
      <c r="E3138">
        <v>0</v>
      </c>
      <c r="F3138">
        <v>0</v>
      </c>
      <c r="G3138">
        <v>0</v>
      </c>
      <c r="H3138">
        <v>0</v>
      </c>
      <c r="I3138">
        <v>0</v>
      </c>
      <c r="J3138">
        <v>0</v>
      </c>
      <c r="K3138">
        <v>0</v>
      </c>
      <c r="L3138">
        <v>0</v>
      </c>
      <c r="M3138">
        <v>0</v>
      </c>
      <c r="N3138">
        <v>236542</v>
      </c>
      <c r="O3138">
        <v>236566</v>
      </c>
      <c r="P3138">
        <v>0</v>
      </c>
      <c r="Q3138">
        <v>0</v>
      </c>
      <c r="R3138">
        <v>0</v>
      </c>
      <c r="S3138">
        <v>0</v>
      </c>
      <c r="T3138">
        <v>18</v>
      </c>
      <c r="U3138">
        <v>29</v>
      </c>
    </row>
    <row r="3139" spans="1:21" x14ac:dyDescent="0.35">
      <c r="A3139" t="s">
        <v>21</v>
      </c>
      <c r="B3139" s="1">
        <v>44692</v>
      </c>
      <c r="C3139" t="s">
        <v>23</v>
      </c>
      <c r="D3139">
        <v>0</v>
      </c>
      <c r="E3139">
        <v>0</v>
      </c>
      <c r="F3139">
        <v>0</v>
      </c>
      <c r="G3139">
        <v>0</v>
      </c>
      <c r="H3139">
        <v>0</v>
      </c>
      <c r="I3139">
        <v>0</v>
      </c>
      <c r="J3139">
        <v>0</v>
      </c>
      <c r="K3139">
        <v>0</v>
      </c>
      <c r="L3139">
        <v>0</v>
      </c>
      <c r="M3139">
        <v>0</v>
      </c>
      <c r="N3139">
        <v>36895</v>
      </c>
      <c r="O3139">
        <v>125268</v>
      </c>
      <c r="P3139">
        <v>246677</v>
      </c>
      <c r="Q3139">
        <v>0</v>
      </c>
      <c r="R3139">
        <v>0</v>
      </c>
      <c r="S3139">
        <v>0</v>
      </c>
      <c r="T3139">
        <v>50</v>
      </c>
      <c r="U3139">
        <v>64</v>
      </c>
    </row>
    <row r="3140" spans="1:21" x14ac:dyDescent="0.35">
      <c r="A3140" t="s">
        <v>26</v>
      </c>
      <c r="B3140" s="1">
        <v>44295</v>
      </c>
      <c r="C3140" t="s">
        <v>25</v>
      </c>
      <c r="D3140">
        <v>14.8</v>
      </c>
      <c r="E3140">
        <v>0.3</v>
      </c>
      <c r="F3140">
        <v>0</v>
      </c>
      <c r="G3140">
        <v>49.3</v>
      </c>
      <c r="H3140">
        <v>0</v>
      </c>
      <c r="I3140">
        <v>0</v>
      </c>
      <c r="J3140">
        <v>0</v>
      </c>
      <c r="K3140">
        <v>0</v>
      </c>
      <c r="L3140">
        <v>0</v>
      </c>
      <c r="M3140">
        <v>0</v>
      </c>
      <c r="N3140">
        <v>188921</v>
      </c>
      <c r="O3140">
        <v>294893</v>
      </c>
      <c r="P3140">
        <v>0</v>
      </c>
      <c r="Q3140">
        <v>28</v>
      </c>
      <c r="R3140">
        <v>1</v>
      </c>
      <c r="S3140">
        <v>0</v>
      </c>
      <c r="T3140">
        <v>18</v>
      </c>
      <c r="U3140">
        <v>29</v>
      </c>
    </row>
    <row r="3141" spans="1:21" x14ac:dyDescent="0.35">
      <c r="A3141" t="s">
        <v>28</v>
      </c>
      <c r="B3141" s="1">
        <v>44793</v>
      </c>
      <c r="C3141" t="s">
        <v>25</v>
      </c>
      <c r="D3141">
        <v>243.9</v>
      </c>
      <c r="E3141">
        <v>84.4</v>
      </c>
      <c r="F3141">
        <v>144.5</v>
      </c>
      <c r="G3141">
        <v>2.9</v>
      </c>
      <c r="H3141">
        <v>1.7</v>
      </c>
      <c r="I3141">
        <v>0</v>
      </c>
      <c r="J3141">
        <v>0</v>
      </c>
      <c r="K3141">
        <v>0</v>
      </c>
      <c r="L3141">
        <v>0</v>
      </c>
      <c r="M3141">
        <v>0</v>
      </c>
      <c r="N3141">
        <v>91431</v>
      </c>
      <c r="O3141">
        <v>212198</v>
      </c>
      <c r="P3141">
        <v>159858</v>
      </c>
      <c r="Q3141">
        <v>223</v>
      </c>
      <c r="R3141">
        <v>179</v>
      </c>
      <c r="S3141">
        <v>231</v>
      </c>
      <c r="T3141">
        <v>18</v>
      </c>
      <c r="U3141">
        <v>29</v>
      </c>
    </row>
    <row r="3142" spans="1:21" x14ac:dyDescent="0.35">
      <c r="A3142" t="s">
        <v>26</v>
      </c>
      <c r="B3142" s="1">
        <v>45248</v>
      </c>
      <c r="C3142" t="s">
        <v>31</v>
      </c>
      <c r="D3142">
        <v>16</v>
      </c>
      <c r="E3142">
        <v>18.100000000000001</v>
      </c>
      <c r="F3142">
        <v>18</v>
      </c>
      <c r="G3142">
        <v>0.9</v>
      </c>
      <c r="H3142">
        <v>0.9</v>
      </c>
      <c r="I3142">
        <v>0</v>
      </c>
      <c r="J3142">
        <v>0</v>
      </c>
      <c r="K3142">
        <v>0</v>
      </c>
      <c r="L3142">
        <v>0</v>
      </c>
      <c r="M3142">
        <v>0</v>
      </c>
      <c r="N3142">
        <v>37394</v>
      </c>
      <c r="O3142">
        <v>44197</v>
      </c>
      <c r="P3142">
        <v>172519</v>
      </c>
      <c r="Q3142">
        <v>6</v>
      </c>
      <c r="R3142">
        <v>8</v>
      </c>
      <c r="S3142">
        <v>31</v>
      </c>
      <c r="T3142">
        <v>65</v>
      </c>
      <c r="U3142">
        <v>79</v>
      </c>
    </row>
    <row r="3143" spans="1:21" x14ac:dyDescent="0.35">
      <c r="A3143" t="s">
        <v>28</v>
      </c>
      <c r="B3143" s="1">
        <v>45136</v>
      </c>
      <c r="C3143" t="s">
        <v>29</v>
      </c>
      <c r="D3143">
        <v>23.3</v>
      </c>
      <c r="E3143">
        <v>18.3</v>
      </c>
      <c r="F3143">
        <v>19.3</v>
      </c>
      <c r="G3143">
        <v>1.3</v>
      </c>
      <c r="H3143">
        <v>1.2</v>
      </c>
      <c r="I3143">
        <v>0</v>
      </c>
      <c r="J3143">
        <v>0</v>
      </c>
      <c r="K3143">
        <v>0</v>
      </c>
      <c r="L3143">
        <v>0</v>
      </c>
      <c r="M3143">
        <v>0</v>
      </c>
      <c r="N3143">
        <v>107515</v>
      </c>
      <c r="O3143">
        <v>278402</v>
      </c>
      <c r="P3143">
        <v>347313</v>
      </c>
      <c r="Q3143">
        <v>25</v>
      </c>
      <c r="R3143">
        <v>51</v>
      </c>
      <c r="S3143">
        <v>67</v>
      </c>
      <c r="T3143">
        <v>30</v>
      </c>
      <c r="U3143">
        <v>49</v>
      </c>
    </row>
    <row r="3144" spans="1:21" x14ac:dyDescent="0.35">
      <c r="A3144" t="s">
        <v>26</v>
      </c>
      <c r="B3144" s="1">
        <v>44358</v>
      </c>
      <c r="C3144" t="s">
        <v>22</v>
      </c>
      <c r="D3144">
        <v>12.1</v>
      </c>
      <c r="E3144">
        <v>4</v>
      </c>
      <c r="F3144">
        <v>5</v>
      </c>
      <c r="G3144">
        <v>3</v>
      </c>
      <c r="H3144">
        <v>2.4</v>
      </c>
      <c r="I3144">
        <v>17.600000000000001</v>
      </c>
      <c r="J3144">
        <v>3.4</v>
      </c>
      <c r="K3144">
        <v>2.2000000000000002</v>
      </c>
      <c r="L3144">
        <v>5.2</v>
      </c>
      <c r="M3144">
        <v>7.9</v>
      </c>
      <c r="N3144">
        <v>953486</v>
      </c>
      <c r="O3144">
        <v>1465628</v>
      </c>
      <c r="P3144">
        <v>120427</v>
      </c>
      <c r="Q3144">
        <v>115</v>
      </c>
      <c r="R3144">
        <v>59</v>
      </c>
      <c r="S3144">
        <v>6</v>
      </c>
      <c r="T3144">
        <v>999</v>
      </c>
      <c r="U3144">
        <v>999</v>
      </c>
    </row>
    <row r="3145" spans="1:21" x14ac:dyDescent="0.35">
      <c r="A3145" t="s">
        <v>28</v>
      </c>
      <c r="B3145" s="1">
        <v>44906</v>
      </c>
      <c r="C3145" t="s">
        <v>29</v>
      </c>
      <c r="D3145">
        <v>171.5</v>
      </c>
      <c r="E3145">
        <v>75.2</v>
      </c>
      <c r="F3145">
        <v>106.6</v>
      </c>
      <c r="G3145">
        <v>2.2999999999999998</v>
      </c>
      <c r="H3145">
        <v>1.6</v>
      </c>
      <c r="I3145">
        <v>0</v>
      </c>
      <c r="J3145">
        <v>0</v>
      </c>
      <c r="K3145">
        <v>0</v>
      </c>
      <c r="L3145">
        <v>0</v>
      </c>
      <c r="M3145">
        <v>0</v>
      </c>
      <c r="N3145">
        <v>116651</v>
      </c>
      <c r="O3145">
        <v>276645</v>
      </c>
      <c r="P3145">
        <v>347072</v>
      </c>
      <c r="Q3145">
        <v>200</v>
      </c>
      <c r="R3145">
        <v>208</v>
      </c>
      <c r="S3145">
        <v>370</v>
      </c>
      <c r="T3145">
        <v>30</v>
      </c>
      <c r="U3145">
        <v>49</v>
      </c>
    </row>
    <row r="3146" spans="1:21" x14ac:dyDescent="0.35">
      <c r="A3146" t="s">
        <v>21</v>
      </c>
      <c r="B3146" s="1">
        <v>45101</v>
      </c>
      <c r="C3146" t="s">
        <v>30</v>
      </c>
      <c r="D3146">
        <v>0</v>
      </c>
      <c r="E3146">
        <v>0</v>
      </c>
      <c r="F3146">
        <v>4.2</v>
      </c>
      <c r="G3146">
        <v>0</v>
      </c>
      <c r="H3146">
        <v>0</v>
      </c>
      <c r="I3146">
        <v>0</v>
      </c>
      <c r="J3146">
        <v>0</v>
      </c>
      <c r="K3146">
        <v>0</v>
      </c>
      <c r="L3146">
        <v>0</v>
      </c>
      <c r="M3146">
        <v>0</v>
      </c>
      <c r="N3146">
        <v>24509</v>
      </c>
      <c r="O3146">
        <v>11383</v>
      </c>
      <c r="P3146">
        <v>47130</v>
      </c>
      <c r="Q3146">
        <v>0</v>
      </c>
      <c r="R3146">
        <v>0</v>
      </c>
      <c r="S3146">
        <v>2</v>
      </c>
      <c r="T3146">
        <v>80</v>
      </c>
      <c r="U3146">
        <v>200</v>
      </c>
    </row>
    <row r="3147" spans="1:21" x14ac:dyDescent="0.35">
      <c r="A3147" t="s">
        <v>28</v>
      </c>
      <c r="B3147" s="1">
        <v>44394</v>
      </c>
      <c r="C3147" t="s">
        <v>22</v>
      </c>
      <c r="D3147">
        <v>47</v>
      </c>
      <c r="E3147">
        <v>18.3</v>
      </c>
      <c r="F3147">
        <v>0</v>
      </c>
      <c r="G3147">
        <v>2.6</v>
      </c>
      <c r="H3147">
        <v>0</v>
      </c>
      <c r="I3147">
        <v>52</v>
      </c>
      <c r="J3147">
        <v>14.9</v>
      </c>
      <c r="K3147">
        <v>0</v>
      </c>
      <c r="L3147">
        <v>3.5</v>
      </c>
      <c r="M3147">
        <v>0</v>
      </c>
      <c r="N3147">
        <v>1181533</v>
      </c>
      <c r="O3147">
        <v>1367281</v>
      </c>
      <c r="P3147">
        <v>0</v>
      </c>
      <c r="Q3147">
        <v>555</v>
      </c>
      <c r="R3147">
        <v>250</v>
      </c>
      <c r="S3147">
        <v>0</v>
      </c>
      <c r="T3147">
        <v>999</v>
      </c>
      <c r="U3147">
        <v>999</v>
      </c>
    </row>
    <row r="3148" spans="1:21" x14ac:dyDescent="0.35">
      <c r="A3148" t="s">
        <v>21</v>
      </c>
      <c r="B3148" s="1">
        <v>44599</v>
      </c>
      <c r="C3148" t="s">
        <v>31</v>
      </c>
      <c r="D3148">
        <v>0</v>
      </c>
      <c r="E3148">
        <v>2.2000000000000002</v>
      </c>
      <c r="F3148">
        <v>1.8</v>
      </c>
      <c r="G3148">
        <v>0</v>
      </c>
      <c r="H3148">
        <v>0</v>
      </c>
      <c r="I3148">
        <v>0</v>
      </c>
      <c r="J3148">
        <v>0</v>
      </c>
      <c r="K3148">
        <v>0</v>
      </c>
      <c r="L3148">
        <v>0</v>
      </c>
      <c r="M3148">
        <v>0</v>
      </c>
      <c r="N3148">
        <v>46481</v>
      </c>
      <c r="O3148">
        <v>46183</v>
      </c>
      <c r="P3148">
        <v>167465</v>
      </c>
      <c r="Q3148">
        <v>0</v>
      </c>
      <c r="R3148">
        <v>1</v>
      </c>
      <c r="S3148">
        <v>3</v>
      </c>
      <c r="T3148">
        <v>65</v>
      </c>
      <c r="U3148">
        <v>79</v>
      </c>
    </row>
    <row r="3149" spans="1:21" x14ac:dyDescent="0.35">
      <c r="A3149" t="s">
        <v>21</v>
      </c>
      <c r="B3149" s="1">
        <v>45031</v>
      </c>
      <c r="C3149" t="s">
        <v>31</v>
      </c>
      <c r="D3149">
        <v>0</v>
      </c>
      <c r="E3149">
        <v>0</v>
      </c>
      <c r="F3149">
        <v>1.7</v>
      </c>
      <c r="G3149">
        <v>0</v>
      </c>
      <c r="H3149">
        <v>0</v>
      </c>
      <c r="I3149">
        <v>0</v>
      </c>
      <c r="J3149">
        <v>0</v>
      </c>
      <c r="K3149">
        <v>0</v>
      </c>
      <c r="L3149">
        <v>0</v>
      </c>
      <c r="M3149">
        <v>0</v>
      </c>
      <c r="N3149">
        <v>39800</v>
      </c>
      <c r="O3149">
        <v>43431</v>
      </c>
      <c r="P3149">
        <v>171719</v>
      </c>
      <c r="Q3149">
        <v>0</v>
      </c>
      <c r="R3149">
        <v>0</v>
      </c>
      <c r="S3149">
        <v>3</v>
      </c>
      <c r="T3149">
        <v>65</v>
      </c>
      <c r="U3149">
        <v>79</v>
      </c>
    </row>
    <row r="3150" spans="1:21" x14ac:dyDescent="0.35">
      <c r="A3150" t="s">
        <v>26</v>
      </c>
      <c r="B3150" s="1">
        <v>44926</v>
      </c>
      <c r="C3150" t="s">
        <v>30</v>
      </c>
      <c r="D3150">
        <v>72.5</v>
      </c>
      <c r="E3150">
        <v>132</v>
      </c>
      <c r="F3150">
        <v>82.8</v>
      </c>
      <c r="G3150">
        <v>0.5</v>
      </c>
      <c r="H3150">
        <v>0.9</v>
      </c>
      <c r="I3150">
        <v>0</v>
      </c>
      <c r="J3150">
        <v>0</v>
      </c>
      <c r="K3150">
        <v>0</v>
      </c>
      <c r="L3150">
        <v>0</v>
      </c>
      <c r="M3150">
        <v>0</v>
      </c>
      <c r="N3150">
        <v>24824</v>
      </c>
      <c r="O3150">
        <v>11367</v>
      </c>
      <c r="P3150">
        <v>47117</v>
      </c>
      <c r="Q3150">
        <v>18</v>
      </c>
      <c r="R3150">
        <v>15</v>
      </c>
      <c r="S3150">
        <v>39</v>
      </c>
      <c r="T3150">
        <v>80</v>
      </c>
      <c r="U3150">
        <v>200</v>
      </c>
    </row>
    <row r="3151" spans="1:21" x14ac:dyDescent="0.35">
      <c r="A3151" t="s">
        <v>26</v>
      </c>
      <c r="B3151" s="1">
        <v>44262</v>
      </c>
      <c r="C3151" t="s">
        <v>25</v>
      </c>
      <c r="D3151">
        <v>0.9</v>
      </c>
      <c r="E3151">
        <v>0.4</v>
      </c>
      <c r="F3151">
        <v>0</v>
      </c>
      <c r="G3151">
        <v>2.2000000000000002</v>
      </c>
      <c r="H3151">
        <v>0</v>
      </c>
      <c r="I3151">
        <v>0</v>
      </c>
      <c r="J3151">
        <v>0</v>
      </c>
      <c r="K3151">
        <v>0</v>
      </c>
      <c r="L3151">
        <v>0</v>
      </c>
      <c r="M3151">
        <v>0</v>
      </c>
      <c r="N3151">
        <v>224760</v>
      </c>
      <c r="O3151">
        <v>262359</v>
      </c>
      <c r="P3151">
        <v>0</v>
      </c>
      <c r="Q3151">
        <v>2</v>
      </c>
      <c r="R3151">
        <v>1</v>
      </c>
      <c r="S3151">
        <v>0</v>
      </c>
      <c r="T3151">
        <v>18</v>
      </c>
      <c r="U3151">
        <v>29</v>
      </c>
    </row>
    <row r="3152" spans="1:21" x14ac:dyDescent="0.35">
      <c r="A3152" t="s">
        <v>21</v>
      </c>
      <c r="B3152" s="1">
        <v>45108</v>
      </c>
      <c r="C3152" t="s">
        <v>24</v>
      </c>
      <c r="D3152">
        <v>0</v>
      </c>
      <c r="E3152">
        <v>0</v>
      </c>
      <c r="F3152">
        <v>0</v>
      </c>
      <c r="G3152">
        <v>0</v>
      </c>
      <c r="H3152">
        <v>0</v>
      </c>
      <c r="I3152">
        <v>0</v>
      </c>
      <c r="J3152">
        <v>0</v>
      </c>
      <c r="K3152">
        <v>0</v>
      </c>
      <c r="L3152">
        <v>0</v>
      </c>
      <c r="M3152">
        <v>0</v>
      </c>
      <c r="N3152">
        <v>92294</v>
      </c>
      <c r="O3152">
        <v>81623</v>
      </c>
      <c r="P3152">
        <v>21161</v>
      </c>
      <c r="Q3152">
        <v>0</v>
      </c>
      <c r="R3152">
        <v>0</v>
      </c>
      <c r="S3152">
        <v>0</v>
      </c>
      <c r="T3152">
        <v>5</v>
      </c>
      <c r="U3152">
        <v>11</v>
      </c>
    </row>
    <row r="3153" spans="1:21" x14ac:dyDescent="0.35">
      <c r="A3153" t="s">
        <v>28</v>
      </c>
      <c r="B3153" s="1">
        <v>45255</v>
      </c>
      <c r="C3153" t="s">
        <v>22</v>
      </c>
      <c r="D3153">
        <v>69.5</v>
      </c>
      <c r="E3153">
        <v>28.7</v>
      </c>
      <c r="F3153">
        <v>50.6</v>
      </c>
      <c r="G3153">
        <v>2.4</v>
      </c>
      <c r="H3153">
        <v>1.4</v>
      </c>
      <c r="I3153">
        <v>78.400000000000006</v>
      </c>
      <c r="J3153">
        <v>30.8</v>
      </c>
      <c r="K3153">
        <v>39</v>
      </c>
      <c r="L3153">
        <v>2.5</v>
      </c>
      <c r="M3153">
        <v>2</v>
      </c>
      <c r="N3153">
        <v>505372</v>
      </c>
      <c r="O3153">
        <v>862658</v>
      </c>
      <c r="P3153">
        <v>1048252</v>
      </c>
      <c r="Q3153">
        <v>351</v>
      </c>
      <c r="R3153">
        <v>248</v>
      </c>
      <c r="S3153">
        <v>530</v>
      </c>
      <c r="T3153">
        <v>999</v>
      </c>
      <c r="U3153">
        <v>999</v>
      </c>
    </row>
    <row r="3154" spans="1:21" x14ac:dyDescent="0.35">
      <c r="A3154" t="s">
        <v>21</v>
      </c>
      <c r="B3154" s="1">
        <v>45178</v>
      </c>
      <c r="C3154" t="s">
        <v>24</v>
      </c>
      <c r="D3154">
        <v>0</v>
      </c>
      <c r="E3154">
        <v>0</v>
      </c>
      <c r="F3154">
        <v>0</v>
      </c>
      <c r="G3154">
        <v>0</v>
      </c>
      <c r="H3154">
        <v>0</v>
      </c>
      <c r="I3154">
        <v>0</v>
      </c>
      <c r="J3154">
        <v>0</v>
      </c>
      <c r="K3154">
        <v>0</v>
      </c>
      <c r="L3154">
        <v>0</v>
      </c>
      <c r="M3154">
        <v>0</v>
      </c>
      <c r="N3154">
        <v>89422</v>
      </c>
      <c r="O3154">
        <v>82670</v>
      </c>
      <c r="P3154">
        <v>21265</v>
      </c>
      <c r="Q3154">
        <v>0</v>
      </c>
      <c r="R3154">
        <v>0</v>
      </c>
      <c r="S3154">
        <v>0</v>
      </c>
      <c r="T3154">
        <v>5</v>
      </c>
      <c r="U3154">
        <v>11</v>
      </c>
    </row>
    <row r="3155" spans="1:21" x14ac:dyDescent="0.35">
      <c r="A3155" t="s">
        <v>28</v>
      </c>
      <c r="B3155" s="1">
        <v>44947</v>
      </c>
      <c r="C3155" t="s">
        <v>24</v>
      </c>
      <c r="D3155">
        <v>146.69999999999999</v>
      </c>
      <c r="E3155">
        <v>148</v>
      </c>
      <c r="F3155">
        <v>179.5</v>
      </c>
      <c r="G3155">
        <v>1</v>
      </c>
      <c r="H3155">
        <v>0.8</v>
      </c>
      <c r="I3155">
        <v>0</v>
      </c>
      <c r="J3155">
        <v>0</v>
      </c>
      <c r="K3155">
        <v>0</v>
      </c>
      <c r="L3155">
        <v>0</v>
      </c>
      <c r="M3155">
        <v>0</v>
      </c>
      <c r="N3155">
        <v>92044</v>
      </c>
      <c r="O3155">
        <v>81778</v>
      </c>
      <c r="P3155">
        <v>21171</v>
      </c>
      <c r="Q3155">
        <v>135</v>
      </c>
      <c r="R3155">
        <v>121</v>
      </c>
      <c r="S3155">
        <v>38</v>
      </c>
      <c r="T3155">
        <v>5</v>
      </c>
      <c r="U3155">
        <v>11</v>
      </c>
    </row>
    <row r="3156" spans="1:21" x14ac:dyDescent="0.35">
      <c r="A3156" t="s">
        <v>21</v>
      </c>
      <c r="B3156" s="1">
        <v>44449</v>
      </c>
      <c r="C3156" t="s">
        <v>23</v>
      </c>
      <c r="D3156">
        <v>10.3</v>
      </c>
      <c r="E3156">
        <v>0.3</v>
      </c>
      <c r="F3156">
        <v>0</v>
      </c>
      <c r="G3156">
        <v>34.299999999999997</v>
      </c>
      <c r="H3156">
        <v>0</v>
      </c>
      <c r="I3156">
        <v>0</v>
      </c>
      <c r="J3156">
        <v>0</v>
      </c>
      <c r="K3156">
        <v>0</v>
      </c>
      <c r="L3156">
        <v>0</v>
      </c>
      <c r="M3156">
        <v>0</v>
      </c>
      <c r="N3156">
        <v>77460</v>
      </c>
      <c r="O3156">
        <v>331279</v>
      </c>
      <c r="P3156">
        <v>0</v>
      </c>
      <c r="Q3156">
        <v>8</v>
      </c>
      <c r="R3156">
        <v>1</v>
      </c>
      <c r="S3156">
        <v>0</v>
      </c>
      <c r="T3156">
        <v>50</v>
      </c>
      <c r="U3156">
        <v>64</v>
      </c>
    </row>
    <row r="3157" spans="1:21" x14ac:dyDescent="0.35">
      <c r="A3157" t="s">
        <v>26</v>
      </c>
      <c r="B3157" s="1">
        <v>44765</v>
      </c>
      <c r="C3157" t="s">
        <v>24</v>
      </c>
      <c r="D3157">
        <v>0</v>
      </c>
      <c r="E3157">
        <v>1.1000000000000001</v>
      </c>
      <c r="F3157">
        <v>0</v>
      </c>
      <c r="G3157">
        <v>0</v>
      </c>
      <c r="H3157">
        <v>0</v>
      </c>
      <c r="I3157">
        <v>0</v>
      </c>
      <c r="J3157">
        <v>0</v>
      </c>
      <c r="K3157">
        <v>0</v>
      </c>
      <c r="L3157">
        <v>0</v>
      </c>
      <c r="M3157">
        <v>0</v>
      </c>
      <c r="N3157">
        <v>98178</v>
      </c>
      <c r="O3157">
        <v>87751</v>
      </c>
      <c r="P3157">
        <v>9749</v>
      </c>
      <c r="Q3157">
        <v>0</v>
      </c>
      <c r="R3157">
        <v>1</v>
      </c>
      <c r="S3157">
        <v>0</v>
      </c>
      <c r="T3157">
        <v>5</v>
      </c>
      <c r="U3157">
        <v>11</v>
      </c>
    </row>
    <row r="3158" spans="1:21" x14ac:dyDescent="0.35">
      <c r="A3158" t="s">
        <v>26</v>
      </c>
      <c r="B3158" s="1">
        <v>44345</v>
      </c>
      <c r="C3158" t="s">
        <v>27</v>
      </c>
      <c r="D3158">
        <v>1.6</v>
      </c>
      <c r="E3158">
        <v>0</v>
      </c>
      <c r="F3158">
        <v>0</v>
      </c>
      <c r="G3158">
        <v>0</v>
      </c>
      <c r="H3158">
        <v>0</v>
      </c>
      <c r="I3158">
        <v>0</v>
      </c>
      <c r="J3158">
        <v>0</v>
      </c>
      <c r="K3158">
        <v>0</v>
      </c>
      <c r="L3158">
        <v>0</v>
      </c>
      <c r="M3158">
        <v>0</v>
      </c>
      <c r="N3158">
        <v>128173</v>
      </c>
      <c r="O3158">
        <v>8885</v>
      </c>
      <c r="P3158">
        <v>0</v>
      </c>
      <c r="Q3158">
        <v>2</v>
      </c>
      <c r="R3158">
        <v>0</v>
      </c>
      <c r="S3158">
        <v>0</v>
      </c>
      <c r="T3158">
        <v>12</v>
      </c>
      <c r="U3158">
        <v>17</v>
      </c>
    </row>
    <row r="3159" spans="1:21" x14ac:dyDescent="0.35">
      <c r="A3159" t="s">
        <v>28</v>
      </c>
      <c r="B3159" s="1">
        <v>45268</v>
      </c>
      <c r="C3159" t="s">
        <v>25</v>
      </c>
      <c r="D3159">
        <v>51.6</v>
      </c>
      <c r="E3159">
        <v>13.5</v>
      </c>
      <c r="F3159">
        <v>24.1</v>
      </c>
      <c r="G3159">
        <v>3.8</v>
      </c>
      <c r="H3159">
        <v>2.1</v>
      </c>
      <c r="I3159">
        <v>0</v>
      </c>
      <c r="J3159">
        <v>0</v>
      </c>
      <c r="K3159">
        <v>0</v>
      </c>
      <c r="L3159">
        <v>0</v>
      </c>
      <c r="M3159">
        <v>0</v>
      </c>
      <c r="N3159">
        <v>73575</v>
      </c>
      <c r="O3159">
        <v>214133</v>
      </c>
      <c r="P3159">
        <v>161715</v>
      </c>
      <c r="Q3159">
        <v>38</v>
      </c>
      <c r="R3159">
        <v>29</v>
      </c>
      <c r="S3159">
        <v>39</v>
      </c>
      <c r="T3159">
        <v>18</v>
      </c>
      <c r="U3159">
        <v>29</v>
      </c>
    </row>
    <row r="3160" spans="1:21" x14ac:dyDescent="0.35">
      <c r="A3160" t="s">
        <v>21</v>
      </c>
      <c r="B3160" s="1">
        <v>44897</v>
      </c>
      <c r="C3160" t="s">
        <v>29</v>
      </c>
      <c r="D3160">
        <v>3.6</v>
      </c>
      <c r="E3160">
        <v>0.7</v>
      </c>
      <c r="F3160">
        <v>0.3</v>
      </c>
      <c r="G3160">
        <v>5.0999999999999996</v>
      </c>
      <c r="H3160">
        <v>12</v>
      </c>
      <c r="I3160">
        <v>0</v>
      </c>
      <c r="J3160">
        <v>0</v>
      </c>
      <c r="K3160">
        <v>0</v>
      </c>
      <c r="L3160">
        <v>0</v>
      </c>
      <c r="M3160">
        <v>0</v>
      </c>
      <c r="N3160">
        <v>139578</v>
      </c>
      <c r="O3160">
        <v>302103</v>
      </c>
      <c r="P3160">
        <v>296569</v>
      </c>
      <c r="Q3160">
        <v>5</v>
      </c>
      <c r="R3160">
        <v>2</v>
      </c>
      <c r="S3160">
        <v>1</v>
      </c>
      <c r="T3160">
        <v>30</v>
      </c>
      <c r="U3160">
        <v>49</v>
      </c>
    </row>
    <row r="3161" spans="1:21" x14ac:dyDescent="0.35">
      <c r="A3161" t="s">
        <v>21</v>
      </c>
      <c r="B3161" s="1">
        <v>45045</v>
      </c>
      <c r="C3161" t="s">
        <v>30</v>
      </c>
      <c r="D3161">
        <v>0</v>
      </c>
      <c r="E3161">
        <v>0</v>
      </c>
      <c r="F3161">
        <v>2.1</v>
      </c>
      <c r="G3161">
        <v>0</v>
      </c>
      <c r="H3161">
        <v>0</v>
      </c>
      <c r="I3161">
        <v>0</v>
      </c>
      <c r="J3161">
        <v>0</v>
      </c>
      <c r="K3161">
        <v>0</v>
      </c>
      <c r="L3161">
        <v>0</v>
      </c>
      <c r="M3161">
        <v>0</v>
      </c>
      <c r="N3161">
        <v>24593</v>
      </c>
      <c r="O3161">
        <v>11384</v>
      </c>
      <c r="P3161">
        <v>47127</v>
      </c>
      <c r="Q3161">
        <v>0</v>
      </c>
      <c r="R3161">
        <v>0</v>
      </c>
      <c r="S3161">
        <v>1</v>
      </c>
      <c r="T3161">
        <v>80</v>
      </c>
      <c r="U3161">
        <v>200</v>
      </c>
    </row>
    <row r="3162" spans="1:21" x14ac:dyDescent="0.35">
      <c r="A3162" t="s">
        <v>21</v>
      </c>
      <c r="B3162" s="1">
        <v>44509</v>
      </c>
      <c r="C3162" t="s">
        <v>27</v>
      </c>
      <c r="D3162">
        <v>0</v>
      </c>
      <c r="E3162">
        <v>0</v>
      </c>
      <c r="F3162">
        <v>0</v>
      </c>
      <c r="G3162">
        <v>0</v>
      </c>
      <c r="H3162">
        <v>0</v>
      </c>
      <c r="I3162">
        <v>0</v>
      </c>
      <c r="J3162">
        <v>0</v>
      </c>
      <c r="K3162">
        <v>0</v>
      </c>
      <c r="L3162">
        <v>0</v>
      </c>
      <c r="M3162">
        <v>0</v>
      </c>
      <c r="N3162">
        <v>73661</v>
      </c>
      <c r="O3162">
        <v>83778</v>
      </c>
      <c r="P3162">
        <v>0</v>
      </c>
      <c r="Q3162">
        <v>0</v>
      </c>
      <c r="R3162">
        <v>0</v>
      </c>
      <c r="S3162">
        <v>0</v>
      </c>
      <c r="T3162">
        <v>12</v>
      </c>
      <c r="U3162">
        <v>17</v>
      </c>
    </row>
    <row r="3163" spans="1:21" x14ac:dyDescent="0.35">
      <c r="A3163" t="s">
        <v>21</v>
      </c>
      <c r="B3163" s="1">
        <v>45003</v>
      </c>
      <c r="C3163" t="s">
        <v>29</v>
      </c>
      <c r="D3163">
        <v>0</v>
      </c>
      <c r="E3163">
        <v>0</v>
      </c>
      <c r="F3163">
        <v>0</v>
      </c>
      <c r="G3163">
        <v>0</v>
      </c>
      <c r="H3163">
        <v>0</v>
      </c>
      <c r="I3163">
        <v>0</v>
      </c>
      <c r="J3163">
        <v>0</v>
      </c>
      <c r="K3163">
        <v>0</v>
      </c>
      <c r="L3163">
        <v>0</v>
      </c>
      <c r="M3163">
        <v>0</v>
      </c>
      <c r="N3163">
        <v>110250</v>
      </c>
      <c r="O3163">
        <v>278001</v>
      </c>
      <c r="P3163">
        <v>347269</v>
      </c>
      <c r="Q3163">
        <v>0</v>
      </c>
      <c r="R3163">
        <v>0</v>
      </c>
      <c r="S3163">
        <v>0</v>
      </c>
      <c r="T3163">
        <v>30</v>
      </c>
      <c r="U3163">
        <v>49</v>
      </c>
    </row>
    <row r="3164" spans="1:21" x14ac:dyDescent="0.35">
      <c r="A3164" t="s">
        <v>26</v>
      </c>
      <c r="B3164" s="1">
        <v>45073</v>
      </c>
      <c r="C3164" t="s">
        <v>29</v>
      </c>
      <c r="D3164">
        <v>0.9</v>
      </c>
      <c r="E3164">
        <v>0.7</v>
      </c>
      <c r="F3164">
        <v>0.6</v>
      </c>
      <c r="G3164">
        <v>1.3</v>
      </c>
      <c r="H3164">
        <v>1.5</v>
      </c>
      <c r="I3164">
        <v>0</v>
      </c>
      <c r="J3164">
        <v>0</v>
      </c>
      <c r="K3164">
        <v>0</v>
      </c>
      <c r="L3164">
        <v>0</v>
      </c>
      <c r="M3164">
        <v>0</v>
      </c>
      <c r="N3164">
        <v>108550</v>
      </c>
      <c r="O3164">
        <v>278401</v>
      </c>
      <c r="P3164">
        <v>347299</v>
      </c>
      <c r="Q3164">
        <v>1</v>
      </c>
      <c r="R3164">
        <v>2</v>
      </c>
      <c r="S3164">
        <v>2</v>
      </c>
      <c r="T3164">
        <v>30</v>
      </c>
      <c r="U3164">
        <v>49</v>
      </c>
    </row>
    <row r="3165" spans="1:21" x14ac:dyDescent="0.35">
      <c r="A3165" t="s">
        <v>26</v>
      </c>
      <c r="B3165" s="1">
        <v>44800</v>
      </c>
      <c r="C3165" t="s">
        <v>22</v>
      </c>
      <c r="D3165">
        <v>15</v>
      </c>
      <c r="E3165">
        <v>7.9</v>
      </c>
      <c r="F3165">
        <v>10.7</v>
      </c>
      <c r="G3165">
        <v>1.9</v>
      </c>
      <c r="H3165">
        <v>1.4</v>
      </c>
      <c r="I3165">
        <v>18.600000000000001</v>
      </c>
      <c r="J3165">
        <v>12.2</v>
      </c>
      <c r="K3165">
        <v>7.4</v>
      </c>
      <c r="L3165">
        <v>1.5</v>
      </c>
      <c r="M3165">
        <v>2.5</v>
      </c>
      <c r="N3165">
        <v>606382</v>
      </c>
      <c r="O3165">
        <v>844687</v>
      </c>
      <c r="P3165">
        <v>1026640</v>
      </c>
      <c r="Q3165">
        <v>91</v>
      </c>
      <c r="R3165">
        <v>67</v>
      </c>
      <c r="S3165">
        <v>110</v>
      </c>
      <c r="T3165">
        <v>999</v>
      </c>
      <c r="U3165">
        <v>999</v>
      </c>
    </row>
    <row r="3166" spans="1:21" x14ac:dyDescent="0.35">
      <c r="A3166" t="s">
        <v>21</v>
      </c>
      <c r="B3166" s="1">
        <v>44499</v>
      </c>
      <c r="C3166" t="s">
        <v>25</v>
      </c>
      <c r="D3166">
        <v>0</v>
      </c>
      <c r="E3166">
        <v>0</v>
      </c>
      <c r="F3166">
        <v>0</v>
      </c>
      <c r="G3166">
        <v>0</v>
      </c>
      <c r="H3166">
        <v>0</v>
      </c>
      <c r="I3166">
        <v>0</v>
      </c>
      <c r="J3166">
        <v>0</v>
      </c>
      <c r="K3166">
        <v>0</v>
      </c>
      <c r="L3166">
        <v>0</v>
      </c>
      <c r="M3166">
        <v>0</v>
      </c>
      <c r="N3166">
        <v>165307</v>
      </c>
      <c r="O3166">
        <v>313568</v>
      </c>
      <c r="P3166">
        <v>7958</v>
      </c>
      <c r="Q3166">
        <v>0</v>
      </c>
      <c r="R3166">
        <v>0</v>
      </c>
      <c r="S3166">
        <v>0</v>
      </c>
      <c r="T3166">
        <v>18</v>
      </c>
      <c r="U3166">
        <v>29</v>
      </c>
    </row>
    <row r="3167" spans="1:21" x14ac:dyDescent="0.35">
      <c r="A3167" t="s">
        <v>21</v>
      </c>
      <c r="B3167" s="1">
        <v>45094</v>
      </c>
      <c r="C3167" t="s">
        <v>24</v>
      </c>
      <c r="D3167">
        <v>0</v>
      </c>
      <c r="E3167">
        <v>0</v>
      </c>
      <c r="F3167">
        <v>0</v>
      </c>
      <c r="G3167">
        <v>0</v>
      </c>
      <c r="H3167">
        <v>0</v>
      </c>
      <c r="I3167">
        <v>0</v>
      </c>
      <c r="J3167">
        <v>0</v>
      </c>
      <c r="K3167">
        <v>0</v>
      </c>
      <c r="L3167">
        <v>0</v>
      </c>
      <c r="M3167">
        <v>0</v>
      </c>
      <c r="N3167">
        <v>90426</v>
      </c>
      <c r="O3167">
        <v>82681</v>
      </c>
      <c r="P3167">
        <v>21245</v>
      </c>
      <c r="Q3167">
        <v>0</v>
      </c>
      <c r="R3167">
        <v>0</v>
      </c>
      <c r="S3167">
        <v>0</v>
      </c>
      <c r="T3167">
        <v>5</v>
      </c>
      <c r="U3167">
        <v>11</v>
      </c>
    </row>
    <row r="3168" spans="1:21" x14ac:dyDescent="0.35">
      <c r="A3168" t="s">
        <v>26</v>
      </c>
      <c r="B3168" s="1">
        <v>44310</v>
      </c>
      <c r="C3168" t="s">
        <v>27</v>
      </c>
      <c r="D3168">
        <v>2.9</v>
      </c>
      <c r="E3168">
        <v>0</v>
      </c>
      <c r="F3168">
        <v>0</v>
      </c>
      <c r="G3168">
        <v>0</v>
      </c>
      <c r="H3168">
        <v>0</v>
      </c>
      <c r="I3168">
        <v>0</v>
      </c>
      <c r="J3168">
        <v>0</v>
      </c>
      <c r="K3168">
        <v>0</v>
      </c>
      <c r="L3168">
        <v>0</v>
      </c>
      <c r="M3168">
        <v>0</v>
      </c>
      <c r="N3168">
        <v>170936</v>
      </c>
      <c r="O3168">
        <v>0</v>
      </c>
      <c r="P3168">
        <v>0</v>
      </c>
      <c r="Q3168">
        <v>5</v>
      </c>
      <c r="R3168">
        <v>0</v>
      </c>
      <c r="S3168">
        <v>0</v>
      </c>
      <c r="T3168">
        <v>12</v>
      </c>
      <c r="U3168">
        <v>17</v>
      </c>
    </row>
    <row r="3169" spans="1:21" x14ac:dyDescent="0.35">
      <c r="A3169" t="s">
        <v>21</v>
      </c>
      <c r="B3169" s="1">
        <v>45241</v>
      </c>
      <c r="C3169" t="s">
        <v>29</v>
      </c>
      <c r="D3169">
        <v>0</v>
      </c>
      <c r="E3169">
        <v>0</v>
      </c>
      <c r="F3169">
        <v>0</v>
      </c>
      <c r="G3169">
        <v>0</v>
      </c>
      <c r="H3169">
        <v>0</v>
      </c>
      <c r="I3169">
        <v>0</v>
      </c>
      <c r="J3169">
        <v>0</v>
      </c>
      <c r="K3169">
        <v>0</v>
      </c>
      <c r="L3169">
        <v>0</v>
      </c>
      <c r="M3169">
        <v>0</v>
      </c>
      <c r="N3169">
        <v>100910</v>
      </c>
      <c r="O3169">
        <v>279296</v>
      </c>
      <c r="P3169">
        <v>348677</v>
      </c>
      <c r="Q3169">
        <v>0</v>
      </c>
      <c r="R3169">
        <v>0</v>
      </c>
      <c r="S3169">
        <v>0</v>
      </c>
      <c r="T3169">
        <v>30</v>
      </c>
      <c r="U3169">
        <v>49</v>
      </c>
    </row>
    <row r="3170" spans="1:21" x14ac:dyDescent="0.35">
      <c r="A3170" t="s">
        <v>21</v>
      </c>
      <c r="B3170" s="1">
        <v>44695</v>
      </c>
      <c r="C3170" t="s">
        <v>24</v>
      </c>
      <c r="D3170">
        <v>0</v>
      </c>
      <c r="E3170">
        <v>0</v>
      </c>
      <c r="F3170">
        <v>0</v>
      </c>
      <c r="G3170">
        <v>0</v>
      </c>
      <c r="H3170">
        <v>0</v>
      </c>
      <c r="I3170">
        <v>0</v>
      </c>
      <c r="J3170">
        <v>0</v>
      </c>
      <c r="K3170">
        <v>0</v>
      </c>
      <c r="L3170">
        <v>0</v>
      </c>
      <c r="M3170">
        <v>0</v>
      </c>
      <c r="N3170">
        <v>101446</v>
      </c>
      <c r="O3170">
        <v>94072</v>
      </c>
      <c r="P3170">
        <v>0</v>
      </c>
      <c r="Q3170">
        <v>0</v>
      </c>
      <c r="R3170">
        <v>0</v>
      </c>
      <c r="S3170">
        <v>0</v>
      </c>
      <c r="T3170">
        <v>5</v>
      </c>
      <c r="U3170">
        <v>11</v>
      </c>
    </row>
    <row r="3171" spans="1:21" x14ac:dyDescent="0.35">
      <c r="A3171" t="s">
        <v>26</v>
      </c>
      <c r="B3171" s="1">
        <v>44674</v>
      </c>
      <c r="C3171" t="s">
        <v>23</v>
      </c>
      <c r="D3171">
        <v>11.3</v>
      </c>
      <c r="E3171">
        <v>2.2000000000000002</v>
      </c>
      <c r="F3171">
        <v>3.9</v>
      </c>
      <c r="G3171">
        <v>5.0999999999999996</v>
      </c>
      <c r="H3171">
        <v>2.9</v>
      </c>
      <c r="I3171">
        <v>0</v>
      </c>
      <c r="J3171">
        <v>0</v>
      </c>
      <c r="K3171">
        <v>0</v>
      </c>
      <c r="L3171">
        <v>0</v>
      </c>
      <c r="M3171">
        <v>0</v>
      </c>
      <c r="N3171">
        <v>44338</v>
      </c>
      <c r="O3171">
        <v>136052</v>
      </c>
      <c r="P3171">
        <v>231012</v>
      </c>
      <c r="Q3171">
        <v>5</v>
      </c>
      <c r="R3171">
        <v>3</v>
      </c>
      <c r="S3171">
        <v>9</v>
      </c>
      <c r="T3171">
        <v>50</v>
      </c>
      <c r="U3171">
        <v>64</v>
      </c>
    </row>
    <row r="3172" spans="1:21" x14ac:dyDescent="0.35">
      <c r="A3172" t="s">
        <v>26</v>
      </c>
      <c r="B3172" s="1">
        <v>44897</v>
      </c>
      <c r="C3172" t="s">
        <v>30</v>
      </c>
      <c r="D3172">
        <v>44</v>
      </c>
      <c r="E3172">
        <v>83.9</v>
      </c>
      <c r="F3172">
        <v>36.299999999999997</v>
      </c>
      <c r="G3172">
        <v>0.5</v>
      </c>
      <c r="H3172">
        <v>1.2</v>
      </c>
      <c r="I3172">
        <v>0</v>
      </c>
      <c r="J3172">
        <v>0</v>
      </c>
      <c r="K3172">
        <v>0</v>
      </c>
      <c r="L3172">
        <v>0</v>
      </c>
      <c r="M3172">
        <v>0</v>
      </c>
      <c r="N3172">
        <v>27303</v>
      </c>
      <c r="O3172">
        <v>15497</v>
      </c>
      <c r="P3172">
        <v>41310</v>
      </c>
      <c r="Q3172">
        <v>12</v>
      </c>
      <c r="R3172">
        <v>13</v>
      </c>
      <c r="S3172">
        <v>15</v>
      </c>
      <c r="T3172">
        <v>80</v>
      </c>
      <c r="U3172">
        <v>200</v>
      </c>
    </row>
    <row r="3173" spans="1:21" x14ac:dyDescent="0.35">
      <c r="A3173" t="s">
        <v>21</v>
      </c>
      <c r="B3173" s="1">
        <v>44730</v>
      </c>
      <c r="C3173" t="s">
        <v>22</v>
      </c>
      <c r="D3173">
        <v>0</v>
      </c>
      <c r="E3173">
        <v>0.2</v>
      </c>
      <c r="F3173">
        <v>0.2</v>
      </c>
      <c r="G3173">
        <v>0</v>
      </c>
      <c r="H3173">
        <v>0</v>
      </c>
      <c r="I3173">
        <v>0</v>
      </c>
      <c r="J3173">
        <v>0.2</v>
      </c>
      <c r="K3173">
        <v>0.1</v>
      </c>
      <c r="L3173">
        <v>0</v>
      </c>
      <c r="M3173">
        <v>0</v>
      </c>
      <c r="N3173">
        <v>638877</v>
      </c>
      <c r="O3173">
        <v>871208</v>
      </c>
      <c r="P3173">
        <v>984294</v>
      </c>
      <c r="Q3173">
        <v>0</v>
      </c>
      <c r="R3173">
        <v>2</v>
      </c>
      <c r="S3173">
        <v>2</v>
      </c>
      <c r="T3173">
        <v>999</v>
      </c>
      <c r="U3173">
        <v>999</v>
      </c>
    </row>
    <row r="3174" spans="1:21" x14ac:dyDescent="0.35">
      <c r="A3174" t="s">
        <v>21</v>
      </c>
      <c r="B3174" s="1">
        <v>44786</v>
      </c>
      <c r="C3174" t="s">
        <v>23</v>
      </c>
      <c r="D3174">
        <v>2.5</v>
      </c>
      <c r="E3174">
        <v>0.8</v>
      </c>
      <c r="F3174">
        <v>0</v>
      </c>
      <c r="G3174">
        <v>3.1</v>
      </c>
      <c r="H3174">
        <v>0</v>
      </c>
      <c r="I3174">
        <v>0</v>
      </c>
      <c r="J3174">
        <v>0</v>
      </c>
      <c r="K3174">
        <v>0</v>
      </c>
      <c r="L3174">
        <v>0</v>
      </c>
      <c r="M3174">
        <v>0</v>
      </c>
      <c r="N3174">
        <v>40677</v>
      </c>
      <c r="O3174">
        <v>126700</v>
      </c>
      <c r="P3174">
        <v>244360</v>
      </c>
      <c r="Q3174">
        <v>1</v>
      </c>
      <c r="R3174">
        <v>1</v>
      </c>
      <c r="S3174">
        <v>0</v>
      </c>
      <c r="T3174">
        <v>50</v>
      </c>
      <c r="U3174">
        <v>64</v>
      </c>
    </row>
    <row r="3175" spans="1:21" x14ac:dyDescent="0.35">
      <c r="A3175" t="s">
        <v>21</v>
      </c>
      <c r="B3175" s="1">
        <v>44906</v>
      </c>
      <c r="C3175" t="s">
        <v>25</v>
      </c>
      <c r="D3175">
        <v>0</v>
      </c>
      <c r="E3175">
        <v>0</v>
      </c>
      <c r="F3175">
        <v>0</v>
      </c>
      <c r="G3175">
        <v>0</v>
      </c>
      <c r="H3175">
        <v>0</v>
      </c>
      <c r="I3175">
        <v>0</v>
      </c>
      <c r="J3175">
        <v>0</v>
      </c>
      <c r="K3175">
        <v>0</v>
      </c>
      <c r="L3175">
        <v>0</v>
      </c>
      <c r="M3175">
        <v>0</v>
      </c>
      <c r="N3175">
        <v>82776</v>
      </c>
      <c r="O3175">
        <v>212328</v>
      </c>
      <c r="P3175">
        <v>161549</v>
      </c>
      <c r="Q3175">
        <v>0</v>
      </c>
      <c r="R3175">
        <v>0</v>
      </c>
      <c r="S3175">
        <v>0</v>
      </c>
      <c r="T3175">
        <v>18</v>
      </c>
      <c r="U3175">
        <v>29</v>
      </c>
    </row>
    <row r="3176" spans="1:21" x14ac:dyDescent="0.35">
      <c r="A3176" t="s">
        <v>28</v>
      </c>
      <c r="B3176" s="1">
        <v>45038</v>
      </c>
      <c r="C3176" t="s">
        <v>25</v>
      </c>
      <c r="D3176">
        <v>59.5</v>
      </c>
      <c r="E3176">
        <v>13.5</v>
      </c>
      <c r="F3176">
        <v>20.399999999999999</v>
      </c>
      <c r="G3176">
        <v>4.4000000000000004</v>
      </c>
      <c r="H3176">
        <v>2.9</v>
      </c>
      <c r="I3176">
        <v>0</v>
      </c>
      <c r="J3176">
        <v>0</v>
      </c>
      <c r="K3176">
        <v>0</v>
      </c>
      <c r="L3176">
        <v>0</v>
      </c>
      <c r="M3176">
        <v>0</v>
      </c>
      <c r="N3176">
        <v>75636</v>
      </c>
      <c r="O3176">
        <v>214023</v>
      </c>
      <c r="P3176">
        <v>161683</v>
      </c>
      <c r="Q3176">
        <v>45</v>
      </c>
      <c r="R3176">
        <v>29</v>
      </c>
      <c r="S3176">
        <v>33</v>
      </c>
      <c r="T3176">
        <v>18</v>
      </c>
      <c r="U3176">
        <v>29</v>
      </c>
    </row>
    <row r="3177" spans="1:21" x14ac:dyDescent="0.35">
      <c r="A3177" t="s">
        <v>21</v>
      </c>
      <c r="B3177" s="1">
        <v>45142</v>
      </c>
      <c r="C3177" t="s">
        <v>23</v>
      </c>
      <c r="D3177">
        <v>0</v>
      </c>
      <c r="E3177">
        <v>0</v>
      </c>
      <c r="F3177">
        <v>0.4</v>
      </c>
      <c r="G3177">
        <v>0</v>
      </c>
      <c r="H3177">
        <v>0</v>
      </c>
      <c r="I3177">
        <v>0</v>
      </c>
      <c r="J3177">
        <v>0</v>
      </c>
      <c r="K3177">
        <v>0</v>
      </c>
      <c r="L3177">
        <v>0</v>
      </c>
      <c r="M3177">
        <v>0</v>
      </c>
      <c r="N3177">
        <v>33404</v>
      </c>
      <c r="O3177">
        <v>125694</v>
      </c>
      <c r="P3177">
        <v>246895</v>
      </c>
      <c r="Q3177">
        <v>0</v>
      </c>
      <c r="R3177">
        <v>0</v>
      </c>
      <c r="S3177">
        <v>1</v>
      </c>
      <c r="T3177">
        <v>50</v>
      </c>
      <c r="U3177">
        <v>64</v>
      </c>
    </row>
    <row r="3178" spans="1:21" x14ac:dyDescent="0.35">
      <c r="A3178" t="s">
        <v>26</v>
      </c>
      <c r="B3178" s="1">
        <v>44774</v>
      </c>
      <c r="C3178" t="s">
        <v>24</v>
      </c>
      <c r="D3178">
        <v>4.5</v>
      </c>
      <c r="E3178">
        <v>4.3</v>
      </c>
      <c r="F3178">
        <v>0</v>
      </c>
      <c r="G3178">
        <v>1</v>
      </c>
      <c r="H3178">
        <v>0</v>
      </c>
      <c r="I3178">
        <v>0</v>
      </c>
      <c r="J3178">
        <v>0</v>
      </c>
      <c r="K3178">
        <v>0</v>
      </c>
      <c r="L3178">
        <v>0</v>
      </c>
      <c r="M3178">
        <v>0</v>
      </c>
      <c r="N3178">
        <v>132228</v>
      </c>
      <c r="O3178">
        <v>46476</v>
      </c>
      <c r="P3178">
        <v>0</v>
      </c>
      <c r="Q3178">
        <v>6</v>
      </c>
      <c r="R3178">
        <v>2</v>
      </c>
      <c r="S3178">
        <v>0</v>
      </c>
      <c r="T3178">
        <v>5</v>
      </c>
      <c r="U3178">
        <v>11</v>
      </c>
    </row>
    <row r="3179" spans="1:21" x14ac:dyDescent="0.35">
      <c r="A3179" t="s">
        <v>26</v>
      </c>
      <c r="B3179" s="1">
        <v>44786</v>
      </c>
      <c r="C3179" t="s">
        <v>30</v>
      </c>
      <c r="D3179">
        <v>38.1</v>
      </c>
      <c r="E3179">
        <v>94.3</v>
      </c>
      <c r="F3179">
        <v>55.7</v>
      </c>
      <c r="G3179">
        <v>0.4</v>
      </c>
      <c r="H3179">
        <v>0.7</v>
      </c>
      <c r="I3179">
        <v>0</v>
      </c>
      <c r="J3179">
        <v>0</v>
      </c>
      <c r="K3179">
        <v>0</v>
      </c>
      <c r="L3179">
        <v>0</v>
      </c>
      <c r="M3179">
        <v>0</v>
      </c>
      <c r="N3179">
        <v>26264</v>
      </c>
      <c r="O3179">
        <v>11664</v>
      </c>
      <c r="P3179">
        <v>46650</v>
      </c>
      <c r="Q3179">
        <v>10</v>
      </c>
      <c r="R3179">
        <v>11</v>
      </c>
      <c r="S3179">
        <v>26</v>
      </c>
      <c r="T3179">
        <v>80</v>
      </c>
      <c r="U3179">
        <v>200</v>
      </c>
    </row>
    <row r="3180" spans="1:21" x14ac:dyDescent="0.35">
      <c r="A3180" t="s">
        <v>21</v>
      </c>
      <c r="B3180" s="1">
        <v>44629</v>
      </c>
      <c r="C3180" t="s">
        <v>25</v>
      </c>
      <c r="D3180">
        <v>0</v>
      </c>
      <c r="E3180">
        <v>0</v>
      </c>
      <c r="F3180">
        <v>0</v>
      </c>
      <c r="G3180">
        <v>0</v>
      </c>
      <c r="H3180">
        <v>0</v>
      </c>
      <c r="I3180">
        <v>0</v>
      </c>
      <c r="J3180">
        <v>0</v>
      </c>
      <c r="K3180">
        <v>0</v>
      </c>
      <c r="L3180">
        <v>0</v>
      </c>
      <c r="M3180">
        <v>0</v>
      </c>
      <c r="N3180">
        <v>90904</v>
      </c>
      <c r="O3180">
        <v>211667</v>
      </c>
      <c r="P3180">
        <v>160838</v>
      </c>
      <c r="Q3180">
        <v>0</v>
      </c>
      <c r="R3180">
        <v>0</v>
      </c>
      <c r="S3180">
        <v>0</v>
      </c>
      <c r="T3180">
        <v>18</v>
      </c>
      <c r="U3180">
        <v>29</v>
      </c>
    </row>
    <row r="3181" spans="1:21" x14ac:dyDescent="0.35">
      <c r="A3181" t="s">
        <v>21</v>
      </c>
      <c r="B3181" s="1">
        <v>45213</v>
      </c>
      <c r="C3181" t="s">
        <v>30</v>
      </c>
      <c r="D3181">
        <v>0</v>
      </c>
      <c r="E3181">
        <v>8.8000000000000007</v>
      </c>
      <c r="F3181">
        <v>0</v>
      </c>
      <c r="G3181">
        <v>0</v>
      </c>
      <c r="H3181">
        <v>0</v>
      </c>
      <c r="I3181">
        <v>0</v>
      </c>
      <c r="J3181">
        <v>0</v>
      </c>
      <c r="K3181">
        <v>0</v>
      </c>
      <c r="L3181">
        <v>0</v>
      </c>
      <c r="M3181">
        <v>0</v>
      </c>
      <c r="N3181">
        <v>24292</v>
      </c>
      <c r="O3181">
        <v>11411</v>
      </c>
      <c r="P3181">
        <v>47164</v>
      </c>
      <c r="Q3181">
        <v>0</v>
      </c>
      <c r="R3181">
        <v>1</v>
      </c>
      <c r="S3181">
        <v>0</v>
      </c>
      <c r="T3181">
        <v>80</v>
      </c>
      <c r="U3181">
        <v>200</v>
      </c>
    </row>
    <row r="3182" spans="1:21" x14ac:dyDescent="0.35">
      <c r="A3182" t="s">
        <v>26</v>
      </c>
      <c r="B3182" s="1">
        <v>44303</v>
      </c>
      <c r="C3182" t="s">
        <v>22</v>
      </c>
      <c r="D3182">
        <v>19.5</v>
      </c>
      <c r="E3182">
        <v>4.2</v>
      </c>
      <c r="F3182">
        <v>0</v>
      </c>
      <c r="G3182">
        <v>4.5999999999999996</v>
      </c>
      <c r="H3182">
        <v>0</v>
      </c>
      <c r="I3182">
        <v>24.7</v>
      </c>
      <c r="J3182">
        <v>2.2999999999999998</v>
      </c>
      <c r="K3182">
        <v>0</v>
      </c>
      <c r="L3182">
        <v>10.8</v>
      </c>
      <c r="M3182">
        <v>0</v>
      </c>
      <c r="N3182">
        <v>1616421</v>
      </c>
      <c r="O3182">
        <v>475163</v>
      </c>
      <c r="P3182">
        <v>0</v>
      </c>
      <c r="Q3182">
        <v>316</v>
      </c>
      <c r="R3182">
        <v>20</v>
      </c>
      <c r="S3182">
        <v>0</v>
      </c>
      <c r="T3182">
        <v>999</v>
      </c>
      <c r="U3182">
        <v>999</v>
      </c>
    </row>
    <row r="3183" spans="1:21" x14ac:dyDescent="0.35">
      <c r="A3183" t="s">
        <v>21</v>
      </c>
      <c r="B3183" s="1">
        <v>45117</v>
      </c>
      <c r="C3183" t="s">
        <v>30</v>
      </c>
      <c r="D3183">
        <v>16.399999999999999</v>
      </c>
      <c r="E3183">
        <v>8.8000000000000007</v>
      </c>
      <c r="F3183">
        <v>4.2</v>
      </c>
      <c r="G3183">
        <v>1.9</v>
      </c>
      <c r="H3183">
        <v>3.9</v>
      </c>
      <c r="I3183">
        <v>0</v>
      </c>
      <c r="J3183">
        <v>0</v>
      </c>
      <c r="K3183">
        <v>0</v>
      </c>
      <c r="L3183">
        <v>0</v>
      </c>
      <c r="M3183">
        <v>0</v>
      </c>
      <c r="N3183">
        <v>24344</v>
      </c>
      <c r="O3183">
        <v>11392</v>
      </c>
      <c r="P3183">
        <v>47144</v>
      </c>
      <c r="Q3183">
        <v>4</v>
      </c>
      <c r="R3183">
        <v>1</v>
      </c>
      <c r="S3183">
        <v>2</v>
      </c>
      <c r="T3183">
        <v>80</v>
      </c>
      <c r="U3183">
        <v>200</v>
      </c>
    </row>
    <row r="3184" spans="1:21" x14ac:dyDescent="0.35">
      <c r="A3184" t="s">
        <v>21</v>
      </c>
      <c r="B3184" s="1">
        <v>44596</v>
      </c>
      <c r="C3184" t="s">
        <v>24</v>
      </c>
      <c r="D3184">
        <v>0</v>
      </c>
      <c r="E3184">
        <v>0</v>
      </c>
      <c r="F3184">
        <v>0</v>
      </c>
      <c r="G3184">
        <v>0</v>
      </c>
      <c r="H3184">
        <v>0</v>
      </c>
      <c r="I3184">
        <v>0</v>
      </c>
      <c r="J3184">
        <v>0</v>
      </c>
      <c r="K3184">
        <v>0</v>
      </c>
      <c r="L3184">
        <v>0</v>
      </c>
      <c r="M3184">
        <v>0</v>
      </c>
      <c r="N3184">
        <v>103457</v>
      </c>
      <c r="O3184">
        <v>90969</v>
      </c>
      <c r="P3184">
        <v>0</v>
      </c>
      <c r="Q3184">
        <v>0</v>
      </c>
      <c r="R3184">
        <v>0</v>
      </c>
      <c r="S3184">
        <v>0</v>
      </c>
      <c r="T3184">
        <v>5</v>
      </c>
      <c r="U3184">
        <v>11</v>
      </c>
    </row>
    <row r="3185" spans="1:21" x14ac:dyDescent="0.35">
      <c r="A3185" t="s">
        <v>21</v>
      </c>
      <c r="B3185" s="1">
        <v>45073</v>
      </c>
      <c r="C3185" t="s">
        <v>27</v>
      </c>
      <c r="D3185">
        <v>0</v>
      </c>
      <c r="E3185">
        <v>0</v>
      </c>
      <c r="F3185">
        <v>0</v>
      </c>
      <c r="G3185">
        <v>0</v>
      </c>
      <c r="H3185">
        <v>0</v>
      </c>
      <c r="I3185">
        <v>0</v>
      </c>
      <c r="J3185">
        <v>0</v>
      </c>
      <c r="K3185">
        <v>0</v>
      </c>
      <c r="L3185">
        <v>0</v>
      </c>
      <c r="M3185">
        <v>0</v>
      </c>
      <c r="N3185">
        <v>32492</v>
      </c>
      <c r="O3185">
        <v>86582</v>
      </c>
      <c r="P3185">
        <v>44579</v>
      </c>
      <c r="Q3185">
        <v>0</v>
      </c>
      <c r="R3185">
        <v>0</v>
      </c>
      <c r="S3185">
        <v>0</v>
      </c>
      <c r="T3185">
        <v>12</v>
      </c>
      <c r="U3185">
        <v>17</v>
      </c>
    </row>
    <row r="3186" spans="1:21" x14ac:dyDescent="0.35">
      <c r="A3186" t="s">
        <v>28</v>
      </c>
      <c r="B3186" s="1">
        <v>45108</v>
      </c>
      <c r="C3186" t="s">
        <v>27</v>
      </c>
      <c r="D3186">
        <v>65.5</v>
      </c>
      <c r="E3186">
        <v>22</v>
      </c>
      <c r="F3186">
        <v>40.4</v>
      </c>
      <c r="G3186">
        <v>3</v>
      </c>
      <c r="H3186">
        <v>1.6</v>
      </c>
      <c r="I3186">
        <v>0</v>
      </c>
      <c r="J3186">
        <v>0</v>
      </c>
      <c r="K3186">
        <v>0</v>
      </c>
      <c r="L3186">
        <v>0</v>
      </c>
      <c r="M3186">
        <v>0</v>
      </c>
      <c r="N3186">
        <v>33600</v>
      </c>
      <c r="O3186">
        <v>86240</v>
      </c>
      <c r="P3186">
        <v>44537</v>
      </c>
      <c r="Q3186">
        <v>22</v>
      </c>
      <c r="R3186">
        <v>19</v>
      </c>
      <c r="S3186">
        <v>18</v>
      </c>
      <c r="T3186">
        <v>12</v>
      </c>
      <c r="U3186">
        <v>17</v>
      </c>
    </row>
    <row r="3187" spans="1:21" x14ac:dyDescent="0.35">
      <c r="A3187" t="s">
        <v>21</v>
      </c>
      <c r="B3187" s="1">
        <v>44401</v>
      </c>
      <c r="C3187" t="s">
        <v>25</v>
      </c>
      <c r="D3187">
        <v>0</v>
      </c>
      <c r="E3187">
        <v>0</v>
      </c>
      <c r="F3187">
        <v>0</v>
      </c>
      <c r="G3187">
        <v>0</v>
      </c>
      <c r="H3187">
        <v>0</v>
      </c>
      <c r="I3187">
        <v>0</v>
      </c>
      <c r="J3187">
        <v>0</v>
      </c>
      <c r="K3187">
        <v>0</v>
      </c>
      <c r="L3187">
        <v>0</v>
      </c>
      <c r="M3187">
        <v>0</v>
      </c>
      <c r="N3187">
        <v>215115</v>
      </c>
      <c r="O3187">
        <v>275913</v>
      </c>
      <c r="P3187">
        <v>0</v>
      </c>
      <c r="Q3187">
        <v>0</v>
      </c>
      <c r="R3187">
        <v>0</v>
      </c>
      <c r="S3187">
        <v>0</v>
      </c>
      <c r="T3187">
        <v>18</v>
      </c>
      <c r="U3187">
        <v>29</v>
      </c>
    </row>
    <row r="3188" spans="1:21" x14ac:dyDescent="0.35">
      <c r="A3188" t="s">
        <v>21</v>
      </c>
      <c r="B3188" s="1">
        <v>45227</v>
      </c>
      <c r="C3188" t="s">
        <v>29</v>
      </c>
      <c r="D3188">
        <v>0</v>
      </c>
      <c r="E3188">
        <v>0</v>
      </c>
      <c r="F3188">
        <v>0.3</v>
      </c>
      <c r="G3188">
        <v>0</v>
      </c>
      <c r="H3188">
        <v>0</v>
      </c>
      <c r="I3188">
        <v>0</v>
      </c>
      <c r="J3188">
        <v>0</v>
      </c>
      <c r="K3188">
        <v>0</v>
      </c>
      <c r="L3188">
        <v>0</v>
      </c>
      <c r="M3188">
        <v>0</v>
      </c>
      <c r="N3188">
        <v>102493</v>
      </c>
      <c r="O3188">
        <v>279053</v>
      </c>
      <c r="P3188">
        <v>348149</v>
      </c>
      <c r="Q3188">
        <v>0</v>
      </c>
      <c r="R3188">
        <v>0</v>
      </c>
      <c r="S3188">
        <v>1</v>
      </c>
      <c r="T3188">
        <v>30</v>
      </c>
      <c r="U3188">
        <v>49</v>
      </c>
    </row>
    <row r="3189" spans="1:21" x14ac:dyDescent="0.35">
      <c r="A3189" t="s">
        <v>26</v>
      </c>
      <c r="B3189" s="1">
        <v>44846</v>
      </c>
      <c r="C3189" t="s">
        <v>25</v>
      </c>
      <c r="D3189">
        <v>12.4</v>
      </c>
      <c r="E3189">
        <v>3.8</v>
      </c>
      <c r="F3189">
        <v>4.3</v>
      </c>
      <c r="G3189">
        <v>3.3</v>
      </c>
      <c r="H3189">
        <v>2.9</v>
      </c>
      <c r="I3189">
        <v>0</v>
      </c>
      <c r="J3189">
        <v>0</v>
      </c>
      <c r="K3189">
        <v>0</v>
      </c>
      <c r="L3189">
        <v>0</v>
      </c>
      <c r="M3189">
        <v>0</v>
      </c>
      <c r="N3189">
        <v>80480</v>
      </c>
      <c r="O3189">
        <v>212671</v>
      </c>
      <c r="P3189">
        <v>161589</v>
      </c>
      <c r="Q3189">
        <v>10</v>
      </c>
      <c r="R3189">
        <v>8</v>
      </c>
      <c r="S3189">
        <v>7</v>
      </c>
      <c r="T3189">
        <v>18</v>
      </c>
      <c r="U3189">
        <v>29</v>
      </c>
    </row>
    <row r="3190" spans="1:21" x14ac:dyDescent="0.35">
      <c r="A3190" t="s">
        <v>28</v>
      </c>
      <c r="B3190" s="1">
        <v>45094</v>
      </c>
      <c r="C3190" t="s">
        <v>29</v>
      </c>
      <c r="D3190">
        <v>12.9</v>
      </c>
      <c r="E3190">
        <v>6.8</v>
      </c>
      <c r="F3190">
        <v>8.9</v>
      </c>
      <c r="G3190">
        <v>1.9</v>
      </c>
      <c r="H3190">
        <v>1.4</v>
      </c>
      <c r="I3190">
        <v>0</v>
      </c>
      <c r="J3190">
        <v>0</v>
      </c>
      <c r="K3190">
        <v>0</v>
      </c>
      <c r="L3190">
        <v>0</v>
      </c>
      <c r="M3190">
        <v>0</v>
      </c>
      <c r="N3190">
        <v>108176</v>
      </c>
      <c r="O3190">
        <v>278399</v>
      </c>
      <c r="P3190">
        <v>347307</v>
      </c>
      <c r="Q3190">
        <v>14</v>
      </c>
      <c r="R3190">
        <v>19</v>
      </c>
      <c r="S3190">
        <v>31</v>
      </c>
      <c r="T3190">
        <v>30</v>
      </c>
      <c r="U3190">
        <v>49</v>
      </c>
    </row>
    <row r="3191" spans="1:21" x14ac:dyDescent="0.35">
      <c r="A3191" t="s">
        <v>21</v>
      </c>
      <c r="B3191" s="1">
        <v>44295</v>
      </c>
      <c r="C3191" t="s">
        <v>23</v>
      </c>
      <c r="D3191">
        <v>3.5</v>
      </c>
      <c r="E3191">
        <v>0.6</v>
      </c>
      <c r="F3191">
        <v>0</v>
      </c>
      <c r="G3191">
        <v>5.8</v>
      </c>
      <c r="H3191">
        <v>0</v>
      </c>
      <c r="I3191">
        <v>0</v>
      </c>
      <c r="J3191">
        <v>0</v>
      </c>
      <c r="K3191">
        <v>0</v>
      </c>
      <c r="L3191">
        <v>0</v>
      </c>
      <c r="M3191">
        <v>0</v>
      </c>
      <c r="N3191">
        <v>86807</v>
      </c>
      <c r="O3191">
        <v>323733</v>
      </c>
      <c r="P3191">
        <v>0</v>
      </c>
      <c r="Q3191">
        <v>3</v>
      </c>
      <c r="R3191">
        <v>2</v>
      </c>
      <c r="S3191">
        <v>0</v>
      </c>
      <c r="T3191">
        <v>50</v>
      </c>
      <c r="U3191">
        <v>64</v>
      </c>
    </row>
    <row r="3192" spans="1:21" x14ac:dyDescent="0.35">
      <c r="A3192" t="s">
        <v>28</v>
      </c>
      <c r="B3192" s="1">
        <v>44930</v>
      </c>
      <c r="C3192" t="s">
        <v>29</v>
      </c>
      <c r="D3192">
        <v>95.5</v>
      </c>
      <c r="E3192">
        <v>35.200000000000003</v>
      </c>
      <c r="F3192">
        <v>54.7</v>
      </c>
      <c r="G3192">
        <v>2.7</v>
      </c>
      <c r="H3192">
        <v>1.7</v>
      </c>
      <c r="I3192">
        <v>0</v>
      </c>
      <c r="J3192">
        <v>0</v>
      </c>
      <c r="K3192">
        <v>0</v>
      </c>
      <c r="L3192">
        <v>0</v>
      </c>
      <c r="M3192">
        <v>0</v>
      </c>
      <c r="N3192">
        <v>109912</v>
      </c>
      <c r="O3192">
        <v>278121</v>
      </c>
      <c r="P3192">
        <v>347279</v>
      </c>
      <c r="Q3192">
        <v>105</v>
      </c>
      <c r="R3192">
        <v>98</v>
      </c>
      <c r="S3192">
        <v>190</v>
      </c>
      <c r="T3192">
        <v>30</v>
      </c>
      <c r="U3192">
        <v>49</v>
      </c>
    </row>
    <row r="3193" spans="1:21" x14ac:dyDescent="0.35">
      <c r="A3193" t="s">
        <v>21</v>
      </c>
      <c r="B3193" s="1">
        <v>44596</v>
      </c>
      <c r="C3193" t="s">
        <v>27</v>
      </c>
      <c r="D3193">
        <v>0</v>
      </c>
      <c r="E3193">
        <v>0</v>
      </c>
      <c r="F3193">
        <v>0</v>
      </c>
      <c r="G3193">
        <v>0</v>
      </c>
      <c r="H3193">
        <v>0</v>
      </c>
      <c r="I3193">
        <v>0</v>
      </c>
      <c r="J3193">
        <v>0</v>
      </c>
      <c r="K3193">
        <v>0</v>
      </c>
      <c r="L3193">
        <v>0</v>
      </c>
      <c r="M3193">
        <v>0</v>
      </c>
      <c r="N3193">
        <v>38227</v>
      </c>
      <c r="O3193">
        <v>95562</v>
      </c>
      <c r="P3193">
        <v>31203</v>
      </c>
      <c r="Q3193">
        <v>0</v>
      </c>
      <c r="R3193">
        <v>0</v>
      </c>
      <c r="S3193">
        <v>0</v>
      </c>
      <c r="T3193">
        <v>12</v>
      </c>
      <c r="U3193">
        <v>17</v>
      </c>
    </row>
    <row r="3194" spans="1:21" x14ac:dyDescent="0.35">
      <c r="A3194" t="s">
        <v>26</v>
      </c>
      <c r="B3194" s="1">
        <v>45192</v>
      </c>
      <c r="C3194" t="s">
        <v>24</v>
      </c>
      <c r="D3194">
        <v>1.1000000000000001</v>
      </c>
      <c r="E3194">
        <v>1.2</v>
      </c>
      <c r="F3194">
        <v>0</v>
      </c>
      <c r="G3194">
        <v>0.9</v>
      </c>
      <c r="H3194">
        <v>0</v>
      </c>
      <c r="I3194">
        <v>0</v>
      </c>
      <c r="J3194">
        <v>0</v>
      </c>
      <c r="K3194">
        <v>0</v>
      </c>
      <c r="L3194">
        <v>0</v>
      </c>
      <c r="M3194">
        <v>0</v>
      </c>
      <c r="N3194">
        <v>89403</v>
      </c>
      <c r="O3194">
        <v>82669</v>
      </c>
      <c r="P3194">
        <v>21266</v>
      </c>
      <c r="Q3194">
        <v>1</v>
      </c>
      <c r="R3194">
        <v>1</v>
      </c>
      <c r="S3194">
        <v>0</v>
      </c>
      <c r="T3194">
        <v>5</v>
      </c>
      <c r="U3194">
        <v>11</v>
      </c>
    </row>
    <row r="3195" spans="1:21" x14ac:dyDescent="0.35">
      <c r="A3195" t="s">
        <v>28</v>
      </c>
      <c r="B3195" s="1">
        <v>44436</v>
      </c>
      <c r="C3195" t="s">
        <v>27</v>
      </c>
      <c r="D3195">
        <v>242.9</v>
      </c>
      <c r="E3195">
        <v>31.6</v>
      </c>
      <c r="F3195">
        <v>0</v>
      </c>
      <c r="G3195">
        <v>7.7</v>
      </c>
      <c r="H3195">
        <v>0</v>
      </c>
      <c r="I3195">
        <v>0</v>
      </c>
      <c r="J3195">
        <v>0</v>
      </c>
      <c r="K3195">
        <v>0</v>
      </c>
      <c r="L3195">
        <v>0</v>
      </c>
      <c r="M3195">
        <v>0</v>
      </c>
      <c r="N3195">
        <v>77824</v>
      </c>
      <c r="O3195">
        <v>75875</v>
      </c>
      <c r="P3195">
        <v>0</v>
      </c>
      <c r="Q3195">
        <v>189</v>
      </c>
      <c r="R3195">
        <v>24</v>
      </c>
      <c r="S3195">
        <v>0</v>
      </c>
      <c r="T3195">
        <v>12</v>
      </c>
      <c r="U3195">
        <v>17</v>
      </c>
    </row>
    <row r="3196" spans="1:21" x14ac:dyDescent="0.35">
      <c r="A3196" t="s">
        <v>26</v>
      </c>
      <c r="B3196" s="1">
        <v>44709</v>
      </c>
      <c r="C3196" t="s">
        <v>27</v>
      </c>
      <c r="D3196">
        <v>5.4</v>
      </c>
      <c r="E3196">
        <v>0</v>
      </c>
      <c r="F3196">
        <v>0</v>
      </c>
      <c r="G3196">
        <v>0</v>
      </c>
      <c r="H3196">
        <v>0</v>
      </c>
      <c r="I3196">
        <v>0</v>
      </c>
      <c r="J3196">
        <v>0</v>
      </c>
      <c r="K3196">
        <v>0</v>
      </c>
      <c r="L3196">
        <v>0</v>
      </c>
      <c r="M3196">
        <v>0</v>
      </c>
      <c r="N3196">
        <v>37034</v>
      </c>
      <c r="O3196">
        <v>93497</v>
      </c>
      <c r="P3196">
        <v>34850</v>
      </c>
      <c r="Q3196">
        <v>2</v>
      </c>
      <c r="R3196">
        <v>0</v>
      </c>
      <c r="S3196">
        <v>0</v>
      </c>
      <c r="T3196">
        <v>12</v>
      </c>
      <c r="U3196">
        <v>17</v>
      </c>
    </row>
    <row r="3197" spans="1:21" x14ac:dyDescent="0.35">
      <c r="A3197" t="s">
        <v>28</v>
      </c>
      <c r="B3197" s="1">
        <v>44926</v>
      </c>
      <c r="C3197" t="s">
        <v>24</v>
      </c>
      <c r="D3197">
        <v>33.5</v>
      </c>
      <c r="E3197">
        <v>35.6</v>
      </c>
      <c r="F3197">
        <v>28.4</v>
      </c>
      <c r="G3197">
        <v>0.9</v>
      </c>
      <c r="H3197">
        <v>1.2</v>
      </c>
      <c r="I3197">
        <v>0</v>
      </c>
      <c r="J3197">
        <v>0</v>
      </c>
      <c r="K3197">
        <v>0</v>
      </c>
      <c r="L3197">
        <v>0</v>
      </c>
      <c r="M3197">
        <v>0</v>
      </c>
      <c r="N3197">
        <v>92435</v>
      </c>
      <c r="O3197">
        <v>81534</v>
      </c>
      <c r="P3197">
        <v>21158</v>
      </c>
      <c r="Q3197">
        <v>31</v>
      </c>
      <c r="R3197">
        <v>29</v>
      </c>
      <c r="S3197">
        <v>6</v>
      </c>
      <c r="T3197">
        <v>5</v>
      </c>
      <c r="U3197">
        <v>11</v>
      </c>
    </row>
    <row r="3198" spans="1:21" x14ac:dyDescent="0.35">
      <c r="A3198" t="s">
        <v>21</v>
      </c>
      <c r="B3198" s="1">
        <v>44667</v>
      </c>
      <c r="C3198" t="s">
        <v>29</v>
      </c>
      <c r="D3198">
        <v>0</v>
      </c>
      <c r="E3198">
        <v>0</v>
      </c>
      <c r="F3198">
        <v>0</v>
      </c>
      <c r="G3198">
        <v>0</v>
      </c>
      <c r="H3198">
        <v>0</v>
      </c>
      <c r="I3198">
        <v>0</v>
      </c>
      <c r="J3198">
        <v>0</v>
      </c>
      <c r="K3198">
        <v>0</v>
      </c>
      <c r="L3198">
        <v>0</v>
      </c>
      <c r="M3198">
        <v>0</v>
      </c>
      <c r="N3198">
        <v>131729</v>
      </c>
      <c r="O3198">
        <v>288694</v>
      </c>
      <c r="P3198">
        <v>328103</v>
      </c>
      <c r="Q3198">
        <v>0</v>
      </c>
      <c r="R3198">
        <v>0</v>
      </c>
      <c r="S3198">
        <v>0</v>
      </c>
      <c r="T3198">
        <v>30</v>
      </c>
      <c r="U3198">
        <v>49</v>
      </c>
    </row>
    <row r="3199" spans="1:21" x14ac:dyDescent="0.35">
      <c r="A3199" t="s">
        <v>21</v>
      </c>
      <c r="B3199" s="1">
        <v>44590</v>
      </c>
      <c r="C3199" t="s">
        <v>31</v>
      </c>
      <c r="D3199">
        <v>38</v>
      </c>
      <c r="E3199">
        <v>24</v>
      </c>
      <c r="F3199">
        <v>6.2</v>
      </c>
      <c r="G3199">
        <v>1.6</v>
      </c>
      <c r="H3199">
        <v>6.1</v>
      </c>
      <c r="I3199">
        <v>0</v>
      </c>
      <c r="J3199">
        <v>0</v>
      </c>
      <c r="K3199">
        <v>0</v>
      </c>
      <c r="L3199">
        <v>0</v>
      </c>
      <c r="M3199">
        <v>0</v>
      </c>
      <c r="N3199">
        <v>50056</v>
      </c>
      <c r="O3199">
        <v>62587</v>
      </c>
      <c r="P3199">
        <v>145762</v>
      </c>
      <c r="Q3199">
        <v>19</v>
      </c>
      <c r="R3199">
        <v>15</v>
      </c>
      <c r="S3199">
        <v>9</v>
      </c>
      <c r="T3199">
        <v>65</v>
      </c>
      <c r="U3199">
        <v>79</v>
      </c>
    </row>
    <row r="3200" spans="1:21" x14ac:dyDescent="0.35">
      <c r="A3200" t="s">
        <v>21</v>
      </c>
      <c r="B3200" s="1">
        <v>44657</v>
      </c>
      <c r="C3200" t="s">
        <v>31</v>
      </c>
      <c r="D3200">
        <v>2.1</v>
      </c>
      <c r="E3200">
        <v>0</v>
      </c>
      <c r="F3200">
        <v>0</v>
      </c>
      <c r="G3200">
        <v>0</v>
      </c>
      <c r="H3200">
        <v>0</v>
      </c>
      <c r="I3200">
        <v>0</v>
      </c>
      <c r="J3200">
        <v>0</v>
      </c>
      <c r="K3200">
        <v>0</v>
      </c>
      <c r="L3200">
        <v>0</v>
      </c>
      <c r="M3200">
        <v>0</v>
      </c>
      <c r="N3200">
        <v>46947</v>
      </c>
      <c r="O3200">
        <v>47490</v>
      </c>
      <c r="P3200">
        <v>165480</v>
      </c>
      <c r="Q3200">
        <v>1</v>
      </c>
      <c r="R3200">
        <v>0</v>
      </c>
      <c r="S3200">
        <v>0</v>
      </c>
      <c r="T3200">
        <v>65</v>
      </c>
      <c r="U3200">
        <v>79</v>
      </c>
    </row>
    <row r="3201" spans="1:21" x14ac:dyDescent="0.35">
      <c r="A3201" t="s">
        <v>26</v>
      </c>
      <c r="B3201" s="1">
        <v>44576</v>
      </c>
      <c r="C3201" t="s">
        <v>29</v>
      </c>
      <c r="D3201">
        <v>60.1</v>
      </c>
      <c r="E3201">
        <v>17.600000000000001</v>
      </c>
      <c r="F3201">
        <v>12.9</v>
      </c>
      <c r="G3201">
        <v>3.4</v>
      </c>
      <c r="H3201">
        <v>4.7</v>
      </c>
      <c r="I3201">
        <v>0</v>
      </c>
      <c r="J3201">
        <v>0</v>
      </c>
      <c r="K3201">
        <v>0</v>
      </c>
      <c r="L3201">
        <v>0</v>
      </c>
      <c r="M3201">
        <v>0</v>
      </c>
      <c r="N3201">
        <v>154759</v>
      </c>
      <c r="O3201">
        <v>346990</v>
      </c>
      <c r="P3201">
        <v>239415</v>
      </c>
      <c r="Q3201">
        <v>93</v>
      </c>
      <c r="R3201">
        <v>61</v>
      </c>
      <c r="S3201">
        <v>31</v>
      </c>
      <c r="T3201">
        <v>30</v>
      </c>
      <c r="U3201">
        <v>49</v>
      </c>
    </row>
    <row r="3202" spans="1:21" x14ac:dyDescent="0.35">
      <c r="A3202" t="s">
        <v>21</v>
      </c>
      <c r="B3202" s="1">
        <v>44793</v>
      </c>
      <c r="C3202" t="s">
        <v>23</v>
      </c>
      <c r="D3202">
        <v>0</v>
      </c>
      <c r="E3202">
        <v>0</v>
      </c>
      <c r="F3202">
        <v>0.4</v>
      </c>
      <c r="G3202">
        <v>0</v>
      </c>
      <c r="H3202">
        <v>0</v>
      </c>
      <c r="I3202">
        <v>0</v>
      </c>
      <c r="J3202">
        <v>0</v>
      </c>
      <c r="K3202">
        <v>0</v>
      </c>
      <c r="L3202">
        <v>0</v>
      </c>
      <c r="M3202">
        <v>0</v>
      </c>
      <c r="N3202">
        <v>40519</v>
      </c>
      <c r="O3202">
        <v>126270</v>
      </c>
      <c r="P3202">
        <v>244938</v>
      </c>
      <c r="Q3202">
        <v>0</v>
      </c>
      <c r="R3202">
        <v>0</v>
      </c>
      <c r="S3202">
        <v>1</v>
      </c>
      <c r="T3202">
        <v>50</v>
      </c>
      <c r="U3202">
        <v>64</v>
      </c>
    </row>
    <row r="3203" spans="1:21" x14ac:dyDescent="0.35">
      <c r="A3203" t="s">
        <v>26</v>
      </c>
      <c r="B3203" s="1">
        <v>44681</v>
      </c>
      <c r="C3203" t="s">
        <v>24</v>
      </c>
      <c r="D3203">
        <v>2</v>
      </c>
      <c r="E3203">
        <v>0</v>
      </c>
      <c r="F3203">
        <v>0</v>
      </c>
      <c r="G3203">
        <v>0</v>
      </c>
      <c r="H3203">
        <v>0</v>
      </c>
      <c r="I3203">
        <v>0</v>
      </c>
      <c r="J3203">
        <v>0</v>
      </c>
      <c r="K3203">
        <v>0</v>
      </c>
      <c r="L3203">
        <v>0</v>
      </c>
      <c r="M3203">
        <v>0</v>
      </c>
      <c r="N3203">
        <v>102021</v>
      </c>
      <c r="O3203">
        <v>93311</v>
      </c>
      <c r="P3203">
        <v>0</v>
      </c>
      <c r="Q3203">
        <v>2</v>
      </c>
      <c r="R3203">
        <v>0</v>
      </c>
      <c r="S3203">
        <v>0</v>
      </c>
      <c r="T3203">
        <v>5</v>
      </c>
      <c r="U3203">
        <v>11</v>
      </c>
    </row>
    <row r="3204" spans="1:21" x14ac:dyDescent="0.35">
      <c r="A3204" t="s">
        <v>26</v>
      </c>
      <c r="B3204" s="1">
        <v>44499</v>
      </c>
      <c r="C3204" t="s">
        <v>29</v>
      </c>
      <c r="D3204">
        <v>12.3</v>
      </c>
      <c r="E3204">
        <v>0.8</v>
      </c>
      <c r="F3204">
        <v>0</v>
      </c>
      <c r="G3204">
        <v>15.4</v>
      </c>
      <c r="H3204">
        <v>0</v>
      </c>
      <c r="I3204">
        <v>0</v>
      </c>
      <c r="J3204">
        <v>0</v>
      </c>
      <c r="K3204">
        <v>0</v>
      </c>
      <c r="L3204">
        <v>0</v>
      </c>
      <c r="M3204">
        <v>0</v>
      </c>
      <c r="N3204">
        <v>203492</v>
      </c>
      <c r="O3204">
        <v>531626</v>
      </c>
      <c r="P3204">
        <v>24199</v>
      </c>
      <c r="Q3204">
        <v>25</v>
      </c>
      <c r="R3204">
        <v>4</v>
      </c>
      <c r="S3204">
        <v>0</v>
      </c>
      <c r="T3204">
        <v>30</v>
      </c>
      <c r="U3204">
        <v>49</v>
      </c>
    </row>
    <row r="3205" spans="1:21" x14ac:dyDescent="0.35">
      <c r="A3205" t="s">
        <v>28</v>
      </c>
      <c r="B3205" s="1">
        <v>44576</v>
      </c>
      <c r="C3205" t="s">
        <v>25</v>
      </c>
      <c r="D3205">
        <v>1268.0999999999999</v>
      </c>
      <c r="E3205">
        <v>731.4</v>
      </c>
      <c r="F3205">
        <v>755.3</v>
      </c>
      <c r="G3205">
        <v>1.7</v>
      </c>
      <c r="H3205">
        <v>1.7</v>
      </c>
      <c r="I3205">
        <v>0</v>
      </c>
      <c r="J3205">
        <v>0</v>
      </c>
      <c r="K3205">
        <v>0</v>
      </c>
      <c r="L3205">
        <v>0</v>
      </c>
      <c r="M3205">
        <v>0</v>
      </c>
      <c r="N3205">
        <v>121679</v>
      </c>
      <c r="O3205">
        <v>248007</v>
      </c>
      <c r="P3205">
        <v>93335</v>
      </c>
      <c r="Q3205">
        <v>1543</v>
      </c>
      <c r="R3205">
        <v>1814</v>
      </c>
      <c r="S3205">
        <v>705</v>
      </c>
      <c r="T3205">
        <v>18</v>
      </c>
      <c r="U3205">
        <v>29</v>
      </c>
    </row>
    <row r="3206" spans="1:21" x14ac:dyDescent="0.35">
      <c r="A3206" t="s">
        <v>26</v>
      </c>
      <c r="B3206" s="1">
        <v>44975</v>
      </c>
      <c r="C3206" t="s">
        <v>29</v>
      </c>
      <c r="D3206">
        <v>7.2</v>
      </c>
      <c r="E3206">
        <v>2.5</v>
      </c>
      <c r="F3206">
        <v>1.4</v>
      </c>
      <c r="G3206">
        <v>2.9</v>
      </c>
      <c r="H3206">
        <v>5.0999999999999996</v>
      </c>
      <c r="I3206">
        <v>0</v>
      </c>
      <c r="J3206">
        <v>0</v>
      </c>
      <c r="K3206">
        <v>0</v>
      </c>
      <c r="L3206">
        <v>0</v>
      </c>
      <c r="M3206">
        <v>0</v>
      </c>
      <c r="N3206">
        <v>110993</v>
      </c>
      <c r="O3206">
        <v>277757</v>
      </c>
      <c r="P3206">
        <v>347252</v>
      </c>
      <c r="Q3206">
        <v>8</v>
      </c>
      <c r="R3206">
        <v>7</v>
      </c>
      <c r="S3206">
        <v>5</v>
      </c>
      <c r="T3206">
        <v>30</v>
      </c>
      <c r="U3206">
        <v>49</v>
      </c>
    </row>
    <row r="3207" spans="1:21" x14ac:dyDescent="0.35">
      <c r="A3207" t="s">
        <v>26</v>
      </c>
      <c r="B3207" s="1">
        <v>44476</v>
      </c>
      <c r="C3207" t="s">
        <v>25</v>
      </c>
      <c r="D3207">
        <v>2.2999999999999998</v>
      </c>
      <c r="E3207">
        <v>0.4</v>
      </c>
      <c r="F3207">
        <v>0</v>
      </c>
      <c r="G3207">
        <v>5.8</v>
      </c>
      <c r="H3207">
        <v>0</v>
      </c>
      <c r="I3207">
        <v>0</v>
      </c>
      <c r="J3207">
        <v>0</v>
      </c>
      <c r="K3207">
        <v>0</v>
      </c>
      <c r="L3207">
        <v>0</v>
      </c>
      <c r="M3207">
        <v>0</v>
      </c>
      <c r="N3207">
        <v>221917</v>
      </c>
      <c r="O3207">
        <v>267760</v>
      </c>
      <c r="P3207">
        <v>0</v>
      </c>
      <c r="Q3207">
        <v>5</v>
      </c>
      <c r="R3207">
        <v>1</v>
      </c>
      <c r="S3207">
        <v>0</v>
      </c>
      <c r="T3207">
        <v>18</v>
      </c>
      <c r="U3207">
        <v>29</v>
      </c>
    </row>
    <row r="3208" spans="1:21" x14ac:dyDescent="0.35">
      <c r="A3208" t="s">
        <v>26</v>
      </c>
      <c r="B3208" s="1">
        <v>44933</v>
      </c>
      <c r="C3208" t="s">
        <v>25</v>
      </c>
      <c r="D3208">
        <v>0</v>
      </c>
      <c r="E3208">
        <v>0</v>
      </c>
      <c r="F3208">
        <v>0</v>
      </c>
      <c r="G3208">
        <v>0</v>
      </c>
      <c r="H3208">
        <v>0</v>
      </c>
      <c r="I3208">
        <v>0</v>
      </c>
      <c r="J3208">
        <v>0</v>
      </c>
      <c r="K3208">
        <v>0</v>
      </c>
      <c r="L3208">
        <v>0</v>
      </c>
      <c r="M3208">
        <v>0</v>
      </c>
      <c r="N3208">
        <v>74266</v>
      </c>
      <c r="O3208">
        <v>214137</v>
      </c>
      <c r="P3208">
        <v>161703</v>
      </c>
      <c r="Q3208">
        <v>0</v>
      </c>
      <c r="R3208">
        <v>0</v>
      </c>
      <c r="S3208">
        <v>0</v>
      </c>
      <c r="T3208">
        <v>18</v>
      </c>
      <c r="U3208">
        <v>29</v>
      </c>
    </row>
    <row r="3209" spans="1:21" x14ac:dyDescent="0.35">
      <c r="A3209" t="s">
        <v>28</v>
      </c>
      <c r="B3209" s="1">
        <v>44548</v>
      </c>
      <c r="C3209" t="s">
        <v>23</v>
      </c>
      <c r="D3209">
        <v>1199.7</v>
      </c>
      <c r="E3209">
        <v>436.5</v>
      </c>
      <c r="F3209">
        <v>238.8</v>
      </c>
      <c r="G3209">
        <v>2.7</v>
      </c>
      <c r="H3209">
        <v>5</v>
      </c>
      <c r="I3209">
        <v>0</v>
      </c>
      <c r="J3209">
        <v>0</v>
      </c>
      <c r="K3209">
        <v>0</v>
      </c>
      <c r="L3209">
        <v>0</v>
      </c>
      <c r="M3209">
        <v>0</v>
      </c>
      <c r="N3209">
        <v>60515</v>
      </c>
      <c r="O3209">
        <v>241221</v>
      </c>
      <c r="P3209">
        <v>110556</v>
      </c>
      <c r="Q3209">
        <v>726</v>
      </c>
      <c r="R3209">
        <v>1053</v>
      </c>
      <c r="S3209">
        <v>264</v>
      </c>
      <c r="T3209">
        <v>50</v>
      </c>
      <c r="U3209">
        <v>64</v>
      </c>
    </row>
    <row r="3210" spans="1:21" x14ac:dyDescent="0.35">
      <c r="A3210" t="s">
        <v>26</v>
      </c>
      <c r="B3210" s="1">
        <v>45157</v>
      </c>
      <c r="C3210" t="s">
        <v>32</v>
      </c>
      <c r="D3210">
        <v>2.5</v>
      </c>
      <c r="E3210">
        <v>0</v>
      </c>
      <c r="F3210">
        <v>0</v>
      </c>
      <c r="G3210">
        <v>0</v>
      </c>
      <c r="H3210">
        <v>0</v>
      </c>
      <c r="I3210">
        <v>0</v>
      </c>
      <c r="J3210">
        <v>0</v>
      </c>
      <c r="K3210">
        <v>0</v>
      </c>
      <c r="L3210">
        <v>0</v>
      </c>
      <c r="M3210">
        <v>0</v>
      </c>
      <c r="N3210">
        <v>162642</v>
      </c>
      <c r="O3210">
        <v>0</v>
      </c>
      <c r="P3210">
        <v>0</v>
      </c>
      <c r="Q3210">
        <v>4</v>
      </c>
      <c r="R3210">
        <v>0</v>
      </c>
      <c r="S3210">
        <v>0</v>
      </c>
      <c r="T3210">
        <v>0</v>
      </c>
      <c r="U3210">
        <v>4</v>
      </c>
    </row>
    <row r="3211" spans="1:21" x14ac:dyDescent="0.35">
      <c r="A3211" t="s">
        <v>26</v>
      </c>
      <c r="B3211" s="1">
        <v>44322</v>
      </c>
      <c r="C3211" t="s">
        <v>31</v>
      </c>
      <c r="D3211">
        <v>22.2</v>
      </c>
      <c r="E3211">
        <v>1.7</v>
      </c>
      <c r="F3211">
        <v>0</v>
      </c>
      <c r="G3211">
        <v>13.1</v>
      </c>
      <c r="H3211">
        <v>0</v>
      </c>
      <c r="I3211">
        <v>0</v>
      </c>
      <c r="J3211">
        <v>0</v>
      </c>
      <c r="K3211">
        <v>0</v>
      </c>
      <c r="L3211">
        <v>0</v>
      </c>
      <c r="M3211">
        <v>0</v>
      </c>
      <c r="N3211">
        <v>76606</v>
      </c>
      <c r="O3211">
        <v>179075</v>
      </c>
      <c r="P3211">
        <v>0</v>
      </c>
      <c r="Q3211">
        <v>17</v>
      </c>
      <c r="R3211">
        <v>3</v>
      </c>
      <c r="S3211">
        <v>0</v>
      </c>
      <c r="T3211">
        <v>65</v>
      </c>
      <c r="U3211">
        <v>79</v>
      </c>
    </row>
    <row r="3212" spans="1:21" x14ac:dyDescent="0.35">
      <c r="A3212" t="s">
        <v>28</v>
      </c>
      <c r="B3212" s="1">
        <v>45157</v>
      </c>
      <c r="C3212" t="s">
        <v>22</v>
      </c>
      <c r="D3212">
        <v>51.3</v>
      </c>
      <c r="E3212">
        <v>22</v>
      </c>
      <c r="F3212">
        <v>42</v>
      </c>
      <c r="G3212">
        <v>2.2999999999999998</v>
      </c>
      <c r="H3212">
        <v>1.2</v>
      </c>
      <c r="I3212">
        <v>58.3</v>
      </c>
      <c r="J3212">
        <v>22.8</v>
      </c>
      <c r="K3212">
        <v>33.299999999999997</v>
      </c>
      <c r="L3212">
        <v>2.6</v>
      </c>
      <c r="M3212">
        <v>1.7</v>
      </c>
      <c r="N3212">
        <v>528293</v>
      </c>
      <c r="O3212">
        <v>860304</v>
      </c>
      <c r="P3212">
        <v>1040794</v>
      </c>
      <c r="Q3212">
        <v>271</v>
      </c>
      <c r="R3212">
        <v>189</v>
      </c>
      <c r="S3212">
        <v>437</v>
      </c>
      <c r="T3212">
        <v>999</v>
      </c>
      <c r="U3212">
        <v>999</v>
      </c>
    </row>
    <row r="3213" spans="1:21" x14ac:dyDescent="0.35">
      <c r="A3213" t="s">
        <v>28</v>
      </c>
      <c r="B3213" s="1">
        <v>44969</v>
      </c>
      <c r="C3213" t="s">
        <v>24</v>
      </c>
      <c r="D3213">
        <v>22.7</v>
      </c>
      <c r="E3213">
        <v>15.9</v>
      </c>
      <c r="F3213">
        <v>13.2</v>
      </c>
      <c r="G3213">
        <v>1.4</v>
      </c>
      <c r="H3213">
        <v>1.7</v>
      </c>
      <c r="I3213">
        <v>0</v>
      </c>
      <c r="J3213">
        <v>0</v>
      </c>
      <c r="K3213">
        <v>0</v>
      </c>
      <c r="L3213">
        <v>0</v>
      </c>
      <c r="M3213">
        <v>0</v>
      </c>
      <c r="N3213">
        <v>88222</v>
      </c>
      <c r="O3213">
        <v>81685</v>
      </c>
      <c r="P3213">
        <v>22651</v>
      </c>
      <c r="Q3213">
        <v>20</v>
      </c>
      <c r="R3213">
        <v>13</v>
      </c>
      <c r="S3213">
        <v>3</v>
      </c>
      <c r="T3213">
        <v>5</v>
      </c>
      <c r="U3213">
        <v>11</v>
      </c>
    </row>
    <row r="3214" spans="1:21" x14ac:dyDescent="0.35">
      <c r="A3214" t="s">
        <v>26</v>
      </c>
      <c r="B3214" s="1">
        <v>44849</v>
      </c>
      <c r="C3214" t="s">
        <v>30</v>
      </c>
      <c r="D3214">
        <v>42.9</v>
      </c>
      <c r="E3214">
        <v>96.7</v>
      </c>
      <c r="F3214">
        <v>31.9</v>
      </c>
      <c r="G3214">
        <v>0.4</v>
      </c>
      <c r="H3214">
        <v>1.3</v>
      </c>
      <c r="I3214">
        <v>0</v>
      </c>
      <c r="J3214">
        <v>0</v>
      </c>
      <c r="K3214">
        <v>0</v>
      </c>
      <c r="L3214">
        <v>0</v>
      </c>
      <c r="M3214">
        <v>0</v>
      </c>
      <c r="N3214">
        <v>25625</v>
      </c>
      <c r="O3214">
        <v>11373</v>
      </c>
      <c r="P3214">
        <v>47058</v>
      </c>
      <c r="Q3214">
        <v>11</v>
      </c>
      <c r="R3214">
        <v>11</v>
      </c>
      <c r="S3214">
        <v>15</v>
      </c>
      <c r="T3214">
        <v>80</v>
      </c>
      <c r="U3214">
        <v>200</v>
      </c>
    </row>
    <row r="3215" spans="1:21" x14ac:dyDescent="0.35">
      <c r="A3215" t="s">
        <v>26</v>
      </c>
      <c r="B3215" s="1">
        <v>44991</v>
      </c>
      <c r="C3215" t="s">
        <v>25</v>
      </c>
      <c r="D3215">
        <v>0</v>
      </c>
      <c r="E3215">
        <v>0</v>
      </c>
      <c r="F3215">
        <v>0.6</v>
      </c>
      <c r="G3215">
        <v>0</v>
      </c>
      <c r="H3215">
        <v>0</v>
      </c>
      <c r="I3215">
        <v>0</v>
      </c>
      <c r="J3215">
        <v>0</v>
      </c>
      <c r="K3215">
        <v>0</v>
      </c>
      <c r="L3215">
        <v>0</v>
      </c>
      <c r="M3215">
        <v>0</v>
      </c>
      <c r="N3215">
        <v>74734</v>
      </c>
      <c r="O3215">
        <v>214134</v>
      </c>
      <c r="P3215">
        <v>161695</v>
      </c>
      <c r="Q3215">
        <v>0</v>
      </c>
      <c r="R3215">
        <v>0</v>
      </c>
      <c r="S3215">
        <v>1</v>
      </c>
      <c r="T3215">
        <v>18</v>
      </c>
      <c r="U3215">
        <v>29</v>
      </c>
    </row>
    <row r="3216" spans="1:21" x14ac:dyDescent="0.35">
      <c r="A3216" t="s">
        <v>26</v>
      </c>
      <c r="B3216" s="1">
        <v>44373</v>
      </c>
      <c r="C3216" t="s">
        <v>27</v>
      </c>
      <c r="D3216">
        <v>0</v>
      </c>
      <c r="E3216">
        <v>0</v>
      </c>
      <c r="F3216">
        <v>0</v>
      </c>
      <c r="G3216">
        <v>0</v>
      </c>
      <c r="H3216">
        <v>0</v>
      </c>
      <c r="I3216">
        <v>0</v>
      </c>
      <c r="J3216">
        <v>0</v>
      </c>
      <c r="K3216">
        <v>0</v>
      </c>
      <c r="L3216">
        <v>0</v>
      </c>
      <c r="M3216">
        <v>0</v>
      </c>
      <c r="N3216">
        <v>111069</v>
      </c>
      <c r="O3216">
        <v>39779</v>
      </c>
      <c r="P3216">
        <v>0</v>
      </c>
      <c r="Q3216">
        <v>0</v>
      </c>
      <c r="R3216">
        <v>0</v>
      </c>
      <c r="S3216">
        <v>0</v>
      </c>
      <c r="T3216">
        <v>12</v>
      </c>
      <c r="U3216">
        <v>17</v>
      </c>
    </row>
    <row r="3217" spans="1:21" x14ac:dyDescent="0.35">
      <c r="A3217" t="s">
        <v>21</v>
      </c>
      <c r="B3217" s="1">
        <v>44730</v>
      </c>
      <c r="C3217" t="s">
        <v>29</v>
      </c>
      <c r="D3217">
        <v>0</v>
      </c>
      <c r="E3217">
        <v>0.4</v>
      </c>
      <c r="F3217">
        <v>0</v>
      </c>
      <c r="G3217">
        <v>0</v>
      </c>
      <c r="H3217">
        <v>0</v>
      </c>
      <c r="I3217">
        <v>0</v>
      </c>
      <c r="J3217">
        <v>0</v>
      </c>
      <c r="K3217">
        <v>0</v>
      </c>
      <c r="L3217">
        <v>0</v>
      </c>
      <c r="M3217">
        <v>0</v>
      </c>
      <c r="N3217">
        <v>128401</v>
      </c>
      <c r="O3217">
        <v>281885</v>
      </c>
      <c r="P3217">
        <v>338011</v>
      </c>
      <c r="Q3217">
        <v>0</v>
      </c>
      <c r="R3217">
        <v>1</v>
      </c>
      <c r="S3217">
        <v>0</v>
      </c>
      <c r="T3217">
        <v>30</v>
      </c>
      <c r="U3217">
        <v>49</v>
      </c>
    </row>
    <row r="3218" spans="1:21" x14ac:dyDescent="0.35">
      <c r="A3218" t="s">
        <v>28</v>
      </c>
      <c r="B3218" s="1">
        <v>44966</v>
      </c>
      <c r="C3218" t="s">
        <v>30</v>
      </c>
      <c r="D3218">
        <v>49.1</v>
      </c>
      <c r="E3218">
        <v>167</v>
      </c>
      <c r="F3218">
        <v>123.1</v>
      </c>
      <c r="G3218">
        <v>0.3</v>
      </c>
      <c r="H3218">
        <v>0.4</v>
      </c>
      <c r="I3218">
        <v>0</v>
      </c>
      <c r="J3218">
        <v>0</v>
      </c>
      <c r="K3218">
        <v>0</v>
      </c>
      <c r="L3218">
        <v>0</v>
      </c>
      <c r="M3218">
        <v>0</v>
      </c>
      <c r="N3218">
        <v>24460</v>
      </c>
      <c r="O3218">
        <v>11380</v>
      </c>
      <c r="P3218">
        <v>47133</v>
      </c>
      <c r="Q3218">
        <v>12</v>
      </c>
      <c r="R3218">
        <v>19</v>
      </c>
      <c r="S3218">
        <v>58</v>
      </c>
      <c r="T3218">
        <v>80</v>
      </c>
      <c r="U3218">
        <v>200</v>
      </c>
    </row>
    <row r="3219" spans="1:21" x14ac:dyDescent="0.35">
      <c r="A3219" t="s">
        <v>28</v>
      </c>
      <c r="B3219" s="1">
        <v>45094</v>
      </c>
      <c r="C3219" t="s">
        <v>31</v>
      </c>
      <c r="D3219">
        <v>22.8</v>
      </c>
      <c r="E3219">
        <v>11.5</v>
      </c>
      <c r="F3219">
        <v>15.1</v>
      </c>
      <c r="G3219">
        <v>2</v>
      </c>
      <c r="H3219">
        <v>1.5</v>
      </c>
      <c r="I3219">
        <v>0</v>
      </c>
      <c r="J3219">
        <v>0</v>
      </c>
      <c r="K3219">
        <v>0</v>
      </c>
      <c r="L3219">
        <v>0</v>
      </c>
      <c r="M3219">
        <v>0</v>
      </c>
      <c r="N3219">
        <v>39420</v>
      </c>
      <c r="O3219">
        <v>43432</v>
      </c>
      <c r="P3219">
        <v>171735</v>
      </c>
      <c r="Q3219">
        <v>9</v>
      </c>
      <c r="R3219">
        <v>5</v>
      </c>
      <c r="S3219">
        <v>26</v>
      </c>
      <c r="T3219">
        <v>65</v>
      </c>
      <c r="U3219">
        <v>79</v>
      </c>
    </row>
    <row r="3220" spans="1:21" x14ac:dyDescent="0.35">
      <c r="A3220" t="s">
        <v>28</v>
      </c>
      <c r="B3220" s="1">
        <v>44912</v>
      </c>
      <c r="C3220" t="s">
        <v>25</v>
      </c>
      <c r="D3220">
        <v>262.60000000000002</v>
      </c>
      <c r="E3220">
        <v>82.2</v>
      </c>
      <c r="F3220">
        <v>103.3</v>
      </c>
      <c r="G3220">
        <v>3.2</v>
      </c>
      <c r="H3220">
        <v>2.5</v>
      </c>
      <c r="I3220">
        <v>0</v>
      </c>
      <c r="J3220">
        <v>0</v>
      </c>
      <c r="K3220">
        <v>0</v>
      </c>
      <c r="L3220">
        <v>0</v>
      </c>
      <c r="M3220">
        <v>0</v>
      </c>
      <c r="N3220">
        <v>79968</v>
      </c>
      <c r="O3220">
        <v>212771</v>
      </c>
      <c r="P3220">
        <v>161600</v>
      </c>
      <c r="Q3220">
        <v>210</v>
      </c>
      <c r="R3220">
        <v>175</v>
      </c>
      <c r="S3220">
        <v>167</v>
      </c>
      <c r="T3220">
        <v>18</v>
      </c>
      <c r="U3220">
        <v>29</v>
      </c>
    </row>
    <row r="3221" spans="1:21" x14ac:dyDescent="0.35">
      <c r="A3221" t="s">
        <v>28</v>
      </c>
      <c r="B3221" s="1">
        <v>44632</v>
      </c>
      <c r="C3221" t="s">
        <v>31</v>
      </c>
      <c r="D3221">
        <v>270.89999999999998</v>
      </c>
      <c r="E3221">
        <v>209.9</v>
      </c>
      <c r="F3221">
        <v>203.9</v>
      </c>
      <c r="G3221">
        <v>1.3</v>
      </c>
      <c r="H3221">
        <v>1.3</v>
      </c>
      <c r="I3221">
        <v>0</v>
      </c>
      <c r="J3221">
        <v>0</v>
      </c>
      <c r="K3221">
        <v>0</v>
      </c>
      <c r="L3221">
        <v>0</v>
      </c>
      <c r="M3221">
        <v>0</v>
      </c>
      <c r="N3221">
        <v>41351</v>
      </c>
      <c r="O3221">
        <v>43349</v>
      </c>
      <c r="P3221">
        <v>171626</v>
      </c>
      <c r="Q3221">
        <v>112</v>
      </c>
      <c r="R3221">
        <v>91</v>
      </c>
      <c r="S3221">
        <v>350</v>
      </c>
      <c r="T3221">
        <v>65</v>
      </c>
      <c r="U3221">
        <v>79</v>
      </c>
    </row>
    <row r="3222" spans="1:21" x14ac:dyDescent="0.35">
      <c r="A3222" t="s">
        <v>21</v>
      </c>
      <c r="B3222" s="1">
        <v>45108</v>
      </c>
      <c r="C3222" t="s">
        <v>23</v>
      </c>
      <c r="D3222">
        <v>5.8</v>
      </c>
      <c r="E3222">
        <v>0</v>
      </c>
      <c r="F3222">
        <v>0</v>
      </c>
      <c r="G3222">
        <v>0</v>
      </c>
      <c r="H3222">
        <v>0</v>
      </c>
      <c r="I3222">
        <v>0</v>
      </c>
      <c r="J3222">
        <v>0</v>
      </c>
      <c r="K3222">
        <v>0</v>
      </c>
      <c r="L3222">
        <v>0</v>
      </c>
      <c r="M3222">
        <v>0</v>
      </c>
      <c r="N3222">
        <v>34669</v>
      </c>
      <c r="O3222">
        <v>125434</v>
      </c>
      <c r="P3222">
        <v>246821</v>
      </c>
      <c r="Q3222">
        <v>2</v>
      </c>
      <c r="R3222">
        <v>0</v>
      </c>
      <c r="S3222">
        <v>0</v>
      </c>
      <c r="T3222">
        <v>50</v>
      </c>
      <c r="U3222">
        <v>64</v>
      </c>
    </row>
    <row r="3223" spans="1:21" x14ac:dyDescent="0.35">
      <c r="A3223" t="s">
        <v>21</v>
      </c>
      <c r="B3223" s="1">
        <v>45027</v>
      </c>
      <c r="C3223" t="s">
        <v>30</v>
      </c>
      <c r="D3223">
        <v>0</v>
      </c>
      <c r="E3223">
        <v>0</v>
      </c>
      <c r="F3223">
        <v>2.1</v>
      </c>
      <c r="G3223">
        <v>0</v>
      </c>
      <c r="H3223">
        <v>0</v>
      </c>
      <c r="I3223">
        <v>0</v>
      </c>
      <c r="J3223">
        <v>0</v>
      </c>
      <c r="K3223">
        <v>0</v>
      </c>
      <c r="L3223">
        <v>0</v>
      </c>
      <c r="M3223">
        <v>0</v>
      </c>
      <c r="N3223">
        <v>24080</v>
      </c>
      <c r="O3223">
        <v>11553</v>
      </c>
      <c r="P3223">
        <v>47261</v>
      </c>
      <c r="Q3223">
        <v>0</v>
      </c>
      <c r="R3223">
        <v>0</v>
      </c>
      <c r="S3223">
        <v>1</v>
      </c>
      <c r="T3223">
        <v>80</v>
      </c>
      <c r="U3223">
        <v>200</v>
      </c>
    </row>
    <row r="3224" spans="1:21" x14ac:dyDescent="0.35">
      <c r="A3224" t="s">
        <v>26</v>
      </c>
      <c r="B3224" s="1">
        <v>45157</v>
      </c>
      <c r="C3224" t="s">
        <v>25</v>
      </c>
      <c r="D3224">
        <v>5.4</v>
      </c>
      <c r="E3224">
        <v>0.5</v>
      </c>
      <c r="F3224">
        <v>0</v>
      </c>
      <c r="G3224">
        <v>10.8</v>
      </c>
      <c r="H3224">
        <v>0</v>
      </c>
      <c r="I3224">
        <v>0</v>
      </c>
      <c r="J3224">
        <v>0</v>
      </c>
      <c r="K3224">
        <v>0</v>
      </c>
      <c r="L3224">
        <v>0</v>
      </c>
      <c r="M3224">
        <v>0</v>
      </c>
      <c r="N3224">
        <v>73481</v>
      </c>
      <c r="O3224">
        <v>214133</v>
      </c>
      <c r="P3224">
        <v>161716</v>
      </c>
      <c r="Q3224">
        <v>4</v>
      </c>
      <c r="R3224">
        <v>1</v>
      </c>
      <c r="S3224">
        <v>0</v>
      </c>
      <c r="T3224">
        <v>18</v>
      </c>
      <c r="U3224">
        <v>29</v>
      </c>
    </row>
    <row r="3225" spans="1:21" x14ac:dyDescent="0.35">
      <c r="A3225" t="s">
        <v>28</v>
      </c>
      <c r="B3225" s="1">
        <v>44846</v>
      </c>
      <c r="C3225" t="s">
        <v>32</v>
      </c>
      <c r="D3225">
        <v>105.8</v>
      </c>
      <c r="E3225">
        <v>13.5</v>
      </c>
      <c r="F3225">
        <v>0</v>
      </c>
      <c r="G3225">
        <v>7.8</v>
      </c>
      <c r="H3225">
        <v>0</v>
      </c>
      <c r="I3225">
        <v>0</v>
      </c>
      <c r="J3225">
        <v>0</v>
      </c>
      <c r="K3225">
        <v>0</v>
      </c>
      <c r="L3225">
        <v>0</v>
      </c>
      <c r="M3225">
        <v>0</v>
      </c>
      <c r="N3225">
        <v>162642</v>
      </c>
      <c r="O3225">
        <v>0</v>
      </c>
      <c r="P3225">
        <v>0</v>
      </c>
      <c r="Q3225">
        <v>172</v>
      </c>
      <c r="R3225">
        <v>22</v>
      </c>
      <c r="S3225">
        <v>0</v>
      </c>
      <c r="T3225">
        <v>0</v>
      </c>
      <c r="U3225">
        <v>4</v>
      </c>
    </row>
    <row r="3226" spans="1:21" x14ac:dyDescent="0.35">
      <c r="A3226" t="s">
        <v>26</v>
      </c>
      <c r="B3226" s="1">
        <v>44449</v>
      </c>
      <c r="C3226" t="s">
        <v>22</v>
      </c>
      <c r="D3226">
        <v>10.6</v>
      </c>
      <c r="E3226">
        <v>2.8</v>
      </c>
      <c r="F3226">
        <v>0</v>
      </c>
      <c r="G3226">
        <v>3.8</v>
      </c>
      <c r="H3226">
        <v>0</v>
      </c>
      <c r="I3226">
        <v>15.4</v>
      </c>
      <c r="J3226">
        <v>2.2000000000000002</v>
      </c>
      <c r="K3226">
        <v>0</v>
      </c>
      <c r="L3226">
        <v>7</v>
      </c>
      <c r="M3226">
        <v>0</v>
      </c>
      <c r="N3226">
        <v>998664</v>
      </c>
      <c r="O3226">
        <v>1519169</v>
      </c>
      <c r="P3226">
        <v>0</v>
      </c>
      <c r="Q3226">
        <v>106</v>
      </c>
      <c r="R3226">
        <v>42</v>
      </c>
      <c r="S3226">
        <v>0</v>
      </c>
      <c r="T3226">
        <v>999</v>
      </c>
      <c r="U3226">
        <v>999</v>
      </c>
    </row>
    <row r="3227" spans="1:21" x14ac:dyDescent="0.35">
      <c r="A3227" t="s">
        <v>21</v>
      </c>
      <c r="B3227" s="1">
        <v>44632</v>
      </c>
      <c r="C3227" t="s">
        <v>23</v>
      </c>
      <c r="D3227">
        <v>0</v>
      </c>
      <c r="E3227">
        <v>0.8</v>
      </c>
      <c r="F3227">
        <v>0</v>
      </c>
      <c r="G3227">
        <v>0</v>
      </c>
      <c r="H3227">
        <v>0</v>
      </c>
      <c r="I3227">
        <v>0</v>
      </c>
      <c r="J3227">
        <v>0</v>
      </c>
      <c r="K3227">
        <v>0</v>
      </c>
      <c r="L3227">
        <v>0</v>
      </c>
      <c r="M3227">
        <v>0</v>
      </c>
      <c r="N3227">
        <v>35761</v>
      </c>
      <c r="O3227">
        <v>125353</v>
      </c>
      <c r="P3227">
        <v>246742</v>
      </c>
      <c r="Q3227">
        <v>0</v>
      </c>
      <c r="R3227">
        <v>1</v>
      </c>
      <c r="S3227">
        <v>0</v>
      </c>
      <c r="T3227">
        <v>50</v>
      </c>
      <c r="U3227">
        <v>64</v>
      </c>
    </row>
    <row r="3228" spans="1:21" x14ac:dyDescent="0.35">
      <c r="A3228" t="s">
        <v>28</v>
      </c>
      <c r="B3228" s="1">
        <v>44800</v>
      </c>
      <c r="C3228" t="s">
        <v>29</v>
      </c>
      <c r="D3228">
        <v>240</v>
      </c>
      <c r="E3228">
        <v>116</v>
      </c>
      <c r="F3228">
        <v>169.6</v>
      </c>
      <c r="G3228">
        <v>2.1</v>
      </c>
      <c r="H3228">
        <v>1.4</v>
      </c>
      <c r="I3228">
        <v>0</v>
      </c>
      <c r="J3228">
        <v>0</v>
      </c>
      <c r="K3228">
        <v>0</v>
      </c>
      <c r="L3228">
        <v>0</v>
      </c>
      <c r="M3228">
        <v>0</v>
      </c>
      <c r="N3228">
        <v>125403</v>
      </c>
      <c r="O3228">
        <v>276779</v>
      </c>
      <c r="P3228">
        <v>345420</v>
      </c>
      <c r="Q3228">
        <v>301</v>
      </c>
      <c r="R3228">
        <v>321</v>
      </c>
      <c r="S3228">
        <v>586</v>
      </c>
      <c r="T3228">
        <v>30</v>
      </c>
      <c r="U3228">
        <v>49</v>
      </c>
    </row>
    <row r="3229" spans="1:21" x14ac:dyDescent="0.35">
      <c r="A3229" t="s">
        <v>21</v>
      </c>
      <c r="B3229" s="1">
        <v>44856</v>
      </c>
      <c r="C3229" t="s">
        <v>25</v>
      </c>
      <c r="D3229">
        <v>0</v>
      </c>
      <c r="E3229">
        <v>0</v>
      </c>
      <c r="F3229">
        <v>0</v>
      </c>
      <c r="G3229">
        <v>0</v>
      </c>
      <c r="H3229">
        <v>0</v>
      </c>
      <c r="I3229">
        <v>0</v>
      </c>
      <c r="J3229">
        <v>0</v>
      </c>
      <c r="K3229">
        <v>0</v>
      </c>
      <c r="L3229">
        <v>0</v>
      </c>
      <c r="M3229">
        <v>0</v>
      </c>
      <c r="N3229">
        <v>85278</v>
      </c>
      <c r="O3229">
        <v>212032</v>
      </c>
      <c r="P3229">
        <v>161513</v>
      </c>
      <c r="Q3229">
        <v>0</v>
      </c>
      <c r="R3229">
        <v>0</v>
      </c>
      <c r="S3229">
        <v>0</v>
      </c>
      <c r="T3229">
        <v>18</v>
      </c>
      <c r="U3229">
        <v>29</v>
      </c>
    </row>
    <row r="3230" spans="1:21" x14ac:dyDescent="0.35">
      <c r="A3230" t="s">
        <v>26</v>
      </c>
      <c r="B3230" s="1">
        <v>44345</v>
      </c>
      <c r="C3230" t="s">
        <v>29</v>
      </c>
      <c r="D3230">
        <v>12.1</v>
      </c>
      <c r="E3230">
        <v>0.3</v>
      </c>
      <c r="F3230">
        <v>0</v>
      </c>
      <c r="G3230">
        <v>40.299999999999997</v>
      </c>
      <c r="H3230">
        <v>0</v>
      </c>
      <c r="I3230">
        <v>0</v>
      </c>
      <c r="J3230">
        <v>0</v>
      </c>
      <c r="K3230">
        <v>0</v>
      </c>
      <c r="L3230">
        <v>0</v>
      </c>
      <c r="M3230">
        <v>0</v>
      </c>
      <c r="N3230">
        <v>314424</v>
      </c>
      <c r="O3230">
        <v>398788</v>
      </c>
      <c r="P3230">
        <v>0</v>
      </c>
      <c r="Q3230">
        <v>38</v>
      </c>
      <c r="R3230">
        <v>1</v>
      </c>
      <c r="S3230">
        <v>0</v>
      </c>
      <c r="T3230">
        <v>30</v>
      </c>
      <c r="U3230">
        <v>49</v>
      </c>
    </row>
    <row r="3231" spans="1:21" x14ac:dyDescent="0.35">
      <c r="A3231" t="s">
        <v>21</v>
      </c>
      <c r="B3231" s="1">
        <v>44765</v>
      </c>
      <c r="C3231" t="s">
        <v>30</v>
      </c>
      <c r="D3231">
        <v>3.8</v>
      </c>
      <c r="E3231">
        <v>41.9</v>
      </c>
      <c r="F3231">
        <v>6.5</v>
      </c>
      <c r="G3231">
        <v>0.1</v>
      </c>
      <c r="H3231">
        <v>0.6</v>
      </c>
      <c r="I3231">
        <v>0</v>
      </c>
      <c r="J3231">
        <v>0</v>
      </c>
      <c r="K3231">
        <v>0</v>
      </c>
      <c r="L3231">
        <v>0</v>
      </c>
      <c r="M3231">
        <v>0</v>
      </c>
      <c r="N3231">
        <v>26357</v>
      </c>
      <c r="O3231">
        <v>11946</v>
      </c>
      <c r="P3231">
        <v>46252</v>
      </c>
      <c r="Q3231">
        <v>1</v>
      </c>
      <c r="R3231">
        <v>5</v>
      </c>
      <c r="S3231">
        <v>3</v>
      </c>
      <c r="T3231">
        <v>80</v>
      </c>
      <c r="U3231">
        <v>200</v>
      </c>
    </row>
    <row r="3232" spans="1:21" x14ac:dyDescent="0.35">
      <c r="A3232" t="s">
        <v>28</v>
      </c>
      <c r="B3232" s="1">
        <v>45018</v>
      </c>
      <c r="C3232" t="s">
        <v>31</v>
      </c>
      <c r="D3232">
        <v>79.5</v>
      </c>
      <c r="E3232">
        <v>94.5</v>
      </c>
      <c r="F3232">
        <v>96.7</v>
      </c>
      <c r="G3232">
        <v>0.8</v>
      </c>
      <c r="H3232">
        <v>0.8</v>
      </c>
      <c r="I3232">
        <v>0</v>
      </c>
      <c r="J3232">
        <v>0</v>
      </c>
      <c r="K3232">
        <v>0</v>
      </c>
      <c r="L3232">
        <v>0</v>
      </c>
      <c r="M3232">
        <v>0</v>
      </c>
      <c r="N3232">
        <v>40248</v>
      </c>
      <c r="O3232">
        <v>43385</v>
      </c>
      <c r="P3232">
        <v>171692</v>
      </c>
      <c r="Q3232">
        <v>32</v>
      </c>
      <c r="R3232">
        <v>41</v>
      </c>
      <c r="S3232">
        <v>166</v>
      </c>
      <c r="T3232">
        <v>65</v>
      </c>
      <c r="U3232">
        <v>79</v>
      </c>
    </row>
    <row r="3233" spans="1:21" x14ac:dyDescent="0.35">
      <c r="A3233" t="s">
        <v>21</v>
      </c>
      <c r="B3233" s="1">
        <v>44884</v>
      </c>
      <c r="C3233" t="s">
        <v>27</v>
      </c>
      <c r="D3233">
        <v>0</v>
      </c>
      <c r="E3233">
        <v>0</v>
      </c>
      <c r="F3233">
        <v>0</v>
      </c>
      <c r="G3233">
        <v>0</v>
      </c>
      <c r="H3233">
        <v>0</v>
      </c>
      <c r="I3233">
        <v>0</v>
      </c>
      <c r="J3233">
        <v>0</v>
      </c>
      <c r="K3233">
        <v>0</v>
      </c>
      <c r="L3233">
        <v>0</v>
      </c>
      <c r="M3233">
        <v>0</v>
      </c>
      <c r="N3233">
        <v>34157</v>
      </c>
      <c r="O3233">
        <v>86027</v>
      </c>
      <c r="P3233">
        <v>44509</v>
      </c>
      <c r="Q3233">
        <v>0</v>
      </c>
      <c r="R3233">
        <v>0</v>
      </c>
      <c r="S3233">
        <v>0</v>
      </c>
      <c r="T3233">
        <v>12</v>
      </c>
      <c r="U3233">
        <v>17</v>
      </c>
    </row>
    <row r="3234" spans="1:21" x14ac:dyDescent="0.35">
      <c r="A3234" t="s">
        <v>28</v>
      </c>
      <c r="B3234" s="1">
        <v>45019</v>
      </c>
      <c r="C3234" t="s">
        <v>27</v>
      </c>
      <c r="D3234">
        <v>126.8</v>
      </c>
      <c r="E3234">
        <v>59</v>
      </c>
      <c r="F3234">
        <v>71.8</v>
      </c>
      <c r="G3234">
        <v>2.1</v>
      </c>
      <c r="H3234">
        <v>1.8</v>
      </c>
      <c r="I3234">
        <v>0</v>
      </c>
      <c r="J3234">
        <v>0</v>
      </c>
      <c r="K3234">
        <v>0</v>
      </c>
      <c r="L3234">
        <v>0</v>
      </c>
      <c r="M3234">
        <v>0</v>
      </c>
      <c r="N3234">
        <v>33129</v>
      </c>
      <c r="O3234">
        <v>86403</v>
      </c>
      <c r="P3234">
        <v>44558</v>
      </c>
      <c r="Q3234">
        <v>42</v>
      </c>
      <c r="R3234">
        <v>51</v>
      </c>
      <c r="S3234">
        <v>32</v>
      </c>
      <c r="T3234">
        <v>12</v>
      </c>
      <c r="U3234">
        <v>17</v>
      </c>
    </row>
    <row r="3235" spans="1:21" x14ac:dyDescent="0.35">
      <c r="A3235" t="s">
        <v>26</v>
      </c>
      <c r="B3235" s="1">
        <v>45108</v>
      </c>
      <c r="C3235" t="s">
        <v>25</v>
      </c>
      <c r="D3235">
        <v>11.4</v>
      </c>
      <c r="E3235">
        <v>1.4</v>
      </c>
      <c r="F3235">
        <v>0.6</v>
      </c>
      <c r="G3235">
        <v>8.1</v>
      </c>
      <c r="H3235">
        <v>19</v>
      </c>
      <c r="I3235">
        <v>0</v>
      </c>
      <c r="J3235">
        <v>0</v>
      </c>
      <c r="K3235">
        <v>0</v>
      </c>
      <c r="L3235">
        <v>0</v>
      </c>
      <c r="M3235">
        <v>0</v>
      </c>
      <c r="N3235">
        <v>78851</v>
      </c>
      <c r="O3235">
        <v>212977</v>
      </c>
      <c r="P3235">
        <v>161629</v>
      </c>
      <c r="Q3235">
        <v>9</v>
      </c>
      <c r="R3235">
        <v>3</v>
      </c>
      <c r="S3235">
        <v>1</v>
      </c>
      <c r="T3235">
        <v>18</v>
      </c>
      <c r="U3235">
        <v>29</v>
      </c>
    </row>
    <row r="3236" spans="1:21" x14ac:dyDescent="0.35">
      <c r="A3236" t="s">
        <v>28</v>
      </c>
      <c r="B3236" s="1">
        <v>45045</v>
      </c>
      <c r="C3236" t="s">
        <v>27</v>
      </c>
      <c r="D3236">
        <v>42.8</v>
      </c>
      <c r="E3236">
        <v>17.3</v>
      </c>
      <c r="F3236">
        <v>13.5</v>
      </c>
      <c r="G3236">
        <v>2.5</v>
      </c>
      <c r="H3236">
        <v>3.2</v>
      </c>
      <c r="I3236">
        <v>0</v>
      </c>
      <c r="J3236">
        <v>0</v>
      </c>
      <c r="K3236">
        <v>0</v>
      </c>
      <c r="L3236">
        <v>0</v>
      </c>
      <c r="M3236">
        <v>0</v>
      </c>
      <c r="N3236">
        <v>32734</v>
      </c>
      <c r="O3236">
        <v>86571</v>
      </c>
      <c r="P3236">
        <v>44574</v>
      </c>
      <c r="Q3236">
        <v>14</v>
      </c>
      <c r="R3236">
        <v>15</v>
      </c>
      <c r="S3236">
        <v>6</v>
      </c>
      <c r="T3236">
        <v>12</v>
      </c>
      <c r="U3236">
        <v>17</v>
      </c>
    </row>
    <row r="3237" spans="1:21" x14ac:dyDescent="0.35">
      <c r="A3237" t="s">
        <v>26</v>
      </c>
      <c r="B3237" s="1">
        <v>44366</v>
      </c>
      <c r="C3237" t="s">
        <v>25</v>
      </c>
      <c r="D3237">
        <v>1.7</v>
      </c>
      <c r="E3237">
        <v>0.8</v>
      </c>
      <c r="F3237">
        <v>0</v>
      </c>
      <c r="G3237">
        <v>2.1</v>
      </c>
      <c r="H3237">
        <v>0</v>
      </c>
      <c r="I3237">
        <v>0</v>
      </c>
      <c r="J3237">
        <v>0</v>
      </c>
      <c r="K3237">
        <v>0</v>
      </c>
      <c r="L3237">
        <v>0</v>
      </c>
      <c r="M3237">
        <v>0</v>
      </c>
      <c r="N3237">
        <v>232120</v>
      </c>
      <c r="O3237">
        <v>245040</v>
      </c>
      <c r="P3237">
        <v>0</v>
      </c>
      <c r="Q3237">
        <v>4</v>
      </c>
      <c r="R3237">
        <v>2</v>
      </c>
      <c r="S3237">
        <v>0</v>
      </c>
      <c r="T3237">
        <v>18</v>
      </c>
      <c r="U3237">
        <v>29</v>
      </c>
    </row>
    <row r="3238" spans="1:21" x14ac:dyDescent="0.35">
      <c r="A3238" t="s">
        <v>21</v>
      </c>
      <c r="B3238" s="1">
        <v>45054</v>
      </c>
      <c r="C3238" t="s">
        <v>24</v>
      </c>
      <c r="D3238">
        <v>0</v>
      </c>
      <c r="E3238">
        <v>0</v>
      </c>
      <c r="F3238">
        <v>0</v>
      </c>
      <c r="G3238">
        <v>0</v>
      </c>
      <c r="H3238">
        <v>0</v>
      </c>
      <c r="I3238">
        <v>0</v>
      </c>
      <c r="J3238">
        <v>0</v>
      </c>
      <c r="K3238">
        <v>0</v>
      </c>
      <c r="L3238">
        <v>0</v>
      </c>
      <c r="M3238">
        <v>0</v>
      </c>
      <c r="N3238">
        <v>89877</v>
      </c>
      <c r="O3238">
        <v>82672</v>
      </c>
      <c r="P3238">
        <v>21260</v>
      </c>
      <c r="Q3238">
        <v>0</v>
      </c>
      <c r="R3238">
        <v>0</v>
      </c>
      <c r="S3238">
        <v>0</v>
      </c>
      <c r="T3238">
        <v>5</v>
      </c>
      <c r="U3238">
        <v>11</v>
      </c>
    </row>
    <row r="3239" spans="1:21" x14ac:dyDescent="0.35">
      <c r="A3239" t="s">
        <v>21</v>
      </c>
      <c r="B3239" s="1">
        <v>44674</v>
      </c>
      <c r="C3239" t="s">
        <v>22</v>
      </c>
      <c r="D3239">
        <v>0</v>
      </c>
      <c r="E3239">
        <v>0.1</v>
      </c>
      <c r="F3239">
        <v>0.1</v>
      </c>
      <c r="G3239">
        <v>0</v>
      </c>
      <c r="H3239">
        <v>0</v>
      </c>
      <c r="I3239">
        <v>0</v>
      </c>
      <c r="J3239">
        <v>0.2</v>
      </c>
      <c r="K3239">
        <v>0.1</v>
      </c>
      <c r="L3239">
        <v>0</v>
      </c>
      <c r="M3239">
        <v>0</v>
      </c>
      <c r="N3239">
        <v>652046</v>
      </c>
      <c r="O3239">
        <v>893938</v>
      </c>
      <c r="P3239">
        <v>947960</v>
      </c>
      <c r="Q3239">
        <v>0</v>
      </c>
      <c r="R3239">
        <v>1</v>
      </c>
      <c r="S3239">
        <v>1</v>
      </c>
      <c r="T3239">
        <v>999</v>
      </c>
      <c r="U3239">
        <v>999</v>
      </c>
    </row>
    <row r="3240" spans="1:21" x14ac:dyDescent="0.35">
      <c r="A3240" t="s">
        <v>21</v>
      </c>
      <c r="B3240" s="1">
        <v>44758</v>
      </c>
      <c r="C3240" t="s">
        <v>24</v>
      </c>
      <c r="D3240">
        <v>0</v>
      </c>
      <c r="E3240">
        <v>0</v>
      </c>
      <c r="F3240">
        <v>0</v>
      </c>
      <c r="G3240">
        <v>0</v>
      </c>
      <c r="H3240">
        <v>0</v>
      </c>
      <c r="I3240">
        <v>0</v>
      </c>
      <c r="J3240">
        <v>0</v>
      </c>
      <c r="K3240">
        <v>0</v>
      </c>
      <c r="L3240">
        <v>0</v>
      </c>
      <c r="M3240">
        <v>0</v>
      </c>
      <c r="N3240">
        <v>98597</v>
      </c>
      <c r="O3240">
        <v>88329</v>
      </c>
      <c r="P3240">
        <v>8887</v>
      </c>
      <c r="Q3240">
        <v>0</v>
      </c>
      <c r="R3240">
        <v>0</v>
      </c>
      <c r="S3240">
        <v>0</v>
      </c>
      <c r="T3240">
        <v>5</v>
      </c>
      <c r="U3240">
        <v>11</v>
      </c>
    </row>
    <row r="3241" spans="1:21" x14ac:dyDescent="0.35">
      <c r="A3241" t="s">
        <v>28</v>
      </c>
      <c r="B3241" s="1">
        <v>44303</v>
      </c>
      <c r="C3241" t="s">
        <v>25</v>
      </c>
      <c r="D3241">
        <v>296.7</v>
      </c>
      <c r="E3241">
        <v>15.4</v>
      </c>
      <c r="F3241">
        <v>0</v>
      </c>
      <c r="G3241">
        <v>19.3</v>
      </c>
      <c r="H3241">
        <v>0</v>
      </c>
      <c r="I3241">
        <v>0</v>
      </c>
      <c r="J3241">
        <v>0</v>
      </c>
      <c r="K3241">
        <v>0</v>
      </c>
      <c r="L3241">
        <v>0</v>
      </c>
      <c r="M3241">
        <v>0</v>
      </c>
      <c r="N3241">
        <v>327658</v>
      </c>
      <c r="O3241">
        <v>65029</v>
      </c>
      <c r="P3241">
        <v>0</v>
      </c>
      <c r="Q3241">
        <v>972</v>
      </c>
      <c r="R3241">
        <v>10</v>
      </c>
      <c r="S3241">
        <v>0</v>
      </c>
      <c r="T3241">
        <v>18</v>
      </c>
      <c r="U3241">
        <v>29</v>
      </c>
    </row>
    <row r="3242" spans="1:21" x14ac:dyDescent="0.35">
      <c r="A3242" t="s">
        <v>28</v>
      </c>
      <c r="B3242" s="1">
        <v>44385</v>
      </c>
      <c r="C3242" t="s">
        <v>22</v>
      </c>
      <c r="D3242">
        <v>155.80000000000001</v>
      </c>
      <c r="E3242">
        <v>72.8</v>
      </c>
      <c r="F3242">
        <v>0</v>
      </c>
      <c r="G3242">
        <v>2.1</v>
      </c>
      <c r="H3242">
        <v>0</v>
      </c>
      <c r="I3242">
        <v>172</v>
      </c>
      <c r="J3242">
        <v>59.1</v>
      </c>
      <c r="K3242">
        <v>0</v>
      </c>
      <c r="L3242">
        <v>2.9</v>
      </c>
      <c r="M3242">
        <v>0</v>
      </c>
      <c r="N3242">
        <v>1127960</v>
      </c>
      <c r="O3242">
        <v>1412725</v>
      </c>
      <c r="P3242">
        <v>0</v>
      </c>
      <c r="Q3242">
        <v>1757</v>
      </c>
      <c r="R3242">
        <v>1029</v>
      </c>
      <c r="S3242">
        <v>0</v>
      </c>
      <c r="T3242">
        <v>999</v>
      </c>
      <c r="U3242">
        <v>999</v>
      </c>
    </row>
    <row r="3243" spans="1:21" x14ac:dyDescent="0.35">
      <c r="A3243" t="s">
        <v>21</v>
      </c>
      <c r="B3243" s="1">
        <v>44262</v>
      </c>
      <c r="C3243" t="s">
        <v>25</v>
      </c>
      <c r="D3243">
        <v>0</v>
      </c>
      <c r="E3243">
        <v>0</v>
      </c>
      <c r="F3243">
        <v>0</v>
      </c>
      <c r="G3243">
        <v>0</v>
      </c>
      <c r="H3243">
        <v>0</v>
      </c>
      <c r="I3243">
        <v>0</v>
      </c>
      <c r="J3243">
        <v>0</v>
      </c>
      <c r="K3243">
        <v>0</v>
      </c>
      <c r="L3243">
        <v>0</v>
      </c>
      <c r="M3243">
        <v>0</v>
      </c>
      <c r="N3243">
        <v>224760</v>
      </c>
      <c r="O3243">
        <v>262359</v>
      </c>
      <c r="P3243">
        <v>0</v>
      </c>
      <c r="Q3243">
        <v>0</v>
      </c>
      <c r="R3243">
        <v>0</v>
      </c>
      <c r="S3243">
        <v>0</v>
      </c>
      <c r="T3243">
        <v>18</v>
      </c>
      <c r="U3243">
        <v>29</v>
      </c>
    </row>
    <row r="3244" spans="1:21" x14ac:dyDescent="0.35">
      <c r="A3244" t="s">
        <v>21</v>
      </c>
      <c r="B3244" s="1">
        <v>44599</v>
      </c>
      <c r="C3244" t="s">
        <v>22</v>
      </c>
      <c r="D3244">
        <v>0.3</v>
      </c>
      <c r="E3244">
        <v>0.3</v>
      </c>
      <c r="F3244">
        <v>0.4</v>
      </c>
      <c r="G3244">
        <v>1</v>
      </c>
      <c r="H3244">
        <v>0.8</v>
      </c>
      <c r="I3244">
        <v>0.5</v>
      </c>
      <c r="J3244">
        <v>0.6</v>
      </c>
      <c r="K3244">
        <v>0.2</v>
      </c>
      <c r="L3244">
        <v>0.8</v>
      </c>
      <c r="M3244">
        <v>2</v>
      </c>
      <c r="N3244">
        <v>631303</v>
      </c>
      <c r="O3244">
        <v>865202</v>
      </c>
      <c r="P3244">
        <v>992967</v>
      </c>
      <c r="Q3244">
        <v>2</v>
      </c>
      <c r="R3244">
        <v>3</v>
      </c>
      <c r="S3244">
        <v>4</v>
      </c>
      <c r="T3244">
        <v>999</v>
      </c>
      <c r="U3244">
        <v>999</v>
      </c>
    </row>
    <row r="3245" spans="1:21" x14ac:dyDescent="0.35">
      <c r="A3245" t="s">
        <v>28</v>
      </c>
      <c r="B3245" s="1">
        <v>44843</v>
      </c>
      <c r="C3245" t="s">
        <v>29</v>
      </c>
      <c r="D3245">
        <v>198.9</v>
      </c>
      <c r="E3245">
        <v>80.8</v>
      </c>
      <c r="F3245">
        <v>133.6</v>
      </c>
      <c r="G3245">
        <v>2.5</v>
      </c>
      <c r="H3245">
        <v>1.5</v>
      </c>
      <c r="I3245">
        <v>0</v>
      </c>
      <c r="J3245">
        <v>0</v>
      </c>
      <c r="K3245">
        <v>0</v>
      </c>
      <c r="L3245">
        <v>0</v>
      </c>
      <c r="M3245">
        <v>0</v>
      </c>
      <c r="N3245">
        <v>124669</v>
      </c>
      <c r="O3245">
        <v>276027</v>
      </c>
      <c r="P3245">
        <v>346520</v>
      </c>
      <c r="Q3245">
        <v>248</v>
      </c>
      <c r="R3245">
        <v>223</v>
      </c>
      <c r="S3245">
        <v>463</v>
      </c>
      <c r="T3245">
        <v>30</v>
      </c>
      <c r="U3245">
        <v>49</v>
      </c>
    </row>
    <row r="3246" spans="1:21" x14ac:dyDescent="0.35">
      <c r="A3246" t="s">
        <v>26</v>
      </c>
      <c r="B3246" s="1">
        <v>44982</v>
      </c>
      <c r="C3246" t="s">
        <v>24</v>
      </c>
      <c r="D3246">
        <v>1.1000000000000001</v>
      </c>
      <c r="E3246">
        <v>1.2</v>
      </c>
      <c r="F3246">
        <v>0</v>
      </c>
      <c r="G3246">
        <v>0.9</v>
      </c>
      <c r="H3246">
        <v>0</v>
      </c>
      <c r="I3246">
        <v>0</v>
      </c>
      <c r="J3246">
        <v>0</v>
      </c>
      <c r="K3246">
        <v>0</v>
      </c>
      <c r="L3246">
        <v>0</v>
      </c>
      <c r="M3246">
        <v>0</v>
      </c>
      <c r="N3246">
        <v>91529</v>
      </c>
      <c r="O3246">
        <v>82191</v>
      </c>
      <c r="P3246">
        <v>21200</v>
      </c>
      <c r="Q3246">
        <v>1</v>
      </c>
      <c r="R3246">
        <v>1</v>
      </c>
      <c r="S3246">
        <v>0</v>
      </c>
      <c r="T3246">
        <v>5</v>
      </c>
      <c r="U3246">
        <v>11</v>
      </c>
    </row>
    <row r="3247" spans="1:21" x14ac:dyDescent="0.35">
      <c r="A3247" t="s">
        <v>26</v>
      </c>
      <c r="B3247" s="1">
        <v>44737</v>
      </c>
      <c r="C3247" t="s">
        <v>29</v>
      </c>
      <c r="D3247">
        <v>9.4</v>
      </c>
      <c r="E3247">
        <v>4.3</v>
      </c>
      <c r="F3247">
        <v>3.8</v>
      </c>
      <c r="G3247">
        <v>2.2000000000000002</v>
      </c>
      <c r="H3247">
        <v>2.5</v>
      </c>
      <c r="I3247">
        <v>0</v>
      </c>
      <c r="J3247">
        <v>0</v>
      </c>
      <c r="K3247">
        <v>0</v>
      </c>
      <c r="L3247">
        <v>0</v>
      </c>
      <c r="M3247">
        <v>0</v>
      </c>
      <c r="N3247">
        <v>128154</v>
      </c>
      <c r="O3247">
        <v>281330</v>
      </c>
      <c r="P3247">
        <v>338834</v>
      </c>
      <c r="Q3247">
        <v>12</v>
      </c>
      <c r="R3247">
        <v>12</v>
      </c>
      <c r="S3247">
        <v>13</v>
      </c>
      <c r="T3247">
        <v>30</v>
      </c>
      <c r="U3247">
        <v>49</v>
      </c>
    </row>
    <row r="3248" spans="1:21" x14ac:dyDescent="0.35">
      <c r="A3248" t="s">
        <v>21</v>
      </c>
      <c r="B3248" s="1">
        <v>44863</v>
      </c>
      <c r="C3248" t="s">
        <v>30</v>
      </c>
      <c r="D3248">
        <v>0</v>
      </c>
      <c r="E3248">
        <v>35.200000000000003</v>
      </c>
      <c r="F3248">
        <v>2.1</v>
      </c>
      <c r="G3248">
        <v>0</v>
      </c>
      <c r="H3248">
        <v>0</v>
      </c>
      <c r="I3248">
        <v>0</v>
      </c>
      <c r="J3248">
        <v>0</v>
      </c>
      <c r="K3248">
        <v>0</v>
      </c>
      <c r="L3248">
        <v>0</v>
      </c>
      <c r="M3248">
        <v>0</v>
      </c>
      <c r="N3248">
        <v>25326</v>
      </c>
      <c r="O3248">
        <v>11370</v>
      </c>
      <c r="P3248">
        <v>47077</v>
      </c>
      <c r="Q3248">
        <v>0</v>
      </c>
      <c r="R3248">
        <v>4</v>
      </c>
      <c r="S3248">
        <v>1</v>
      </c>
      <c r="T3248">
        <v>80</v>
      </c>
      <c r="U3248">
        <v>200</v>
      </c>
    </row>
    <row r="3249" spans="1:21" x14ac:dyDescent="0.35">
      <c r="A3249" t="s">
        <v>26</v>
      </c>
      <c r="B3249" s="1">
        <v>44933</v>
      </c>
      <c r="C3249" t="s">
        <v>30</v>
      </c>
      <c r="D3249">
        <v>4.0999999999999996</v>
      </c>
      <c r="E3249">
        <v>17.600000000000001</v>
      </c>
      <c r="F3249">
        <v>8.5</v>
      </c>
      <c r="G3249">
        <v>0.2</v>
      </c>
      <c r="H3249">
        <v>0.5</v>
      </c>
      <c r="I3249">
        <v>0</v>
      </c>
      <c r="J3249">
        <v>0</v>
      </c>
      <c r="K3249">
        <v>0</v>
      </c>
      <c r="L3249">
        <v>0</v>
      </c>
      <c r="M3249">
        <v>0</v>
      </c>
      <c r="N3249">
        <v>24502</v>
      </c>
      <c r="O3249">
        <v>11383</v>
      </c>
      <c r="P3249">
        <v>47130</v>
      </c>
      <c r="Q3249">
        <v>1</v>
      </c>
      <c r="R3249">
        <v>2</v>
      </c>
      <c r="S3249">
        <v>4</v>
      </c>
      <c r="T3249">
        <v>80</v>
      </c>
      <c r="U3249">
        <v>200</v>
      </c>
    </row>
    <row r="3250" spans="1:21" x14ac:dyDescent="0.35">
      <c r="A3250" t="s">
        <v>28</v>
      </c>
      <c r="B3250" s="1">
        <v>44871</v>
      </c>
      <c r="C3250" t="s">
        <v>29</v>
      </c>
      <c r="D3250">
        <v>329.5</v>
      </c>
      <c r="E3250">
        <v>174.9</v>
      </c>
      <c r="F3250">
        <v>339.2</v>
      </c>
      <c r="G3250">
        <v>1.9</v>
      </c>
      <c r="H3250">
        <v>1</v>
      </c>
      <c r="I3250">
        <v>0</v>
      </c>
      <c r="J3250">
        <v>0</v>
      </c>
      <c r="K3250">
        <v>0</v>
      </c>
      <c r="L3250">
        <v>0</v>
      </c>
      <c r="M3250">
        <v>0</v>
      </c>
      <c r="N3250">
        <v>128697</v>
      </c>
      <c r="O3250">
        <v>282377</v>
      </c>
      <c r="P3250">
        <v>337248</v>
      </c>
      <c r="Q3250">
        <v>424</v>
      </c>
      <c r="R3250">
        <v>494</v>
      </c>
      <c r="S3250">
        <v>1144</v>
      </c>
      <c r="T3250">
        <v>30</v>
      </c>
      <c r="U3250">
        <v>49</v>
      </c>
    </row>
    <row r="3251" spans="1:21" x14ac:dyDescent="0.35">
      <c r="A3251" t="s">
        <v>28</v>
      </c>
      <c r="B3251" s="1">
        <v>44401</v>
      </c>
      <c r="C3251" t="s">
        <v>31</v>
      </c>
      <c r="D3251">
        <v>41.2</v>
      </c>
      <c r="E3251">
        <v>17.8</v>
      </c>
      <c r="F3251">
        <v>0</v>
      </c>
      <c r="G3251">
        <v>2.2999999999999998</v>
      </c>
      <c r="H3251">
        <v>0</v>
      </c>
      <c r="I3251">
        <v>0</v>
      </c>
      <c r="J3251">
        <v>0</v>
      </c>
      <c r="K3251">
        <v>0</v>
      </c>
      <c r="L3251">
        <v>0</v>
      </c>
      <c r="M3251">
        <v>0</v>
      </c>
      <c r="N3251">
        <v>70306</v>
      </c>
      <c r="O3251">
        <v>191132</v>
      </c>
      <c r="P3251">
        <v>0</v>
      </c>
      <c r="Q3251">
        <v>29</v>
      </c>
      <c r="R3251">
        <v>34</v>
      </c>
      <c r="S3251">
        <v>0</v>
      </c>
      <c r="T3251">
        <v>65</v>
      </c>
      <c r="U3251">
        <v>79</v>
      </c>
    </row>
    <row r="3252" spans="1:21" x14ac:dyDescent="0.35">
      <c r="A3252" t="s">
        <v>28</v>
      </c>
      <c r="B3252" s="1">
        <v>44863</v>
      </c>
      <c r="C3252" t="s">
        <v>22</v>
      </c>
      <c r="D3252">
        <v>144.9</v>
      </c>
      <c r="E3252">
        <v>79</v>
      </c>
      <c r="F3252">
        <v>116.4</v>
      </c>
      <c r="G3252">
        <v>1.8</v>
      </c>
      <c r="H3252">
        <v>1.2</v>
      </c>
      <c r="I3252">
        <v>179.1</v>
      </c>
      <c r="J3252">
        <v>82.9</v>
      </c>
      <c r="K3252">
        <v>103.9</v>
      </c>
      <c r="L3252">
        <v>2.2000000000000002</v>
      </c>
      <c r="M3252">
        <v>1.7</v>
      </c>
      <c r="N3252">
        <v>576831</v>
      </c>
      <c r="O3252">
        <v>846073</v>
      </c>
      <c r="P3252">
        <v>1039237</v>
      </c>
      <c r="Q3252">
        <v>836</v>
      </c>
      <c r="R3252">
        <v>668</v>
      </c>
      <c r="S3252">
        <v>1210</v>
      </c>
      <c r="T3252">
        <v>999</v>
      </c>
      <c r="U3252">
        <v>999</v>
      </c>
    </row>
    <row r="3253" spans="1:21" x14ac:dyDescent="0.35">
      <c r="A3253" t="s">
        <v>26</v>
      </c>
      <c r="B3253" s="1">
        <v>44912</v>
      </c>
      <c r="C3253" t="s">
        <v>22</v>
      </c>
      <c r="D3253">
        <v>17.5</v>
      </c>
      <c r="E3253">
        <v>7.5</v>
      </c>
      <c r="F3253">
        <v>14.2</v>
      </c>
      <c r="G3253">
        <v>2.2999999999999998</v>
      </c>
      <c r="H3253">
        <v>1.2</v>
      </c>
      <c r="I3253">
        <v>21.2</v>
      </c>
      <c r="J3253">
        <v>12</v>
      </c>
      <c r="K3253">
        <v>9.8000000000000007</v>
      </c>
      <c r="L3253">
        <v>1.8</v>
      </c>
      <c r="M3253">
        <v>2.2000000000000002</v>
      </c>
      <c r="N3253">
        <v>558425</v>
      </c>
      <c r="O3253">
        <v>852606</v>
      </c>
      <c r="P3253">
        <v>1039974</v>
      </c>
      <c r="Q3253">
        <v>98</v>
      </c>
      <c r="R3253">
        <v>64</v>
      </c>
      <c r="S3253">
        <v>148</v>
      </c>
      <c r="T3253">
        <v>999</v>
      </c>
      <c r="U3253">
        <v>999</v>
      </c>
    </row>
    <row r="3254" spans="1:21" x14ac:dyDescent="0.35">
      <c r="A3254" t="s">
        <v>28</v>
      </c>
      <c r="B3254" s="1">
        <v>44808</v>
      </c>
      <c r="C3254" t="s">
        <v>31</v>
      </c>
      <c r="D3254">
        <v>55.9</v>
      </c>
      <c r="E3254">
        <v>50.9</v>
      </c>
      <c r="F3254">
        <v>72</v>
      </c>
      <c r="G3254">
        <v>1.1000000000000001</v>
      </c>
      <c r="H3254">
        <v>0.8</v>
      </c>
      <c r="I3254">
        <v>0</v>
      </c>
      <c r="J3254">
        <v>0</v>
      </c>
      <c r="K3254">
        <v>0</v>
      </c>
      <c r="L3254">
        <v>0</v>
      </c>
      <c r="M3254">
        <v>0</v>
      </c>
      <c r="N3254">
        <v>48264</v>
      </c>
      <c r="O3254">
        <v>51105</v>
      </c>
      <c r="P3254">
        <v>159712</v>
      </c>
      <c r="Q3254">
        <v>27</v>
      </c>
      <c r="R3254">
        <v>26</v>
      </c>
      <c r="S3254">
        <v>115</v>
      </c>
      <c r="T3254">
        <v>65</v>
      </c>
      <c r="U3254">
        <v>79</v>
      </c>
    </row>
    <row r="3255" spans="1:21" x14ac:dyDescent="0.35">
      <c r="A3255" t="s">
        <v>26</v>
      </c>
      <c r="B3255" s="1">
        <v>44345</v>
      </c>
      <c r="C3255" t="s">
        <v>23</v>
      </c>
      <c r="D3255">
        <v>35.799999999999997</v>
      </c>
      <c r="E3255">
        <v>1.2</v>
      </c>
      <c r="F3255">
        <v>0</v>
      </c>
      <c r="G3255">
        <v>29.8</v>
      </c>
      <c r="H3255">
        <v>0</v>
      </c>
      <c r="I3255">
        <v>0</v>
      </c>
      <c r="J3255">
        <v>0</v>
      </c>
      <c r="K3255">
        <v>0</v>
      </c>
      <c r="L3255">
        <v>0</v>
      </c>
      <c r="M3255">
        <v>0</v>
      </c>
      <c r="N3255">
        <v>125545</v>
      </c>
      <c r="O3255">
        <v>255939</v>
      </c>
      <c r="P3255">
        <v>0</v>
      </c>
      <c r="Q3255">
        <v>45</v>
      </c>
      <c r="R3255">
        <v>3</v>
      </c>
      <c r="S3255">
        <v>0</v>
      </c>
      <c r="T3255">
        <v>50</v>
      </c>
      <c r="U3255">
        <v>64</v>
      </c>
    </row>
    <row r="3256" spans="1:21" x14ac:dyDescent="0.35">
      <c r="A3256" t="s">
        <v>28</v>
      </c>
      <c r="B3256" s="1">
        <v>44692</v>
      </c>
      <c r="C3256" t="s">
        <v>25</v>
      </c>
      <c r="D3256">
        <v>190.2</v>
      </c>
      <c r="E3256">
        <v>64.599999999999994</v>
      </c>
      <c r="F3256">
        <v>94.7</v>
      </c>
      <c r="G3256">
        <v>2.9</v>
      </c>
      <c r="H3256">
        <v>2</v>
      </c>
      <c r="I3256">
        <v>0</v>
      </c>
      <c r="J3256">
        <v>0</v>
      </c>
      <c r="K3256">
        <v>0</v>
      </c>
      <c r="L3256">
        <v>0</v>
      </c>
      <c r="M3256">
        <v>0</v>
      </c>
      <c r="N3256">
        <v>83590</v>
      </c>
      <c r="O3256">
        <v>212234</v>
      </c>
      <c r="P3256">
        <v>161534</v>
      </c>
      <c r="Q3256">
        <v>159</v>
      </c>
      <c r="R3256">
        <v>137</v>
      </c>
      <c r="S3256">
        <v>153</v>
      </c>
      <c r="T3256">
        <v>18</v>
      </c>
      <c r="U3256">
        <v>29</v>
      </c>
    </row>
    <row r="3257" spans="1:21" x14ac:dyDescent="0.35">
      <c r="A3257" t="s">
        <v>28</v>
      </c>
      <c r="B3257" s="1">
        <v>44774</v>
      </c>
      <c r="C3257" t="s">
        <v>31</v>
      </c>
      <c r="D3257">
        <v>1705.5</v>
      </c>
      <c r="E3257">
        <v>1411</v>
      </c>
      <c r="F3257">
        <v>727.6</v>
      </c>
      <c r="G3257">
        <v>1.2</v>
      </c>
      <c r="H3257">
        <v>2.2999999999999998</v>
      </c>
      <c r="I3257">
        <v>0</v>
      </c>
      <c r="J3257">
        <v>0</v>
      </c>
      <c r="K3257">
        <v>0</v>
      </c>
      <c r="L3257">
        <v>0</v>
      </c>
      <c r="M3257">
        <v>0</v>
      </c>
      <c r="N3257">
        <v>51599</v>
      </c>
      <c r="O3257">
        <v>73634</v>
      </c>
      <c r="P3257">
        <v>133598</v>
      </c>
      <c r="Q3257">
        <v>880</v>
      </c>
      <c r="R3257">
        <v>1039</v>
      </c>
      <c r="S3257">
        <v>972</v>
      </c>
      <c r="T3257">
        <v>65</v>
      </c>
      <c r="U3257">
        <v>79</v>
      </c>
    </row>
    <row r="3258" spans="1:21" x14ac:dyDescent="0.35">
      <c r="A3258" t="s">
        <v>28</v>
      </c>
      <c r="B3258" s="1">
        <v>44298</v>
      </c>
      <c r="C3258" t="s">
        <v>31</v>
      </c>
      <c r="D3258">
        <v>307.5</v>
      </c>
      <c r="E3258">
        <v>182.8</v>
      </c>
      <c r="F3258">
        <v>31</v>
      </c>
      <c r="G3258">
        <v>1.7</v>
      </c>
      <c r="H3258">
        <v>9.9</v>
      </c>
      <c r="I3258">
        <v>0</v>
      </c>
      <c r="J3258">
        <v>0</v>
      </c>
      <c r="K3258">
        <v>0</v>
      </c>
      <c r="L3258">
        <v>0</v>
      </c>
      <c r="M3258">
        <v>0</v>
      </c>
      <c r="N3258">
        <v>54957</v>
      </c>
      <c r="O3258">
        <v>111079</v>
      </c>
      <c r="P3258">
        <v>93634</v>
      </c>
      <c r="Q3258">
        <v>169</v>
      </c>
      <c r="R3258">
        <v>203</v>
      </c>
      <c r="S3258">
        <v>29</v>
      </c>
      <c r="T3258">
        <v>65</v>
      </c>
      <c r="U3258">
        <v>79</v>
      </c>
    </row>
    <row r="3259" spans="1:21" x14ac:dyDescent="0.35">
      <c r="A3259" t="s">
        <v>28</v>
      </c>
      <c r="B3259" s="1">
        <v>44358</v>
      </c>
      <c r="C3259" t="s">
        <v>25</v>
      </c>
      <c r="D3259">
        <v>187.4</v>
      </c>
      <c r="E3259">
        <v>66.900000000000006</v>
      </c>
      <c r="F3259">
        <v>39.1</v>
      </c>
      <c r="G3259">
        <v>2.8</v>
      </c>
      <c r="H3259">
        <v>4.8</v>
      </c>
      <c r="I3259">
        <v>0</v>
      </c>
      <c r="J3259">
        <v>0</v>
      </c>
      <c r="K3259">
        <v>0</v>
      </c>
      <c r="L3259">
        <v>0</v>
      </c>
      <c r="M3259">
        <v>0</v>
      </c>
      <c r="N3259">
        <v>162718</v>
      </c>
      <c r="O3259">
        <v>313731</v>
      </c>
      <c r="P3259">
        <v>10229</v>
      </c>
      <c r="Q3259">
        <v>305</v>
      </c>
      <c r="R3259">
        <v>210</v>
      </c>
      <c r="S3259">
        <v>4</v>
      </c>
      <c r="T3259">
        <v>18</v>
      </c>
      <c r="U3259">
        <v>29</v>
      </c>
    </row>
    <row r="3260" spans="1:21" x14ac:dyDescent="0.35">
      <c r="A3260" t="s">
        <v>21</v>
      </c>
      <c r="B3260" s="1">
        <v>44966</v>
      </c>
      <c r="C3260" t="s">
        <v>29</v>
      </c>
      <c r="D3260">
        <v>0</v>
      </c>
      <c r="E3260">
        <v>0</v>
      </c>
      <c r="F3260">
        <v>0</v>
      </c>
      <c r="G3260">
        <v>0</v>
      </c>
      <c r="H3260">
        <v>0</v>
      </c>
      <c r="I3260">
        <v>0</v>
      </c>
      <c r="J3260">
        <v>0</v>
      </c>
      <c r="K3260">
        <v>0</v>
      </c>
      <c r="L3260">
        <v>0</v>
      </c>
      <c r="M3260">
        <v>0</v>
      </c>
      <c r="N3260">
        <v>106946</v>
      </c>
      <c r="O3260">
        <v>278397</v>
      </c>
      <c r="P3260">
        <v>347321</v>
      </c>
      <c r="Q3260">
        <v>0</v>
      </c>
      <c r="R3260">
        <v>0</v>
      </c>
      <c r="S3260">
        <v>0</v>
      </c>
      <c r="T3260">
        <v>30</v>
      </c>
      <c r="U3260">
        <v>49</v>
      </c>
    </row>
    <row r="3261" spans="1:21" x14ac:dyDescent="0.35">
      <c r="A3261" t="s">
        <v>21</v>
      </c>
      <c r="B3261" s="1">
        <v>45232</v>
      </c>
      <c r="C3261" t="s">
        <v>22</v>
      </c>
      <c r="D3261">
        <v>0.5</v>
      </c>
      <c r="E3261">
        <v>0.5</v>
      </c>
      <c r="F3261">
        <v>0.2</v>
      </c>
      <c r="G3261">
        <v>1</v>
      </c>
      <c r="H3261">
        <v>2.5</v>
      </c>
      <c r="I3261">
        <v>0.5</v>
      </c>
      <c r="J3261">
        <v>1</v>
      </c>
      <c r="K3261">
        <v>0.1</v>
      </c>
      <c r="L3261">
        <v>0.5</v>
      </c>
      <c r="M3261">
        <v>4.3</v>
      </c>
      <c r="N3261">
        <v>547298</v>
      </c>
      <c r="O3261">
        <v>856543</v>
      </c>
      <c r="P3261">
        <v>1040368</v>
      </c>
      <c r="Q3261">
        <v>3</v>
      </c>
      <c r="R3261">
        <v>4</v>
      </c>
      <c r="S3261">
        <v>2</v>
      </c>
      <c r="T3261">
        <v>999</v>
      </c>
      <c r="U3261">
        <v>999</v>
      </c>
    </row>
    <row r="3262" spans="1:21" x14ac:dyDescent="0.35">
      <c r="A3262" t="s">
        <v>21</v>
      </c>
      <c r="B3262" s="1">
        <v>44366</v>
      </c>
      <c r="C3262" t="s">
        <v>29</v>
      </c>
      <c r="D3262">
        <v>1.7</v>
      </c>
      <c r="E3262">
        <v>0</v>
      </c>
      <c r="F3262">
        <v>0</v>
      </c>
      <c r="G3262">
        <v>0</v>
      </c>
      <c r="H3262">
        <v>0</v>
      </c>
      <c r="I3262">
        <v>0</v>
      </c>
      <c r="J3262">
        <v>0</v>
      </c>
      <c r="K3262">
        <v>0</v>
      </c>
      <c r="L3262">
        <v>0</v>
      </c>
      <c r="M3262">
        <v>0</v>
      </c>
      <c r="N3262">
        <v>294504</v>
      </c>
      <c r="O3262">
        <v>450450</v>
      </c>
      <c r="P3262">
        <v>0</v>
      </c>
      <c r="Q3262">
        <v>5</v>
      </c>
      <c r="R3262">
        <v>0</v>
      </c>
      <c r="S3262">
        <v>0</v>
      </c>
      <c r="T3262">
        <v>30</v>
      </c>
      <c r="U3262">
        <v>49</v>
      </c>
    </row>
    <row r="3263" spans="1:21" x14ac:dyDescent="0.35">
      <c r="A3263" t="s">
        <v>28</v>
      </c>
      <c r="B3263" s="1">
        <v>44969</v>
      </c>
      <c r="C3263" t="s">
        <v>27</v>
      </c>
      <c r="D3263">
        <v>76.3</v>
      </c>
      <c r="E3263">
        <v>24.3</v>
      </c>
      <c r="F3263">
        <v>24.6</v>
      </c>
      <c r="G3263">
        <v>3.1</v>
      </c>
      <c r="H3263">
        <v>3.1</v>
      </c>
      <c r="I3263">
        <v>0</v>
      </c>
      <c r="J3263">
        <v>0</v>
      </c>
      <c r="K3263">
        <v>0</v>
      </c>
      <c r="L3263">
        <v>0</v>
      </c>
      <c r="M3263">
        <v>0</v>
      </c>
      <c r="N3263">
        <v>31447</v>
      </c>
      <c r="O3263">
        <v>86443</v>
      </c>
      <c r="P3263">
        <v>44784</v>
      </c>
      <c r="Q3263">
        <v>24</v>
      </c>
      <c r="R3263">
        <v>21</v>
      </c>
      <c r="S3263">
        <v>11</v>
      </c>
      <c r="T3263">
        <v>12</v>
      </c>
      <c r="U3263">
        <v>17</v>
      </c>
    </row>
    <row r="3264" spans="1:21" x14ac:dyDescent="0.35">
      <c r="A3264" t="s">
        <v>28</v>
      </c>
      <c r="B3264" s="1">
        <v>44856</v>
      </c>
      <c r="C3264" t="s">
        <v>25</v>
      </c>
      <c r="D3264">
        <v>150.1</v>
      </c>
      <c r="E3264">
        <v>46.7</v>
      </c>
      <c r="F3264">
        <v>82.3</v>
      </c>
      <c r="G3264">
        <v>3.2</v>
      </c>
      <c r="H3264">
        <v>1.8</v>
      </c>
      <c r="I3264">
        <v>0</v>
      </c>
      <c r="J3264">
        <v>0</v>
      </c>
      <c r="K3264">
        <v>0</v>
      </c>
      <c r="L3264">
        <v>0</v>
      </c>
      <c r="M3264">
        <v>0</v>
      </c>
      <c r="N3264">
        <v>85278</v>
      </c>
      <c r="O3264">
        <v>212032</v>
      </c>
      <c r="P3264">
        <v>161513</v>
      </c>
      <c r="Q3264">
        <v>128</v>
      </c>
      <c r="R3264">
        <v>99</v>
      </c>
      <c r="S3264">
        <v>133</v>
      </c>
      <c r="T3264">
        <v>18</v>
      </c>
      <c r="U3264">
        <v>29</v>
      </c>
    </row>
    <row r="3265" spans="1:21" x14ac:dyDescent="0.35">
      <c r="A3265" t="s">
        <v>26</v>
      </c>
      <c r="B3265" s="1">
        <v>44611</v>
      </c>
      <c r="C3265" t="s">
        <v>30</v>
      </c>
      <c r="D3265">
        <v>22</v>
      </c>
      <c r="E3265">
        <v>59.3</v>
      </c>
      <c r="F3265">
        <v>21.6</v>
      </c>
      <c r="G3265">
        <v>0.4</v>
      </c>
      <c r="H3265">
        <v>1</v>
      </c>
      <c r="I3265">
        <v>0</v>
      </c>
      <c r="J3265">
        <v>0</v>
      </c>
      <c r="K3265">
        <v>0</v>
      </c>
      <c r="L3265">
        <v>0</v>
      </c>
      <c r="M3265">
        <v>0</v>
      </c>
      <c r="N3265">
        <v>27250</v>
      </c>
      <c r="O3265">
        <v>15168</v>
      </c>
      <c r="P3265">
        <v>41699</v>
      </c>
      <c r="Q3265">
        <v>6</v>
      </c>
      <c r="R3265">
        <v>9</v>
      </c>
      <c r="S3265">
        <v>9</v>
      </c>
      <c r="T3265">
        <v>80</v>
      </c>
      <c r="U3265">
        <v>200</v>
      </c>
    </row>
    <row r="3266" spans="1:21" x14ac:dyDescent="0.35">
      <c r="A3266" t="s">
        <v>26</v>
      </c>
      <c r="B3266" s="1">
        <v>44947</v>
      </c>
      <c r="C3266" t="s">
        <v>24</v>
      </c>
      <c r="D3266">
        <v>0</v>
      </c>
      <c r="E3266">
        <v>1.2</v>
      </c>
      <c r="F3266">
        <v>0</v>
      </c>
      <c r="G3266">
        <v>0</v>
      </c>
      <c r="H3266">
        <v>0</v>
      </c>
      <c r="I3266">
        <v>0</v>
      </c>
      <c r="J3266">
        <v>0</v>
      </c>
      <c r="K3266">
        <v>0</v>
      </c>
      <c r="L3266">
        <v>0</v>
      </c>
      <c r="M3266">
        <v>0</v>
      </c>
      <c r="N3266">
        <v>92044</v>
      </c>
      <c r="O3266">
        <v>81778</v>
      </c>
      <c r="P3266">
        <v>21171</v>
      </c>
      <c r="Q3266">
        <v>0</v>
      </c>
      <c r="R3266">
        <v>1</v>
      </c>
      <c r="S3266">
        <v>0</v>
      </c>
      <c r="T3266">
        <v>5</v>
      </c>
      <c r="U3266">
        <v>11</v>
      </c>
    </row>
    <row r="3267" spans="1:21" x14ac:dyDescent="0.35">
      <c r="A3267" t="s">
        <v>28</v>
      </c>
      <c r="B3267" s="1">
        <v>45213</v>
      </c>
      <c r="C3267" t="s">
        <v>30</v>
      </c>
      <c r="D3267">
        <v>53.5</v>
      </c>
      <c r="E3267">
        <v>61.3</v>
      </c>
      <c r="F3267">
        <v>63.6</v>
      </c>
      <c r="G3267">
        <v>0.9</v>
      </c>
      <c r="H3267">
        <v>0.8</v>
      </c>
      <c r="I3267">
        <v>0</v>
      </c>
      <c r="J3267">
        <v>0</v>
      </c>
      <c r="K3267">
        <v>0</v>
      </c>
      <c r="L3267">
        <v>0</v>
      </c>
      <c r="M3267">
        <v>0</v>
      </c>
      <c r="N3267">
        <v>24292</v>
      </c>
      <c r="O3267">
        <v>11411</v>
      </c>
      <c r="P3267">
        <v>47164</v>
      </c>
      <c r="Q3267">
        <v>13</v>
      </c>
      <c r="R3267">
        <v>7</v>
      </c>
      <c r="S3267">
        <v>30</v>
      </c>
      <c r="T3267">
        <v>80</v>
      </c>
      <c r="U3267">
        <v>200</v>
      </c>
    </row>
    <row r="3268" spans="1:21" x14ac:dyDescent="0.35">
      <c r="A3268" t="s">
        <v>28</v>
      </c>
      <c r="B3268" s="1">
        <v>44618</v>
      </c>
      <c r="C3268" t="s">
        <v>24</v>
      </c>
      <c r="D3268">
        <v>57.2</v>
      </c>
      <c r="E3268">
        <v>85.4</v>
      </c>
      <c r="F3268">
        <v>0</v>
      </c>
      <c r="G3268">
        <v>0.7</v>
      </c>
      <c r="H3268">
        <v>0</v>
      </c>
      <c r="I3268">
        <v>0</v>
      </c>
      <c r="J3268">
        <v>0</v>
      </c>
      <c r="K3268">
        <v>0</v>
      </c>
      <c r="L3268">
        <v>0</v>
      </c>
      <c r="M3268">
        <v>0</v>
      </c>
      <c r="N3268">
        <v>106580</v>
      </c>
      <c r="O3268">
        <v>79595</v>
      </c>
      <c r="P3268">
        <v>0</v>
      </c>
      <c r="Q3268">
        <v>61</v>
      </c>
      <c r="R3268">
        <v>68</v>
      </c>
      <c r="S3268">
        <v>0</v>
      </c>
      <c r="T3268">
        <v>5</v>
      </c>
      <c r="U3268">
        <v>11</v>
      </c>
    </row>
    <row r="3269" spans="1:21" x14ac:dyDescent="0.35">
      <c r="A3269" t="s">
        <v>28</v>
      </c>
      <c r="B3269" s="1">
        <v>44632</v>
      </c>
      <c r="C3269" t="s">
        <v>29</v>
      </c>
      <c r="D3269">
        <v>277.7</v>
      </c>
      <c r="E3269">
        <v>123.5</v>
      </c>
      <c r="F3269">
        <v>142.30000000000001</v>
      </c>
      <c r="G3269">
        <v>2.2000000000000002</v>
      </c>
      <c r="H3269">
        <v>2</v>
      </c>
      <c r="I3269">
        <v>0</v>
      </c>
      <c r="J3269">
        <v>0</v>
      </c>
      <c r="K3269">
        <v>0</v>
      </c>
      <c r="L3269">
        <v>0</v>
      </c>
      <c r="M3269">
        <v>0</v>
      </c>
      <c r="N3269">
        <v>114875</v>
      </c>
      <c r="O3269">
        <v>276921</v>
      </c>
      <c r="P3269">
        <v>347113</v>
      </c>
      <c r="Q3269">
        <v>319</v>
      </c>
      <c r="R3269">
        <v>342</v>
      </c>
      <c r="S3269">
        <v>494</v>
      </c>
      <c r="T3269">
        <v>30</v>
      </c>
      <c r="U3269">
        <v>49</v>
      </c>
    </row>
    <row r="3270" spans="1:21" x14ac:dyDescent="0.35">
      <c r="A3270" t="s">
        <v>28</v>
      </c>
      <c r="B3270" s="1">
        <v>44237</v>
      </c>
      <c r="C3270" t="s">
        <v>25</v>
      </c>
      <c r="D3270">
        <v>190.8</v>
      </c>
      <c r="E3270">
        <v>62.7</v>
      </c>
      <c r="F3270">
        <v>0</v>
      </c>
      <c r="G3270">
        <v>3</v>
      </c>
      <c r="H3270">
        <v>0</v>
      </c>
      <c r="I3270">
        <v>0</v>
      </c>
      <c r="J3270">
        <v>0</v>
      </c>
      <c r="K3270">
        <v>0</v>
      </c>
      <c r="L3270">
        <v>0</v>
      </c>
      <c r="M3270">
        <v>0</v>
      </c>
      <c r="N3270">
        <v>175617</v>
      </c>
      <c r="O3270">
        <v>307962</v>
      </c>
      <c r="P3270">
        <v>0</v>
      </c>
      <c r="Q3270">
        <v>335</v>
      </c>
      <c r="R3270">
        <v>193</v>
      </c>
      <c r="S3270">
        <v>0</v>
      </c>
      <c r="T3270">
        <v>18</v>
      </c>
      <c r="U3270">
        <v>29</v>
      </c>
    </row>
    <row r="3271" spans="1:21" x14ac:dyDescent="0.35">
      <c r="A3271" t="s">
        <v>21</v>
      </c>
      <c r="B3271" s="1">
        <v>45059</v>
      </c>
      <c r="C3271" t="s">
        <v>27</v>
      </c>
      <c r="D3271">
        <v>0</v>
      </c>
      <c r="E3271">
        <v>0</v>
      </c>
      <c r="F3271">
        <v>0</v>
      </c>
      <c r="G3271">
        <v>0</v>
      </c>
      <c r="H3271">
        <v>0</v>
      </c>
      <c r="I3271">
        <v>0</v>
      </c>
      <c r="J3271">
        <v>0</v>
      </c>
      <c r="K3271">
        <v>0</v>
      </c>
      <c r="L3271">
        <v>0</v>
      </c>
      <c r="M3271">
        <v>0</v>
      </c>
      <c r="N3271">
        <v>32614</v>
      </c>
      <c r="O3271">
        <v>86583</v>
      </c>
      <c r="P3271">
        <v>44576</v>
      </c>
      <c r="Q3271">
        <v>0</v>
      </c>
      <c r="R3271">
        <v>0</v>
      </c>
      <c r="S3271">
        <v>0</v>
      </c>
      <c r="T3271">
        <v>12</v>
      </c>
      <c r="U3271">
        <v>17</v>
      </c>
    </row>
    <row r="3272" spans="1:21" x14ac:dyDescent="0.35">
      <c r="A3272" t="s">
        <v>28</v>
      </c>
      <c r="B3272" s="1">
        <v>45082</v>
      </c>
      <c r="C3272" t="s">
        <v>25</v>
      </c>
      <c r="D3272">
        <v>59.7</v>
      </c>
      <c r="E3272">
        <v>13.1</v>
      </c>
      <c r="F3272">
        <v>17.3</v>
      </c>
      <c r="G3272">
        <v>4.5999999999999996</v>
      </c>
      <c r="H3272">
        <v>3.5</v>
      </c>
      <c r="I3272">
        <v>0</v>
      </c>
      <c r="J3272">
        <v>0</v>
      </c>
      <c r="K3272">
        <v>0</v>
      </c>
      <c r="L3272">
        <v>0</v>
      </c>
      <c r="M3272">
        <v>0</v>
      </c>
      <c r="N3272">
        <v>75322</v>
      </c>
      <c r="O3272">
        <v>214130</v>
      </c>
      <c r="P3272">
        <v>161688</v>
      </c>
      <c r="Q3272">
        <v>45</v>
      </c>
      <c r="R3272">
        <v>28</v>
      </c>
      <c r="S3272">
        <v>28</v>
      </c>
      <c r="T3272">
        <v>18</v>
      </c>
      <c r="U3272">
        <v>29</v>
      </c>
    </row>
    <row r="3273" spans="1:21" x14ac:dyDescent="0.35">
      <c r="A3273" t="s">
        <v>26</v>
      </c>
      <c r="B3273" s="1">
        <v>45255</v>
      </c>
      <c r="C3273" t="s">
        <v>22</v>
      </c>
      <c r="D3273">
        <v>7.3</v>
      </c>
      <c r="E3273">
        <v>3.5</v>
      </c>
      <c r="F3273">
        <v>7.5</v>
      </c>
      <c r="G3273">
        <v>2.1</v>
      </c>
      <c r="H3273">
        <v>1</v>
      </c>
      <c r="I3273">
        <v>7.4</v>
      </c>
      <c r="J3273">
        <v>5.9</v>
      </c>
      <c r="K3273">
        <v>5</v>
      </c>
      <c r="L3273">
        <v>1.3</v>
      </c>
      <c r="M3273">
        <v>1.5</v>
      </c>
      <c r="N3273">
        <v>505372</v>
      </c>
      <c r="O3273">
        <v>862658</v>
      </c>
      <c r="P3273">
        <v>1048252</v>
      </c>
      <c r="Q3273">
        <v>37</v>
      </c>
      <c r="R3273">
        <v>30</v>
      </c>
      <c r="S3273">
        <v>79</v>
      </c>
      <c r="T3273">
        <v>999</v>
      </c>
      <c r="U3273">
        <v>999</v>
      </c>
    </row>
    <row r="3274" spans="1:21" x14ac:dyDescent="0.35">
      <c r="A3274" t="s">
        <v>28</v>
      </c>
      <c r="B3274" s="1">
        <v>44536</v>
      </c>
      <c r="C3274" t="s">
        <v>29</v>
      </c>
      <c r="D3274">
        <v>33.6</v>
      </c>
      <c r="E3274">
        <v>4.8</v>
      </c>
      <c r="F3274">
        <v>0</v>
      </c>
      <c r="G3274">
        <v>7</v>
      </c>
      <c r="H3274">
        <v>0</v>
      </c>
      <c r="I3274">
        <v>0</v>
      </c>
      <c r="J3274">
        <v>0</v>
      </c>
      <c r="K3274">
        <v>0</v>
      </c>
      <c r="L3274">
        <v>0</v>
      </c>
      <c r="M3274">
        <v>0</v>
      </c>
      <c r="N3274">
        <v>300339</v>
      </c>
      <c r="O3274">
        <v>438852</v>
      </c>
      <c r="P3274">
        <v>0</v>
      </c>
      <c r="Q3274">
        <v>101</v>
      </c>
      <c r="R3274">
        <v>21</v>
      </c>
      <c r="S3274">
        <v>0</v>
      </c>
      <c r="T3274">
        <v>30</v>
      </c>
      <c r="U3274">
        <v>49</v>
      </c>
    </row>
    <row r="3275" spans="1:21" x14ac:dyDescent="0.35">
      <c r="A3275" t="s">
        <v>28</v>
      </c>
      <c r="B3275" s="1">
        <v>44800</v>
      </c>
      <c r="C3275" t="s">
        <v>22</v>
      </c>
      <c r="D3275">
        <v>195.9</v>
      </c>
      <c r="E3275">
        <v>109.2</v>
      </c>
      <c r="F3275">
        <v>165.5</v>
      </c>
      <c r="G3275">
        <v>1.8</v>
      </c>
      <c r="H3275">
        <v>1.2</v>
      </c>
      <c r="I3275">
        <v>226.7</v>
      </c>
      <c r="J3275">
        <v>107.1</v>
      </c>
      <c r="K3275">
        <v>144.4</v>
      </c>
      <c r="L3275">
        <v>2.1</v>
      </c>
      <c r="M3275">
        <v>1.6</v>
      </c>
      <c r="N3275">
        <v>606382</v>
      </c>
      <c r="O3275">
        <v>844687</v>
      </c>
      <c r="P3275">
        <v>1026640</v>
      </c>
      <c r="Q3275">
        <v>1188</v>
      </c>
      <c r="R3275">
        <v>922</v>
      </c>
      <c r="S3275">
        <v>1699</v>
      </c>
      <c r="T3275">
        <v>999</v>
      </c>
      <c r="U3275">
        <v>999</v>
      </c>
    </row>
    <row r="3276" spans="1:21" x14ac:dyDescent="0.35">
      <c r="A3276" t="s">
        <v>28</v>
      </c>
      <c r="B3276" s="1">
        <v>44562</v>
      </c>
      <c r="C3276" t="s">
        <v>24</v>
      </c>
      <c r="D3276">
        <v>2019</v>
      </c>
      <c r="E3276">
        <v>1500.2</v>
      </c>
      <c r="F3276">
        <v>0</v>
      </c>
      <c r="G3276">
        <v>1.3</v>
      </c>
      <c r="H3276">
        <v>0</v>
      </c>
      <c r="I3276">
        <v>0</v>
      </c>
      <c r="J3276">
        <v>0</v>
      </c>
      <c r="K3276">
        <v>0</v>
      </c>
      <c r="L3276">
        <v>0</v>
      </c>
      <c r="M3276">
        <v>0</v>
      </c>
      <c r="N3276">
        <v>138684</v>
      </c>
      <c r="O3276">
        <v>43394</v>
      </c>
      <c r="P3276">
        <v>0</v>
      </c>
      <c r="Q3276">
        <v>2800</v>
      </c>
      <c r="R3276">
        <v>651</v>
      </c>
      <c r="S3276">
        <v>0</v>
      </c>
      <c r="T3276">
        <v>5</v>
      </c>
      <c r="U3276">
        <v>11</v>
      </c>
    </row>
    <row r="3277" spans="1:21" x14ac:dyDescent="0.35">
      <c r="A3277" t="s">
        <v>28</v>
      </c>
      <c r="B3277" s="1">
        <v>44891</v>
      </c>
      <c r="C3277" t="s">
        <v>25</v>
      </c>
      <c r="D3277">
        <v>163.1</v>
      </c>
      <c r="E3277">
        <v>50.3</v>
      </c>
      <c r="F3277">
        <v>68.7</v>
      </c>
      <c r="G3277">
        <v>3.2</v>
      </c>
      <c r="H3277">
        <v>2.4</v>
      </c>
      <c r="I3277">
        <v>0</v>
      </c>
      <c r="J3277">
        <v>0</v>
      </c>
      <c r="K3277">
        <v>0</v>
      </c>
      <c r="L3277">
        <v>0</v>
      </c>
      <c r="M3277">
        <v>0</v>
      </c>
      <c r="N3277">
        <v>81540</v>
      </c>
      <c r="O3277">
        <v>212520</v>
      </c>
      <c r="P3277">
        <v>161571</v>
      </c>
      <c r="Q3277">
        <v>133</v>
      </c>
      <c r="R3277">
        <v>107</v>
      </c>
      <c r="S3277">
        <v>111</v>
      </c>
      <c r="T3277">
        <v>18</v>
      </c>
      <c r="U3277">
        <v>29</v>
      </c>
    </row>
    <row r="3278" spans="1:21" x14ac:dyDescent="0.35">
      <c r="A3278" t="s">
        <v>26</v>
      </c>
      <c r="B3278" s="1">
        <v>44684</v>
      </c>
      <c r="C3278" t="s">
        <v>31</v>
      </c>
      <c r="D3278">
        <v>10.199999999999999</v>
      </c>
      <c r="E3278">
        <v>9.3000000000000007</v>
      </c>
      <c r="F3278">
        <v>1.9</v>
      </c>
      <c r="G3278">
        <v>1.1000000000000001</v>
      </c>
      <c r="H3278">
        <v>5.4</v>
      </c>
      <c r="I3278">
        <v>0</v>
      </c>
      <c r="J3278">
        <v>0</v>
      </c>
      <c r="K3278">
        <v>0</v>
      </c>
      <c r="L3278">
        <v>0</v>
      </c>
      <c r="M3278">
        <v>0</v>
      </c>
      <c r="N3278">
        <v>48917</v>
      </c>
      <c r="O3278">
        <v>54022</v>
      </c>
      <c r="P3278">
        <v>156028</v>
      </c>
      <c r="Q3278">
        <v>5</v>
      </c>
      <c r="R3278">
        <v>5</v>
      </c>
      <c r="S3278">
        <v>3</v>
      </c>
      <c r="T3278">
        <v>65</v>
      </c>
      <c r="U3278">
        <v>79</v>
      </c>
    </row>
    <row r="3279" spans="1:21" x14ac:dyDescent="0.35">
      <c r="A3279" t="s">
        <v>26</v>
      </c>
      <c r="B3279" s="1">
        <v>44737</v>
      </c>
      <c r="C3279" t="s">
        <v>31</v>
      </c>
      <c r="D3279">
        <v>34.4</v>
      </c>
      <c r="E3279">
        <v>23.7</v>
      </c>
      <c r="F3279">
        <v>15</v>
      </c>
      <c r="G3279">
        <v>1.5</v>
      </c>
      <c r="H3279">
        <v>2.2999999999999998</v>
      </c>
      <c r="I3279">
        <v>0</v>
      </c>
      <c r="J3279">
        <v>0</v>
      </c>
      <c r="K3279">
        <v>0</v>
      </c>
      <c r="L3279">
        <v>0</v>
      </c>
      <c r="M3279">
        <v>0</v>
      </c>
      <c r="N3279">
        <v>46578</v>
      </c>
      <c r="O3279">
        <v>46462</v>
      </c>
      <c r="P3279">
        <v>167052</v>
      </c>
      <c r="Q3279">
        <v>16</v>
      </c>
      <c r="R3279">
        <v>11</v>
      </c>
      <c r="S3279">
        <v>25</v>
      </c>
      <c r="T3279">
        <v>65</v>
      </c>
      <c r="U3279">
        <v>79</v>
      </c>
    </row>
    <row r="3280" spans="1:21" x14ac:dyDescent="0.35">
      <c r="A3280" t="s">
        <v>28</v>
      </c>
      <c r="B3280" s="1">
        <v>44303</v>
      </c>
      <c r="C3280" t="s">
        <v>27</v>
      </c>
      <c r="D3280">
        <v>163.30000000000001</v>
      </c>
      <c r="E3280">
        <v>0</v>
      </c>
      <c r="F3280">
        <v>0</v>
      </c>
      <c r="G3280">
        <v>0</v>
      </c>
      <c r="H3280">
        <v>0</v>
      </c>
      <c r="I3280">
        <v>0</v>
      </c>
      <c r="J3280">
        <v>0</v>
      </c>
      <c r="K3280">
        <v>0</v>
      </c>
      <c r="L3280">
        <v>0</v>
      </c>
      <c r="M3280">
        <v>0</v>
      </c>
      <c r="N3280">
        <v>175134</v>
      </c>
      <c r="O3280">
        <v>0</v>
      </c>
      <c r="P3280">
        <v>0</v>
      </c>
      <c r="Q3280">
        <v>286</v>
      </c>
      <c r="R3280">
        <v>0</v>
      </c>
      <c r="S3280">
        <v>0</v>
      </c>
      <c r="T3280">
        <v>12</v>
      </c>
      <c r="U3280">
        <v>17</v>
      </c>
    </row>
    <row r="3281" spans="1:21" x14ac:dyDescent="0.35">
      <c r="A3281" t="s">
        <v>26</v>
      </c>
      <c r="B3281" s="1">
        <v>44295</v>
      </c>
      <c r="C3281" t="s">
        <v>27</v>
      </c>
      <c r="D3281">
        <v>0</v>
      </c>
      <c r="E3281">
        <v>0</v>
      </c>
      <c r="F3281">
        <v>0</v>
      </c>
      <c r="G3281">
        <v>0</v>
      </c>
      <c r="H3281">
        <v>0</v>
      </c>
      <c r="I3281">
        <v>0</v>
      </c>
      <c r="J3281">
        <v>0</v>
      </c>
      <c r="K3281">
        <v>0</v>
      </c>
      <c r="L3281">
        <v>0</v>
      </c>
      <c r="M3281">
        <v>0</v>
      </c>
      <c r="N3281">
        <v>75470</v>
      </c>
      <c r="O3281">
        <v>79801</v>
      </c>
      <c r="P3281">
        <v>0</v>
      </c>
      <c r="Q3281">
        <v>0</v>
      </c>
      <c r="R3281">
        <v>0</v>
      </c>
      <c r="S3281">
        <v>0</v>
      </c>
      <c r="T3281">
        <v>12</v>
      </c>
      <c r="U3281">
        <v>17</v>
      </c>
    </row>
    <row r="3282" spans="1:21" x14ac:dyDescent="0.35">
      <c r="A3282" t="s">
        <v>26</v>
      </c>
      <c r="B3282" s="1">
        <v>45066</v>
      </c>
      <c r="C3282" t="s">
        <v>31</v>
      </c>
      <c r="D3282">
        <v>17.7</v>
      </c>
      <c r="E3282">
        <v>6.9</v>
      </c>
      <c r="F3282">
        <v>8.6999999999999993</v>
      </c>
      <c r="G3282">
        <v>2.6</v>
      </c>
      <c r="H3282">
        <v>2</v>
      </c>
      <c r="I3282">
        <v>0</v>
      </c>
      <c r="J3282">
        <v>0</v>
      </c>
      <c r="K3282">
        <v>0</v>
      </c>
      <c r="L3282">
        <v>0</v>
      </c>
      <c r="M3282">
        <v>0</v>
      </c>
      <c r="N3282">
        <v>39539</v>
      </c>
      <c r="O3282">
        <v>43437</v>
      </c>
      <c r="P3282">
        <v>171728</v>
      </c>
      <c r="Q3282">
        <v>7</v>
      </c>
      <c r="R3282">
        <v>3</v>
      </c>
      <c r="S3282">
        <v>15</v>
      </c>
      <c r="T3282">
        <v>65</v>
      </c>
      <c r="U3282">
        <v>79</v>
      </c>
    </row>
    <row r="3283" spans="1:21" x14ac:dyDescent="0.35">
      <c r="A3283" t="s">
        <v>26</v>
      </c>
      <c r="B3283" s="1">
        <v>45255</v>
      </c>
      <c r="C3283" t="s">
        <v>23</v>
      </c>
      <c r="D3283">
        <v>10.1</v>
      </c>
      <c r="E3283">
        <v>7.2</v>
      </c>
      <c r="F3283">
        <v>4.8</v>
      </c>
      <c r="G3283">
        <v>1.4</v>
      </c>
      <c r="H3283">
        <v>2.1</v>
      </c>
      <c r="I3283">
        <v>0</v>
      </c>
      <c r="J3283">
        <v>0</v>
      </c>
      <c r="K3283">
        <v>0</v>
      </c>
      <c r="L3283">
        <v>0</v>
      </c>
      <c r="M3283">
        <v>0</v>
      </c>
      <c r="N3283">
        <v>29770</v>
      </c>
      <c r="O3283">
        <v>125696</v>
      </c>
      <c r="P3283">
        <v>248112</v>
      </c>
      <c r="Q3283">
        <v>3</v>
      </c>
      <c r="R3283">
        <v>9</v>
      </c>
      <c r="S3283">
        <v>12</v>
      </c>
      <c r="T3283">
        <v>50</v>
      </c>
      <c r="U3283">
        <v>64</v>
      </c>
    </row>
    <row r="3284" spans="1:21" x14ac:dyDescent="0.35">
      <c r="A3284" t="s">
        <v>21</v>
      </c>
      <c r="B3284" s="1">
        <v>44772</v>
      </c>
      <c r="C3284" t="s">
        <v>24</v>
      </c>
      <c r="D3284">
        <v>0</v>
      </c>
      <c r="E3284">
        <v>0</v>
      </c>
      <c r="F3284">
        <v>0</v>
      </c>
      <c r="G3284">
        <v>0</v>
      </c>
      <c r="H3284">
        <v>0</v>
      </c>
      <c r="I3284">
        <v>0</v>
      </c>
      <c r="J3284">
        <v>0</v>
      </c>
      <c r="K3284">
        <v>0</v>
      </c>
      <c r="L3284">
        <v>0</v>
      </c>
      <c r="M3284">
        <v>0</v>
      </c>
      <c r="N3284">
        <v>97719</v>
      </c>
      <c r="O3284">
        <v>86946</v>
      </c>
      <c r="P3284">
        <v>10832</v>
      </c>
      <c r="Q3284">
        <v>0</v>
      </c>
      <c r="R3284">
        <v>0</v>
      </c>
      <c r="S3284">
        <v>0</v>
      </c>
      <c r="T3284">
        <v>5</v>
      </c>
      <c r="U3284">
        <v>11</v>
      </c>
    </row>
    <row r="3285" spans="1:21" x14ac:dyDescent="0.35">
      <c r="A3285" t="s">
        <v>21</v>
      </c>
      <c r="B3285" s="1">
        <v>44520</v>
      </c>
      <c r="C3285" t="s">
        <v>27</v>
      </c>
      <c r="D3285">
        <v>0</v>
      </c>
      <c r="E3285">
        <v>0</v>
      </c>
      <c r="F3285">
        <v>0</v>
      </c>
      <c r="G3285">
        <v>0</v>
      </c>
      <c r="H3285">
        <v>0</v>
      </c>
      <c r="I3285">
        <v>0</v>
      </c>
      <c r="J3285">
        <v>0</v>
      </c>
      <c r="K3285">
        <v>0</v>
      </c>
      <c r="L3285">
        <v>0</v>
      </c>
      <c r="M3285">
        <v>0</v>
      </c>
      <c r="N3285">
        <v>60117</v>
      </c>
      <c r="O3285">
        <v>103905</v>
      </c>
      <c r="P3285">
        <v>0</v>
      </c>
      <c r="Q3285">
        <v>0</v>
      </c>
      <c r="R3285">
        <v>0</v>
      </c>
      <c r="S3285">
        <v>0</v>
      </c>
      <c r="T3285">
        <v>12</v>
      </c>
      <c r="U3285">
        <v>17</v>
      </c>
    </row>
    <row r="3286" spans="1:21" x14ac:dyDescent="0.35">
      <c r="A3286" t="s">
        <v>28</v>
      </c>
      <c r="B3286" s="1">
        <v>44262</v>
      </c>
      <c r="C3286" t="s">
        <v>22</v>
      </c>
      <c r="D3286">
        <v>17.899999999999999</v>
      </c>
      <c r="E3286">
        <v>6.1</v>
      </c>
      <c r="F3286">
        <v>0</v>
      </c>
      <c r="G3286">
        <v>2.9</v>
      </c>
      <c r="H3286">
        <v>0</v>
      </c>
      <c r="I3286">
        <v>19.600000000000001</v>
      </c>
      <c r="J3286">
        <v>5</v>
      </c>
      <c r="K3286">
        <v>0</v>
      </c>
      <c r="L3286">
        <v>3.9</v>
      </c>
      <c r="M3286">
        <v>0</v>
      </c>
      <c r="N3286">
        <v>1207003</v>
      </c>
      <c r="O3286">
        <v>1324045</v>
      </c>
      <c r="P3286">
        <v>0</v>
      </c>
      <c r="Q3286">
        <v>216</v>
      </c>
      <c r="R3286">
        <v>81</v>
      </c>
      <c r="S3286">
        <v>0</v>
      </c>
      <c r="T3286">
        <v>999</v>
      </c>
      <c r="U3286">
        <v>999</v>
      </c>
    </row>
    <row r="3287" spans="1:21" x14ac:dyDescent="0.35">
      <c r="A3287" t="s">
        <v>28</v>
      </c>
      <c r="B3287" s="1">
        <v>44786</v>
      </c>
      <c r="C3287" t="s">
        <v>25</v>
      </c>
      <c r="D3287">
        <v>308.39999999999998</v>
      </c>
      <c r="E3287">
        <v>125.2</v>
      </c>
      <c r="F3287">
        <v>189.6</v>
      </c>
      <c r="G3287">
        <v>2.5</v>
      </c>
      <c r="H3287">
        <v>1.6</v>
      </c>
      <c r="I3287">
        <v>0</v>
      </c>
      <c r="J3287">
        <v>0</v>
      </c>
      <c r="K3287">
        <v>0</v>
      </c>
      <c r="L3287">
        <v>0</v>
      </c>
      <c r="M3287">
        <v>0</v>
      </c>
      <c r="N3287">
        <v>91761</v>
      </c>
      <c r="O3287">
        <v>212510</v>
      </c>
      <c r="P3287">
        <v>159319</v>
      </c>
      <c r="Q3287">
        <v>283</v>
      </c>
      <c r="R3287">
        <v>266</v>
      </c>
      <c r="S3287">
        <v>302</v>
      </c>
      <c r="T3287">
        <v>18</v>
      </c>
      <c r="U3287">
        <v>29</v>
      </c>
    </row>
    <row r="3288" spans="1:21" x14ac:dyDescent="0.35">
      <c r="A3288" t="s">
        <v>21</v>
      </c>
      <c r="B3288" s="1">
        <v>45136</v>
      </c>
      <c r="C3288" t="s">
        <v>24</v>
      </c>
      <c r="D3288">
        <v>0</v>
      </c>
      <c r="E3288">
        <v>0</v>
      </c>
      <c r="F3288">
        <v>0</v>
      </c>
      <c r="G3288">
        <v>0</v>
      </c>
      <c r="H3288">
        <v>0</v>
      </c>
      <c r="I3288">
        <v>0</v>
      </c>
      <c r="J3288">
        <v>0</v>
      </c>
      <c r="K3288">
        <v>0</v>
      </c>
      <c r="L3288">
        <v>0</v>
      </c>
      <c r="M3288">
        <v>0</v>
      </c>
      <c r="N3288">
        <v>89972</v>
      </c>
      <c r="O3288">
        <v>82669</v>
      </c>
      <c r="P3288">
        <v>21260</v>
      </c>
      <c r="Q3288">
        <v>0</v>
      </c>
      <c r="R3288">
        <v>0</v>
      </c>
      <c r="S3288">
        <v>0</v>
      </c>
      <c r="T3288">
        <v>5</v>
      </c>
      <c r="U3288">
        <v>11</v>
      </c>
    </row>
    <row r="3289" spans="1:21" x14ac:dyDescent="0.35">
      <c r="A3289" t="s">
        <v>21</v>
      </c>
      <c r="B3289" s="1">
        <v>44898</v>
      </c>
      <c r="C3289" t="s">
        <v>27</v>
      </c>
      <c r="D3289">
        <v>0</v>
      </c>
      <c r="E3289">
        <v>0</v>
      </c>
      <c r="F3289">
        <v>0</v>
      </c>
      <c r="G3289">
        <v>0</v>
      </c>
      <c r="H3289">
        <v>0</v>
      </c>
      <c r="I3289">
        <v>0</v>
      </c>
      <c r="J3289">
        <v>0</v>
      </c>
      <c r="K3289">
        <v>0</v>
      </c>
      <c r="L3289">
        <v>0</v>
      </c>
      <c r="M3289">
        <v>0</v>
      </c>
      <c r="N3289">
        <v>38897</v>
      </c>
      <c r="O3289">
        <v>95971</v>
      </c>
      <c r="P3289">
        <v>28723</v>
      </c>
      <c r="Q3289">
        <v>0</v>
      </c>
      <c r="R3289">
        <v>0</v>
      </c>
      <c r="S3289">
        <v>0</v>
      </c>
      <c r="T3289">
        <v>12</v>
      </c>
      <c r="U3289">
        <v>17</v>
      </c>
    </row>
    <row r="3290" spans="1:21" x14ac:dyDescent="0.35">
      <c r="A3290" t="s">
        <v>21</v>
      </c>
      <c r="B3290" s="1">
        <v>45038</v>
      </c>
      <c r="C3290" t="s">
        <v>30</v>
      </c>
      <c r="D3290">
        <v>4.0999999999999996</v>
      </c>
      <c r="E3290">
        <v>0</v>
      </c>
      <c r="F3290">
        <v>2.1</v>
      </c>
      <c r="G3290">
        <v>0</v>
      </c>
      <c r="H3290">
        <v>2</v>
      </c>
      <c r="I3290">
        <v>0</v>
      </c>
      <c r="J3290">
        <v>0</v>
      </c>
      <c r="K3290">
        <v>0</v>
      </c>
      <c r="L3290">
        <v>0</v>
      </c>
      <c r="M3290">
        <v>0</v>
      </c>
      <c r="N3290">
        <v>24605</v>
      </c>
      <c r="O3290">
        <v>11384</v>
      </c>
      <c r="P3290">
        <v>47127</v>
      </c>
      <c r="Q3290">
        <v>1</v>
      </c>
      <c r="R3290">
        <v>0</v>
      </c>
      <c r="S3290">
        <v>1</v>
      </c>
      <c r="T3290">
        <v>80</v>
      </c>
      <c r="U3290">
        <v>200</v>
      </c>
    </row>
    <row r="3291" spans="1:21" x14ac:dyDescent="0.35">
      <c r="A3291" t="s">
        <v>21</v>
      </c>
      <c r="B3291" s="1">
        <v>44808</v>
      </c>
      <c r="C3291" t="s">
        <v>22</v>
      </c>
      <c r="D3291">
        <v>0.2</v>
      </c>
      <c r="E3291">
        <v>0.3</v>
      </c>
      <c r="F3291">
        <v>0.2</v>
      </c>
      <c r="G3291">
        <v>0.7</v>
      </c>
      <c r="H3291">
        <v>1</v>
      </c>
      <c r="I3291">
        <v>0.2</v>
      </c>
      <c r="J3291">
        <v>0.6</v>
      </c>
      <c r="K3291">
        <v>0.1</v>
      </c>
      <c r="L3291">
        <v>0.3</v>
      </c>
      <c r="M3291">
        <v>1.7</v>
      </c>
      <c r="N3291">
        <v>655822</v>
      </c>
      <c r="O3291">
        <v>898944</v>
      </c>
      <c r="P3291">
        <v>937807</v>
      </c>
      <c r="Q3291">
        <v>1</v>
      </c>
      <c r="R3291">
        <v>3</v>
      </c>
      <c r="S3291">
        <v>2</v>
      </c>
      <c r="T3291">
        <v>999</v>
      </c>
      <c r="U3291">
        <v>999</v>
      </c>
    </row>
    <row r="3292" spans="1:21" x14ac:dyDescent="0.35">
      <c r="A3292" t="s">
        <v>28</v>
      </c>
      <c r="B3292" s="1">
        <v>44975</v>
      </c>
      <c r="C3292" t="s">
        <v>24</v>
      </c>
      <c r="D3292">
        <v>174.6</v>
      </c>
      <c r="E3292">
        <v>131.5</v>
      </c>
      <c r="F3292">
        <v>193.4</v>
      </c>
      <c r="G3292">
        <v>1.3</v>
      </c>
      <c r="H3292">
        <v>0.9</v>
      </c>
      <c r="I3292">
        <v>0</v>
      </c>
      <c r="J3292">
        <v>0</v>
      </c>
      <c r="K3292">
        <v>0</v>
      </c>
      <c r="L3292">
        <v>0</v>
      </c>
      <c r="M3292">
        <v>0</v>
      </c>
      <c r="N3292">
        <v>91630</v>
      </c>
      <c r="O3292">
        <v>82117</v>
      </c>
      <c r="P3292">
        <v>21197</v>
      </c>
      <c r="Q3292">
        <v>160</v>
      </c>
      <c r="R3292">
        <v>108</v>
      </c>
      <c r="S3292">
        <v>41</v>
      </c>
      <c r="T3292">
        <v>5</v>
      </c>
      <c r="U3292">
        <v>11</v>
      </c>
    </row>
    <row r="3293" spans="1:21" x14ac:dyDescent="0.35">
      <c r="A3293" t="s">
        <v>21</v>
      </c>
      <c r="B3293" s="1">
        <v>44954</v>
      </c>
      <c r="C3293" t="s">
        <v>31</v>
      </c>
      <c r="D3293">
        <v>0</v>
      </c>
      <c r="E3293">
        <v>2.2999999999999998</v>
      </c>
      <c r="F3293">
        <v>0</v>
      </c>
      <c r="G3293">
        <v>0</v>
      </c>
      <c r="H3293">
        <v>0</v>
      </c>
      <c r="I3293">
        <v>0</v>
      </c>
      <c r="J3293">
        <v>0</v>
      </c>
      <c r="K3293">
        <v>0</v>
      </c>
      <c r="L3293">
        <v>0</v>
      </c>
      <c r="M3293">
        <v>0</v>
      </c>
      <c r="N3293">
        <v>40317</v>
      </c>
      <c r="O3293">
        <v>43381</v>
      </c>
      <c r="P3293">
        <v>171689</v>
      </c>
      <c r="Q3293">
        <v>0</v>
      </c>
      <c r="R3293">
        <v>1</v>
      </c>
      <c r="S3293">
        <v>0</v>
      </c>
      <c r="T3293">
        <v>65</v>
      </c>
      <c r="U3293">
        <v>79</v>
      </c>
    </row>
    <row r="3294" spans="1:21" x14ac:dyDescent="0.35">
      <c r="A3294" t="s">
        <v>28</v>
      </c>
      <c r="B3294" s="1">
        <v>44800</v>
      </c>
      <c r="C3294" t="s">
        <v>31</v>
      </c>
      <c r="D3294">
        <v>197.2</v>
      </c>
      <c r="E3294">
        <v>141.1</v>
      </c>
      <c r="F3294">
        <v>150.6</v>
      </c>
      <c r="G3294">
        <v>1.4</v>
      </c>
      <c r="H3294">
        <v>1.3</v>
      </c>
      <c r="I3294">
        <v>0</v>
      </c>
      <c r="J3294">
        <v>0</v>
      </c>
      <c r="K3294">
        <v>0</v>
      </c>
      <c r="L3294">
        <v>0</v>
      </c>
      <c r="M3294">
        <v>0</v>
      </c>
      <c r="N3294">
        <v>45631</v>
      </c>
      <c r="O3294">
        <v>43956</v>
      </c>
      <c r="P3294">
        <v>170603</v>
      </c>
      <c r="Q3294">
        <v>90</v>
      </c>
      <c r="R3294">
        <v>62</v>
      </c>
      <c r="S3294">
        <v>257</v>
      </c>
      <c r="T3294">
        <v>65</v>
      </c>
      <c r="U3294">
        <v>79</v>
      </c>
    </row>
    <row r="3295" spans="1:21" x14ac:dyDescent="0.35">
      <c r="A3295" t="s">
        <v>28</v>
      </c>
      <c r="B3295" s="1">
        <v>44695</v>
      </c>
      <c r="C3295" t="s">
        <v>22</v>
      </c>
      <c r="D3295">
        <v>365.4</v>
      </c>
      <c r="E3295">
        <v>265.8</v>
      </c>
      <c r="F3295">
        <v>400</v>
      </c>
      <c r="G3295">
        <v>1.4</v>
      </c>
      <c r="H3295">
        <v>0.9</v>
      </c>
      <c r="I3295">
        <v>407.5</v>
      </c>
      <c r="J3295">
        <v>245.4</v>
      </c>
      <c r="K3295">
        <v>352.2</v>
      </c>
      <c r="L3295">
        <v>1.7</v>
      </c>
      <c r="M3295">
        <v>1.2</v>
      </c>
      <c r="N3295">
        <v>646969</v>
      </c>
      <c r="O3295">
        <v>886432</v>
      </c>
      <c r="P3295">
        <v>961158</v>
      </c>
      <c r="Q3295">
        <v>2364</v>
      </c>
      <c r="R3295">
        <v>2356</v>
      </c>
      <c r="S3295">
        <v>3845</v>
      </c>
      <c r="T3295">
        <v>999</v>
      </c>
      <c r="U3295">
        <v>999</v>
      </c>
    </row>
    <row r="3296" spans="1:21" x14ac:dyDescent="0.35">
      <c r="A3296" t="s">
        <v>28</v>
      </c>
      <c r="B3296" s="1">
        <v>44765</v>
      </c>
      <c r="C3296" t="s">
        <v>25</v>
      </c>
      <c r="D3296">
        <v>376.4</v>
      </c>
      <c r="E3296">
        <v>140.4</v>
      </c>
      <c r="F3296">
        <v>243.2</v>
      </c>
      <c r="G3296">
        <v>2.7</v>
      </c>
      <c r="H3296">
        <v>1.5</v>
      </c>
      <c r="I3296">
        <v>0</v>
      </c>
      <c r="J3296">
        <v>0</v>
      </c>
      <c r="K3296">
        <v>0</v>
      </c>
      <c r="L3296">
        <v>0</v>
      </c>
      <c r="M3296">
        <v>0</v>
      </c>
      <c r="N3296">
        <v>92731</v>
      </c>
      <c r="O3296">
        <v>213642</v>
      </c>
      <c r="P3296">
        <v>157475</v>
      </c>
      <c r="Q3296">
        <v>349</v>
      </c>
      <c r="R3296">
        <v>300</v>
      </c>
      <c r="S3296">
        <v>383</v>
      </c>
      <c r="T3296">
        <v>18</v>
      </c>
      <c r="U3296">
        <v>29</v>
      </c>
    </row>
    <row r="3297" spans="1:21" x14ac:dyDescent="0.35">
      <c r="A3297" t="s">
        <v>28</v>
      </c>
      <c r="B3297" s="1">
        <v>44926</v>
      </c>
      <c r="C3297" t="s">
        <v>25</v>
      </c>
      <c r="D3297">
        <v>191.7</v>
      </c>
      <c r="E3297">
        <v>56.8</v>
      </c>
      <c r="F3297">
        <v>75.5</v>
      </c>
      <c r="G3297">
        <v>3.4</v>
      </c>
      <c r="H3297">
        <v>2.5</v>
      </c>
      <c r="I3297">
        <v>0</v>
      </c>
      <c r="J3297">
        <v>0</v>
      </c>
      <c r="K3297">
        <v>0</v>
      </c>
      <c r="L3297">
        <v>0</v>
      </c>
      <c r="M3297">
        <v>0</v>
      </c>
      <c r="N3297">
        <v>79293</v>
      </c>
      <c r="O3297">
        <v>212935</v>
      </c>
      <c r="P3297">
        <v>161619</v>
      </c>
      <c r="Q3297">
        <v>152</v>
      </c>
      <c r="R3297">
        <v>121</v>
      </c>
      <c r="S3297">
        <v>122</v>
      </c>
      <c r="T3297">
        <v>18</v>
      </c>
      <c r="U3297">
        <v>29</v>
      </c>
    </row>
    <row r="3298" spans="1:21" x14ac:dyDescent="0.35">
      <c r="A3298" t="s">
        <v>26</v>
      </c>
      <c r="B3298" s="1">
        <v>44436</v>
      </c>
      <c r="C3298" t="s">
        <v>25</v>
      </c>
      <c r="D3298">
        <v>13.4</v>
      </c>
      <c r="E3298">
        <v>0.3</v>
      </c>
      <c r="F3298">
        <v>0</v>
      </c>
      <c r="G3298">
        <v>44.7</v>
      </c>
      <c r="H3298">
        <v>0</v>
      </c>
      <c r="I3298">
        <v>0</v>
      </c>
      <c r="J3298">
        <v>0</v>
      </c>
      <c r="K3298">
        <v>0</v>
      </c>
      <c r="L3298">
        <v>0</v>
      </c>
      <c r="M3298">
        <v>0</v>
      </c>
      <c r="N3298">
        <v>193516</v>
      </c>
      <c r="O3298">
        <v>291685</v>
      </c>
      <c r="P3298">
        <v>0</v>
      </c>
      <c r="Q3298">
        <v>26</v>
      </c>
      <c r="R3298">
        <v>1</v>
      </c>
      <c r="S3298">
        <v>0</v>
      </c>
      <c r="T3298">
        <v>18</v>
      </c>
      <c r="U3298">
        <v>29</v>
      </c>
    </row>
    <row r="3299" spans="1:21" x14ac:dyDescent="0.35">
      <c r="A3299" t="s">
        <v>21</v>
      </c>
      <c r="B3299" s="1">
        <v>44476</v>
      </c>
      <c r="C3299" t="s">
        <v>23</v>
      </c>
      <c r="D3299">
        <v>1.9</v>
      </c>
      <c r="E3299">
        <v>0</v>
      </c>
      <c r="F3299">
        <v>0</v>
      </c>
      <c r="G3299">
        <v>0</v>
      </c>
      <c r="H3299">
        <v>0</v>
      </c>
      <c r="I3299">
        <v>0</v>
      </c>
      <c r="J3299">
        <v>0</v>
      </c>
      <c r="K3299">
        <v>0</v>
      </c>
      <c r="L3299">
        <v>0</v>
      </c>
      <c r="M3299">
        <v>0</v>
      </c>
      <c r="N3299">
        <v>107073</v>
      </c>
      <c r="O3299">
        <v>304806</v>
      </c>
      <c r="P3299">
        <v>0</v>
      </c>
      <c r="Q3299">
        <v>2</v>
      </c>
      <c r="R3299">
        <v>0</v>
      </c>
      <c r="S3299">
        <v>0</v>
      </c>
      <c r="T3299">
        <v>50</v>
      </c>
      <c r="U3299">
        <v>64</v>
      </c>
    </row>
    <row r="3300" spans="1:21" x14ac:dyDescent="0.35">
      <c r="A3300" t="s">
        <v>21</v>
      </c>
      <c r="B3300" s="1">
        <v>44811</v>
      </c>
      <c r="C3300" t="s">
        <v>31</v>
      </c>
      <c r="D3300">
        <v>0</v>
      </c>
      <c r="E3300">
        <v>0</v>
      </c>
      <c r="F3300">
        <v>1.8</v>
      </c>
      <c r="G3300">
        <v>0</v>
      </c>
      <c r="H3300">
        <v>0</v>
      </c>
      <c r="I3300">
        <v>0</v>
      </c>
      <c r="J3300">
        <v>0</v>
      </c>
      <c r="K3300">
        <v>0</v>
      </c>
      <c r="L3300">
        <v>0</v>
      </c>
      <c r="M3300">
        <v>0</v>
      </c>
      <c r="N3300">
        <v>46385</v>
      </c>
      <c r="O3300">
        <v>45832</v>
      </c>
      <c r="P3300">
        <v>167927</v>
      </c>
      <c r="Q3300">
        <v>0</v>
      </c>
      <c r="R3300">
        <v>0</v>
      </c>
      <c r="S3300">
        <v>3</v>
      </c>
      <c r="T3300">
        <v>65</v>
      </c>
      <c r="U3300">
        <v>79</v>
      </c>
    </row>
    <row r="3301" spans="1:21" x14ac:dyDescent="0.35">
      <c r="A3301" t="s">
        <v>26</v>
      </c>
      <c r="B3301" s="1">
        <v>44422</v>
      </c>
      <c r="C3301" t="s">
        <v>23</v>
      </c>
      <c r="D3301">
        <v>56.2</v>
      </c>
      <c r="E3301">
        <v>3.8</v>
      </c>
      <c r="F3301">
        <v>0</v>
      </c>
      <c r="G3301">
        <v>14.8</v>
      </c>
      <c r="H3301">
        <v>0</v>
      </c>
      <c r="I3301">
        <v>0</v>
      </c>
      <c r="J3301">
        <v>0</v>
      </c>
      <c r="K3301">
        <v>0</v>
      </c>
      <c r="L3301">
        <v>0</v>
      </c>
      <c r="M3301">
        <v>0</v>
      </c>
      <c r="N3301">
        <v>94229</v>
      </c>
      <c r="O3301">
        <v>318064</v>
      </c>
      <c r="P3301">
        <v>0</v>
      </c>
      <c r="Q3301">
        <v>53</v>
      </c>
      <c r="R3301">
        <v>12</v>
      </c>
      <c r="S3301">
        <v>0</v>
      </c>
      <c r="T3301">
        <v>50</v>
      </c>
      <c r="U3301">
        <v>64</v>
      </c>
    </row>
    <row r="3302" spans="1:21" x14ac:dyDescent="0.35">
      <c r="A3302" t="s">
        <v>26</v>
      </c>
      <c r="B3302" s="1">
        <v>44548</v>
      </c>
      <c r="C3302" t="s">
        <v>23</v>
      </c>
      <c r="D3302">
        <v>170.2</v>
      </c>
      <c r="E3302">
        <v>22</v>
      </c>
      <c r="F3302">
        <v>7.2</v>
      </c>
      <c r="G3302">
        <v>7.7</v>
      </c>
      <c r="H3302">
        <v>23.6</v>
      </c>
      <c r="I3302">
        <v>0</v>
      </c>
      <c r="J3302">
        <v>0</v>
      </c>
      <c r="K3302">
        <v>0</v>
      </c>
      <c r="L3302">
        <v>0</v>
      </c>
      <c r="M3302">
        <v>0</v>
      </c>
      <c r="N3302">
        <v>60515</v>
      </c>
      <c r="O3302">
        <v>241221</v>
      </c>
      <c r="P3302">
        <v>110556</v>
      </c>
      <c r="Q3302">
        <v>103</v>
      </c>
      <c r="R3302">
        <v>53</v>
      </c>
      <c r="S3302">
        <v>8</v>
      </c>
      <c r="T3302">
        <v>50</v>
      </c>
      <c r="U3302">
        <v>64</v>
      </c>
    </row>
    <row r="3303" spans="1:21" x14ac:dyDescent="0.35">
      <c r="A3303" t="s">
        <v>26</v>
      </c>
      <c r="B3303" s="1">
        <v>44846</v>
      </c>
      <c r="C3303" t="s">
        <v>27</v>
      </c>
      <c r="D3303">
        <v>0</v>
      </c>
      <c r="E3303">
        <v>3.5</v>
      </c>
      <c r="F3303">
        <v>0</v>
      </c>
      <c r="G3303">
        <v>0</v>
      </c>
      <c r="H3303">
        <v>0</v>
      </c>
      <c r="I3303">
        <v>0</v>
      </c>
      <c r="J3303">
        <v>0</v>
      </c>
      <c r="K3303">
        <v>0</v>
      </c>
      <c r="L3303">
        <v>0</v>
      </c>
      <c r="M3303">
        <v>0</v>
      </c>
      <c r="N3303">
        <v>33887</v>
      </c>
      <c r="O3303">
        <v>86131</v>
      </c>
      <c r="P3303">
        <v>44514</v>
      </c>
      <c r="Q3303">
        <v>0</v>
      </c>
      <c r="R3303">
        <v>3</v>
      </c>
      <c r="S3303">
        <v>0</v>
      </c>
      <c r="T3303">
        <v>12</v>
      </c>
      <c r="U3303">
        <v>17</v>
      </c>
    </row>
    <row r="3304" spans="1:21" x14ac:dyDescent="0.35">
      <c r="A3304" t="s">
        <v>28</v>
      </c>
      <c r="B3304" s="1">
        <v>44898</v>
      </c>
      <c r="C3304" t="s">
        <v>30</v>
      </c>
      <c r="D3304">
        <v>22.1</v>
      </c>
      <c r="E3304">
        <v>34.799999999999997</v>
      </c>
      <c r="F3304">
        <v>37.5</v>
      </c>
      <c r="G3304">
        <v>0.6</v>
      </c>
      <c r="H3304">
        <v>0.6</v>
      </c>
      <c r="I3304">
        <v>0</v>
      </c>
      <c r="J3304">
        <v>0</v>
      </c>
      <c r="K3304">
        <v>0</v>
      </c>
      <c r="L3304">
        <v>0</v>
      </c>
      <c r="M3304">
        <v>0</v>
      </c>
      <c r="N3304">
        <v>27140</v>
      </c>
      <c r="O3304">
        <v>14363</v>
      </c>
      <c r="P3304">
        <v>42701</v>
      </c>
      <c r="Q3304">
        <v>6</v>
      </c>
      <c r="R3304">
        <v>5</v>
      </c>
      <c r="S3304">
        <v>16</v>
      </c>
      <c r="T3304">
        <v>80</v>
      </c>
      <c r="U3304">
        <v>200</v>
      </c>
    </row>
    <row r="3305" spans="1:21" x14ac:dyDescent="0.35">
      <c r="A3305" t="s">
        <v>21</v>
      </c>
      <c r="B3305" s="1">
        <v>44933</v>
      </c>
      <c r="C3305" t="s">
        <v>24</v>
      </c>
      <c r="D3305">
        <v>0</v>
      </c>
      <c r="E3305">
        <v>0</v>
      </c>
      <c r="F3305">
        <v>0</v>
      </c>
      <c r="G3305">
        <v>0</v>
      </c>
      <c r="H3305">
        <v>0</v>
      </c>
      <c r="I3305">
        <v>0</v>
      </c>
      <c r="J3305">
        <v>0</v>
      </c>
      <c r="K3305">
        <v>0</v>
      </c>
      <c r="L3305">
        <v>0</v>
      </c>
      <c r="M3305">
        <v>0</v>
      </c>
      <c r="N3305">
        <v>90262</v>
      </c>
      <c r="O3305">
        <v>82673</v>
      </c>
      <c r="P3305">
        <v>21253</v>
      </c>
      <c r="Q3305">
        <v>0</v>
      </c>
      <c r="R3305">
        <v>0</v>
      </c>
      <c r="S3305">
        <v>0</v>
      </c>
      <c r="T3305">
        <v>5</v>
      </c>
      <c r="U3305">
        <v>11</v>
      </c>
    </row>
    <row r="3306" spans="1:21" x14ac:dyDescent="0.35">
      <c r="A3306" t="s">
        <v>26</v>
      </c>
      <c r="B3306" s="1">
        <v>45199</v>
      </c>
      <c r="C3306" t="s">
        <v>30</v>
      </c>
      <c r="D3306">
        <v>28.7</v>
      </c>
      <c r="E3306">
        <v>17.600000000000001</v>
      </c>
      <c r="F3306">
        <v>29.7</v>
      </c>
      <c r="G3306">
        <v>1.6</v>
      </c>
      <c r="H3306">
        <v>1</v>
      </c>
      <c r="I3306">
        <v>0</v>
      </c>
      <c r="J3306">
        <v>0</v>
      </c>
      <c r="K3306">
        <v>0</v>
      </c>
      <c r="L3306">
        <v>0</v>
      </c>
      <c r="M3306">
        <v>0</v>
      </c>
      <c r="N3306">
        <v>24398</v>
      </c>
      <c r="O3306">
        <v>11382</v>
      </c>
      <c r="P3306">
        <v>47134</v>
      </c>
      <c r="Q3306">
        <v>7</v>
      </c>
      <c r="R3306">
        <v>2</v>
      </c>
      <c r="S3306">
        <v>14</v>
      </c>
      <c r="T3306">
        <v>80</v>
      </c>
      <c r="U3306">
        <v>200</v>
      </c>
    </row>
    <row r="3307" spans="1:21" x14ac:dyDescent="0.35">
      <c r="A3307" t="s">
        <v>21</v>
      </c>
      <c r="B3307" s="1">
        <v>45129</v>
      </c>
      <c r="C3307" t="s">
        <v>31</v>
      </c>
      <c r="D3307">
        <v>0</v>
      </c>
      <c r="E3307">
        <v>0</v>
      </c>
      <c r="F3307">
        <v>0.6</v>
      </c>
      <c r="G3307">
        <v>0</v>
      </c>
      <c r="H3307">
        <v>0</v>
      </c>
      <c r="I3307">
        <v>0</v>
      </c>
      <c r="J3307">
        <v>0</v>
      </c>
      <c r="K3307">
        <v>0</v>
      </c>
      <c r="L3307">
        <v>0</v>
      </c>
      <c r="M3307">
        <v>0</v>
      </c>
      <c r="N3307">
        <v>39318</v>
      </c>
      <c r="O3307">
        <v>43421</v>
      </c>
      <c r="P3307">
        <v>171748</v>
      </c>
      <c r="Q3307">
        <v>0</v>
      </c>
      <c r="R3307">
        <v>0</v>
      </c>
      <c r="S3307">
        <v>1</v>
      </c>
      <c r="T3307">
        <v>65</v>
      </c>
      <c r="U3307">
        <v>79</v>
      </c>
    </row>
    <row r="3308" spans="1:21" x14ac:dyDescent="0.35">
      <c r="A3308" t="s">
        <v>21</v>
      </c>
      <c r="B3308" s="1">
        <v>45059</v>
      </c>
      <c r="C3308" t="s">
        <v>24</v>
      </c>
      <c r="D3308">
        <v>0</v>
      </c>
      <c r="E3308">
        <v>0</v>
      </c>
      <c r="F3308">
        <v>0</v>
      </c>
      <c r="G3308">
        <v>0</v>
      </c>
      <c r="H3308">
        <v>0</v>
      </c>
      <c r="I3308">
        <v>0</v>
      </c>
      <c r="J3308">
        <v>0</v>
      </c>
      <c r="K3308">
        <v>0</v>
      </c>
      <c r="L3308">
        <v>0</v>
      </c>
      <c r="M3308">
        <v>0</v>
      </c>
      <c r="N3308">
        <v>90743</v>
      </c>
      <c r="O3308">
        <v>82680</v>
      </c>
      <c r="P3308">
        <v>21241</v>
      </c>
      <c r="Q3308">
        <v>0</v>
      </c>
      <c r="R3308">
        <v>0</v>
      </c>
      <c r="S3308">
        <v>0</v>
      </c>
      <c r="T3308">
        <v>5</v>
      </c>
      <c r="U3308">
        <v>11</v>
      </c>
    </row>
    <row r="3309" spans="1:21" x14ac:dyDescent="0.35">
      <c r="A3309" t="s">
        <v>26</v>
      </c>
      <c r="B3309" s="1">
        <v>45164</v>
      </c>
      <c r="C3309" t="s">
        <v>29</v>
      </c>
      <c r="D3309">
        <v>8.4</v>
      </c>
      <c r="E3309">
        <v>0.4</v>
      </c>
      <c r="F3309">
        <v>1.4</v>
      </c>
      <c r="G3309">
        <v>21</v>
      </c>
      <c r="H3309">
        <v>6</v>
      </c>
      <c r="I3309">
        <v>0</v>
      </c>
      <c r="J3309">
        <v>0</v>
      </c>
      <c r="K3309">
        <v>0</v>
      </c>
      <c r="L3309">
        <v>0</v>
      </c>
      <c r="M3309">
        <v>0</v>
      </c>
      <c r="N3309">
        <v>107080</v>
      </c>
      <c r="O3309">
        <v>278396</v>
      </c>
      <c r="P3309">
        <v>347321</v>
      </c>
      <c r="Q3309">
        <v>9</v>
      </c>
      <c r="R3309">
        <v>1</v>
      </c>
      <c r="S3309">
        <v>5</v>
      </c>
      <c r="T3309">
        <v>30</v>
      </c>
      <c r="U3309">
        <v>49</v>
      </c>
    </row>
    <row r="3310" spans="1:21" x14ac:dyDescent="0.35">
      <c r="A3310" t="s">
        <v>28</v>
      </c>
      <c r="B3310" s="1">
        <v>44692</v>
      </c>
      <c r="C3310" t="s">
        <v>29</v>
      </c>
      <c r="D3310">
        <v>191.6</v>
      </c>
      <c r="E3310">
        <v>77</v>
      </c>
      <c r="F3310">
        <v>109.5</v>
      </c>
      <c r="G3310">
        <v>2.5</v>
      </c>
      <c r="H3310">
        <v>1.7</v>
      </c>
      <c r="I3310">
        <v>0</v>
      </c>
      <c r="J3310">
        <v>0</v>
      </c>
      <c r="K3310">
        <v>0</v>
      </c>
      <c r="L3310">
        <v>0</v>
      </c>
      <c r="M3310">
        <v>0</v>
      </c>
      <c r="N3310">
        <v>117430</v>
      </c>
      <c r="O3310">
        <v>276538</v>
      </c>
      <c r="P3310">
        <v>347053</v>
      </c>
      <c r="Q3310">
        <v>225</v>
      </c>
      <c r="R3310">
        <v>213</v>
      </c>
      <c r="S3310">
        <v>380</v>
      </c>
      <c r="T3310">
        <v>30</v>
      </c>
      <c r="U3310">
        <v>49</v>
      </c>
    </row>
    <row r="3311" spans="1:21" x14ac:dyDescent="0.35">
      <c r="A3311" t="s">
        <v>28</v>
      </c>
      <c r="B3311" s="1">
        <v>45213</v>
      </c>
      <c r="C3311" t="s">
        <v>29</v>
      </c>
      <c r="D3311">
        <v>34.6</v>
      </c>
      <c r="E3311">
        <v>17.2</v>
      </c>
      <c r="F3311">
        <v>26.8</v>
      </c>
      <c r="G3311">
        <v>2</v>
      </c>
      <c r="H3311">
        <v>1.3</v>
      </c>
      <c r="I3311">
        <v>0</v>
      </c>
      <c r="J3311">
        <v>0</v>
      </c>
      <c r="K3311">
        <v>0</v>
      </c>
      <c r="L3311">
        <v>0</v>
      </c>
      <c r="M3311">
        <v>0</v>
      </c>
      <c r="N3311">
        <v>104020</v>
      </c>
      <c r="O3311">
        <v>278747</v>
      </c>
      <c r="P3311">
        <v>347612</v>
      </c>
      <c r="Q3311">
        <v>36</v>
      </c>
      <c r="R3311">
        <v>48</v>
      </c>
      <c r="S3311">
        <v>93</v>
      </c>
      <c r="T3311">
        <v>30</v>
      </c>
      <c r="U3311">
        <v>49</v>
      </c>
    </row>
    <row r="3312" spans="1:21" x14ac:dyDescent="0.35">
      <c r="A3312" t="s">
        <v>28</v>
      </c>
      <c r="B3312" s="1">
        <v>44345</v>
      </c>
      <c r="C3312" t="s">
        <v>31</v>
      </c>
      <c r="D3312">
        <v>71.900000000000006</v>
      </c>
      <c r="E3312">
        <v>6.8</v>
      </c>
      <c r="F3312">
        <v>0</v>
      </c>
      <c r="G3312">
        <v>10.6</v>
      </c>
      <c r="H3312">
        <v>0</v>
      </c>
      <c r="I3312">
        <v>0</v>
      </c>
      <c r="J3312">
        <v>0</v>
      </c>
      <c r="K3312">
        <v>0</v>
      </c>
      <c r="L3312">
        <v>0</v>
      </c>
      <c r="M3312">
        <v>0</v>
      </c>
      <c r="N3312">
        <v>77839</v>
      </c>
      <c r="O3312">
        <v>175452</v>
      </c>
      <c r="P3312">
        <v>0</v>
      </c>
      <c r="Q3312">
        <v>56</v>
      </c>
      <c r="R3312">
        <v>12</v>
      </c>
      <c r="S3312">
        <v>0</v>
      </c>
      <c r="T3312">
        <v>65</v>
      </c>
      <c r="U3312">
        <v>79</v>
      </c>
    </row>
    <row r="3313" spans="1:21" x14ac:dyDescent="0.35">
      <c r="A3313" t="s">
        <v>26</v>
      </c>
      <c r="B3313" s="1">
        <v>44555</v>
      </c>
      <c r="C3313" t="s">
        <v>27</v>
      </c>
      <c r="D3313">
        <v>27.2</v>
      </c>
      <c r="E3313">
        <v>6.4</v>
      </c>
      <c r="F3313">
        <v>0</v>
      </c>
      <c r="G3313">
        <v>4.2</v>
      </c>
      <c r="H3313">
        <v>0</v>
      </c>
      <c r="I3313">
        <v>0</v>
      </c>
      <c r="J3313">
        <v>0</v>
      </c>
      <c r="K3313">
        <v>0</v>
      </c>
      <c r="L3313">
        <v>0</v>
      </c>
      <c r="M3313">
        <v>0</v>
      </c>
      <c r="N3313">
        <v>55052</v>
      </c>
      <c r="O3313">
        <v>108573</v>
      </c>
      <c r="P3313">
        <v>799</v>
      </c>
      <c r="Q3313">
        <v>15</v>
      </c>
      <c r="R3313">
        <v>7</v>
      </c>
      <c r="S3313">
        <v>0</v>
      </c>
      <c r="T3313">
        <v>12</v>
      </c>
      <c r="U3313">
        <v>17</v>
      </c>
    </row>
    <row r="3314" spans="1:21" x14ac:dyDescent="0.35">
      <c r="A3314" t="s">
        <v>21</v>
      </c>
      <c r="B3314" s="1">
        <v>45059</v>
      </c>
      <c r="C3314" t="s">
        <v>30</v>
      </c>
      <c r="D3314">
        <v>4.0999999999999996</v>
      </c>
      <c r="E3314">
        <v>0</v>
      </c>
      <c r="F3314">
        <v>0</v>
      </c>
      <c r="G3314">
        <v>0</v>
      </c>
      <c r="H3314">
        <v>0</v>
      </c>
      <c r="I3314">
        <v>0</v>
      </c>
      <c r="J3314">
        <v>0</v>
      </c>
      <c r="K3314">
        <v>0</v>
      </c>
      <c r="L3314">
        <v>0</v>
      </c>
      <c r="M3314">
        <v>0</v>
      </c>
      <c r="N3314">
        <v>24575</v>
      </c>
      <c r="O3314">
        <v>11384</v>
      </c>
      <c r="P3314">
        <v>47128</v>
      </c>
      <c r="Q3314">
        <v>1</v>
      </c>
      <c r="R3314">
        <v>0</v>
      </c>
      <c r="S3314">
        <v>0</v>
      </c>
      <c r="T3314">
        <v>80</v>
      </c>
      <c r="U3314">
        <v>200</v>
      </c>
    </row>
    <row r="3315" spans="1:21" x14ac:dyDescent="0.35">
      <c r="A3315" t="s">
        <v>26</v>
      </c>
      <c r="B3315" s="1">
        <v>44674</v>
      </c>
      <c r="C3315" t="s">
        <v>22</v>
      </c>
      <c r="D3315">
        <v>4.5999999999999996</v>
      </c>
      <c r="E3315">
        <v>3.1</v>
      </c>
      <c r="F3315">
        <v>3.3</v>
      </c>
      <c r="G3315">
        <v>1.5</v>
      </c>
      <c r="H3315">
        <v>1.4</v>
      </c>
      <c r="I3315">
        <v>6</v>
      </c>
      <c r="J3315">
        <v>3.8</v>
      </c>
      <c r="K3315">
        <v>2.2000000000000002</v>
      </c>
      <c r="L3315">
        <v>1.6</v>
      </c>
      <c r="M3315">
        <v>2.7</v>
      </c>
      <c r="N3315">
        <v>652046</v>
      </c>
      <c r="O3315">
        <v>893938</v>
      </c>
      <c r="P3315">
        <v>947960</v>
      </c>
      <c r="Q3315">
        <v>30</v>
      </c>
      <c r="R3315">
        <v>28</v>
      </c>
      <c r="S3315">
        <v>31</v>
      </c>
      <c r="T3315">
        <v>999</v>
      </c>
      <c r="U3315">
        <v>999</v>
      </c>
    </row>
    <row r="3316" spans="1:21" x14ac:dyDescent="0.35">
      <c r="A3316" t="s">
        <v>21</v>
      </c>
      <c r="B3316" s="1">
        <v>45199</v>
      </c>
      <c r="C3316" t="s">
        <v>24</v>
      </c>
      <c r="D3316">
        <v>0</v>
      </c>
      <c r="E3316">
        <v>0</v>
      </c>
      <c r="F3316">
        <v>0</v>
      </c>
      <c r="G3316">
        <v>0</v>
      </c>
      <c r="H3316">
        <v>0</v>
      </c>
      <c r="I3316">
        <v>0</v>
      </c>
      <c r="J3316">
        <v>0</v>
      </c>
      <c r="K3316">
        <v>0</v>
      </c>
      <c r="L3316">
        <v>0</v>
      </c>
      <c r="M3316">
        <v>0</v>
      </c>
      <c r="N3316">
        <v>89396</v>
      </c>
      <c r="O3316">
        <v>82669</v>
      </c>
      <c r="P3316">
        <v>21266</v>
      </c>
      <c r="Q3316">
        <v>0</v>
      </c>
      <c r="R3316">
        <v>0</v>
      </c>
      <c r="S3316">
        <v>0</v>
      </c>
      <c r="T3316">
        <v>5</v>
      </c>
      <c r="U3316">
        <v>11</v>
      </c>
    </row>
    <row r="3317" spans="1:21" x14ac:dyDescent="0.35">
      <c r="A3317" t="s">
        <v>26</v>
      </c>
      <c r="B3317" s="1">
        <v>44991</v>
      </c>
      <c r="C3317" t="s">
        <v>30</v>
      </c>
      <c r="D3317">
        <v>8.1999999999999993</v>
      </c>
      <c r="E3317">
        <v>8.8000000000000007</v>
      </c>
      <c r="F3317">
        <v>8.5</v>
      </c>
      <c r="G3317">
        <v>0.9</v>
      </c>
      <c r="H3317">
        <v>1</v>
      </c>
      <c r="I3317">
        <v>0</v>
      </c>
      <c r="J3317">
        <v>0</v>
      </c>
      <c r="K3317">
        <v>0</v>
      </c>
      <c r="L3317">
        <v>0</v>
      </c>
      <c r="M3317">
        <v>0</v>
      </c>
      <c r="N3317">
        <v>24536</v>
      </c>
      <c r="O3317">
        <v>11384</v>
      </c>
      <c r="P3317">
        <v>47129</v>
      </c>
      <c r="Q3317">
        <v>2</v>
      </c>
      <c r="R3317">
        <v>1</v>
      </c>
      <c r="S3317">
        <v>4</v>
      </c>
      <c r="T3317">
        <v>80</v>
      </c>
      <c r="U3317">
        <v>200</v>
      </c>
    </row>
    <row r="3318" spans="1:21" x14ac:dyDescent="0.35">
      <c r="A3318" t="s">
        <v>28</v>
      </c>
      <c r="B3318" s="1">
        <v>44385</v>
      </c>
      <c r="C3318" t="s">
        <v>29</v>
      </c>
      <c r="D3318">
        <v>234.5</v>
      </c>
      <c r="E3318">
        <v>90.6</v>
      </c>
      <c r="F3318">
        <v>0</v>
      </c>
      <c r="G3318">
        <v>2.6</v>
      </c>
      <c r="H3318">
        <v>0</v>
      </c>
      <c r="I3318">
        <v>0</v>
      </c>
      <c r="J3318">
        <v>0</v>
      </c>
      <c r="K3318">
        <v>0</v>
      </c>
      <c r="L3318">
        <v>0</v>
      </c>
      <c r="M3318">
        <v>0</v>
      </c>
      <c r="N3318">
        <v>260144</v>
      </c>
      <c r="O3318">
        <v>501004</v>
      </c>
      <c r="P3318">
        <v>0</v>
      </c>
      <c r="Q3318">
        <v>610</v>
      </c>
      <c r="R3318">
        <v>454</v>
      </c>
      <c r="S3318">
        <v>0</v>
      </c>
      <c r="T3318">
        <v>30</v>
      </c>
      <c r="U3318">
        <v>49</v>
      </c>
    </row>
    <row r="3319" spans="1:21" x14ac:dyDescent="0.35">
      <c r="A3319" t="s">
        <v>21</v>
      </c>
      <c r="B3319" s="1">
        <v>44737</v>
      </c>
      <c r="C3319" t="s">
        <v>29</v>
      </c>
      <c r="D3319">
        <v>0</v>
      </c>
      <c r="E3319">
        <v>0.4</v>
      </c>
      <c r="F3319">
        <v>0.3</v>
      </c>
      <c r="G3319">
        <v>0</v>
      </c>
      <c r="H3319">
        <v>0</v>
      </c>
      <c r="I3319">
        <v>0</v>
      </c>
      <c r="J3319">
        <v>0</v>
      </c>
      <c r="K3319">
        <v>0</v>
      </c>
      <c r="L3319">
        <v>0</v>
      </c>
      <c r="M3319">
        <v>0</v>
      </c>
      <c r="N3319">
        <v>128154</v>
      </c>
      <c r="O3319">
        <v>281330</v>
      </c>
      <c r="P3319">
        <v>338834</v>
      </c>
      <c r="Q3319">
        <v>0</v>
      </c>
      <c r="R3319">
        <v>1</v>
      </c>
      <c r="S3319">
        <v>1</v>
      </c>
      <c r="T3319">
        <v>30</v>
      </c>
      <c r="U3319">
        <v>49</v>
      </c>
    </row>
    <row r="3320" spans="1:21" x14ac:dyDescent="0.35">
      <c r="A3320" t="s">
        <v>21</v>
      </c>
      <c r="B3320" s="1">
        <v>44596</v>
      </c>
      <c r="C3320" t="s">
        <v>25</v>
      </c>
      <c r="D3320">
        <v>0</v>
      </c>
      <c r="E3320">
        <v>0</v>
      </c>
      <c r="F3320">
        <v>0</v>
      </c>
      <c r="G3320">
        <v>0</v>
      </c>
      <c r="H3320">
        <v>0</v>
      </c>
      <c r="I3320">
        <v>0</v>
      </c>
      <c r="J3320">
        <v>0</v>
      </c>
      <c r="K3320">
        <v>0</v>
      </c>
      <c r="L3320">
        <v>0</v>
      </c>
      <c r="M3320">
        <v>0</v>
      </c>
      <c r="N3320">
        <v>98738</v>
      </c>
      <c r="O3320">
        <v>219958</v>
      </c>
      <c r="P3320">
        <v>146325</v>
      </c>
      <c r="Q3320">
        <v>0</v>
      </c>
      <c r="R3320">
        <v>0</v>
      </c>
      <c r="S3320">
        <v>0</v>
      </c>
      <c r="T3320">
        <v>18</v>
      </c>
      <c r="U3320">
        <v>29</v>
      </c>
    </row>
    <row r="3321" spans="1:21" x14ac:dyDescent="0.35">
      <c r="A3321" t="s">
        <v>21</v>
      </c>
      <c r="B3321" s="1">
        <v>45164</v>
      </c>
      <c r="C3321" t="s">
        <v>25</v>
      </c>
      <c r="D3321">
        <v>0</v>
      </c>
      <c r="E3321">
        <v>0</v>
      </c>
      <c r="F3321">
        <v>0</v>
      </c>
      <c r="G3321">
        <v>0</v>
      </c>
      <c r="H3321">
        <v>0</v>
      </c>
      <c r="I3321">
        <v>0</v>
      </c>
      <c r="J3321">
        <v>0</v>
      </c>
      <c r="K3321">
        <v>0</v>
      </c>
      <c r="L3321">
        <v>0</v>
      </c>
      <c r="M3321">
        <v>0</v>
      </c>
      <c r="N3321">
        <v>73401</v>
      </c>
      <c r="O3321">
        <v>214130</v>
      </c>
      <c r="P3321">
        <v>161720</v>
      </c>
      <c r="Q3321">
        <v>0</v>
      </c>
      <c r="R3321">
        <v>0</v>
      </c>
      <c r="S3321">
        <v>0</v>
      </c>
      <c r="T3321">
        <v>18</v>
      </c>
      <c r="U3321">
        <v>29</v>
      </c>
    </row>
    <row r="3322" spans="1:21" x14ac:dyDescent="0.35">
      <c r="A3322" t="s">
        <v>26</v>
      </c>
      <c r="B3322" s="1">
        <v>44702</v>
      </c>
      <c r="C3322" t="s">
        <v>27</v>
      </c>
      <c r="D3322">
        <v>0</v>
      </c>
      <c r="E3322">
        <v>0</v>
      </c>
      <c r="F3322">
        <v>0</v>
      </c>
      <c r="G3322">
        <v>0</v>
      </c>
      <c r="H3322">
        <v>0</v>
      </c>
      <c r="I3322">
        <v>0</v>
      </c>
      <c r="J3322">
        <v>0</v>
      </c>
      <c r="K3322">
        <v>0</v>
      </c>
      <c r="L3322">
        <v>0</v>
      </c>
      <c r="M3322">
        <v>0</v>
      </c>
      <c r="N3322">
        <v>37169</v>
      </c>
      <c r="O3322">
        <v>93771</v>
      </c>
      <c r="P3322">
        <v>34462</v>
      </c>
      <c r="Q3322">
        <v>0</v>
      </c>
      <c r="R3322">
        <v>0</v>
      </c>
      <c r="S3322">
        <v>0</v>
      </c>
      <c r="T3322">
        <v>12</v>
      </c>
      <c r="U3322">
        <v>17</v>
      </c>
    </row>
    <row r="3323" spans="1:21" x14ac:dyDescent="0.35">
      <c r="A3323" t="s">
        <v>28</v>
      </c>
      <c r="B3323" s="1">
        <v>44512</v>
      </c>
      <c r="C3323" t="s">
        <v>24</v>
      </c>
      <c r="D3323">
        <v>437.3</v>
      </c>
      <c r="E3323">
        <v>0</v>
      </c>
      <c r="F3323">
        <v>0</v>
      </c>
      <c r="G3323">
        <v>0</v>
      </c>
      <c r="H3323">
        <v>0</v>
      </c>
      <c r="I3323">
        <v>0</v>
      </c>
      <c r="J3323">
        <v>0</v>
      </c>
      <c r="K3323">
        <v>0</v>
      </c>
      <c r="L3323">
        <v>0</v>
      </c>
      <c r="M3323">
        <v>0</v>
      </c>
      <c r="N3323">
        <v>151855</v>
      </c>
      <c r="O3323">
        <v>2846</v>
      </c>
      <c r="P3323">
        <v>0</v>
      </c>
      <c r="Q3323">
        <v>664</v>
      </c>
      <c r="R3323">
        <v>0</v>
      </c>
      <c r="S3323">
        <v>0</v>
      </c>
      <c r="T3323">
        <v>5</v>
      </c>
      <c r="U3323">
        <v>11</v>
      </c>
    </row>
    <row r="3324" spans="1:21" x14ac:dyDescent="0.35">
      <c r="A3324" t="s">
        <v>21</v>
      </c>
      <c r="B3324" s="1">
        <v>44611</v>
      </c>
      <c r="C3324" t="s">
        <v>30</v>
      </c>
      <c r="D3324">
        <v>22</v>
      </c>
      <c r="E3324">
        <v>13.2</v>
      </c>
      <c r="F3324">
        <v>4.8</v>
      </c>
      <c r="G3324">
        <v>1.7</v>
      </c>
      <c r="H3324">
        <v>4.5999999999999996</v>
      </c>
      <c r="I3324">
        <v>0</v>
      </c>
      <c r="J3324">
        <v>0</v>
      </c>
      <c r="K3324">
        <v>0</v>
      </c>
      <c r="L3324">
        <v>0</v>
      </c>
      <c r="M3324">
        <v>0</v>
      </c>
      <c r="N3324">
        <v>27250</v>
      </c>
      <c r="O3324">
        <v>15168</v>
      </c>
      <c r="P3324">
        <v>41699</v>
      </c>
      <c r="Q3324">
        <v>6</v>
      </c>
      <c r="R3324">
        <v>2</v>
      </c>
      <c r="S3324">
        <v>2</v>
      </c>
      <c r="T3324">
        <v>80</v>
      </c>
      <c r="U3324">
        <v>200</v>
      </c>
    </row>
    <row r="3325" spans="1:21" x14ac:dyDescent="0.35">
      <c r="A3325" t="s">
        <v>26</v>
      </c>
      <c r="B3325" s="1">
        <v>45145</v>
      </c>
      <c r="C3325" t="s">
        <v>27</v>
      </c>
      <c r="D3325">
        <v>0</v>
      </c>
      <c r="E3325">
        <v>0</v>
      </c>
      <c r="F3325">
        <v>0</v>
      </c>
      <c r="G3325">
        <v>0</v>
      </c>
      <c r="H3325">
        <v>0</v>
      </c>
      <c r="I3325">
        <v>0</v>
      </c>
      <c r="J3325">
        <v>0</v>
      </c>
      <c r="K3325">
        <v>0</v>
      </c>
      <c r="L3325">
        <v>0</v>
      </c>
      <c r="M3325">
        <v>0</v>
      </c>
      <c r="N3325">
        <v>32241</v>
      </c>
      <c r="O3325">
        <v>86577</v>
      </c>
      <c r="P3325">
        <v>44590</v>
      </c>
      <c r="Q3325">
        <v>0</v>
      </c>
      <c r="R3325">
        <v>0</v>
      </c>
      <c r="S3325">
        <v>0</v>
      </c>
      <c r="T3325">
        <v>12</v>
      </c>
      <c r="U3325">
        <v>17</v>
      </c>
    </row>
    <row r="3326" spans="1:21" x14ac:dyDescent="0.35">
      <c r="A3326" t="s">
        <v>21</v>
      </c>
      <c r="B3326" s="1">
        <v>45232</v>
      </c>
      <c r="C3326" t="s">
        <v>29</v>
      </c>
      <c r="D3326">
        <v>0</v>
      </c>
      <c r="E3326">
        <v>0</v>
      </c>
      <c r="F3326">
        <v>0</v>
      </c>
      <c r="G3326">
        <v>0</v>
      </c>
      <c r="H3326">
        <v>0</v>
      </c>
      <c r="I3326">
        <v>0</v>
      </c>
      <c r="J3326">
        <v>0</v>
      </c>
      <c r="K3326">
        <v>0</v>
      </c>
      <c r="L3326">
        <v>0</v>
      </c>
      <c r="M3326">
        <v>0</v>
      </c>
      <c r="N3326">
        <v>111258</v>
      </c>
      <c r="O3326">
        <v>277686</v>
      </c>
      <c r="P3326">
        <v>347246</v>
      </c>
      <c r="Q3326">
        <v>0</v>
      </c>
      <c r="R3326">
        <v>0</v>
      </c>
      <c r="S3326">
        <v>0</v>
      </c>
      <c r="T3326">
        <v>30</v>
      </c>
      <c r="U3326">
        <v>49</v>
      </c>
    </row>
    <row r="3327" spans="1:21" x14ac:dyDescent="0.35">
      <c r="A3327" t="s">
        <v>21</v>
      </c>
      <c r="B3327" s="1">
        <v>44512</v>
      </c>
      <c r="C3327" t="s">
        <v>29</v>
      </c>
      <c r="D3327">
        <v>6.6</v>
      </c>
      <c r="E3327">
        <v>0.4</v>
      </c>
      <c r="F3327">
        <v>0</v>
      </c>
      <c r="G3327">
        <v>16.5</v>
      </c>
      <c r="H3327">
        <v>0</v>
      </c>
      <c r="I3327">
        <v>0</v>
      </c>
      <c r="J3327">
        <v>0</v>
      </c>
      <c r="K3327">
        <v>0</v>
      </c>
      <c r="L3327">
        <v>0</v>
      </c>
      <c r="M3327">
        <v>0</v>
      </c>
      <c r="N3327">
        <v>181110</v>
      </c>
      <c r="O3327">
        <v>452975</v>
      </c>
      <c r="P3327">
        <v>121631</v>
      </c>
      <c r="Q3327">
        <v>12</v>
      </c>
      <c r="R3327">
        <v>2</v>
      </c>
      <c r="S3327">
        <v>0</v>
      </c>
      <c r="T3327">
        <v>30</v>
      </c>
      <c r="U3327">
        <v>49</v>
      </c>
    </row>
    <row r="3328" spans="1:21" x14ac:dyDescent="0.35">
      <c r="A3328" t="s">
        <v>26</v>
      </c>
      <c r="B3328" s="1">
        <v>45233</v>
      </c>
      <c r="C3328" t="s">
        <v>29</v>
      </c>
      <c r="D3328">
        <v>10</v>
      </c>
      <c r="E3328">
        <v>2.5</v>
      </c>
      <c r="F3328">
        <v>2.9</v>
      </c>
      <c r="G3328">
        <v>4</v>
      </c>
      <c r="H3328">
        <v>3.4</v>
      </c>
      <c r="I3328">
        <v>0</v>
      </c>
      <c r="J3328">
        <v>0</v>
      </c>
      <c r="K3328">
        <v>0</v>
      </c>
      <c r="L3328">
        <v>0</v>
      </c>
      <c r="M3328">
        <v>0</v>
      </c>
      <c r="N3328">
        <v>110407</v>
      </c>
      <c r="O3328">
        <v>277955</v>
      </c>
      <c r="P3328">
        <v>347264</v>
      </c>
      <c r="Q3328">
        <v>11</v>
      </c>
      <c r="R3328">
        <v>7</v>
      </c>
      <c r="S3328">
        <v>10</v>
      </c>
      <c r="T3328">
        <v>30</v>
      </c>
      <c r="U3328">
        <v>49</v>
      </c>
    </row>
    <row r="3329" spans="1:21" x14ac:dyDescent="0.35">
      <c r="A3329" t="s">
        <v>26</v>
      </c>
      <c r="B3329" s="1">
        <v>44683</v>
      </c>
      <c r="C3329" t="s">
        <v>31</v>
      </c>
      <c r="D3329">
        <v>50.2</v>
      </c>
      <c r="E3329">
        <v>36.799999999999997</v>
      </c>
      <c r="F3329">
        <v>15.4</v>
      </c>
      <c r="G3329">
        <v>1.4</v>
      </c>
      <c r="H3329">
        <v>3.3</v>
      </c>
      <c r="I3329">
        <v>0</v>
      </c>
      <c r="J3329">
        <v>0</v>
      </c>
      <c r="K3329">
        <v>0</v>
      </c>
      <c r="L3329">
        <v>0</v>
      </c>
      <c r="M3329">
        <v>0</v>
      </c>
      <c r="N3329">
        <v>49755</v>
      </c>
      <c r="O3329">
        <v>59749</v>
      </c>
      <c r="P3329">
        <v>148949</v>
      </c>
      <c r="Q3329">
        <v>25</v>
      </c>
      <c r="R3329">
        <v>22</v>
      </c>
      <c r="S3329">
        <v>23</v>
      </c>
      <c r="T3329">
        <v>65</v>
      </c>
      <c r="U3329">
        <v>79</v>
      </c>
    </row>
    <row r="3330" spans="1:21" x14ac:dyDescent="0.35">
      <c r="A3330" t="s">
        <v>28</v>
      </c>
      <c r="B3330" s="1">
        <v>44683</v>
      </c>
      <c r="C3330" t="s">
        <v>29</v>
      </c>
      <c r="D3330">
        <v>226.4</v>
      </c>
      <c r="E3330">
        <v>110.2</v>
      </c>
      <c r="F3330">
        <v>163.1</v>
      </c>
      <c r="G3330">
        <v>2.1</v>
      </c>
      <c r="H3330">
        <v>1.4</v>
      </c>
      <c r="I3330">
        <v>0</v>
      </c>
      <c r="J3330">
        <v>0</v>
      </c>
      <c r="K3330">
        <v>0</v>
      </c>
      <c r="L3330">
        <v>0</v>
      </c>
      <c r="M3330">
        <v>0</v>
      </c>
      <c r="N3330">
        <v>142252</v>
      </c>
      <c r="O3330">
        <v>308500</v>
      </c>
      <c r="P3330">
        <v>286318</v>
      </c>
      <c r="Q3330">
        <v>322</v>
      </c>
      <c r="R3330">
        <v>340</v>
      </c>
      <c r="S3330">
        <v>467</v>
      </c>
      <c r="T3330">
        <v>30</v>
      </c>
      <c r="U3330">
        <v>49</v>
      </c>
    </row>
    <row r="3331" spans="1:21" x14ac:dyDescent="0.35">
      <c r="A3331" t="s">
        <v>21</v>
      </c>
      <c r="B3331" s="1">
        <v>45192</v>
      </c>
      <c r="C3331" t="s">
        <v>23</v>
      </c>
      <c r="D3331">
        <v>0</v>
      </c>
      <c r="E3331">
        <v>0</v>
      </c>
      <c r="F3331">
        <v>0</v>
      </c>
      <c r="G3331">
        <v>0</v>
      </c>
      <c r="H3331">
        <v>0</v>
      </c>
      <c r="I3331">
        <v>0</v>
      </c>
      <c r="J3331">
        <v>0</v>
      </c>
      <c r="K3331">
        <v>0</v>
      </c>
      <c r="L3331">
        <v>0</v>
      </c>
      <c r="M3331">
        <v>0</v>
      </c>
      <c r="N3331">
        <v>32105</v>
      </c>
      <c r="O3331">
        <v>125718</v>
      </c>
      <c r="P3331">
        <v>246945</v>
      </c>
      <c r="Q3331">
        <v>0</v>
      </c>
      <c r="R3331">
        <v>0</v>
      </c>
      <c r="S3331">
        <v>0</v>
      </c>
      <c r="T3331">
        <v>50</v>
      </c>
      <c r="U3331">
        <v>64</v>
      </c>
    </row>
    <row r="3332" spans="1:21" x14ac:dyDescent="0.35">
      <c r="A3332" t="s">
        <v>21</v>
      </c>
      <c r="B3332" s="1">
        <v>44683</v>
      </c>
      <c r="C3332" t="s">
        <v>22</v>
      </c>
      <c r="D3332">
        <v>7.2</v>
      </c>
      <c r="E3332">
        <v>4.4000000000000004</v>
      </c>
      <c r="F3332">
        <v>1.7</v>
      </c>
      <c r="G3332">
        <v>1.6</v>
      </c>
      <c r="H3332">
        <v>4.2</v>
      </c>
      <c r="I3332">
        <v>10.1</v>
      </c>
      <c r="J3332">
        <v>6.5</v>
      </c>
      <c r="K3332">
        <v>0.9</v>
      </c>
      <c r="L3332">
        <v>1.6</v>
      </c>
      <c r="M3332">
        <v>10.8</v>
      </c>
      <c r="N3332">
        <v>695615</v>
      </c>
      <c r="O3332">
        <v>928537</v>
      </c>
      <c r="P3332">
        <v>818642</v>
      </c>
      <c r="Q3332">
        <v>50</v>
      </c>
      <c r="R3332">
        <v>41</v>
      </c>
      <c r="S3332">
        <v>14</v>
      </c>
      <c r="T3332">
        <v>999</v>
      </c>
      <c r="U3332">
        <v>999</v>
      </c>
    </row>
    <row r="3333" spans="1:21" x14ac:dyDescent="0.35">
      <c r="A3333" t="s">
        <v>28</v>
      </c>
      <c r="B3333" s="1">
        <v>44991</v>
      </c>
      <c r="C3333" t="s">
        <v>25</v>
      </c>
      <c r="D3333">
        <v>18.7</v>
      </c>
      <c r="E3333">
        <v>6.1</v>
      </c>
      <c r="F3333">
        <v>9.3000000000000007</v>
      </c>
      <c r="G3333">
        <v>3.1</v>
      </c>
      <c r="H3333">
        <v>2</v>
      </c>
      <c r="I3333">
        <v>0</v>
      </c>
      <c r="J3333">
        <v>0</v>
      </c>
      <c r="K3333">
        <v>0</v>
      </c>
      <c r="L3333">
        <v>0</v>
      </c>
      <c r="M3333">
        <v>0</v>
      </c>
      <c r="N3333">
        <v>74734</v>
      </c>
      <c r="O3333">
        <v>214134</v>
      </c>
      <c r="P3333">
        <v>161695</v>
      </c>
      <c r="Q3333">
        <v>14</v>
      </c>
      <c r="R3333">
        <v>13</v>
      </c>
      <c r="S3333">
        <v>15</v>
      </c>
      <c r="T3333">
        <v>18</v>
      </c>
      <c r="U3333">
        <v>29</v>
      </c>
    </row>
    <row r="3334" spans="1:21" x14ac:dyDescent="0.35">
      <c r="A3334" t="s">
        <v>28</v>
      </c>
      <c r="B3334" s="1">
        <v>44599</v>
      </c>
      <c r="C3334" t="s">
        <v>30</v>
      </c>
      <c r="D3334">
        <v>113.4</v>
      </c>
      <c r="E3334">
        <v>180.6</v>
      </c>
      <c r="F3334">
        <v>228.7</v>
      </c>
      <c r="G3334">
        <v>0.6</v>
      </c>
      <c r="H3334">
        <v>0.5</v>
      </c>
      <c r="I3334">
        <v>0</v>
      </c>
      <c r="J3334">
        <v>0</v>
      </c>
      <c r="K3334">
        <v>0</v>
      </c>
      <c r="L3334">
        <v>0</v>
      </c>
      <c r="M3334">
        <v>0</v>
      </c>
      <c r="N3334">
        <v>26451</v>
      </c>
      <c r="O3334">
        <v>12179</v>
      </c>
      <c r="P3334">
        <v>45911</v>
      </c>
      <c r="Q3334">
        <v>30</v>
      </c>
      <c r="R3334">
        <v>22</v>
      </c>
      <c r="S3334">
        <v>105</v>
      </c>
      <c r="T3334">
        <v>80</v>
      </c>
      <c r="U3334">
        <v>200</v>
      </c>
    </row>
    <row r="3335" spans="1:21" x14ac:dyDescent="0.35">
      <c r="A3335" t="s">
        <v>21</v>
      </c>
      <c r="B3335" s="1">
        <v>44618</v>
      </c>
      <c r="C3335" t="s">
        <v>30</v>
      </c>
      <c r="D3335">
        <v>18.399999999999999</v>
      </c>
      <c r="E3335">
        <v>27</v>
      </c>
      <c r="F3335">
        <v>7.1</v>
      </c>
      <c r="G3335">
        <v>0.7</v>
      </c>
      <c r="H3335">
        <v>2.6</v>
      </c>
      <c r="I3335">
        <v>0</v>
      </c>
      <c r="J3335">
        <v>0</v>
      </c>
      <c r="K3335">
        <v>0</v>
      </c>
      <c r="L3335">
        <v>0</v>
      </c>
      <c r="M3335">
        <v>0</v>
      </c>
      <c r="N3335">
        <v>27200</v>
      </c>
      <c r="O3335">
        <v>14818</v>
      </c>
      <c r="P3335">
        <v>42125</v>
      </c>
      <c r="Q3335">
        <v>5</v>
      </c>
      <c r="R3335">
        <v>4</v>
      </c>
      <c r="S3335">
        <v>3</v>
      </c>
      <c r="T3335">
        <v>80</v>
      </c>
      <c r="U3335">
        <v>200</v>
      </c>
    </row>
    <row r="3336" spans="1:21" x14ac:dyDescent="0.35">
      <c r="A3336" t="s">
        <v>28</v>
      </c>
      <c r="B3336" s="1">
        <v>44730</v>
      </c>
      <c r="C3336" t="s">
        <v>24</v>
      </c>
      <c r="D3336">
        <v>65.099999999999994</v>
      </c>
      <c r="E3336">
        <v>112.1</v>
      </c>
      <c r="F3336">
        <v>120.3</v>
      </c>
      <c r="G3336">
        <v>0.6</v>
      </c>
      <c r="H3336">
        <v>0.5</v>
      </c>
      <c r="I3336">
        <v>0</v>
      </c>
      <c r="J3336">
        <v>0</v>
      </c>
      <c r="K3336">
        <v>0</v>
      </c>
      <c r="L3336">
        <v>0</v>
      </c>
      <c r="M3336">
        <v>0</v>
      </c>
      <c r="N3336">
        <v>99854</v>
      </c>
      <c r="O3336">
        <v>91897</v>
      </c>
      <c r="P3336">
        <v>4155</v>
      </c>
      <c r="Q3336">
        <v>65</v>
      </c>
      <c r="R3336">
        <v>103</v>
      </c>
      <c r="S3336">
        <v>5</v>
      </c>
      <c r="T3336">
        <v>5</v>
      </c>
      <c r="U3336">
        <v>11</v>
      </c>
    </row>
    <row r="3337" spans="1:21" x14ac:dyDescent="0.35">
      <c r="A3337" t="s">
        <v>26</v>
      </c>
      <c r="B3337" s="1">
        <v>44358</v>
      </c>
      <c r="C3337" t="s">
        <v>23</v>
      </c>
      <c r="D3337">
        <v>40.9</v>
      </c>
      <c r="E3337">
        <v>4.7</v>
      </c>
      <c r="F3337">
        <v>8</v>
      </c>
      <c r="G3337">
        <v>8.6999999999999993</v>
      </c>
      <c r="H3337">
        <v>5.0999999999999996</v>
      </c>
      <c r="I3337">
        <v>0</v>
      </c>
      <c r="J3337">
        <v>0</v>
      </c>
      <c r="K3337">
        <v>0</v>
      </c>
      <c r="L3337">
        <v>0</v>
      </c>
      <c r="M3337">
        <v>0</v>
      </c>
      <c r="N3337">
        <v>70859</v>
      </c>
      <c r="O3337">
        <v>318525</v>
      </c>
      <c r="P3337">
        <v>25135</v>
      </c>
      <c r="Q3337">
        <v>29</v>
      </c>
      <c r="R3337">
        <v>15</v>
      </c>
      <c r="S3337">
        <v>2</v>
      </c>
      <c r="T3337">
        <v>50</v>
      </c>
      <c r="U3337">
        <v>64</v>
      </c>
    </row>
    <row r="3338" spans="1:21" x14ac:dyDescent="0.35">
      <c r="A3338" t="s">
        <v>28</v>
      </c>
      <c r="B3338" s="1">
        <v>44828</v>
      </c>
      <c r="C3338" t="s">
        <v>27</v>
      </c>
      <c r="D3338">
        <v>168.7</v>
      </c>
      <c r="E3338">
        <v>65.3</v>
      </c>
      <c r="F3338">
        <v>76.599999999999994</v>
      </c>
      <c r="G3338">
        <v>2.6</v>
      </c>
      <c r="H3338">
        <v>2.2000000000000002</v>
      </c>
      <c r="I3338">
        <v>0</v>
      </c>
      <c r="J3338">
        <v>0</v>
      </c>
      <c r="K3338">
        <v>0</v>
      </c>
      <c r="L3338">
        <v>0</v>
      </c>
      <c r="M3338">
        <v>0</v>
      </c>
      <c r="N3338">
        <v>34979</v>
      </c>
      <c r="O3338">
        <v>85783</v>
      </c>
      <c r="P3338">
        <v>44379</v>
      </c>
      <c r="Q3338">
        <v>59</v>
      </c>
      <c r="R3338">
        <v>56</v>
      </c>
      <c r="S3338">
        <v>34</v>
      </c>
      <c r="T3338">
        <v>12</v>
      </c>
      <c r="U3338">
        <v>17</v>
      </c>
    </row>
    <row r="3339" spans="1:21" x14ac:dyDescent="0.35">
      <c r="A3339" t="s">
        <v>21</v>
      </c>
      <c r="B3339" s="1">
        <v>44991</v>
      </c>
      <c r="C3339" t="s">
        <v>31</v>
      </c>
      <c r="D3339">
        <v>0</v>
      </c>
      <c r="E3339">
        <v>0</v>
      </c>
      <c r="F3339">
        <v>0</v>
      </c>
      <c r="G3339">
        <v>0</v>
      </c>
      <c r="H3339">
        <v>0</v>
      </c>
      <c r="I3339">
        <v>0</v>
      </c>
      <c r="J3339">
        <v>0</v>
      </c>
      <c r="K3339">
        <v>0</v>
      </c>
      <c r="L3339">
        <v>0</v>
      </c>
      <c r="M3339">
        <v>0</v>
      </c>
      <c r="N3339">
        <v>39483</v>
      </c>
      <c r="O3339">
        <v>43434</v>
      </c>
      <c r="P3339">
        <v>171732</v>
      </c>
      <c r="Q3339">
        <v>0</v>
      </c>
      <c r="R3339">
        <v>0</v>
      </c>
      <c r="S3339">
        <v>0</v>
      </c>
      <c r="T3339">
        <v>65</v>
      </c>
      <c r="U3339">
        <v>79</v>
      </c>
    </row>
    <row r="3340" spans="1:21" x14ac:dyDescent="0.35">
      <c r="A3340" t="s">
        <v>28</v>
      </c>
      <c r="B3340" s="1">
        <v>44674</v>
      </c>
      <c r="C3340" t="s">
        <v>30</v>
      </c>
      <c r="D3340">
        <v>48.3</v>
      </c>
      <c r="E3340">
        <v>111.4</v>
      </c>
      <c r="F3340">
        <v>123</v>
      </c>
      <c r="G3340">
        <v>0.4</v>
      </c>
      <c r="H3340">
        <v>0.4</v>
      </c>
      <c r="I3340">
        <v>0</v>
      </c>
      <c r="J3340">
        <v>0</v>
      </c>
      <c r="K3340">
        <v>0</v>
      </c>
      <c r="L3340">
        <v>0</v>
      </c>
      <c r="M3340">
        <v>0</v>
      </c>
      <c r="N3340">
        <v>26906</v>
      </c>
      <c r="O3340">
        <v>13471</v>
      </c>
      <c r="P3340">
        <v>43906</v>
      </c>
      <c r="Q3340">
        <v>13</v>
      </c>
      <c r="R3340">
        <v>15</v>
      </c>
      <c r="S3340">
        <v>54</v>
      </c>
      <c r="T3340">
        <v>80</v>
      </c>
      <c r="U3340">
        <v>200</v>
      </c>
    </row>
    <row r="3341" spans="1:21" x14ac:dyDescent="0.35">
      <c r="A3341" t="s">
        <v>21</v>
      </c>
      <c r="B3341" s="1">
        <v>44259</v>
      </c>
      <c r="C3341" t="s">
        <v>31</v>
      </c>
      <c r="D3341">
        <v>5.7</v>
      </c>
      <c r="E3341">
        <v>1.1000000000000001</v>
      </c>
      <c r="F3341">
        <v>0</v>
      </c>
      <c r="G3341">
        <v>5.2</v>
      </c>
      <c r="H3341">
        <v>0</v>
      </c>
      <c r="I3341">
        <v>0</v>
      </c>
      <c r="J3341">
        <v>0</v>
      </c>
      <c r="K3341">
        <v>0</v>
      </c>
      <c r="L3341">
        <v>0</v>
      </c>
      <c r="M3341">
        <v>0</v>
      </c>
      <c r="N3341">
        <v>105935</v>
      </c>
      <c r="O3341">
        <v>91962</v>
      </c>
      <c r="P3341">
        <v>0</v>
      </c>
      <c r="Q3341">
        <v>6</v>
      </c>
      <c r="R3341">
        <v>1</v>
      </c>
      <c r="S3341">
        <v>0</v>
      </c>
      <c r="T3341">
        <v>65</v>
      </c>
      <c r="U3341">
        <v>79</v>
      </c>
    </row>
    <row r="3342" spans="1:21" x14ac:dyDescent="0.35">
      <c r="A3342" t="s">
        <v>28</v>
      </c>
      <c r="B3342" s="1">
        <v>44571</v>
      </c>
      <c r="C3342" t="s">
        <v>22</v>
      </c>
      <c r="D3342">
        <v>103.2</v>
      </c>
      <c r="E3342">
        <v>56.9</v>
      </c>
      <c r="F3342">
        <v>92.1</v>
      </c>
      <c r="G3342">
        <v>1.8</v>
      </c>
      <c r="H3342">
        <v>1.1000000000000001</v>
      </c>
      <c r="I3342">
        <v>127.4</v>
      </c>
      <c r="J3342">
        <v>57.9</v>
      </c>
      <c r="K3342">
        <v>87.4</v>
      </c>
      <c r="L3342">
        <v>2.2000000000000002</v>
      </c>
      <c r="M3342">
        <v>1.5</v>
      </c>
      <c r="N3342">
        <v>591822</v>
      </c>
      <c r="O3342">
        <v>842535</v>
      </c>
      <c r="P3342">
        <v>1037067</v>
      </c>
      <c r="Q3342">
        <v>611</v>
      </c>
      <c r="R3342">
        <v>479</v>
      </c>
      <c r="S3342">
        <v>955</v>
      </c>
      <c r="T3342">
        <v>999</v>
      </c>
      <c r="U3342">
        <v>999</v>
      </c>
    </row>
    <row r="3343" spans="1:21" x14ac:dyDescent="0.35">
      <c r="A3343" t="s">
        <v>21</v>
      </c>
      <c r="B3343" s="1">
        <v>45101</v>
      </c>
      <c r="C3343" t="s">
        <v>31</v>
      </c>
      <c r="D3343">
        <v>0</v>
      </c>
      <c r="E3343">
        <v>0</v>
      </c>
      <c r="F3343">
        <v>0</v>
      </c>
      <c r="G3343">
        <v>0</v>
      </c>
      <c r="H3343">
        <v>0</v>
      </c>
      <c r="I3343">
        <v>0</v>
      </c>
      <c r="J3343">
        <v>0</v>
      </c>
      <c r="K3343">
        <v>0</v>
      </c>
      <c r="L3343">
        <v>0</v>
      </c>
      <c r="M3343">
        <v>0</v>
      </c>
      <c r="N3343">
        <v>39394</v>
      </c>
      <c r="O3343">
        <v>43428</v>
      </c>
      <c r="P3343">
        <v>171739</v>
      </c>
      <c r="Q3343">
        <v>0</v>
      </c>
      <c r="R3343">
        <v>0</v>
      </c>
      <c r="S3343">
        <v>0</v>
      </c>
      <c r="T3343">
        <v>65</v>
      </c>
      <c r="U3343">
        <v>79</v>
      </c>
    </row>
    <row r="3344" spans="1:21" x14ac:dyDescent="0.35">
      <c r="A3344" t="s">
        <v>26</v>
      </c>
      <c r="B3344" s="1">
        <v>45019</v>
      </c>
      <c r="C3344" t="s">
        <v>22</v>
      </c>
      <c r="D3344">
        <v>8.1</v>
      </c>
      <c r="E3344">
        <v>4.9000000000000004</v>
      </c>
      <c r="F3344">
        <v>7.1</v>
      </c>
      <c r="G3344">
        <v>1.7</v>
      </c>
      <c r="H3344">
        <v>1.1000000000000001</v>
      </c>
      <c r="I3344">
        <v>9.6999999999999993</v>
      </c>
      <c r="J3344">
        <v>7.2</v>
      </c>
      <c r="K3344">
        <v>5</v>
      </c>
      <c r="L3344">
        <v>1.3</v>
      </c>
      <c r="M3344">
        <v>1.9</v>
      </c>
      <c r="N3344">
        <v>544398</v>
      </c>
      <c r="O3344">
        <v>857702</v>
      </c>
      <c r="P3344">
        <v>1040439</v>
      </c>
      <c r="Q3344">
        <v>44</v>
      </c>
      <c r="R3344">
        <v>42</v>
      </c>
      <c r="S3344">
        <v>74</v>
      </c>
      <c r="T3344">
        <v>999</v>
      </c>
      <c r="U3344">
        <v>999</v>
      </c>
    </row>
    <row r="3345" spans="1:21" x14ac:dyDescent="0.35">
      <c r="A3345" t="s">
        <v>26</v>
      </c>
      <c r="B3345" s="1">
        <v>45073</v>
      </c>
      <c r="C3345" t="s">
        <v>27</v>
      </c>
      <c r="D3345">
        <v>0</v>
      </c>
      <c r="E3345">
        <v>0</v>
      </c>
      <c r="F3345">
        <v>0</v>
      </c>
      <c r="G3345">
        <v>0</v>
      </c>
      <c r="H3345">
        <v>0</v>
      </c>
      <c r="I3345">
        <v>0</v>
      </c>
      <c r="J3345">
        <v>0</v>
      </c>
      <c r="K3345">
        <v>0</v>
      </c>
      <c r="L3345">
        <v>0</v>
      </c>
      <c r="M3345">
        <v>0</v>
      </c>
      <c r="N3345">
        <v>32492</v>
      </c>
      <c r="O3345">
        <v>86582</v>
      </c>
      <c r="P3345">
        <v>44579</v>
      </c>
      <c r="Q3345">
        <v>0</v>
      </c>
      <c r="R3345">
        <v>0</v>
      </c>
      <c r="S3345">
        <v>0</v>
      </c>
      <c r="T3345">
        <v>12</v>
      </c>
      <c r="U3345">
        <v>17</v>
      </c>
    </row>
    <row r="3346" spans="1:21" x14ac:dyDescent="0.35">
      <c r="A3346" t="s">
        <v>21</v>
      </c>
      <c r="B3346" s="1">
        <v>44295</v>
      </c>
      <c r="C3346" t="s">
        <v>25</v>
      </c>
      <c r="D3346">
        <v>0</v>
      </c>
      <c r="E3346">
        <v>0</v>
      </c>
      <c r="F3346">
        <v>0</v>
      </c>
      <c r="G3346">
        <v>0</v>
      </c>
      <c r="H3346">
        <v>0</v>
      </c>
      <c r="I3346">
        <v>0</v>
      </c>
      <c r="J3346">
        <v>0</v>
      </c>
      <c r="K3346">
        <v>0</v>
      </c>
      <c r="L3346">
        <v>0</v>
      </c>
      <c r="M3346">
        <v>0</v>
      </c>
      <c r="N3346">
        <v>188921</v>
      </c>
      <c r="O3346">
        <v>294893</v>
      </c>
      <c r="P3346">
        <v>0</v>
      </c>
      <c r="Q3346">
        <v>0</v>
      </c>
      <c r="R3346">
        <v>0</v>
      </c>
      <c r="S3346">
        <v>0</v>
      </c>
      <c r="T3346">
        <v>18</v>
      </c>
      <c r="U3346">
        <v>29</v>
      </c>
    </row>
    <row r="3347" spans="1:21" x14ac:dyDescent="0.35">
      <c r="A3347" t="s">
        <v>21</v>
      </c>
      <c r="B3347" s="1">
        <v>45082</v>
      </c>
      <c r="C3347" t="s">
        <v>22</v>
      </c>
      <c r="D3347">
        <v>0</v>
      </c>
      <c r="E3347">
        <v>0.1</v>
      </c>
      <c r="F3347">
        <v>0</v>
      </c>
      <c r="G3347">
        <v>0</v>
      </c>
      <c r="H3347">
        <v>0</v>
      </c>
      <c r="I3347">
        <v>0</v>
      </c>
      <c r="J3347">
        <v>0.3</v>
      </c>
      <c r="K3347">
        <v>0</v>
      </c>
      <c r="L3347">
        <v>0</v>
      </c>
      <c r="M3347">
        <v>0</v>
      </c>
      <c r="N3347">
        <v>537432</v>
      </c>
      <c r="O3347">
        <v>860338</v>
      </c>
      <c r="P3347">
        <v>1040639</v>
      </c>
      <c r="Q3347">
        <v>0</v>
      </c>
      <c r="R3347">
        <v>1</v>
      </c>
      <c r="S3347">
        <v>0</v>
      </c>
      <c r="T3347">
        <v>999</v>
      </c>
      <c r="U3347">
        <v>999</v>
      </c>
    </row>
    <row r="3348" spans="1:21" x14ac:dyDescent="0.35">
      <c r="A3348" t="s">
        <v>26</v>
      </c>
      <c r="B3348" s="1">
        <v>44476</v>
      </c>
      <c r="C3348" t="s">
        <v>31</v>
      </c>
      <c r="D3348">
        <v>4.2</v>
      </c>
      <c r="E3348">
        <v>1.6</v>
      </c>
      <c r="F3348">
        <v>0</v>
      </c>
      <c r="G3348">
        <v>2.6</v>
      </c>
      <c r="H3348">
        <v>0</v>
      </c>
      <c r="I3348">
        <v>0</v>
      </c>
      <c r="J3348">
        <v>0</v>
      </c>
      <c r="K3348">
        <v>0</v>
      </c>
      <c r="L3348">
        <v>0</v>
      </c>
      <c r="M3348">
        <v>0</v>
      </c>
      <c r="N3348">
        <v>71806</v>
      </c>
      <c r="O3348">
        <v>189097</v>
      </c>
      <c r="P3348">
        <v>0</v>
      </c>
      <c r="Q3348">
        <v>3</v>
      </c>
      <c r="R3348">
        <v>3</v>
      </c>
      <c r="S3348">
        <v>0</v>
      </c>
      <c r="T3348">
        <v>65</v>
      </c>
      <c r="U3348">
        <v>79</v>
      </c>
    </row>
    <row r="3349" spans="1:21" x14ac:dyDescent="0.35">
      <c r="A3349" t="s">
        <v>21</v>
      </c>
      <c r="B3349" s="1">
        <v>44562</v>
      </c>
      <c r="C3349" t="s">
        <v>25</v>
      </c>
      <c r="D3349">
        <v>0.7</v>
      </c>
      <c r="E3349">
        <v>0</v>
      </c>
      <c r="F3349">
        <v>0</v>
      </c>
      <c r="G3349">
        <v>0</v>
      </c>
      <c r="H3349">
        <v>0</v>
      </c>
      <c r="I3349">
        <v>0</v>
      </c>
      <c r="J3349">
        <v>0</v>
      </c>
      <c r="K3349">
        <v>0</v>
      </c>
      <c r="L3349">
        <v>0</v>
      </c>
      <c r="M3349">
        <v>0</v>
      </c>
      <c r="N3349">
        <v>135521</v>
      </c>
      <c r="O3349">
        <v>266118</v>
      </c>
      <c r="P3349">
        <v>72360</v>
      </c>
      <c r="Q3349">
        <v>1</v>
      </c>
      <c r="R3349">
        <v>0</v>
      </c>
      <c r="S3349">
        <v>0</v>
      </c>
      <c r="T3349">
        <v>18</v>
      </c>
      <c r="U3349">
        <v>29</v>
      </c>
    </row>
    <row r="3350" spans="1:21" x14ac:dyDescent="0.35">
      <c r="A3350" t="s">
        <v>21</v>
      </c>
      <c r="B3350" s="1">
        <v>44856</v>
      </c>
      <c r="C3350" t="s">
        <v>24</v>
      </c>
      <c r="D3350">
        <v>0</v>
      </c>
      <c r="E3350">
        <v>0</v>
      </c>
      <c r="F3350">
        <v>0</v>
      </c>
      <c r="G3350">
        <v>0</v>
      </c>
      <c r="H3350">
        <v>0</v>
      </c>
      <c r="I3350">
        <v>0</v>
      </c>
      <c r="J3350">
        <v>0</v>
      </c>
      <c r="K3350">
        <v>0</v>
      </c>
      <c r="L3350">
        <v>0</v>
      </c>
      <c r="M3350">
        <v>0</v>
      </c>
      <c r="N3350">
        <v>94103</v>
      </c>
      <c r="O3350">
        <v>80652</v>
      </c>
      <c r="P3350">
        <v>20656</v>
      </c>
      <c r="Q3350">
        <v>0</v>
      </c>
      <c r="R3350">
        <v>0</v>
      </c>
      <c r="S3350">
        <v>0</v>
      </c>
      <c r="T3350">
        <v>5</v>
      </c>
      <c r="U3350">
        <v>11</v>
      </c>
    </row>
    <row r="3351" spans="1:21" x14ac:dyDescent="0.35">
      <c r="A3351" t="s">
        <v>21</v>
      </c>
      <c r="B3351" s="1">
        <v>44639</v>
      </c>
      <c r="C3351" t="s">
        <v>27</v>
      </c>
      <c r="D3351">
        <v>0</v>
      </c>
      <c r="E3351">
        <v>0</v>
      </c>
      <c r="F3351">
        <v>0</v>
      </c>
      <c r="G3351">
        <v>0</v>
      </c>
      <c r="H3351">
        <v>0</v>
      </c>
      <c r="I3351">
        <v>0</v>
      </c>
      <c r="J3351">
        <v>0</v>
      </c>
      <c r="K3351">
        <v>0</v>
      </c>
      <c r="L3351">
        <v>0</v>
      </c>
      <c r="M3351">
        <v>0</v>
      </c>
      <c r="N3351">
        <v>38626</v>
      </c>
      <c r="O3351">
        <v>96018</v>
      </c>
      <c r="P3351">
        <v>29614</v>
      </c>
      <c r="Q3351">
        <v>0</v>
      </c>
      <c r="R3351">
        <v>0</v>
      </c>
      <c r="S3351">
        <v>0</v>
      </c>
      <c r="T3351">
        <v>12</v>
      </c>
      <c r="U3351">
        <v>17</v>
      </c>
    </row>
    <row r="3352" spans="1:21" x14ac:dyDescent="0.35">
      <c r="A3352" t="s">
        <v>26</v>
      </c>
      <c r="B3352" s="1">
        <v>45199</v>
      </c>
      <c r="C3352" t="s">
        <v>29</v>
      </c>
      <c r="D3352">
        <v>1.9</v>
      </c>
      <c r="E3352">
        <v>1.8</v>
      </c>
      <c r="F3352">
        <v>0.9</v>
      </c>
      <c r="G3352">
        <v>1.1000000000000001</v>
      </c>
      <c r="H3352">
        <v>2.1</v>
      </c>
      <c r="I3352">
        <v>0</v>
      </c>
      <c r="J3352">
        <v>0</v>
      </c>
      <c r="K3352">
        <v>0</v>
      </c>
      <c r="L3352">
        <v>0</v>
      </c>
      <c r="M3352">
        <v>0</v>
      </c>
      <c r="N3352">
        <v>105830</v>
      </c>
      <c r="O3352">
        <v>278394</v>
      </c>
      <c r="P3352">
        <v>347333</v>
      </c>
      <c r="Q3352">
        <v>2</v>
      </c>
      <c r="R3352">
        <v>5</v>
      </c>
      <c r="S3352">
        <v>3</v>
      </c>
      <c r="T3352">
        <v>30</v>
      </c>
      <c r="U3352">
        <v>49</v>
      </c>
    </row>
    <row r="3353" spans="1:21" x14ac:dyDescent="0.35">
      <c r="A3353" t="s">
        <v>26</v>
      </c>
      <c r="B3353" s="1">
        <v>45045</v>
      </c>
      <c r="C3353" t="s">
        <v>31</v>
      </c>
      <c r="D3353">
        <v>12.6</v>
      </c>
      <c r="E3353">
        <v>9.1999999999999993</v>
      </c>
      <c r="F3353">
        <v>4.7</v>
      </c>
      <c r="G3353">
        <v>1.4</v>
      </c>
      <c r="H3353">
        <v>2.7</v>
      </c>
      <c r="I3353">
        <v>0</v>
      </c>
      <c r="J3353">
        <v>0</v>
      </c>
      <c r="K3353">
        <v>0</v>
      </c>
      <c r="L3353">
        <v>0</v>
      </c>
      <c r="M3353">
        <v>0</v>
      </c>
      <c r="N3353">
        <v>39684</v>
      </c>
      <c r="O3353">
        <v>43437</v>
      </c>
      <c r="P3353">
        <v>171725</v>
      </c>
      <c r="Q3353">
        <v>5</v>
      </c>
      <c r="R3353">
        <v>4</v>
      </c>
      <c r="S3353">
        <v>8</v>
      </c>
      <c r="T3353">
        <v>65</v>
      </c>
      <c r="U3353">
        <v>79</v>
      </c>
    </row>
    <row r="3354" spans="1:21" x14ac:dyDescent="0.35">
      <c r="A3354" t="s">
        <v>26</v>
      </c>
      <c r="B3354" s="1">
        <v>45027</v>
      </c>
      <c r="C3354" t="s">
        <v>23</v>
      </c>
      <c r="D3354">
        <v>22.9</v>
      </c>
      <c r="E3354">
        <v>1.6</v>
      </c>
      <c r="F3354">
        <v>2</v>
      </c>
      <c r="G3354">
        <v>14.3</v>
      </c>
      <c r="H3354">
        <v>11.4</v>
      </c>
      <c r="I3354">
        <v>0</v>
      </c>
      <c r="J3354">
        <v>0</v>
      </c>
      <c r="K3354">
        <v>0</v>
      </c>
      <c r="L3354">
        <v>0</v>
      </c>
      <c r="M3354">
        <v>0</v>
      </c>
      <c r="N3354">
        <v>30620</v>
      </c>
      <c r="O3354">
        <v>125775</v>
      </c>
      <c r="P3354">
        <v>247617</v>
      </c>
      <c r="Q3354">
        <v>7</v>
      </c>
      <c r="R3354">
        <v>2</v>
      </c>
      <c r="S3354">
        <v>5</v>
      </c>
      <c r="T3354">
        <v>50</v>
      </c>
      <c r="U3354">
        <v>64</v>
      </c>
    </row>
    <row r="3355" spans="1:21" x14ac:dyDescent="0.35">
      <c r="A3355" t="s">
        <v>21</v>
      </c>
      <c r="B3355" s="1">
        <v>44322</v>
      </c>
      <c r="C3355" t="s">
        <v>23</v>
      </c>
      <c r="D3355">
        <v>10.7</v>
      </c>
      <c r="E3355">
        <v>0</v>
      </c>
      <c r="F3355">
        <v>0</v>
      </c>
      <c r="G3355">
        <v>0</v>
      </c>
      <c r="H3355">
        <v>0</v>
      </c>
      <c r="I3355">
        <v>0</v>
      </c>
      <c r="J3355">
        <v>0</v>
      </c>
      <c r="K3355">
        <v>0</v>
      </c>
      <c r="L3355">
        <v>0</v>
      </c>
      <c r="M3355">
        <v>0</v>
      </c>
      <c r="N3355">
        <v>121592</v>
      </c>
      <c r="O3355">
        <v>270415</v>
      </c>
      <c r="P3355">
        <v>0</v>
      </c>
      <c r="Q3355">
        <v>13</v>
      </c>
      <c r="R3355">
        <v>0</v>
      </c>
      <c r="S3355">
        <v>0</v>
      </c>
      <c r="T3355">
        <v>50</v>
      </c>
      <c r="U3355">
        <v>64</v>
      </c>
    </row>
    <row r="3356" spans="1:21" x14ac:dyDescent="0.35">
      <c r="A3356" t="s">
        <v>28</v>
      </c>
      <c r="B3356" s="1">
        <v>44747</v>
      </c>
      <c r="C3356" t="s">
        <v>29</v>
      </c>
      <c r="D3356">
        <v>304.8</v>
      </c>
      <c r="E3356">
        <v>170.8</v>
      </c>
      <c r="F3356">
        <v>457.4</v>
      </c>
      <c r="G3356">
        <v>1.8</v>
      </c>
      <c r="H3356">
        <v>0.7</v>
      </c>
      <c r="I3356">
        <v>0</v>
      </c>
      <c r="J3356">
        <v>0</v>
      </c>
      <c r="K3356">
        <v>0</v>
      </c>
      <c r="L3356">
        <v>0</v>
      </c>
      <c r="M3356">
        <v>0</v>
      </c>
      <c r="N3356">
        <v>130589</v>
      </c>
      <c r="O3356">
        <v>286382</v>
      </c>
      <c r="P3356">
        <v>331646</v>
      </c>
      <c r="Q3356">
        <v>398</v>
      </c>
      <c r="R3356">
        <v>489</v>
      </c>
      <c r="S3356">
        <v>1517</v>
      </c>
      <c r="T3356">
        <v>30</v>
      </c>
      <c r="U3356">
        <v>49</v>
      </c>
    </row>
    <row r="3357" spans="1:21" x14ac:dyDescent="0.35">
      <c r="A3357" t="s">
        <v>21</v>
      </c>
      <c r="B3357" s="1">
        <v>44720</v>
      </c>
      <c r="C3357" t="s">
        <v>31</v>
      </c>
      <c r="D3357">
        <v>2.2000000000000002</v>
      </c>
      <c r="E3357">
        <v>0</v>
      </c>
      <c r="F3357">
        <v>0</v>
      </c>
      <c r="G3357">
        <v>0</v>
      </c>
      <c r="H3357">
        <v>0</v>
      </c>
      <c r="I3357">
        <v>0</v>
      </c>
      <c r="J3357">
        <v>0</v>
      </c>
      <c r="K3357">
        <v>0</v>
      </c>
      <c r="L3357">
        <v>0</v>
      </c>
      <c r="M3357">
        <v>0</v>
      </c>
      <c r="N3357">
        <v>45860</v>
      </c>
      <c r="O3357">
        <v>44684</v>
      </c>
      <c r="P3357">
        <v>169587</v>
      </c>
      <c r="Q3357">
        <v>1</v>
      </c>
      <c r="R3357">
        <v>0</v>
      </c>
      <c r="S3357">
        <v>0</v>
      </c>
      <c r="T3357">
        <v>65</v>
      </c>
      <c r="U3357">
        <v>79</v>
      </c>
    </row>
    <row r="3358" spans="1:21" x14ac:dyDescent="0.35">
      <c r="A3358" t="s">
        <v>28</v>
      </c>
      <c r="B3358" s="1">
        <v>44884</v>
      </c>
      <c r="C3358" t="s">
        <v>25</v>
      </c>
      <c r="D3358">
        <v>156</v>
      </c>
      <c r="E3358">
        <v>50.4</v>
      </c>
      <c r="F3358">
        <v>81.099999999999994</v>
      </c>
      <c r="G3358">
        <v>3.1</v>
      </c>
      <c r="H3358">
        <v>1.9</v>
      </c>
      <c r="I3358">
        <v>0</v>
      </c>
      <c r="J3358">
        <v>0</v>
      </c>
      <c r="K3358">
        <v>0</v>
      </c>
      <c r="L3358">
        <v>0</v>
      </c>
      <c r="M3358">
        <v>0</v>
      </c>
      <c r="N3358">
        <v>82036</v>
      </c>
      <c r="O3358">
        <v>212422</v>
      </c>
      <c r="P3358">
        <v>161555</v>
      </c>
      <c r="Q3358">
        <v>128</v>
      </c>
      <c r="R3358">
        <v>107</v>
      </c>
      <c r="S3358">
        <v>131</v>
      </c>
      <c r="T3358">
        <v>18</v>
      </c>
      <c r="U3358">
        <v>29</v>
      </c>
    </row>
    <row r="3359" spans="1:21" x14ac:dyDescent="0.35">
      <c r="A3359" t="s">
        <v>28</v>
      </c>
      <c r="B3359" s="1">
        <v>45038</v>
      </c>
      <c r="C3359" t="s">
        <v>22</v>
      </c>
      <c r="D3359">
        <v>48.8</v>
      </c>
      <c r="E3359">
        <v>24.3</v>
      </c>
      <c r="F3359">
        <v>39.6</v>
      </c>
      <c r="G3359">
        <v>2</v>
      </c>
      <c r="H3359">
        <v>1.2</v>
      </c>
      <c r="I3359">
        <v>55.5</v>
      </c>
      <c r="J3359">
        <v>26.6</v>
      </c>
      <c r="K3359">
        <v>39.6</v>
      </c>
      <c r="L3359">
        <v>2.1</v>
      </c>
      <c r="M3359">
        <v>1.4</v>
      </c>
      <c r="N3359">
        <v>538932</v>
      </c>
      <c r="O3359">
        <v>859890</v>
      </c>
      <c r="P3359">
        <v>1040601</v>
      </c>
      <c r="Q3359">
        <v>263</v>
      </c>
      <c r="R3359">
        <v>209</v>
      </c>
      <c r="S3359">
        <v>412</v>
      </c>
      <c r="T3359">
        <v>999</v>
      </c>
      <c r="U3359">
        <v>999</v>
      </c>
    </row>
    <row r="3360" spans="1:21" x14ac:dyDescent="0.35">
      <c r="A3360" t="s">
        <v>28</v>
      </c>
      <c r="B3360" s="1">
        <v>44863</v>
      </c>
      <c r="C3360" t="s">
        <v>24</v>
      </c>
      <c r="D3360">
        <v>108.6</v>
      </c>
      <c r="E3360">
        <v>88.1</v>
      </c>
      <c r="F3360">
        <v>124.3</v>
      </c>
      <c r="G3360">
        <v>1.2</v>
      </c>
      <c r="H3360">
        <v>0.9</v>
      </c>
      <c r="I3360">
        <v>0</v>
      </c>
      <c r="J3360">
        <v>0</v>
      </c>
      <c r="K3360">
        <v>0</v>
      </c>
      <c r="L3360">
        <v>0</v>
      </c>
      <c r="M3360">
        <v>0</v>
      </c>
      <c r="N3360">
        <v>93885</v>
      </c>
      <c r="O3360">
        <v>80560</v>
      </c>
      <c r="P3360">
        <v>20921</v>
      </c>
      <c r="Q3360">
        <v>102</v>
      </c>
      <c r="R3360">
        <v>71</v>
      </c>
      <c r="S3360">
        <v>26</v>
      </c>
      <c r="T3360">
        <v>5</v>
      </c>
      <c r="U3360">
        <v>11</v>
      </c>
    </row>
    <row r="3361" spans="1:21" x14ac:dyDescent="0.35">
      <c r="A3361" t="s">
        <v>26</v>
      </c>
      <c r="B3361" s="1">
        <v>44259</v>
      </c>
      <c r="C3361" t="s">
        <v>30</v>
      </c>
      <c r="D3361">
        <v>38</v>
      </c>
      <c r="E3361">
        <v>3.8</v>
      </c>
      <c r="F3361">
        <v>0</v>
      </c>
      <c r="G3361">
        <v>10</v>
      </c>
      <c r="H3361">
        <v>0</v>
      </c>
      <c r="I3361">
        <v>0</v>
      </c>
      <c r="J3361">
        <v>0</v>
      </c>
      <c r="K3361">
        <v>0</v>
      </c>
      <c r="L3361">
        <v>0</v>
      </c>
      <c r="M3361">
        <v>0</v>
      </c>
      <c r="N3361">
        <v>42122</v>
      </c>
      <c r="O3361">
        <v>26360</v>
      </c>
      <c r="P3361">
        <v>0</v>
      </c>
      <c r="Q3361">
        <v>16</v>
      </c>
      <c r="R3361">
        <v>1</v>
      </c>
      <c r="S3361">
        <v>0</v>
      </c>
      <c r="T3361">
        <v>80</v>
      </c>
      <c r="U3361">
        <v>200</v>
      </c>
    </row>
    <row r="3362" spans="1:21" x14ac:dyDescent="0.35">
      <c r="A3362" t="s">
        <v>21</v>
      </c>
      <c r="B3362" s="1">
        <v>45220</v>
      </c>
      <c r="C3362" t="s">
        <v>22</v>
      </c>
      <c r="D3362">
        <v>0.2</v>
      </c>
      <c r="E3362">
        <v>0</v>
      </c>
      <c r="F3362">
        <v>0.2</v>
      </c>
      <c r="G3362">
        <v>0</v>
      </c>
      <c r="H3362">
        <v>1</v>
      </c>
      <c r="I3362">
        <v>0.1</v>
      </c>
      <c r="J3362">
        <v>0</v>
      </c>
      <c r="K3362">
        <v>0.1</v>
      </c>
      <c r="L3362">
        <v>0</v>
      </c>
      <c r="M3362">
        <v>1.1000000000000001</v>
      </c>
      <c r="N3362">
        <v>517086</v>
      </c>
      <c r="O3362">
        <v>861860</v>
      </c>
      <c r="P3362">
        <v>1042471</v>
      </c>
      <c r="Q3362">
        <v>1</v>
      </c>
      <c r="R3362">
        <v>0</v>
      </c>
      <c r="S3362">
        <v>2</v>
      </c>
      <c r="T3362">
        <v>999</v>
      </c>
      <c r="U3362">
        <v>999</v>
      </c>
    </row>
    <row r="3363" spans="1:21" x14ac:dyDescent="0.35">
      <c r="A3363" t="s">
        <v>28</v>
      </c>
      <c r="B3363" s="1">
        <v>44683</v>
      </c>
      <c r="C3363" t="s">
        <v>23</v>
      </c>
      <c r="D3363">
        <v>295.2</v>
      </c>
      <c r="E3363">
        <v>99.5</v>
      </c>
      <c r="F3363">
        <v>106.2</v>
      </c>
      <c r="G3363">
        <v>3</v>
      </c>
      <c r="H3363">
        <v>2.8</v>
      </c>
      <c r="I3363">
        <v>0</v>
      </c>
      <c r="J3363">
        <v>0</v>
      </c>
      <c r="K3363">
        <v>0</v>
      </c>
      <c r="L3363">
        <v>0</v>
      </c>
      <c r="M3363">
        <v>0</v>
      </c>
      <c r="N3363">
        <v>48776</v>
      </c>
      <c r="O3363">
        <v>157818</v>
      </c>
      <c r="P3363">
        <v>201587</v>
      </c>
      <c r="Q3363">
        <v>144</v>
      </c>
      <c r="R3363">
        <v>157</v>
      </c>
      <c r="S3363">
        <v>214</v>
      </c>
      <c r="T3363">
        <v>50</v>
      </c>
      <c r="U3363">
        <v>64</v>
      </c>
    </row>
    <row r="3364" spans="1:21" x14ac:dyDescent="0.35">
      <c r="A3364" t="s">
        <v>28</v>
      </c>
      <c r="B3364" s="1">
        <v>44394</v>
      </c>
      <c r="C3364" t="s">
        <v>29</v>
      </c>
      <c r="D3364">
        <v>69.7</v>
      </c>
      <c r="E3364">
        <v>22</v>
      </c>
      <c r="F3364">
        <v>0</v>
      </c>
      <c r="G3364">
        <v>3.2</v>
      </c>
      <c r="H3364">
        <v>0</v>
      </c>
      <c r="I3364">
        <v>0</v>
      </c>
      <c r="J3364">
        <v>0</v>
      </c>
      <c r="K3364">
        <v>0</v>
      </c>
      <c r="L3364">
        <v>0</v>
      </c>
      <c r="M3364">
        <v>0</v>
      </c>
      <c r="N3364">
        <v>277043</v>
      </c>
      <c r="O3364">
        <v>487172</v>
      </c>
      <c r="P3364">
        <v>0</v>
      </c>
      <c r="Q3364">
        <v>193</v>
      </c>
      <c r="R3364">
        <v>107</v>
      </c>
      <c r="S3364">
        <v>0</v>
      </c>
      <c r="T3364">
        <v>30</v>
      </c>
      <c r="U3364">
        <v>49</v>
      </c>
    </row>
    <row r="3365" spans="1:21" x14ac:dyDescent="0.35">
      <c r="A3365" t="s">
        <v>26</v>
      </c>
      <c r="B3365" s="1">
        <v>44884</v>
      </c>
      <c r="C3365" t="s">
        <v>31</v>
      </c>
      <c r="D3365">
        <v>31.2</v>
      </c>
      <c r="E3365">
        <v>32.299999999999997</v>
      </c>
      <c r="F3365">
        <v>21</v>
      </c>
      <c r="G3365">
        <v>1</v>
      </c>
      <c r="H3365">
        <v>1.5</v>
      </c>
      <c r="I3365">
        <v>0</v>
      </c>
      <c r="J3365">
        <v>0</v>
      </c>
      <c r="K3365">
        <v>0</v>
      </c>
      <c r="L3365">
        <v>0</v>
      </c>
      <c r="M3365">
        <v>0</v>
      </c>
      <c r="N3365">
        <v>41725</v>
      </c>
      <c r="O3365">
        <v>43336</v>
      </c>
      <c r="P3365">
        <v>171598</v>
      </c>
      <c r="Q3365">
        <v>13</v>
      </c>
      <c r="R3365">
        <v>14</v>
      </c>
      <c r="S3365">
        <v>36</v>
      </c>
      <c r="T3365">
        <v>65</v>
      </c>
      <c r="U3365">
        <v>79</v>
      </c>
    </row>
    <row r="3366" spans="1:21" x14ac:dyDescent="0.35">
      <c r="A3366" t="s">
        <v>21</v>
      </c>
      <c r="B3366" s="1">
        <v>45157</v>
      </c>
      <c r="C3366" t="s">
        <v>27</v>
      </c>
      <c r="D3366">
        <v>0</v>
      </c>
      <c r="E3366">
        <v>0</v>
      </c>
      <c r="F3366">
        <v>0</v>
      </c>
      <c r="G3366">
        <v>0</v>
      </c>
      <c r="H3366">
        <v>0</v>
      </c>
      <c r="I3366">
        <v>0</v>
      </c>
      <c r="J3366">
        <v>0</v>
      </c>
      <c r="K3366">
        <v>0</v>
      </c>
      <c r="L3366">
        <v>0</v>
      </c>
      <c r="M3366">
        <v>0</v>
      </c>
      <c r="N3366">
        <v>31883</v>
      </c>
      <c r="O3366">
        <v>86575</v>
      </c>
      <c r="P3366">
        <v>44594</v>
      </c>
      <c r="Q3366">
        <v>0</v>
      </c>
      <c r="R3366">
        <v>0</v>
      </c>
      <c r="S3366">
        <v>0</v>
      </c>
      <c r="T3366">
        <v>12</v>
      </c>
      <c r="U3366">
        <v>17</v>
      </c>
    </row>
    <row r="3367" spans="1:21" x14ac:dyDescent="0.35">
      <c r="A3367" t="s">
        <v>28</v>
      </c>
      <c r="B3367" s="1">
        <v>44930</v>
      </c>
      <c r="C3367" t="s">
        <v>22</v>
      </c>
      <c r="D3367">
        <v>78.400000000000006</v>
      </c>
      <c r="E3367">
        <v>43.2</v>
      </c>
      <c r="F3367">
        <v>59.7</v>
      </c>
      <c r="G3367">
        <v>1.8</v>
      </c>
      <c r="H3367">
        <v>1.3</v>
      </c>
      <c r="I3367">
        <v>88.5</v>
      </c>
      <c r="J3367">
        <v>45</v>
      </c>
      <c r="K3367">
        <v>56</v>
      </c>
      <c r="L3367">
        <v>2</v>
      </c>
      <c r="M3367">
        <v>1.6</v>
      </c>
      <c r="N3367">
        <v>541142</v>
      </c>
      <c r="O3367">
        <v>859045</v>
      </c>
      <c r="P3367">
        <v>1040539</v>
      </c>
      <c r="Q3367">
        <v>424</v>
      </c>
      <c r="R3367">
        <v>371</v>
      </c>
      <c r="S3367">
        <v>621</v>
      </c>
      <c r="T3367">
        <v>999</v>
      </c>
      <c r="U3367">
        <v>999</v>
      </c>
    </row>
    <row r="3368" spans="1:21" x14ac:dyDescent="0.35">
      <c r="A3368" t="s">
        <v>26</v>
      </c>
      <c r="B3368" s="1">
        <v>44843</v>
      </c>
      <c r="C3368" t="s">
        <v>25</v>
      </c>
      <c r="D3368">
        <v>13.3</v>
      </c>
      <c r="E3368">
        <v>3.3</v>
      </c>
      <c r="F3368">
        <v>1.2</v>
      </c>
      <c r="G3368">
        <v>4</v>
      </c>
      <c r="H3368">
        <v>11.1</v>
      </c>
      <c r="I3368">
        <v>0</v>
      </c>
      <c r="J3368">
        <v>0</v>
      </c>
      <c r="K3368">
        <v>0</v>
      </c>
      <c r="L3368">
        <v>0</v>
      </c>
      <c r="M3368">
        <v>0</v>
      </c>
      <c r="N3368">
        <v>90487</v>
      </c>
      <c r="O3368">
        <v>211509</v>
      </c>
      <c r="P3368">
        <v>161187</v>
      </c>
      <c r="Q3368">
        <v>12</v>
      </c>
      <c r="R3368">
        <v>7</v>
      </c>
      <c r="S3368">
        <v>2</v>
      </c>
      <c r="T3368">
        <v>18</v>
      </c>
      <c r="U3368">
        <v>29</v>
      </c>
    </row>
    <row r="3369" spans="1:21" x14ac:dyDescent="0.35">
      <c r="A3369" t="s">
        <v>28</v>
      </c>
      <c r="B3369" s="1">
        <v>45213</v>
      </c>
      <c r="C3369" t="s">
        <v>24</v>
      </c>
      <c r="D3369">
        <v>9</v>
      </c>
      <c r="E3369">
        <v>6.1</v>
      </c>
      <c r="F3369">
        <v>14.1</v>
      </c>
      <c r="G3369">
        <v>1.5</v>
      </c>
      <c r="H3369">
        <v>0.6</v>
      </c>
      <c r="I3369">
        <v>0</v>
      </c>
      <c r="J3369">
        <v>0</v>
      </c>
      <c r="K3369">
        <v>0</v>
      </c>
      <c r="L3369">
        <v>0</v>
      </c>
      <c r="M3369">
        <v>0</v>
      </c>
      <c r="N3369">
        <v>89235</v>
      </c>
      <c r="O3369">
        <v>82644</v>
      </c>
      <c r="P3369">
        <v>21300</v>
      </c>
      <c r="Q3369">
        <v>8</v>
      </c>
      <c r="R3369">
        <v>5</v>
      </c>
      <c r="S3369">
        <v>3</v>
      </c>
      <c r="T3369">
        <v>5</v>
      </c>
      <c r="U3369">
        <v>11</v>
      </c>
    </row>
    <row r="3370" spans="1:21" x14ac:dyDescent="0.35">
      <c r="A3370" t="s">
        <v>26</v>
      </c>
      <c r="B3370" s="1">
        <v>44259</v>
      </c>
      <c r="C3370" t="s">
        <v>22</v>
      </c>
      <c r="D3370">
        <v>14</v>
      </c>
      <c r="E3370">
        <v>2.7</v>
      </c>
      <c r="F3370">
        <v>0</v>
      </c>
      <c r="G3370">
        <v>5.2</v>
      </c>
      <c r="H3370">
        <v>0</v>
      </c>
      <c r="I3370">
        <v>16.7</v>
      </c>
      <c r="J3370">
        <v>1.6</v>
      </c>
      <c r="K3370">
        <v>0</v>
      </c>
      <c r="L3370">
        <v>10.7</v>
      </c>
      <c r="M3370">
        <v>0</v>
      </c>
      <c r="N3370">
        <v>1827674</v>
      </c>
      <c r="O3370">
        <v>338699</v>
      </c>
      <c r="P3370">
        <v>0</v>
      </c>
      <c r="Q3370">
        <v>255</v>
      </c>
      <c r="R3370">
        <v>9</v>
      </c>
      <c r="S3370">
        <v>0</v>
      </c>
      <c r="T3370">
        <v>999</v>
      </c>
      <c r="U3370">
        <v>999</v>
      </c>
    </row>
    <row r="3371" spans="1:21" x14ac:dyDescent="0.35">
      <c r="A3371" t="s">
        <v>21</v>
      </c>
      <c r="B3371" s="1">
        <v>44906</v>
      </c>
      <c r="C3371" t="s">
        <v>31</v>
      </c>
      <c r="D3371">
        <v>0</v>
      </c>
      <c r="E3371">
        <v>0</v>
      </c>
      <c r="F3371">
        <v>0.6</v>
      </c>
      <c r="G3371">
        <v>0</v>
      </c>
      <c r="H3371">
        <v>0</v>
      </c>
      <c r="I3371">
        <v>0</v>
      </c>
      <c r="J3371">
        <v>0</v>
      </c>
      <c r="K3371">
        <v>0</v>
      </c>
      <c r="L3371">
        <v>0</v>
      </c>
      <c r="M3371">
        <v>0</v>
      </c>
      <c r="N3371">
        <v>42041</v>
      </c>
      <c r="O3371">
        <v>43328</v>
      </c>
      <c r="P3371">
        <v>171584</v>
      </c>
      <c r="Q3371">
        <v>0</v>
      </c>
      <c r="R3371">
        <v>0</v>
      </c>
      <c r="S3371">
        <v>1</v>
      </c>
      <c r="T3371">
        <v>65</v>
      </c>
      <c r="U3371">
        <v>79</v>
      </c>
    </row>
    <row r="3372" spans="1:21" x14ac:dyDescent="0.35">
      <c r="A3372" t="s">
        <v>28</v>
      </c>
      <c r="B3372" s="1">
        <v>44884</v>
      </c>
      <c r="C3372" t="s">
        <v>32</v>
      </c>
      <c r="D3372">
        <v>87.9</v>
      </c>
      <c r="E3372">
        <v>8.6</v>
      </c>
      <c r="F3372">
        <v>0</v>
      </c>
      <c r="G3372">
        <v>10.199999999999999</v>
      </c>
      <c r="H3372">
        <v>0</v>
      </c>
      <c r="I3372">
        <v>0</v>
      </c>
      <c r="J3372">
        <v>0</v>
      </c>
      <c r="K3372">
        <v>0</v>
      </c>
      <c r="L3372">
        <v>0</v>
      </c>
      <c r="M3372">
        <v>0</v>
      </c>
      <c r="N3372">
        <v>162642</v>
      </c>
      <c r="O3372">
        <v>0</v>
      </c>
      <c r="P3372">
        <v>0</v>
      </c>
      <c r="Q3372">
        <v>143</v>
      </c>
      <c r="R3372">
        <v>14</v>
      </c>
      <c r="S3372">
        <v>0</v>
      </c>
      <c r="T3372">
        <v>0</v>
      </c>
      <c r="U3372">
        <v>4</v>
      </c>
    </row>
    <row r="3373" spans="1:21" x14ac:dyDescent="0.35">
      <c r="A3373" t="s">
        <v>28</v>
      </c>
      <c r="B3373" s="1">
        <v>44846</v>
      </c>
      <c r="C3373" t="s">
        <v>31</v>
      </c>
      <c r="D3373">
        <v>262.5</v>
      </c>
      <c r="E3373">
        <v>191.5</v>
      </c>
      <c r="F3373">
        <v>189.9</v>
      </c>
      <c r="G3373">
        <v>1.4</v>
      </c>
      <c r="H3373">
        <v>1.4</v>
      </c>
      <c r="I3373">
        <v>0</v>
      </c>
      <c r="J3373">
        <v>0</v>
      </c>
      <c r="K3373">
        <v>0</v>
      </c>
      <c r="L3373">
        <v>0</v>
      </c>
      <c r="M3373">
        <v>0</v>
      </c>
      <c r="N3373">
        <v>41147</v>
      </c>
      <c r="O3373">
        <v>43350</v>
      </c>
      <c r="P3373">
        <v>171635</v>
      </c>
      <c r="Q3373">
        <v>108</v>
      </c>
      <c r="R3373">
        <v>83</v>
      </c>
      <c r="S3373">
        <v>326</v>
      </c>
      <c r="T3373">
        <v>65</v>
      </c>
      <c r="U3373">
        <v>79</v>
      </c>
    </row>
    <row r="3374" spans="1:21" x14ac:dyDescent="0.35">
      <c r="A3374" t="s">
        <v>28</v>
      </c>
      <c r="B3374" s="1">
        <v>44303</v>
      </c>
      <c r="C3374" t="s">
        <v>29</v>
      </c>
      <c r="D3374">
        <v>311.5</v>
      </c>
      <c r="E3374">
        <v>30.3</v>
      </c>
      <c r="F3374">
        <v>0</v>
      </c>
      <c r="G3374">
        <v>10.3</v>
      </c>
      <c r="H3374">
        <v>0</v>
      </c>
      <c r="I3374">
        <v>0</v>
      </c>
      <c r="J3374">
        <v>0</v>
      </c>
      <c r="K3374">
        <v>0</v>
      </c>
      <c r="L3374">
        <v>0</v>
      </c>
      <c r="M3374">
        <v>0</v>
      </c>
      <c r="N3374">
        <v>419282</v>
      </c>
      <c r="O3374">
        <v>148748</v>
      </c>
      <c r="P3374">
        <v>0</v>
      </c>
      <c r="Q3374">
        <v>1306</v>
      </c>
      <c r="R3374">
        <v>45</v>
      </c>
      <c r="S3374">
        <v>0</v>
      </c>
      <c r="T3374">
        <v>30</v>
      </c>
      <c r="U3374">
        <v>49</v>
      </c>
    </row>
    <row r="3375" spans="1:21" x14ac:dyDescent="0.35">
      <c r="A3375" t="s">
        <v>26</v>
      </c>
      <c r="B3375" s="1">
        <v>44730</v>
      </c>
      <c r="C3375" t="s">
        <v>30</v>
      </c>
      <c r="D3375">
        <v>30.2</v>
      </c>
      <c r="E3375">
        <v>121.3</v>
      </c>
      <c r="F3375">
        <v>52.6</v>
      </c>
      <c r="G3375">
        <v>0.2</v>
      </c>
      <c r="H3375">
        <v>0.6</v>
      </c>
      <c r="I3375">
        <v>0</v>
      </c>
      <c r="J3375">
        <v>0</v>
      </c>
      <c r="K3375">
        <v>0</v>
      </c>
      <c r="L3375">
        <v>0</v>
      </c>
      <c r="M3375">
        <v>0</v>
      </c>
      <c r="N3375">
        <v>26513</v>
      </c>
      <c r="O3375">
        <v>12369</v>
      </c>
      <c r="P3375">
        <v>45641</v>
      </c>
      <c r="Q3375">
        <v>8</v>
      </c>
      <c r="R3375">
        <v>15</v>
      </c>
      <c r="S3375">
        <v>24</v>
      </c>
      <c r="T3375">
        <v>80</v>
      </c>
      <c r="U3375">
        <v>200</v>
      </c>
    </row>
    <row r="3376" spans="1:21" x14ac:dyDescent="0.35">
      <c r="A3376" t="s">
        <v>28</v>
      </c>
      <c r="B3376" s="1">
        <v>44429</v>
      </c>
      <c r="C3376" t="s">
        <v>23</v>
      </c>
      <c r="D3376">
        <v>239.8</v>
      </c>
      <c r="E3376">
        <v>72.8</v>
      </c>
      <c r="F3376">
        <v>0</v>
      </c>
      <c r="G3376">
        <v>3.3</v>
      </c>
      <c r="H3376">
        <v>0</v>
      </c>
      <c r="I3376">
        <v>0</v>
      </c>
      <c r="J3376">
        <v>0</v>
      </c>
      <c r="K3376">
        <v>0</v>
      </c>
      <c r="L3376">
        <v>0</v>
      </c>
      <c r="M3376">
        <v>0</v>
      </c>
      <c r="N3376">
        <v>91732</v>
      </c>
      <c r="O3376">
        <v>320054</v>
      </c>
      <c r="P3376">
        <v>0</v>
      </c>
      <c r="Q3376">
        <v>220</v>
      </c>
      <c r="R3376">
        <v>233</v>
      </c>
      <c r="S3376">
        <v>0</v>
      </c>
      <c r="T3376">
        <v>50</v>
      </c>
      <c r="U3376">
        <v>64</v>
      </c>
    </row>
    <row r="3377" spans="1:21" x14ac:dyDescent="0.35">
      <c r="A3377" t="s">
        <v>21</v>
      </c>
      <c r="B3377" s="1">
        <v>44408</v>
      </c>
      <c r="C3377" t="s">
        <v>30</v>
      </c>
      <c r="D3377">
        <v>3.1</v>
      </c>
      <c r="E3377">
        <v>1.9</v>
      </c>
      <c r="F3377">
        <v>0</v>
      </c>
      <c r="G3377">
        <v>1.6</v>
      </c>
      <c r="H3377">
        <v>0</v>
      </c>
      <c r="I3377">
        <v>0</v>
      </c>
      <c r="J3377">
        <v>0</v>
      </c>
      <c r="K3377">
        <v>0</v>
      </c>
      <c r="L3377">
        <v>0</v>
      </c>
      <c r="M3377">
        <v>0</v>
      </c>
      <c r="N3377">
        <v>32548</v>
      </c>
      <c r="O3377">
        <v>52348</v>
      </c>
      <c r="P3377">
        <v>0</v>
      </c>
      <c r="Q3377">
        <v>1</v>
      </c>
      <c r="R3377">
        <v>1</v>
      </c>
      <c r="S3377">
        <v>0</v>
      </c>
      <c r="T3377">
        <v>80</v>
      </c>
      <c r="U3377">
        <v>200</v>
      </c>
    </row>
    <row r="3378" spans="1:21" x14ac:dyDescent="0.35">
      <c r="A3378" t="s">
        <v>26</v>
      </c>
      <c r="B3378" s="1">
        <v>44758</v>
      </c>
      <c r="C3378" t="s">
        <v>29</v>
      </c>
      <c r="D3378">
        <v>11</v>
      </c>
      <c r="E3378">
        <v>3.6</v>
      </c>
      <c r="F3378">
        <v>5.3</v>
      </c>
      <c r="G3378">
        <v>3.1</v>
      </c>
      <c r="H3378">
        <v>2.1</v>
      </c>
      <c r="I3378">
        <v>0</v>
      </c>
      <c r="J3378">
        <v>0</v>
      </c>
      <c r="K3378">
        <v>0</v>
      </c>
      <c r="L3378">
        <v>0</v>
      </c>
      <c r="M3378">
        <v>0</v>
      </c>
      <c r="N3378">
        <v>127190</v>
      </c>
      <c r="O3378">
        <v>279873</v>
      </c>
      <c r="P3378">
        <v>341011</v>
      </c>
      <c r="Q3378">
        <v>14</v>
      </c>
      <c r="R3378">
        <v>10</v>
      </c>
      <c r="S3378">
        <v>18</v>
      </c>
      <c r="T3378">
        <v>30</v>
      </c>
      <c r="U3378">
        <v>49</v>
      </c>
    </row>
    <row r="3379" spans="1:21" x14ac:dyDescent="0.35">
      <c r="A3379" t="s">
        <v>21</v>
      </c>
      <c r="B3379" s="1">
        <v>44674</v>
      </c>
      <c r="C3379" t="s">
        <v>24</v>
      </c>
      <c r="D3379">
        <v>0</v>
      </c>
      <c r="E3379">
        <v>0</v>
      </c>
      <c r="F3379">
        <v>0</v>
      </c>
      <c r="G3379">
        <v>0</v>
      </c>
      <c r="H3379">
        <v>0</v>
      </c>
      <c r="I3379">
        <v>0</v>
      </c>
      <c r="J3379">
        <v>0</v>
      </c>
      <c r="K3379">
        <v>0</v>
      </c>
      <c r="L3379">
        <v>0</v>
      </c>
      <c r="M3379">
        <v>0</v>
      </c>
      <c r="N3379">
        <v>102360</v>
      </c>
      <c r="O3379">
        <v>92950</v>
      </c>
      <c r="P3379">
        <v>0</v>
      </c>
      <c r="Q3379">
        <v>0</v>
      </c>
      <c r="R3379">
        <v>0</v>
      </c>
      <c r="S3379">
        <v>0</v>
      </c>
      <c r="T3379">
        <v>5</v>
      </c>
      <c r="U3379">
        <v>11</v>
      </c>
    </row>
    <row r="3380" spans="1:21" x14ac:dyDescent="0.35">
      <c r="A3380" t="s">
        <v>28</v>
      </c>
      <c r="B3380" s="1">
        <v>44590</v>
      </c>
      <c r="C3380" t="s">
        <v>30</v>
      </c>
      <c r="D3380">
        <v>247.7</v>
      </c>
      <c r="E3380">
        <v>269.8</v>
      </c>
      <c r="F3380">
        <v>137.69999999999999</v>
      </c>
      <c r="G3380">
        <v>0.9</v>
      </c>
      <c r="H3380">
        <v>1.8</v>
      </c>
      <c r="I3380">
        <v>0</v>
      </c>
      <c r="J3380">
        <v>0</v>
      </c>
      <c r="K3380">
        <v>0</v>
      </c>
      <c r="L3380">
        <v>0</v>
      </c>
      <c r="M3380">
        <v>0</v>
      </c>
      <c r="N3380">
        <v>27458</v>
      </c>
      <c r="O3380">
        <v>16677</v>
      </c>
      <c r="P3380">
        <v>39936</v>
      </c>
      <c r="Q3380">
        <v>68</v>
      </c>
      <c r="R3380">
        <v>45</v>
      </c>
      <c r="S3380">
        <v>55</v>
      </c>
      <c r="T3380">
        <v>80</v>
      </c>
      <c r="U3380">
        <v>200</v>
      </c>
    </row>
    <row r="3381" spans="1:21" x14ac:dyDescent="0.35">
      <c r="A3381" t="s">
        <v>26</v>
      </c>
      <c r="B3381" s="1">
        <v>44730</v>
      </c>
      <c r="C3381" t="s">
        <v>22</v>
      </c>
      <c r="D3381">
        <v>12.2</v>
      </c>
      <c r="E3381">
        <v>7</v>
      </c>
      <c r="F3381">
        <v>8.3000000000000007</v>
      </c>
      <c r="G3381">
        <v>1.7</v>
      </c>
      <c r="H3381">
        <v>1.5</v>
      </c>
      <c r="I3381">
        <v>17.3</v>
      </c>
      <c r="J3381">
        <v>9.9</v>
      </c>
      <c r="K3381">
        <v>5.7</v>
      </c>
      <c r="L3381">
        <v>1.7</v>
      </c>
      <c r="M3381">
        <v>3</v>
      </c>
      <c r="N3381">
        <v>638877</v>
      </c>
      <c r="O3381">
        <v>871208</v>
      </c>
      <c r="P3381">
        <v>984294</v>
      </c>
      <c r="Q3381">
        <v>78</v>
      </c>
      <c r="R3381">
        <v>61</v>
      </c>
      <c r="S3381">
        <v>82</v>
      </c>
      <c r="T3381">
        <v>999</v>
      </c>
      <c r="U3381">
        <v>999</v>
      </c>
    </row>
    <row r="3382" spans="1:21" x14ac:dyDescent="0.35">
      <c r="A3382" t="s">
        <v>26</v>
      </c>
      <c r="B3382" s="1">
        <v>45108</v>
      </c>
      <c r="C3382" t="s">
        <v>31</v>
      </c>
      <c r="D3382">
        <v>51.8</v>
      </c>
      <c r="E3382">
        <v>30</v>
      </c>
      <c r="F3382">
        <v>28</v>
      </c>
      <c r="G3382">
        <v>1.7</v>
      </c>
      <c r="H3382">
        <v>1.8</v>
      </c>
      <c r="I3382">
        <v>0</v>
      </c>
      <c r="J3382">
        <v>0</v>
      </c>
      <c r="K3382">
        <v>0</v>
      </c>
      <c r="L3382">
        <v>0</v>
      </c>
      <c r="M3382">
        <v>0</v>
      </c>
      <c r="N3382">
        <v>40561</v>
      </c>
      <c r="O3382">
        <v>43362</v>
      </c>
      <c r="P3382">
        <v>171679</v>
      </c>
      <c r="Q3382">
        <v>21</v>
      </c>
      <c r="R3382">
        <v>13</v>
      </c>
      <c r="S3382">
        <v>48</v>
      </c>
      <c r="T3382">
        <v>65</v>
      </c>
      <c r="U3382">
        <v>79</v>
      </c>
    </row>
    <row r="3383" spans="1:21" x14ac:dyDescent="0.35">
      <c r="A3383" t="s">
        <v>21</v>
      </c>
      <c r="B3383" s="1">
        <v>44562</v>
      </c>
      <c r="C3383" t="s">
        <v>24</v>
      </c>
      <c r="D3383">
        <v>0</v>
      </c>
      <c r="E3383">
        <v>0</v>
      </c>
      <c r="F3383">
        <v>0</v>
      </c>
      <c r="G3383">
        <v>0</v>
      </c>
      <c r="H3383">
        <v>0</v>
      </c>
      <c r="I3383">
        <v>0</v>
      </c>
      <c r="J3383">
        <v>0</v>
      </c>
      <c r="K3383">
        <v>0</v>
      </c>
      <c r="L3383">
        <v>0</v>
      </c>
      <c r="M3383">
        <v>0</v>
      </c>
      <c r="N3383">
        <v>138684</v>
      </c>
      <c r="O3383">
        <v>43394</v>
      </c>
      <c r="P3383">
        <v>0</v>
      </c>
      <c r="Q3383">
        <v>0</v>
      </c>
      <c r="R3383">
        <v>0</v>
      </c>
      <c r="S3383">
        <v>0</v>
      </c>
      <c r="T3383">
        <v>5</v>
      </c>
      <c r="U3383">
        <v>11</v>
      </c>
    </row>
    <row r="3384" spans="1:21" x14ac:dyDescent="0.35">
      <c r="A3384" t="s">
        <v>28</v>
      </c>
      <c r="B3384" s="1">
        <v>44485</v>
      </c>
      <c r="C3384" t="s">
        <v>23</v>
      </c>
      <c r="D3384">
        <v>178.4</v>
      </c>
      <c r="E3384">
        <v>46.1</v>
      </c>
      <c r="F3384">
        <v>0</v>
      </c>
      <c r="G3384">
        <v>3.9</v>
      </c>
      <c r="H3384">
        <v>0</v>
      </c>
      <c r="I3384">
        <v>0</v>
      </c>
      <c r="J3384">
        <v>0</v>
      </c>
      <c r="K3384">
        <v>0</v>
      </c>
      <c r="L3384">
        <v>0</v>
      </c>
      <c r="M3384">
        <v>0</v>
      </c>
      <c r="N3384">
        <v>75689</v>
      </c>
      <c r="O3384">
        <v>329389</v>
      </c>
      <c r="P3384">
        <v>0</v>
      </c>
      <c r="Q3384">
        <v>135</v>
      </c>
      <c r="R3384">
        <v>152</v>
      </c>
      <c r="S3384">
        <v>0</v>
      </c>
      <c r="T3384">
        <v>50</v>
      </c>
      <c r="U3384">
        <v>64</v>
      </c>
    </row>
    <row r="3385" spans="1:21" x14ac:dyDescent="0.35">
      <c r="A3385" t="s">
        <v>21</v>
      </c>
      <c r="B3385" s="1">
        <v>44975</v>
      </c>
      <c r="C3385" t="s">
        <v>23</v>
      </c>
      <c r="D3385">
        <v>0</v>
      </c>
      <c r="E3385">
        <v>0</v>
      </c>
      <c r="F3385">
        <v>0</v>
      </c>
      <c r="G3385">
        <v>0</v>
      </c>
      <c r="H3385">
        <v>0</v>
      </c>
      <c r="I3385">
        <v>0</v>
      </c>
      <c r="J3385">
        <v>0</v>
      </c>
      <c r="K3385">
        <v>0</v>
      </c>
      <c r="L3385">
        <v>0</v>
      </c>
      <c r="M3385">
        <v>0</v>
      </c>
      <c r="N3385">
        <v>33956</v>
      </c>
      <c r="O3385">
        <v>125555</v>
      </c>
      <c r="P3385">
        <v>246862</v>
      </c>
      <c r="Q3385">
        <v>0</v>
      </c>
      <c r="R3385">
        <v>0</v>
      </c>
      <c r="S3385">
        <v>0</v>
      </c>
      <c r="T3385">
        <v>50</v>
      </c>
      <c r="U3385">
        <v>64</v>
      </c>
    </row>
    <row r="3386" spans="1:21" x14ac:dyDescent="0.35">
      <c r="A3386" t="s">
        <v>26</v>
      </c>
      <c r="B3386" s="1">
        <v>45164</v>
      </c>
      <c r="C3386" t="s">
        <v>25</v>
      </c>
      <c r="D3386">
        <v>0</v>
      </c>
      <c r="E3386">
        <v>0.9</v>
      </c>
      <c r="F3386">
        <v>0.6</v>
      </c>
      <c r="G3386">
        <v>0</v>
      </c>
      <c r="H3386">
        <v>0</v>
      </c>
      <c r="I3386">
        <v>0</v>
      </c>
      <c r="J3386">
        <v>0</v>
      </c>
      <c r="K3386">
        <v>0</v>
      </c>
      <c r="L3386">
        <v>0</v>
      </c>
      <c r="M3386">
        <v>0</v>
      </c>
      <c r="N3386">
        <v>73401</v>
      </c>
      <c r="O3386">
        <v>214130</v>
      </c>
      <c r="P3386">
        <v>161720</v>
      </c>
      <c r="Q3386">
        <v>0</v>
      </c>
      <c r="R3386">
        <v>2</v>
      </c>
      <c r="S3386">
        <v>1</v>
      </c>
      <c r="T3386">
        <v>18</v>
      </c>
      <c r="U3386">
        <v>29</v>
      </c>
    </row>
    <row r="3387" spans="1:21" x14ac:dyDescent="0.35">
      <c r="A3387" t="s">
        <v>28</v>
      </c>
      <c r="B3387" s="1">
        <v>44906</v>
      </c>
      <c r="C3387" t="s">
        <v>30</v>
      </c>
      <c r="D3387">
        <v>155</v>
      </c>
      <c r="E3387">
        <v>202.3</v>
      </c>
      <c r="F3387">
        <v>155</v>
      </c>
      <c r="G3387">
        <v>0.8</v>
      </c>
      <c r="H3387">
        <v>1</v>
      </c>
      <c r="I3387">
        <v>0</v>
      </c>
      <c r="J3387">
        <v>0</v>
      </c>
      <c r="K3387">
        <v>0</v>
      </c>
      <c r="L3387">
        <v>0</v>
      </c>
      <c r="M3387">
        <v>0</v>
      </c>
      <c r="N3387">
        <v>25162</v>
      </c>
      <c r="O3387">
        <v>11369</v>
      </c>
      <c r="P3387">
        <v>47090</v>
      </c>
      <c r="Q3387">
        <v>39</v>
      </c>
      <c r="R3387">
        <v>23</v>
      </c>
      <c r="S3387">
        <v>73</v>
      </c>
      <c r="T3387">
        <v>80</v>
      </c>
      <c r="U3387">
        <v>200</v>
      </c>
    </row>
    <row r="3388" spans="1:21" x14ac:dyDescent="0.35">
      <c r="A3388" t="s">
        <v>28</v>
      </c>
      <c r="B3388" s="1">
        <v>45227</v>
      </c>
      <c r="C3388" t="s">
        <v>22</v>
      </c>
      <c r="D3388">
        <v>49.2</v>
      </c>
      <c r="E3388">
        <v>21.1</v>
      </c>
      <c r="F3388">
        <v>35.6</v>
      </c>
      <c r="G3388">
        <v>2.2999999999999998</v>
      </c>
      <c r="H3388">
        <v>1.4</v>
      </c>
      <c r="I3388">
        <v>56.4</v>
      </c>
      <c r="J3388">
        <v>23.2</v>
      </c>
      <c r="K3388">
        <v>28.6</v>
      </c>
      <c r="L3388">
        <v>2.4</v>
      </c>
      <c r="M3388">
        <v>2</v>
      </c>
      <c r="N3388">
        <v>514722</v>
      </c>
      <c r="O3388">
        <v>862266</v>
      </c>
      <c r="P3388">
        <v>1043533</v>
      </c>
      <c r="Q3388">
        <v>253</v>
      </c>
      <c r="R3388">
        <v>182</v>
      </c>
      <c r="S3388">
        <v>371</v>
      </c>
      <c r="T3388">
        <v>999</v>
      </c>
      <c r="U3388">
        <v>999</v>
      </c>
    </row>
    <row r="3389" spans="1:21" x14ac:dyDescent="0.35">
      <c r="A3389" t="s">
        <v>26</v>
      </c>
      <c r="B3389" s="1">
        <v>44413</v>
      </c>
      <c r="C3389" t="s">
        <v>29</v>
      </c>
      <c r="D3389">
        <v>19.7</v>
      </c>
      <c r="E3389">
        <v>0.7</v>
      </c>
      <c r="F3389">
        <v>0</v>
      </c>
      <c r="G3389">
        <v>28.1</v>
      </c>
      <c r="H3389">
        <v>0</v>
      </c>
      <c r="I3389">
        <v>0</v>
      </c>
      <c r="J3389">
        <v>0</v>
      </c>
      <c r="K3389">
        <v>0</v>
      </c>
      <c r="L3389">
        <v>0</v>
      </c>
      <c r="M3389">
        <v>0</v>
      </c>
      <c r="N3389">
        <v>350842</v>
      </c>
      <c r="O3389">
        <v>287155</v>
      </c>
      <c r="P3389">
        <v>0</v>
      </c>
      <c r="Q3389">
        <v>69</v>
      </c>
      <c r="R3389">
        <v>2</v>
      </c>
      <c r="S3389">
        <v>0</v>
      </c>
      <c r="T3389">
        <v>30</v>
      </c>
      <c r="U3389">
        <v>49</v>
      </c>
    </row>
    <row r="3390" spans="1:21" x14ac:dyDescent="0.35">
      <c r="A3390" t="s">
        <v>28</v>
      </c>
      <c r="B3390" s="1">
        <v>45157</v>
      </c>
      <c r="C3390" t="s">
        <v>23</v>
      </c>
      <c r="D3390">
        <v>120.4</v>
      </c>
      <c r="E3390">
        <v>30.2</v>
      </c>
      <c r="F3390">
        <v>49.4</v>
      </c>
      <c r="G3390">
        <v>4</v>
      </c>
      <c r="H3390">
        <v>2.4</v>
      </c>
      <c r="I3390">
        <v>0</v>
      </c>
      <c r="J3390">
        <v>0</v>
      </c>
      <c r="K3390">
        <v>0</v>
      </c>
      <c r="L3390">
        <v>0</v>
      </c>
      <c r="M3390">
        <v>0</v>
      </c>
      <c r="N3390">
        <v>32398</v>
      </c>
      <c r="O3390">
        <v>125726</v>
      </c>
      <c r="P3390">
        <v>246936</v>
      </c>
      <c r="Q3390">
        <v>39</v>
      </c>
      <c r="R3390">
        <v>38</v>
      </c>
      <c r="S3390">
        <v>122</v>
      </c>
      <c r="T3390">
        <v>50</v>
      </c>
      <c r="U3390">
        <v>64</v>
      </c>
    </row>
    <row r="3391" spans="1:21" x14ac:dyDescent="0.35">
      <c r="A3391" t="s">
        <v>28</v>
      </c>
      <c r="B3391" s="1">
        <v>44499</v>
      </c>
      <c r="C3391" t="s">
        <v>23</v>
      </c>
      <c r="D3391">
        <v>198.7</v>
      </c>
      <c r="E3391">
        <v>57.2</v>
      </c>
      <c r="F3391">
        <v>21.7</v>
      </c>
      <c r="G3391">
        <v>3.5</v>
      </c>
      <c r="H3391">
        <v>9.1999999999999993</v>
      </c>
      <c r="I3391">
        <v>0</v>
      </c>
      <c r="J3391">
        <v>0</v>
      </c>
      <c r="K3391">
        <v>0</v>
      </c>
      <c r="L3391">
        <v>0</v>
      </c>
      <c r="M3391">
        <v>0</v>
      </c>
      <c r="N3391">
        <v>72470</v>
      </c>
      <c r="O3391">
        <v>323521</v>
      </c>
      <c r="P3391">
        <v>18445</v>
      </c>
      <c r="Q3391">
        <v>144</v>
      </c>
      <c r="R3391">
        <v>185</v>
      </c>
      <c r="S3391">
        <v>4</v>
      </c>
      <c r="T3391">
        <v>50</v>
      </c>
      <c r="U3391">
        <v>64</v>
      </c>
    </row>
    <row r="3392" spans="1:21" x14ac:dyDescent="0.35">
      <c r="A3392" t="s">
        <v>21</v>
      </c>
      <c r="B3392" s="1">
        <v>45003</v>
      </c>
      <c r="C3392" t="s">
        <v>24</v>
      </c>
      <c r="D3392">
        <v>0</v>
      </c>
      <c r="E3392">
        <v>0</v>
      </c>
      <c r="F3392">
        <v>0</v>
      </c>
      <c r="G3392">
        <v>0</v>
      </c>
      <c r="H3392">
        <v>0</v>
      </c>
      <c r="I3392">
        <v>0</v>
      </c>
      <c r="J3392">
        <v>0</v>
      </c>
      <c r="K3392">
        <v>0</v>
      </c>
      <c r="L3392">
        <v>0</v>
      </c>
      <c r="M3392">
        <v>0</v>
      </c>
      <c r="N3392">
        <v>91300</v>
      </c>
      <c r="O3392">
        <v>82368</v>
      </c>
      <c r="P3392">
        <v>21212</v>
      </c>
      <c r="Q3392">
        <v>0</v>
      </c>
      <c r="R3392">
        <v>0</v>
      </c>
      <c r="S3392">
        <v>0</v>
      </c>
      <c r="T3392">
        <v>5</v>
      </c>
      <c r="U3392">
        <v>11</v>
      </c>
    </row>
    <row r="3393" spans="1:21" x14ac:dyDescent="0.35">
      <c r="A3393" t="s">
        <v>28</v>
      </c>
      <c r="B3393" s="1">
        <v>44473</v>
      </c>
      <c r="C3393" t="s">
        <v>31</v>
      </c>
      <c r="D3393">
        <v>128.80000000000001</v>
      </c>
      <c r="E3393">
        <v>9.3000000000000007</v>
      </c>
      <c r="F3393">
        <v>0</v>
      </c>
      <c r="G3393">
        <v>13.8</v>
      </c>
      <c r="H3393">
        <v>0</v>
      </c>
      <c r="I3393">
        <v>0</v>
      </c>
      <c r="J3393">
        <v>0</v>
      </c>
      <c r="K3393">
        <v>0</v>
      </c>
      <c r="L3393">
        <v>0</v>
      </c>
      <c r="M3393">
        <v>0</v>
      </c>
      <c r="N3393">
        <v>99368</v>
      </c>
      <c r="O3393">
        <v>107437</v>
      </c>
      <c r="P3393">
        <v>0</v>
      </c>
      <c r="Q3393">
        <v>128</v>
      </c>
      <c r="R3393">
        <v>10</v>
      </c>
      <c r="S3393">
        <v>0</v>
      </c>
      <c r="T3393">
        <v>65</v>
      </c>
      <c r="U3393">
        <v>79</v>
      </c>
    </row>
    <row r="3394" spans="1:21" x14ac:dyDescent="0.35">
      <c r="A3394" t="s">
        <v>26</v>
      </c>
      <c r="B3394" s="1">
        <v>44982</v>
      </c>
      <c r="C3394" t="s">
        <v>31</v>
      </c>
      <c r="D3394">
        <v>34.9</v>
      </c>
      <c r="E3394">
        <v>18.399999999999999</v>
      </c>
      <c r="F3394">
        <v>15.7</v>
      </c>
      <c r="G3394">
        <v>1.9</v>
      </c>
      <c r="H3394">
        <v>2.2000000000000002</v>
      </c>
      <c r="I3394">
        <v>0</v>
      </c>
      <c r="J3394">
        <v>0</v>
      </c>
      <c r="K3394">
        <v>0</v>
      </c>
      <c r="L3394">
        <v>0</v>
      </c>
      <c r="M3394">
        <v>0</v>
      </c>
      <c r="N3394">
        <v>40075</v>
      </c>
      <c r="O3394">
        <v>43402</v>
      </c>
      <c r="P3394">
        <v>171700</v>
      </c>
      <c r="Q3394">
        <v>14</v>
      </c>
      <c r="R3394">
        <v>8</v>
      </c>
      <c r="S3394">
        <v>27</v>
      </c>
      <c r="T3394">
        <v>65</v>
      </c>
      <c r="U3394">
        <v>79</v>
      </c>
    </row>
    <row r="3395" spans="1:21" x14ac:dyDescent="0.35">
      <c r="A3395" t="s">
        <v>21</v>
      </c>
      <c r="B3395" s="1">
        <v>44457</v>
      </c>
      <c r="C3395" t="s">
        <v>23</v>
      </c>
      <c r="D3395">
        <v>7.3</v>
      </c>
      <c r="E3395">
        <v>0.6</v>
      </c>
      <c r="F3395">
        <v>0</v>
      </c>
      <c r="G3395">
        <v>12.2</v>
      </c>
      <c r="H3395">
        <v>0</v>
      </c>
      <c r="I3395">
        <v>0</v>
      </c>
      <c r="J3395">
        <v>0</v>
      </c>
      <c r="K3395">
        <v>0</v>
      </c>
      <c r="L3395">
        <v>0</v>
      </c>
      <c r="M3395">
        <v>0</v>
      </c>
      <c r="N3395">
        <v>82757</v>
      </c>
      <c r="O3395">
        <v>327000</v>
      </c>
      <c r="P3395">
        <v>0</v>
      </c>
      <c r="Q3395">
        <v>6</v>
      </c>
      <c r="R3395">
        <v>2</v>
      </c>
      <c r="S3395">
        <v>0</v>
      </c>
      <c r="T3395">
        <v>50</v>
      </c>
      <c r="U3395">
        <v>64</v>
      </c>
    </row>
    <row r="3396" spans="1:21" x14ac:dyDescent="0.35">
      <c r="A3396" t="s">
        <v>28</v>
      </c>
      <c r="B3396" s="1">
        <v>45038</v>
      </c>
      <c r="C3396" t="s">
        <v>23</v>
      </c>
      <c r="D3396">
        <v>105.2</v>
      </c>
      <c r="E3396">
        <v>21.5</v>
      </c>
      <c r="F3396">
        <v>38.1</v>
      </c>
      <c r="G3396">
        <v>4.9000000000000004</v>
      </c>
      <c r="H3396">
        <v>2.8</v>
      </c>
      <c r="I3396">
        <v>0</v>
      </c>
      <c r="J3396">
        <v>0</v>
      </c>
      <c r="K3396">
        <v>0</v>
      </c>
      <c r="L3396">
        <v>0</v>
      </c>
      <c r="M3396">
        <v>0</v>
      </c>
      <c r="N3396">
        <v>33280</v>
      </c>
      <c r="O3396">
        <v>125718</v>
      </c>
      <c r="P3396">
        <v>246902</v>
      </c>
      <c r="Q3396">
        <v>35</v>
      </c>
      <c r="R3396">
        <v>27</v>
      </c>
      <c r="S3396">
        <v>94</v>
      </c>
      <c r="T3396">
        <v>50</v>
      </c>
      <c r="U3396">
        <v>64</v>
      </c>
    </row>
    <row r="3397" spans="1:21" x14ac:dyDescent="0.35">
      <c r="A3397" t="s">
        <v>21</v>
      </c>
      <c r="B3397" s="1">
        <v>44639</v>
      </c>
      <c r="C3397" t="s">
        <v>25</v>
      </c>
      <c r="D3397">
        <v>0</v>
      </c>
      <c r="E3397">
        <v>0</v>
      </c>
      <c r="F3397">
        <v>0</v>
      </c>
      <c r="G3397">
        <v>0</v>
      </c>
      <c r="H3397">
        <v>0</v>
      </c>
      <c r="I3397">
        <v>0</v>
      </c>
      <c r="J3397">
        <v>0</v>
      </c>
      <c r="K3397">
        <v>0</v>
      </c>
      <c r="L3397">
        <v>0</v>
      </c>
      <c r="M3397">
        <v>0</v>
      </c>
      <c r="N3397">
        <v>99842</v>
      </c>
      <c r="O3397">
        <v>220707</v>
      </c>
      <c r="P3397">
        <v>143769</v>
      </c>
      <c r="Q3397">
        <v>0</v>
      </c>
      <c r="R3397">
        <v>0</v>
      </c>
      <c r="S3397">
        <v>0</v>
      </c>
      <c r="T3397">
        <v>18</v>
      </c>
      <c r="U3397">
        <v>29</v>
      </c>
    </row>
    <row r="3398" spans="1:21" x14ac:dyDescent="0.35">
      <c r="A3398" t="s">
        <v>26</v>
      </c>
      <c r="B3398" s="1">
        <v>45185</v>
      </c>
      <c r="C3398" t="s">
        <v>31</v>
      </c>
      <c r="D3398">
        <v>17.899999999999999</v>
      </c>
      <c r="E3398">
        <v>23</v>
      </c>
      <c r="F3398">
        <v>16.3</v>
      </c>
      <c r="G3398">
        <v>0.8</v>
      </c>
      <c r="H3398">
        <v>1.1000000000000001</v>
      </c>
      <c r="I3398">
        <v>0</v>
      </c>
      <c r="J3398">
        <v>0</v>
      </c>
      <c r="K3398">
        <v>0</v>
      </c>
      <c r="L3398">
        <v>0</v>
      </c>
      <c r="M3398">
        <v>0</v>
      </c>
      <c r="N3398">
        <v>39123</v>
      </c>
      <c r="O3398">
        <v>43414</v>
      </c>
      <c r="P3398">
        <v>171757</v>
      </c>
      <c r="Q3398">
        <v>7</v>
      </c>
      <c r="R3398">
        <v>10</v>
      </c>
      <c r="S3398">
        <v>28</v>
      </c>
      <c r="T3398">
        <v>65</v>
      </c>
      <c r="U3398">
        <v>79</v>
      </c>
    </row>
    <row r="3399" spans="1:21" x14ac:dyDescent="0.35">
      <c r="A3399" t="s">
        <v>28</v>
      </c>
      <c r="B3399" s="1">
        <v>44618</v>
      </c>
      <c r="C3399" t="s">
        <v>27</v>
      </c>
      <c r="D3399">
        <v>88.3</v>
      </c>
      <c r="E3399">
        <v>37.6</v>
      </c>
      <c r="F3399">
        <v>57.5</v>
      </c>
      <c r="G3399">
        <v>2.2999999999999998</v>
      </c>
      <c r="H3399">
        <v>1.5</v>
      </c>
      <c r="I3399">
        <v>0</v>
      </c>
      <c r="J3399">
        <v>0</v>
      </c>
      <c r="K3399">
        <v>0</v>
      </c>
      <c r="L3399">
        <v>0</v>
      </c>
      <c r="M3399">
        <v>0</v>
      </c>
      <c r="N3399">
        <v>39635</v>
      </c>
      <c r="O3399">
        <v>95673</v>
      </c>
      <c r="P3399">
        <v>26095</v>
      </c>
      <c r="Q3399">
        <v>35</v>
      </c>
      <c r="R3399">
        <v>36</v>
      </c>
      <c r="S3399">
        <v>15</v>
      </c>
      <c r="T3399">
        <v>12</v>
      </c>
      <c r="U3399">
        <v>17</v>
      </c>
    </row>
    <row r="3400" spans="1:21" x14ac:dyDescent="0.35">
      <c r="A3400" t="s">
        <v>21</v>
      </c>
      <c r="B3400" s="1">
        <v>44436</v>
      </c>
      <c r="C3400" t="s">
        <v>27</v>
      </c>
      <c r="D3400">
        <v>0</v>
      </c>
      <c r="E3400">
        <v>0</v>
      </c>
      <c r="F3400">
        <v>0</v>
      </c>
      <c r="G3400">
        <v>0</v>
      </c>
      <c r="H3400">
        <v>0</v>
      </c>
      <c r="I3400">
        <v>0</v>
      </c>
      <c r="J3400">
        <v>0</v>
      </c>
      <c r="K3400">
        <v>0</v>
      </c>
      <c r="L3400">
        <v>0</v>
      </c>
      <c r="M3400">
        <v>0</v>
      </c>
      <c r="N3400">
        <v>77824</v>
      </c>
      <c r="O3400">
        <v>75875</v>
      </c>
      <c r="P3400">
        <v>0</v>
      </c>
      <c r="Q3400">
        <v>0</v>
      </c>
      <c r="R3400">
        <v>0</v>
      </c>
      <c r="S3400">
        <v>0</v>
      </c>
      <c r="T3400">
        <v>12</v>
      </c>
      <c r="U3400">
        <v>17</v>
      </c>
    </row>
    <row r="3401" spans="1:21" x14ac:dyDescent="0.35">
      <c r="A3401" t="s">
        <v>26</v>
      </c>
      <c r="B3401" s="1">
        <v>45010</v>
      </c>
      <c r="C3401" t="s">
        <v>24</v>
      </c>
      <c r="D3401">
        <v>0</v>
      </c>
      <c r="E3401">
        <v>0</v>
      </c>
      <c r="F3401">
        <v>0</v>
      </c>
      <c r="G3401">
        <v>0</v>
      </c>
      <c r="H3401">
        <v>0</v>
      </c>
      <c r="I3401">
        <v>0</v>
      </c>
      <c r="J3401">
        <v>0</v>
      </c>
      <c r="K3401">
        <v>0</v>
      </c>
      <c r="L3401">
        <v>0</v>
      </c>
      <c r="M3401">
        <v>0</v>
      </c>
      <c r="N3401">
        <v>91234</v>
      </c>
      <c r="O3401">
        <v>82443</v>
      </c>
      <c r="P3401">
        <v>21217</v>
      </c>
      <c r="Q3401">
        <v>0</v>
      </c>
      <c r="R3401">
        <v>0</v>
      </c>
      <c r="S3401">
        <v>0</v>
      </c>
      <c r="T3401">
        <v>5</v>
      </c>
      <c r="U3401">
        <v>11</v>
      </c>
    </row>
    <row r="3402" spans="1:21" x14ac:dyDescent="0.35">
      <c r="A3402" t="s">
        <v>21</v>
      </c>
      <c r="B3402" s="1">
        <v>45199</v>
      </c>
      <c r="C3402" t="s">
        <v>27</v>
      </c>
      <c r="D3402">
        <v>0</v>
      </c>
      <c r="E3402">
        <v>0</v>
      </c>
      <c r="F3402">
        <v>0</v>
      </c>
      <c r="G3402">
        <v>0</v>
      </c>
      <c r="H3402">
        <v>0</v>
      </c>
      <c r="I3402">
        <v>0</v>
      </c>
      <c r="J3402">
        <v>0</v>
      </c>
      <c r="K3402">
        <v>0</v>
      </c>
      <c r="L3402">
        <v>0</v>
      </c>
      <c r="M3402">
        <v>0</v>
      </c>
      <c r="N3402">
        <v>31687</v>
      </c>
      <c r="O3402">
        <v>86573</v>
      </c>
      <c r="P3402">
        <v>44598</v>
      </c>
      <c r="Q3402">
        <v>0</v>
      </c>
      <c r="R3402">
        <v>0</v>
      </c>
      <c r="S3402">
        <v>0</v>
      </c>
      <c r="T3402">
        <v>12</v>
      </c>
      <c r="U3402">
        <v>17</v>
      </c>
    </row>
    <row r="3403" spans="1:21" x14ac:dyDescent="0.35">
      <c r="A3403" t="s">
        <v>21</v>
      </c>
      <c r="B3403" s="1">
        <v>45122</v>
      </c>
      <c r="C3403" t="s">
        <v>23</v>
      </c>
      <c r="D3403">
        <v>0</v>
      </c>
      <c r="E3403">
        <v>0</v>
      </c>
      <c r="F3403">
        <v>0</v>
      </c>
      <c r="G3403">
        <v>0</v>
      </c>
      <c r="H3403">
        <v>0</v>
      </c>
      <c r="I3403">
        <v>0</v>
      </c>
      <c r="J3403">
        <v>0</v>
      </c>
      <c r="K3403">
        <v>0</v>
      </c>
      <c r="L3403">
        <v>0</v>
      </c>
      <c r="M3403">
        <v>0</v>
      </c>
      <c r="N3403">
        <v>32602</v>
      </c>
      <c r="O3403">
        <v>125728</v>
      </c>
      <c r="P3403">
        <v>246933</v>
      </c>
      <c r="Q3403">
        <v>0</v>
      </c>
      <c r="R3403">
        <v>0</v>
      </c>
      <c r="S3403">
        <v>0</v>
      </c>
      <c r="T3403">
        <v>50</v>
      </c>
      <c r="U3403">
        <v>64</v>
      </c>
    </row>
    <row r="3404" spans="1:21" x14ac:dyDescent="0.35">
      <c r="A3404" t="s">
        <v>21</v>
      </c>
      <c r="B3404" s="1">
        <v>45233</v>
      </c>
      <c r="C3404" t="s">
        <v>27</v>
      </c>
      <c r="D3404">
        <v>0</v>
      </c>
      <c r="E3404">
        <v>0</v>
      </c>
      <c r="F3404">
        <v>0</v>
      </c>
      <c r="G3404">
        <v>0</v>
      </c>
      <c r="H3404">
        <v>0</v>
      </c>
      <c r="I3404">
        <v>0</v>
      </c>
      <c r="J3404">
        <v>0</v>
      </c>
      <c r="K3404">
        <v>0</v>
      </c>
      <c r="L3404">
        <v>0</v>
      </c>
      <c r="M3404">
        <v>0</v>
      </c>
      <c r="N3404">
        <v>33097</v>
      </c>
      <c r="O3404">
        <v>86429</v>
      </c>
      <c r="P3404">
        <v>44562</v>
      </c>
      <c r="Q3404">
        <v>0</v>
      </c>
      <c r="R3404">
        <v>0</v>
      </c>
      <c r="S3404">
        <v>0</v>
      </c>
      <c r="T3404">
        <v>12</v>
      </c>
      <c r="U3404">
        <v>17</v>
      </c>
    </row>
    <row r="3405" spans="1:21" x14ac:dyDescent="0.35">
      <c r="A3405" t="s">
        <v>28</v>
      </c>
      <c r="B3405" s="1">
        <v>44912</v>
      </c>
      <c r="C3405" t="s">
        <v>24</v>
      </c>
      <c r="D3405">
        <v>246.1</v>
      </c>
      <c r="E3405">
        <v>231.2</v>
      </c>
      <c r="F3405">
        <v>302.8</v>
      </c>
      <c r="G3405">
        <v>1.1000000000000001</v>
      </c>
      <c r="H3405">
        <v>0.8</v>
      </c>
      <c r="I3405">
        <v>0</v>
      </c>
      <c r="J3405">
        <v>0</v>
      </c>
      <c r="K3405">
        <v>0</v>
      </c>
      <c r="L3405">
        <v>0</v>
      </c>
      <c r="M3405">
        <v>0</v>
      </c>
      <c r="N3405">
        <v>92628</v>
      </c>
      <c r="O3405">
        <v>81328</v>
      </c>
      <c r="P3405">
        <v>21134</v>
      </c>
      <c r="Q3405">
        <v>228</v>
      </c>
      <c r="R3405">
        <v>188</v>
      </c>
      <c r="S3405">
        <v>64</v>
      </c>
      <c r="T3405">
        <v>5</v>
      </c>
      <c r="U3405">
        <v>11</v>
      </c>
    </row>
    <row r="3406" spans="1:21" x14ac:dyDescent="0.35">
      <c r="A3406" t="s">
        <v>21</v>
      </c>
      <c r="B3406" s="1">
        <v>44933</v>
      </c>
      <c r="C3406" t="s">
        <v>25</v>
      </c>
      <c r="D3406">
        <v>0</v>
      </c>
      <c r="E3406">
        <v>0</v>
      </c>
      <c r="F3406">
        <v>0</v>
      </c>
      <c r="G3406">
        <v>0</v>
      </c>
      <c r="H3406">
        <v>0</v>
      </c>
      <c r="I3406">
        <v>0</v>
      </c>
      <c r="J3406">
        <v>0</v>
      </c>
      <c r="K3406">
        <v>0</v>
      </c>
      <c r="L3406">
        <v>0</v>
      </c>
      <c r="M3406">
        <v>0</v>
      </c>
      <c r="N3406">
        <v>74266</v>
      </c>
      <c r="O3406">
        <v>214137</v>
      </c>
      <c r="P3406">
        <v>161703</v>
      </c>
      <c r="Q3406">
        <v>0</v>
      </c>
      <c r="R3406">
        <v>0</v>
      </c>
      <c r="S3406">
        <v>0</v>
      </c>
      <c r="T3406">
        <v>18</v>
      </c>
      <c r="U3406">
        <v>29</v>
      </c>
    </row>
    <row r="3407" spans="1:21" x14ac:dyDescent="0.35">
      <c r="A3407" t="s">
        <v>26</v>
      </c>
      <c r="B3407" s="1">
        <v>45199</v>
      </c>
      <c r="C3407" t="s">
        <v>31</v>
      </c>
      <c r="D3407">
        <v>12.9</v>
      </c>
      <c r="E3407">
        <v>6.9</v>
      </c>
      <c r="F3407">
        <v>7.6</v>
      </c>
      <c r="G3407">
        <v>1.9</v>
      </c>
      <c r="H3407">
        <v>1.7</v>
      </c>
      <c r="I3407">
        <v>0</v>
      </c>
      <c r="J3407">
        <v>0</v>
      </c>
      <c r="K3407">
        <v>0</v>
      </c>
      <c r="L3407">
        <v>0</v>
      </c>
      <c r="M3407">
        <v>0</v>
      </c>
      <c r="N3407">
        <v>38891</v>
      </c>
      <c r="O3407">
        <v>43410</v>
      </c>
      <c r="P3407">
        <v>171762</v>
      </c>
      <c r="Q3407">
        <v>5</v>
      </c>
      <c r="R3407">
        <v>3</v>
      </c>
      <c r="S3407">
        <v>13</v>
      </c>
      <c r="T3407">
        <v>65</v>
      </c>
      <c r="U3407">
        <v>79</v>
      </c>
    </row>
    <row r="3408" spans="1:21" x14ac:dyDescent="0.35">
      <c r="A3408" t="s">
        <v>21</v>
      </c>
      <c r="B3408" s="1">
        <v>44683</v>
      </c>
      <c r="C3408" t="s">
        <v>29</v>
      </c>
      <c r="D3408">
        <v>4.9000000000000004</v>
      </c>
      <c r="E3408">
        <v>0.3</v>
      </c>
      <c r="F3408">
        <v>0.3</v>
      </c>
      <c r="G3408">
        <v>16.3</v>
      </c>
      <c r="H3408">
        <v>16.3</v>
      </c>
      <c r="I3408">
        <v>0</v>
      </c>
      <c r="J3408">
        <v>0</v>
      </c>
      <c r="K3408">
        <v>0</v>
      </c>
      <c r="L3408">
        <v>0</v>
      </c>
      <c r="M3408">
        <v>0</v>
      </c>
      <c r="N3408">
        <v>142252</v>
      </c>
      <c r="O3408">
        <v>308500</v>
      </c>
      <c r="P3408">
        <v>286318</v>
      </c>
      <c r="Q3408">
        <v>7</v>
      </c>
      <c r="R3408">
        <v>1</v>
      </c>
      <c r="S3408">
        <v>1</v>
      </c>
      <c r="T3408">
        <v>30</v>
      </c>
      <c r="U3408">
        <v>49</v>
      </c>
    </row>
    <row r="3409" spans="1:21" x14ac:dyDescent="0.35">
      <c r="A3409" t="s">
        <v>26</v>
      </c>
      <c r="B3409" s="1">
        <v>44843</v>
      </c>
      <c r="C3409" t="s">
        <v>22</v>
      </c>
      <c r="D3409">
        <v>13.9</v>
      </c>
      <c r="E3409">
        <v>5.0999999999999996</v>
      </c>
      <c r="F3409">
        <v>7.5</v>
      </c>
      <c r="G3409">
        <v>2.7</v>
      </c>
      <c r="H3409">
        <v>1.9</v>
      </c>
      <c r="I3409">
        <v>18</v>
      </c>
      <c r="J3409">
        <v>7.4</v>
      </c>
      <c r="K3409">
        <v>6.1</v>
      </c>
      <c r="L3409">
        <v>2.4</v>
      </c>
      <c r="M3409">
        <v>2.9</v>
      </c>
      <c r="N3409">
        <v>602393</v>
      </c>
      <c r="O3409">
        <v>841160</v>
      </c>
      <c r="P3409">
        <v>1033881</v>
      </c>
      <c r="Q3409">
        <v>84</v>
      </c>
      <c r="R3409">
        <v>43</v>
      </c>
      <c r="S3409">
        <v>78</v>
      </c>
      <c r="T3409">
        <v>999</v>
      </c>
      <c r="U3409">
        <v>999</v>
      </c>
    </row>
    <row r="3410" spans="1:21" x14ac:dyDescent="0.35">
      <c r="A3410" t="s">
        <v>26</v>
      </c>
      <c r="B3410" s="1">
        <v>44947</v>
      </c>
      <c r="C3410" t="s">
        <v>22</v>
      </c>
      <c r="D3410">
        <v>10.9</v>
      </c>
      <c r="E3410">
        <v>4.4000000000000004</v>
      </c>
      <c r="F3410">
        <v>7.9</v>
      </c>
      <c r="G3410">
        <v>2.5</v>
      </c>
      <c r="H3410">
        <v>1.4</v>
      </c>
      <c r="I3410">
        <v>15.1</v>
      </c>
      <c r="J3410">
        <v>6.4</v>
      </c>
      <c r="K3410">
        <v>5.3</v>
      </c>
      <c r="L3410">
        <v>2.4</v>
      </c>
      <c r="M3410">
        <v>2.9</v>
      </c>
      <c r="N3410">
        <v>550760</v>
      </c>
      <c r="O3410">
        <v>855236</v>
      </c>
      <c r="P3410">
        <v>1040253</v>
      </c>
      <c r="Q3410">
        <v>60</v>
      </c>
      <c r="R3410">
        <v>38</v>
      </c>
      <c r="S3410">
        <v>82</v>
      </c>
      <c r="T3410">
        <v>999</v>
      </c>
      <c r="U3410">
        <v>999</v>
      </c>
    </row>
    <row r="3411" spans="1:21" x14ac:dyDescent="0.35">
      <c r="A3411" t="s">
        <v>26</v>
      </c>
      <c r="B3411" s="1">
        <v>44513</v>
      </c>
      <c r="C3411" t="s">
        <v>22</v>
      </c>
      <c r="D3411">
        <v>13.1</v>
      </c>
      <c r="E3411">
        <v>4.3</v>
      </c>
      <c r="F3411">
        <v>1.8</v>
      </c>
      <c r="G3411">
        <v>3</v>
      </c>
      <c r="H3411">
        <v>7.3</v>
      </c>
      <c r="I3411">
        <v>19.3</v>
      </c>
      <c r="J3411">
        <v>4</v>
      </c>
      <c r="K3411">
        <v>0.6</v>
      </c>
      <c r="L3411">
        <v>4.8</v>
      </c>
      <c r="M3411">
        <v>30.8</v>
      </c>
      <c r="N3411">
        <v>918456</v>
      </c>
      <c r="O3411">
        <v>1426503</v>
      </c>
      <c r="P3411">
        <v>169151</v>
      </c>
      <c r="Q3411">
        <v>120</v>
      </c>
      <c r="R3411">
        <v>62</v>
      </c>
      <c r="S3411">
        <v>3</v>
      </c>
      <c r="T3411">
        <v>999</v>
      </c>
      <c r="U3411">
        <v>999</v>
      </c>
    </row>
    <row r="3412" spans="1:21" x14ac:dyDescent="0.35">
      <c r="A3412" t="s">
        <v>21</v>
      </c>
      <c r="B3412" s="1">
        <v>44674</v>
      </c>
      <c r="C3412" t="s">
        <v>25</v>
      </c>
      <c r="D3412">
        <v>0</v>
      </c>
      <c r="E3412">
        <v>0</v>
      </c>
      <c r="F3412">
        <v>0</v>
      </c>
      <c r="G3412">
        <v>0</v>
      </c>
      <c r="H3412">
        <v>0</v>
      </c>
      <c r="I3412">
        <v>0</v>
      </c>
      <c r="J3412">
        <v>0</v>
      </c>
      <c r="K3412">
        <v>0</v>
      </c>
      <c r="L3412">
        <v>0</v>
      </c>
      <c r="M3412">
        <v>0</v>
      </c>
      <c r="N3412">
        <v>97360</v>
      </c>
      <c r="O3412">
        <v>218531</v>
      </c>
      <c r="P3412">
        <v>149251</v>
      </c>
      <c r="Q3412">
        <v>0</v>
      </c>
      <c r="R3412">
        <v>0</v>
      </c>
      <c r="S3412">
        <v>0</v>
      </c>
      <c r="T3412">
        <v>18</v>
      </c>
      <c r="U3412">
        <v>29</v>
      </c>
    </row>
    <row r="3413" spans="1:21" x14ac:dyDescent="0.35">
      <c r="A3413" t="s">
        <v>26</v>
      </c>
      <c r="B3413" s="1">
        <v>44262</v>
      </c>
      <c r="C3413" t="s">
        <v>27</v>
      </c>
      <c r="D3413">
        <v>0.9</v>
      </c>
      <c r="E3413">
        <v>0</v>
      </c>
      <c r="F3413">
        <v>0</v>
      </c>
      <c r="G3413">
        <v>0</v>
      </c>
      <c r="H3413">
        <v>0</v>
      </c>
      <c r="I3413">
        <v>0</v>
      </c>
      <c r="J3413">
        <v>0</v>
      </c>
      <c r="K3413">
        <v>0</v>
      </c>
      <c r="L3413">
        <v>0</v>
      </c>
      <c r="M3413">
        <v>0</v>
      </c>
      <c r="N3413">
        <v>107885</v>
      </c>
      <c r="O3413">
        <v>48259</v>
      </c>
      <c r="P3413">
        <v>0</v>
      </c>
      <c r="Q3413">
        <v>1</v>
      </c>
      <c r="R3413">
        <v>0</v>
      </c>
      <c r="S3413">
        <v>0</v>
      </c>
      <c r="T3413">
        <v>12</v>
      </c>
      <c r="U3413">
        <v>17</v>
      </c>
    </row>
    <row r="3414" spans="1:21" x14ac:dyDescent="0.35">
      <c r="A3414" t="s">
        <v>21</v>
      </c>
      <c r="B3414" s="1">
        <v>44709</v>
      </c>
      <c r="C3414" t="s">
        <v>29</v>
      </c>
      <c r="D3414">
        <v>0</v>
      </c>
      <c r="E3414">
        <v>0</v>
      </c>
      <c r="F3414">
        <v>0</v>
      </c>
      <c r="G3414">
        <v>0</v>
      </c>
      <c r="H3414">
        <v>0</v>
      </c>
      <c r="I3414">
        <v>0</v>
      </c>
      <c r="J3414">
        <v>0</v>
      </c>
      <c r="K3414">
        <v>0</v>
      </c>
      <c r="L3414">
        <v>0</v>
      </c>
      <c r="M3414">
        <v>0</v>
      </c>
      <c r="N3414">
        <v>129368</v>
      </c>
      <c r="O3414">
        <v>283855</v>
      </c>
      <c r="P3414">
        <v>335115</v>
      </c>
      <c r="Q3414">
        <v>0</v>
      </c>
      <c r="R3414">
        <v>0</v>
      </c>
      <c r="S3414">
        <v>0</v>
      </c>
      <c r="T3414">
        <v>30</v>
      </c>
      <c r="U3414">
        <v>49</v>
      </c>
    </row>
    <row r="3415" spans="1:21" x14ac:dyDescent="0.35">
      <c r="A3415" t="s">
        <v>26</v>
      </c>
      <c r="B3415" s="1">
        <v>44940</v>
      </c>
      <c r="C3415" t="s">
        <v>30</v>
      </c>
      <c r="D3415">
        <v>48.4</v>
      </c>
      <c r="E3415">
        <v>70.3</v>
      </c>
      <c r="F3415">
        <v>61.5</v>
      </c>
      <c r="G3415">
        <v>0.7</v>
      </c>
      <c r="H3415">
        <v>0.8</v>
      </c>
      <c r="I3415">
        <v>0</v>
      </c>
      <c r="J3415">
        <v>0</v>
      </c>
      <c r="K3415">
        <v>0</v>
      </c>
      <c r="L3415">
        <v>0</v>
      </c>
      <c r="M3415">
        <v>0</v>
      </c>
      <c r="N3415">
        <v>24777</v>
      </c>
      <c r="O3415">
        <v>11372</v>
      </c>
      <c r="P3415">
        <v>47117</v>
      </c>
      <c r="Q3415">
        <v>12</v>
      </c>
      <c r="R3415">
        <v>8</v>
      </c>
      <c r="S3415">
        <v>29</v>
      </c>
      <c r="T3415">
        <v>80</v>
      </c>
      <c r="U3415">
        <v>200</v>
      </c>
    </row>
    <row r="3416" spans="1:21" x14ac:dyDescent="0.35">
      <c r="A3416" t="s">
        <v>26</v>
      </c>
      <c r="B3416" s="1">
        <v>45045</v>
      </c>
      <c r="C3416" t="s">
        <v>30</v>
      </c>
      <c r="D3416">
        <v>12.2</v>
      </c>
      <c r="E3416">
        <v>26.4</v>
      </c>
      <c r="F3416">
        <v>29.7</v>
      </c>
      <c r="G3416">
        <v>0.5</v>
      </c>
      <c r="H3416">
        <v>0.4</v>
      </c>
      <c r="I3416">
        <v>0</v>
      </c>
      <c r="J3416">
        <v>0</v>
      </c>
      <c r="K3416">
        <v>0</v>
      </c>
      <c r="L3416">
        <v>0</v>
      </c>
      <c r="M3416">
        <v>0</v>
      </c>
      <c r="N3416">
        <v>24593</v>
      </c>
      <c r="O3416">
        <v>11384</v>
      </c>
      <c r="P3416">
        <v>47127</v>
      </c>
      <c r="Q3416">
        <v>3</v>
      </c>
      <c r="R3416">
        <v>3</v>
      </c>
      <c r="S3416">
        <v>14</v>
      </c>
      <c r="T3416">
        <v>80</v>
      </c>
      <c r="U3416">
        <v>200</v>
      </c>
    </row>
    <row r="3417" spans="1:21" x14ac:dyDescent="0.35">
      <c r="A3417" t="s">
        <v>21</v>
      </c>
      <c r="B3417" s="1">
        <v>45045</v>
      </c>
      <c r="C3417" t="s">
        <v>25</v>
      </c>
      <c r="D3417">
        <v>0</v>
      </c>
      <c r="E3417">
        <v>0</v>
      </c>
      <c r="F3417">
        <v>0</v>
      </c>
      <c r="G3417">
        <v>0</v>
      </c>
      <c r="H3417">
        <v>0</v>
      </c>
      <c r="I3417">
        <v>0</v>
      </c>
      <c r="J3417">
        <v>0</v>
      </c>
      <c r="K3417">
        <v>0</v>
      </c>
      <c r="L3417">
        <v>0</v>
      </c>
      <c r="M3417">
        <v>0</v>
      </c>
      <c r="N3417">
        <v>75493</v>
      </c>
      <c r="O3417">
        <v>214091</v>
      </c>
      <c r="P3417">
        <v>161686</v>
      </c>
      <c r="Q3417">
        <v>0</v>
      </c>
      <c r="R3417">
        <v>0</v>
      </c>
      <c r="S3417">
        <v>0</v>
      </c>
      <c r="T3417">
        <v>18</v>
      </c>
      <c r="U3417">
        <v>29</v>
      </c>
    </row>
    <row r="3418" spans="1:21" x14ac:dyDescent="0.35">
      <c r="A3418" t="s">
        <v>28</v>
      </c>
      <c r="B3418" s="1">
        <v>44512</v>
      </c>
      <c r="C3418" t="s">
        <v>25</v>
      </c>
      <c r="D3418">
        <v>622.9</v>
      </c>
      <c r="E3418">
        <v>219.4</v>
      </c>
      <c r="F3418">
        <v>113.8</v>
      </c>
      <c r="G3418">
        <v>2.8</v>
      </c>
      <c r="H3418">
        <v>5.5</v>
      </c>
      <c r="I3418">
        <v>0</v>
      </c>
      <c r="J3418">
        <v>0</v>
      </c>
      <c r="K3418">
        <v>0</v>
      </c>
      <c r="L3418">
        <v>0</v>
      </c>
      <c r="M3418">
        <v>0</v>
      </c>
      <c r="N3418">
        <v>147702</v>
      </c>
      <c r="O3418">
        <v>295416</v>
      </c>
      <c r="P3418">
        <v>37772</v>
      </c>
      <c r="Q3418">
        <v>920</v>
      </c>
      <c r="R3418">
        <v>648</v>
      </c>
      <c r="S3418">
        <v>43</v>
      </c>
      <c r="T3418">
        <v>18</v>
      </c>
      <c r="U3418">
        <v>29</v>
      </c>
    </row>
    <row r="3419" spans="1:21" x14ac:dyDescent="0.35">
      <c r="A3419" t="s">
        <v>26</v>
      </c>
      <c r="B3419" s="1">
        <v>44884</v>
      </c>
      <c r="C3419" t="s">
        <v>23</v>
      </c>
      <c r="D3419">
        <v>35.799999999999997</v>
      </c>
      <c r="E3419">
        <v>5.6</v>
      </c>
      <c r="F3419">
        <v>7.7</v>
      </c>
      <c r="G3419">
        <v>6.4</v>
      </c>
      <c r="H3419">
        <v>4.5999999999999996</v>
      </c>
      <c r="I3419">
        <v>0</v>
      </c>
      <c r="J3419">
        <v>0</v>
      </c>
      <c r="K3419">
        <v>0</v>
      </c>
      <c r="L3419">
        <v>0</v>
      </c>
      <c r="M3419">
        <v>0</v>
      </c>
      <c r="N3419">
        <v>36276</v>
      </c>
      <c r="O3419">
        <v>125309</v>
      </c>
      <c r="P3419">
        <v>246713</v>
      </c>
      <c r="Q3419">
        <v>13</v>
      </c>
      <c r="R3419">
        <v>7</v>
      </c>
      <c r="S3419">
        <v>19</v>
      </c>
      <c r="T3419">
        <v>50</v>
      </c>
      <c r="U3419">
        <v>64</v>
      </c>
    </row>
    <row r="3420" spans="1:21" x14ac:dyDescent="0.35">
      <c r="A3420" t="s">
        <v>21</v>
      </c>
      <c r="B3420" s="1">
        <v>44940</v>
      </c>
      <c r="C3420" t="s">
        <v>22</v>
      </c>
      <c r="D3420">
        <v>1.3</v>
      </c>
      <c r="E3420">
        <v>0.5</v>
      </c>
      <c r="F3420">
        <v>0.7</v>
      </c>
      <c r="G3420">
        <v>2.6</v>
      </c>
      <c r="H3420">
        <v>1.9</v>
      </c>
      <c r="I3420">
        <v>1.2</v>
      </c>
      <c r="J3420">
        <v>1</v>
      </c>
      <c r="K3420">
        <v>0.5</v>
      </c>
      <c r="L3420">
        <v>1.2</v>
      </c>
      <c r="M3420">
        <v>2.7</v>
      </c>
      <c r="N3420">
        <v>552001</v>
      </c>
      <c r="O3420">
        <v>854759</v>
      </c>
      <c r="P3420">
        <v>1040217</v>
      </c>
      <c r="Q3420">
        <v>7</v>
      </c>
      <c r="R3420">
        <v>4</v>
      </c>
      <c r="S3420">
        <v>7</v>
      </c>
      <c r="T3420">
        <v>999</v>
      </c>
      <c r="U3420">
        <v>999</v>
      </c>
    </row>
    <row r="3421" spans="1:21" x14ac:dyDescent="0.35">
      <c r="A3421" t="s">
        <v>21</v>
      </c>
      <c r="B3421" s="1">
        <v>44499</v>
      </c>
      <c r="C3421" t="s">
        <v>27</v>
      </c>
      <c r="D3421">
        <v>0</v>
      </c>
      <c r="E3421">
        <v>0</v>
      </c>
      <c r="F3421">
        <v>0</v>
      </c>
      <c r="G3421">
        <v>0</v>
      </c>
      <c r="H3421">
        <v>0</v>
      </c>
      <c r="I3421">
        <v>0</v>
      </c>
      <c r="J3421">
        <v>0</v>
      </c>
      <c r="K3421">
        <v>0</v>
      </c>
      <c r="L3421">
        <v>0</v>
      </c>
      <c r="M3421">
        <v>0</v>
      </c>
      <c r="N3421">
        <v>64181</v>
      </c>
      <c r="O3421">
        <v>100542</v>
      </c>
      <c r="P3421">
        <v>0</v>
      </c>
      <c r="Q3421">
        <v>0</v>
      </c>
      <c r="R3421">
        <v>0</v>
      </c>
      <c r="S3421">
        <v>0</v>
      </c>
      <c r="T3421">
        <v>12</v>
      </c>
      <c r="U3421">
        <v>17</v>
      </c>
    </row>
    <row r="3422" spans="1:21" x14ac:dyDescent="0.35">
      <c r="A3422" t="s">
        <v>21</v>
      </c>
      <c r="B3422" s="1">
        <v>44401</v>
      </c>
      <c r="C3422" t="s">
        <v>23</v>
      </c>
      <c r="D3422">
        <v>3.9</v>
      </c>
      <c r="E3422">
        <v>0</v>
      </c>
      <c r="F3422">
        <v>0</v>
      </c>
      <c r="G3422">
        <v>0</v>
      </c>
      <c r="H3422">
        <v>0</v>
      </c>
      <c r="I3422">
        <v>0</v>
      </c>
      <c r="J3422">
        <v>0</v>
      </c>
      <c r="K3422">
        <v>0</v>
      </c>
      <c r="L3422">
        <v>0</v>
      </c>
      <c r="M3422">
        <v>0</v>
      </c>
      <c r="N3422">
        <v>102426</v>
      </c>
      <c r="O3422">
        <v>311064</v>
      </c>
      <c r="P3422">
        <v>0</v>
      </c>
      <c r="Q3422">
        <v>4</v>
      </c>
      <c r="R3422">
        <v>0</v>
      </c>
      <c r="S3422">
        <v>0</v>
      </c>
      <c r="T3422">
        <v>50</v>
      </c>
      <c r="U3422">
        <v>64</v>
      </c>
    </row>
    <row r="3423" spans="1:21" x14ac:dyDescent="0.35">
      <c r="A3423" t="s">
        <v>21</v>
      </c>
      <c r="B3423" s="1">
        <v>44394</v>
      </c>
      <c r="C3423" t="s">
        <v>30</v>
      </c>
      <c r="D3423">
        <v>3</v>
      </c>
      <c r="E3423">
        <v>0</v>
      </c>
      <c r="F3423">
        <v>0</v>
      </c>
      <c r="G3423">
        <v>0</v>
      </c>
      <c r="H3423">
        <v>0</v>
      </c>
      <c r="I3423">
        <v>0</v>
      </c>
      <c r="J3423">
        <v>0</v>
      </c>
      <c r="K3423">
        <v>0</v>
      </c>
      <c r="L3423">
        <v>0</v>
      </c>
      <c r="M3423">
        <v>0</v>
      </c>
      <c r="N3423">
        <v>33027</v>
      </c>
      <c r="O3423">
        <v>51912</v>
      </c>
      <c r="P3423">
        <v>0</v>
      </c>
      <c r="Q3423">
        <v>1</v>
      </c>
      <c r="R3423">
        <v>0</v>
      </c>
      <c r="S3423">
        <v>0</v>
      </c>
      <c r="T3423">
        <v>80</v>
      </c>
      <c r="U3423">
        <v>200</v>
      </c>
    </row>
    <row r="3424" spans="1:21" x14ac:dyDescent="0.35">
      <c r="A3424" t="s">
        <v>26</v>
      </c>
      <c r="B3424" s="1">
        <v>44692</v>
      </c>
      <c r="C3424" t="s">
        <v>25</v>
      </c>
      <c r="D3424">
        <v>12</v>
      </c>
      <c r="E3424">
        <v>1.4</v>
      </c>
      <c r="F3424">
        <v>1.9</v>
      </c>
      <c r="G3424">
        <v>8.6</v>
      </c>
      <c r="H3424">
        <v>6.3</v>
      </c>
      <c r="I3424">
        <v>0</v>
      </c>
      <c r="J3424">
        <v>0</v>
      </c>
      <c r="K3424">
        <v>0</v>
      </c>
      <c r="L3424">
        <v>0</v>
      </c>
      <c r="M3424">
        <v>0</v>
      </c>
      <c r="N3424">
        <v>83590</v>
      </c>
      <c r="O3424">
        <v>212234</v>
      </c>
      <c r="P3424">
        <v>161534</v>
      </c>
      <c r="Q3424">
        <v>10</v>
      </c>
      <c r="R3424">
        <v>3</v>
      </c>
      <c r="S3424">
        <v>3</v>
      </c>
      <c r="T3424">
        <v>18</v>
      </c>
      <c r="U3424">
        <v>29</v>
      </c>
    </row>
    <row r="3425" spans="1:21" x14ac:dyDescent="0.35">
      <c r="A3425" t="s">
        <v>28</v>
      </c>
      <c r="B3425" s="1">
        <v>45227</v>
      </c>
      <c r="C3425" t="s">
        <v>31</v>
      </c>
      <c r="D3425">
        <v>47.4</v>
      </c>
      <c r="E3425">
        <v>57</v>
      </c>
      <c r="F3425">
        <v>47.6</v>
      </c>
      <c r="G3425">
        <v>0.8</v>
      </c>
      <c r="H3425">
        <v>1</v>
      </c>
      <c r="I3425">
        <v>0</v>
      </c>
      <c r="J3425">
        <v>0</v>
      </c>
      <c r="K3425">
        <v>0</v>
      </c>
      <c r="L3425">
        <v>0</v>
      </c>
      <c r="M3425">
        <v>0</v>
      </c>
      <c r="N3425">
        <v>37995</v>
      </c>
      <c r="O3425">
        <v>43884</v>
      </c>
      <c r="P3425">
        <v>172161</v>
      </c>
      <c r="Q3425">
        <v>18</v>
      </c>
      <c r="R3425">
        <v>25</v>
      </c>
      <c r="S3425">
        <v>82</v>
      </c>
      <c r="T3425">
        <v>65</v>
      </c>
      <c r="U3425">
        <v>79</v>
      </c>
    </row>
    <row r="3426" spans="1:21" x14ac:dyDescent="0.35">
      <c r="A3426" t="s">
        <v>26</v>
      </c>
      <c r="B3426" s="1">
        <v>45268</v>
      </c>
      <c r="C3426" t="s">
        <v>29</v>
      </c>
      <c r="D3426">
        <v>3.7</v>
      </c>
      <c r="E3426">
        <v>1.8</v>
      </c>
      <c r="F3426">
        <v>0.6</v>
      </c>
      <c r="G3426">
        <v>2.1</v>
      </c>
      <c r="H3426">
        <v>6.2</v>
      </c>
      <c r="I3426">
        <v>0</v>
      </c>
      <c r="J3426">
        <v>0</v>
      </c>
      <c r="K3426">
        <v>0</v>
      </c>
      <c r="L3426">
        <v>0</v>
      </c>
      <c r="M3426">
        <v>0</v>
      </c>
      <c r="N3426">
        <v>107297</v>
      </c>
      <c r="O3426">
        <v>278401</v>
      </c>
      <c r="P3426">
        <v>347314</v>
      </c>
      <c r="Q3426">
        <v>4</v>
      </c>
      <c r="R3426">
        <v>5</v>
      </c>
      <c r="S3426">
        <v>2</v>
      </c>
      <c r="T3426">
        <v>30</v>
      </c>
      <c r="U3426">
        <v>49</v>
      </c>
    </row>
    <row r="3427" spans="1:21" x14ac:dyDescent="0.35">
      <c r="A3427" t="s">
        <v>26</v>
      </c>
      <c r="B3427" s="1">
        <v>44576</v>
      </c>
      <c r="C3427" t="s">
        <v>22</v>
      </c>
      <c r="D3427">
        <v>86.8</v>
      </c>
      <c r="E3427">
        <v>37.9</v>
      </c>
      <c r="F3427">
        <v>24.5</v>
      </c>
      <c r="G3427">
        <v>2.2999999999999998</v>
      </c>
      <c r="H3427">
        <v>3.5</v>
      </c>
      <c r="I3427">
        <v>120</v>
      </c>
      <c r="J3427">
        <v>45.6</v>
      </c>
      <c r="K3427">
        <v>15.3</v>
      </c>
      <c r="L3427">
        <v>2.6</v>
      </c>
      <c r="M3427">
        <v>7.8</v>
      </c>
      <c r="N3427">
        <v>745375</v>
      </c>
      <c r="O3427">
        <v>1023963</v>
      </c>
      <c r="P3427">
        <v>685691</v>
      </c>
      <c r="Q3427">
        <v>647</v>
      </c>
      <c r="R3427">
        <v>388</v>
      </c>
      <c r="S3427">
        <v>168</v>
      </c>
      <c r="T3427">
        <v>999</v>
      </c>
      <c r="U3427">
        <v>999</v>
      </c>
    </row>
    <row r="3428" spans="1:21" x14ac:dyDescent="0.35">
      <c r="A3428" t="s">
        <v>26</v>
      </c>
      <c r="B3428" s="1">
        <v>44730</v>
      </c>
      <c r="C3428" t="s">
        <v>24</v>
      </c>
      <c r="D3428">
        <v>0</v>
      </c>
      <c r="E3428">
        <v>2.2000000000000002</v>
      </c>
      <c r="F3428">
        <v>0</v>
      </c>
      <c r="G3428">
        <v>0</v>
      </c>
      <c r="H3428">
        <v>0</v>
      </c>
      <c r="I3428">
        <v>0</v>
      </c>
      <c r="J3428">
        <v>0</v>
      </c>
      <c r="K3428">
        <v>0</v>
      </c>
      <c r="L3428">
        <v>0</v>
      </c>
      <c r="M3428">
        <v>0</v>
      </c>
      <c r="N3428">
        <v>99854</v>
      </c>
      <c r="O3428">
        <v>91897</v>
      </c>
      <c r="P3428">
        <v>4155</v>
      </c>
      <c r="Q3428">
        <v>0</v>
      </c>
      <c r="R3428">
        <v>2</v>
      </c>
      <c r="S3428">
        <v>0</v>
      </c>
      <c r="T3428">
        <v>5</v>
      </c>
      <c r="U3428">
        <v>11</v>
      </c>
    </row>
    <row r="3429" spans="1:21" x14ac:dyDescent="0.35">
      <c r="A3429" t="s">
        <v>26</v>
      </c>
      <c r="B3429" s="1">
        <v>44793</v>
      </c>
      <c r="C3429" t="s">
        <v>30</v>
      </c>
      <c r="D3429">
        <v>87.7</v>
      </c>
      <c r="E3429">
        <v>95</v>
      </c>
      <c r="F3429">
        <v>66.3</v>
      </c>
      <c r="G3429">
        <v>0.9</v>
      </c>
      <c r="H3429">
        <v>1.3</v>
      </c>
      <c r="I3429">
        <v>0</v>
      </c>
      <c r="J3429">
        <v>0</v>
      </c>
      <c r="K3429">
        <v>0</v>
      </c>
      <c r="L3429">
        <v>0</v>
      </c>
      <c r="M3429">
        <v>0</v>
      </c>
      <c r="N3429">
        <v>26236</v>
      </c>
      <c r="O3429">
        <v>11583</v>
      </c>
      <c r="P3429">
        <v>46759</v>
      </c>
      <c r="Q3429">
        <v>23</v>
      </c>
      <c r="R3429">
        <v>11</v>
      </c>
      <c r="S3429">
        <v>31</v>
      </c>
      <c r="T3429">
        <v>80</v>
      </c>
      <c r="U3429">
        <v>200</v>
      </c>
    </row>
    <row r="3430" spans="1:21" x14ac:dyDescent="0.35">
      <c r="A3430" t="s">
        <v>21</v>
      </c>
      <c r="B3430" s="1">
        <v>45178</v>
      </c>
      <c r="C3430" t="s">
        <v>29</v>
      </c>
      <c r="D3430">
        <v>0</v>
      </c>
      <c r="E3430">
        <v>0</v>
      </c>
      <c r="F3430">
        <v>0</v>
      </c>
      <c r="G3430">
        <v>0</v>
      </c>
      <c r="H3430">
        <v>0</v>
      </c>
      <c r="I3430">
        <v>0</v>
      </c>
      <c r="J3430">
        <v>0</v>
      </c>
      <c r="K3430">
        <v>0</v>
      </c>
      <c r="L3430">
        <v>0</v>
      </c>
      <c r="M3430">
        <v>0</v>
      </c>
      <c r="N3430">
        <v>106855</v>
      </c>
      <c r="O3430">
        <v>278397</v>
      </c>
      <c r="P3430">
        <v>347322</v>
      </c>
      <c r="Q3430">
        <v>0</v>
      </c>
      <c r="R3430">
        <v>0</v>
      </c>
      <c r="S3430">
        <v>0</v>
      </c>
      <c r="T3430">
        <v>30</v>
      </c>
      <c r="U3430">
        <v>49</v>
      </c>
    </row>
    <row r="3431" spans="1:21" x14ac:dyDescent="0.35">
      <c r="A3431" t="s">
        <v>26</v>
      </c>
      <c r="B3431" s="1">
        <v>44786</v>
      </c>
      <c r="C3431" t="s">
        <v>22</v>
      </c>
      <c r="D3431">
        <v>13.9</v>
      </c>
      <c r="E3431">
        <v>8.6</v>
      </c>
      <c r="F3431">
        <v>11.7</v>
      </c>
      <c r="G3431">
        <v>1.6</v>
      </c>
      <c r="H3431">
        <v>1.2</v>
      </c>
      <c r="I3431">
        <v>17.600000000000001</v>
      </c>
      <c r="J3431">
        <v>11.3</v>
      </c>
      <c r="K3431">
        <v>7.8</v>
      </c>
      <c r="L3431">
        <v>1.6</v>
      </c>
      <c r="M3431">
        <v>2.2999999999999998</v>
      </c>
      <c r="N3431">
        <v>611563</v>
      </c>
      <c r="O3431">
        <v>848751</v>
      </c>
      <c r="P3431">
        <v>1018396</v>
      </c>
      <c r="Q3431">
        <v>85</v>
      </c>
      <c r="R3431">
        <v>73</v>
      </c>
      <c r="S3431">
        <v>119</v>
      </c>
      <c r="T3431">
        <v>999</v>
      </c>
      <c r="U3431">
        <v>999</v>
      </c>
    </row>
    <row r="3432" spans="1:21" x14ac:dyDescent="0.35">
      <c r="A3432" t="s">
        <v>21</v>
      </c>
      <c r="B3432" s="1">
        <v>44473</v>
      </c>
      <c r="C3432" t="s">
        <v>27</v>
      </c>
      <c r="D3432">
        <v>0</v>
      </c>
      <c r="E3432">
        <v>0</v>
      </c>
      <c r="F3432">
        <v>0</v>
      </c>
      <c r="G3432">
        <v>0</v>
      </c>
      <c r="H3432">
        <v>0</v>
      </c>
      <c r="I3432">
        <v>0</v>
      </c>
      <c r="J3432">
        <v>0</v>
      </c>
      <c r="K3432">
        <v>0</v>
      </c>
      <c r="L3432">
        <v>0</v>
      </c>
      <c r="M3432">
        <v>0</v>
      </c>
      <c r="N3432">
        <v>177522</v>
      </c>
      <c r="O3432">
        <v>0</v>
      </c>
      <c r="P3432">
        <v>0</v>
      </c>
      <c r="Q3432">
        <v>0</v>
      </c>
      <c r="R3432">
        <v>0</v>
      </c>
      <c r="S3432">
        <v>0</v>
      </c>
      <c r="T3432">
        <v>12</v>
      </c>
      <c r="U3432">
        <v>17</v>
      </c>
    </row>
    <row r="3433" spans="1:21" x14ac:dyDescent="0.35">
      <c r="A3433" t="s">
        <v>21</v>
      </c>
      <c r="B3433" s="1">
        <v>44871</v>
      </c>
      <c r="C3433" t="s">
        <v>31</v>
      </c>
      <c r="D3433">
        <v>2.1</v>
      </c>
      <c r="E3433">
        <v>4.3</v>
      </c>
      <c r="F3433">
        <v>1.2</v>
      </c>
      <c r="G3433">
        <v>0.5</v>
      </c>
      <c r="H3433">
        <v>1.8</v>
      </c>
      <c r="I3433">
        <v>0</v>
      </c>
      <c r="J3433">
        <v>0</v>
      </c>
      <c r="K3433">
        <v>0</v>
      </c>
      <c r="L3433">
        <v>0</v>
      </c>
      <c r="M3433">
        <v>0</v>
      </c>
      <c r="N3433">
        <v>46831</v>
      </c>
      <c r="O3433">
        <v>47037</v>
      </c>
      <c r="P3433">
        <v>166138</v>
      </c>
      <c r="Q3433">
        <v>1</v>
      </c>
      <c r="R3433">
        <v>2</v>
      </c>
      <c r="S3433">
        <v>2</v>
      </c>
      <c r="T3433">
        <v>65</v>
      </c>
      <c r="U3433">
        <v>79</v>
      </c>
    </row>
    <row r="3434" spans="1:21" x14ac:dyDescent="0.35">
      <c r="A3434" t="s">
        <v>28</v>
      </c>
      <c r="B3434" s="1">
        <v>45248</v>
      </c>
      <c r="C3434" t="s">
        <v>24</v>
      </c>
      <c r="D3434">
        <v>19.2</v>
      </c>
      <c r="E3434">
        <v>12.2</v>
      </c>
      <c r="F3434">
        <v>9</v>
      </c>
      <c r="G3434">
        <v>1.6</v>
      </c>
      <c r="H3434">
        <v>2.1</v>
      </c>
      <c r="I3434">
        <v>0</v>
      </c>
      <c r="J3434">
        <v>0</v>
      </c>
      <c r="K3434">
        <v>0</v>
      </c>
      <c r="L3434">
        <v>0</v>
      </c>
      <c r="M3434">
        <v>0</v>
      </c>
      <c r="N3434">
        <v>88375</v>
      </c>
      <c r="O3434">
        <v>81993</v>
      </c>
      <c r="P3434">
        <v>22205</v>
      </c>
      <c r="Q3434">
        <v>17</v>
      </c>
      <c r="R3434">
        <v>10</v>
      </c>
      <c r="S3434">
        <v>2</v>
      </c>
      <c r="T3434">
        <v>5</v>
      </c>
      <c r="U3434">
        <v>11</v>
      </c>
    </row>
    <row r="3435" spans="1:21" x14ac:dyDescent="0.35">
      <c r="A3435" t="s">
        <v>26</v>
      </c>
      <c r="B3435" s="1">
        <v>44548</v>
      </c>
      <c r="C3435" t="s">
        <v>24</v>
      </c>
      <c r="D3435">
        <v>3.4</v>
      </c>
      <c r="E3435">
        <v>0</v>
      </c>
      <c r="F3435">
        <v>0</v>
      </c>
      <c r="G3435">
        <v>0</v>
      </c>
      <c r="H3435">
        <v>0</v>
      </c>
      <c r="I3435">
        <v>0</v>
      </c>
      <c r="J3435">
        <v>0</v>
      </c>
      <c r="K3435">
        <v>0</v>
      </c>
      <c r="L3435">
        <v>0</v>
      </c>
      <c r="M3435">
        <v>0</v>
      </c>
      <c r="N3435">
        <v>147394</v>
      </c>
      <c r="O3435">
        <v>24009</v>
      </c>
      <c r="P3435">
        <v>0</v>
      </c>
      <c r="Q3435">
        <v>5</v>
      </c>
      <c r="R3435">
        <v>0</v>
      </c>
      <c r="S3435">
        <v>0</v>
      </c>
      <c r="T3435">
        <v>5</v>
      </c>
      <c r="U3435">
        <v>11</v>
      </c>
    </row>
    <row r="3436" spans="1:21" x14ac:dyDescent="0.35">
      <c r="A3436" t="s">
        <v>28</v>
      </c>
      <c r="B3436" s="1">
        <v>44793</v>
      </c>
      <c r="C3436" t="s">
        <v>31</v>
      </c>
      <c r="D3436">
        <v>203.5</v>
      </c>
      <c r="E3436">
        <v>158.6</v>
      </c>
      <c r="F3436">
        <v>189.6</v>
      </c>
      <c r="G3436">
        <v>1.3</v>
      </c>
      <c r="H3436">
        <v>1.1000000000000001</v>
      </c>
      <c r="I3436">
        <v>0</v>
      </c>
      <c r="J3436">
        <v>0</v>
      </c>
      <c r="K3436">
        <v>0</v>
      </c>
      <c r="L3436">
        <v>0</v>
      </c>
      <c r="M3436">
        <v>0</v>
      </c>
      <c r="N3436">
        <v>45707</v>
      </c>
      <c r="O3436">
        <v>44146</v>
      </c>
      <c r="P3436">
        <v>170344</v>
      </c>
      <c r="Q3436">
        <v>93</v>
      </c>
      <c r="R3436">
        <v>70</v>
      </c>
      <c r="S3436">
        <v>323</v>
      </c>
      <c r="T3436">
        <v>65</v>
      </c>
      <c r="U3436">
        <v>79</v>
      </c>
    </row>
    <row r="3437" spans="1:21" x14ac:dyDescent="0.35">
      <c r="A3437" t="s">
        <v>28</v>
      </c>
      <c r="B3437" s="1">
        <v>44201</v>
      </c>
      <c r="C3437" t="s">
        <v>27</v>
      </c>
      <c r="D3437">
        <v>178.9</v>
      </c>
      <c r="E3437">
        <v>0</v>
      </c>
      <c r="F3437">
        <v>0</v>
      </c>
      <c r="G3437">
        <v>0</v>
      </c>
      <c r="H3437">
        <v>0</v>
      </c>
      <c r="I3437">
        <v>0</v>
      </c>
      <c r="J3437">
        <v>0</v>
      </c>
      <c r="K3437">
        <v>0</v>
      </c>
      <c r="L3437">
        <v>0</v>
      </c>
      <c r="M3437">
        <v>0</v>
      </c>
      <c r="N3437">
        <v>167682</v>
      </c>
      <c r="O3437">
        <v>0</v>
      </c>
      <c r="P3437">
        <v>0</v>
      </c>
      <c r="Q3437">
        <v>300</v>
      </c>
      <c r="R3437">
        <v>0</v>
      </c>
      <c r="S3437">
        <v>0</v>
      </c>
      <c r="T3437">
        <v>12</v>
      </c>
      <c r="U3437">
        <v>17</v>
      </c>
    </row>
    <row r="3438" spans="1:21" x14ac:dyDescent="0.35">
      <c r="A3438" t="s">
        <v>21</v>
      </c>
      <c r="B3438" s="1">
        <v>45003</v>
      </c>
      <c r="C3438" t="s">
        <v>25</v>
      </c>
      <c r="D3438">
        <v>0</v>
      </c>
      <c r="E3438">
        <v>0</v>
      </c>
      <c r="F3438">
        <v>0</v>
      </c>
      <c r="G3438">
        <v>0</v>
      </c>
      <c r="H3438">
        <v>0</v>
      </c>
      <c r="I3438">
        <v>0</v>
      </c>
      <c r="J3438">
        <v>0</v>
      </c>
      <c r="K3438">
        <v>0</v>
      </c>
      <c r="L3438">
        <v>0</v>
      </c>
      <c r="M3438">
        <v>0</v>
      </c>
      <c r="N3438">
        <v>76420</v>
      </c>
      <c r="O3438">
        <v>213693</v>
      </c>
      <c r="P3438">
        <v>161668</v>
      </c>
      <c r="Q3438">
        <v>0</v>
      </c>
      <c r="R3438">
        <v>0</v>
      </c>
      <c r="S3438">
        <v>0</v>
      </c>
      <c r="T3438">
        <v>18</v>
      </c>
      <c r="U3438">
        <v>29</v>
      </c>
    </row>
    <row r="3439" spans="1:21" x14ac:dyDescent="0.35">
      <c r="A3439" t="s">
        <v>26</v>
      </c>
      <c r="B3439" s="1">
        <v>44571</v>
      </c>
      <c r="C3439" t="s">
        <v>27</v>
      </c>
      <c r="D3439">
        <v>2.9</v>
      </c>
      <c r="E3439">
        <v>0</v>
      </c>
      <c r="F3439">
        <v>2.2999999999999998</v>
      </c>
      <c r="G3439">
        <v>0</v>
      </c>
      <c r="H3439">
        <v>1.3</v>
      </c>
      <c r="I3439">
        <v>0</v>
      </c>
      <c r="J3439">
        <v>0</v>
      </c>
      <c r="K3439">
        <v>0</v>
      </c>
      <c r="L3439">
        <v>0</v>
      </c>
      <c r="M3439">
        <v>0</v>
      </c>
      <c r="N3439">
        <v>34876</v>
      </c>
      <c r="O3439">
        <v>85807</v>
      </c>
      <c r="P3439">
        <v>44418</v>
      </c>
      <c r="Q3439">
        <v>1</v>
      </c>
      <c r="R3439">
        <v>0</v>
      </c>
      <c r="S3439">
        <v>1</v>
      </c>
      <c r="T3439">
        <v>12</v>
      </c>
      <c r="U3439">
        <v>17</v>
      </c>
    </row>
    <row r="3440" spans="1:21" x14ac:dyDescent="0.35">
      <c r="A3440" t="s">
        <v>28</v>
      </c>
      <c r="B3440" s="1">
        <v>44811</v>
      </c>
      <c r="C3440" t="s">
        <v>27</v>
      </c>
      <c r="D3440">
        <v>145.69999999999999</v>
      </c>
      <c r="E3440">
        <v>65.8</v>
      </c>
      <c r="F3440">
        <v>124</v>
      </c>
      <c r="G3440">
        <v>2.2000000000000002</v>
      </c>
      <c r="H3440">
        <v>1.2</v>
      </c>
      <c r="I3440">
        <v>0</v>
      </c>
      <c r="J3440">
        <v>0</v>
      </c>
      <c r="K3440">
        <v>0</v>
      </c>
      <c r="L3440">
        <v>0</v>
      </c>
      <c r="M3440">
        <v>0</v>
      </c>
      <c r="N3440">
        <v>36376</v>
      </c>
      <c r="O3440">
        <v>91174</v>
      </c>
      <c r="P3440">
        <v>37907</v>
      </c>
      <c r="Q3440">
        <v>53</v>
      </c>
      <c r="R3440">
        <v>60</v>
      </c>
      <c r="S3440">
        <v>47</v>
      </c>
      <c r="T3440">
        <v>12</v>
      </c>
      <c r="U3440">
        <v>17</v>
      </c>
    </row>
    <row r="3441" spans="1:21" x14ac:dyDescent="0.35">
      <c r="A3441" t="s">
        <v>28</v>
      </c>
      <c r="B3441" s="1">
        <v>44201</v>
      </c>
      <c r="C3441" t="s">
        <v>29</v>
      </c>
      <c r="D3441">
        <v>274.7</v>
      </c>
      <c r="E3441">
        <v>25.1</v>
      </c>
      <c r="F3441">
        <v>0</v>
      </c>
      <c r="G3441">
        <v>10.9</v>
      </c>
      <c r="H3441">
        <v>0</v>
      </c>
      <c r="I3441">
        <v>0</v>
      </c>
      <c r="J3441">
        <v>0</v>
      </c>
      <c r="K3441">
        <v>0</v>
      </c>
      <c r="L3441">
        <v>0</v>
      </c>
      <c r="M3441">
        <v>0</v>
      </c>
      <c r="N3441">
        <v>365119</v>
      </c>
      <c r="O3441">
        <v>238588</v>
      </c>
      <c r="P3441">
        <v>0</v>
      </c>
      <c r="Q3441">
        <v>1003</v>
      </c>
      <c r="R3441">
        <v>60</v>
      </c>
      <c r="S3441">
        <v>0</v>
      </c>
      <c r="T3441">
        <v>30</v>
      </c>
      <c r="U3441">
        <v>49</v>
      </c>
    </row>
    <row r="3442" spans="1:21" x14ac:dyDescent="0.35">
      <c r="A3442" t="s">
        <v>26</v>
      </c>
      <c r="B3442" s="1">
        <v>45010</v>
      </c>
      <c r="C3442" t="s">
        <v>22</v>
      </c>
      <c r="D3442">
        <v>7.6</v>
      </c>
      <c r="E3442">
        <v>4.0999999999999996</v>
      </c>
      <c r="F3442">
        <v>7</v>
      </c>
      <c r="G3442">
        <v>1.9</v>
      </c>
      <c r="H3442">
        <v>1.1000000000000001</v>
      </c>
      <c r="I3442">
        <v>9.5</v>
      </c>
      <c r="J3442">
        <v>6</v>
      </c>
      <c r="K3442">
        <v>5</v>
      </c>
      <c r="L3442">
        <v>1.6</v>
      </c>
      <c r="M3442">
        <v>1.9</v>
      </c>
      <c r="N3442">
        <v>541869</v>
      </c>
      <c r="O3442">
        <v>858761</v>
      </c>
      <c r="P3442">
        <v>1040518</v>
      </c>
      <c r="Q3442">
        <v>41</v>
      </c>
      <c r="R3442">
        <v>35</v>
      </c>
      <c r="S3442">
        <v>73</v>
      </c>
      <c r="T3442">
        <v>999</v>
      </c>
      <c r="U3442">
        <v>999</v>
      </c>
    </row>
    <row r="3443" spans="1:21" x14ac:dyDescent="0.35">
      <c r="A3443" t="s">
        <v>21</v>
      </c>
      <c r="B3443" s="1">
        <v>44730</v>
      </c>
      <c r="C3443" t="s">
        <v>23</v>
      </c>
      <c r="D3443">
        <v>0</v>
      </c>
      <c r="E3443">
        <v>0.8</v>
      </c>
      <c r="F3443">
        <v>0</v>
      </c>
      <c r="G3443">
        <v>0</v>
      </c>
      <c r="H3443">
        <v>0</v>
      </c>
      <c r="I3443">
        <v>0</v>
      </c>
      <c r="J3443">
        <v>0</v>
      </c>
      <c r="K3443">
        <v>0</v>
      </c>
      <c r="L3443">
        <v>0</v>
      </c>
      <c r="M3443">
        <v>0</v>
      </c>
      <c r="N3443">
        <v>42287</v>
      </c>
      <c r="O3443">
        <v>130631</v>
      </c>
      <c r="P3443">
        <v>238855</v>
      </c>
      <c r="Q3443">
        <v>0</v>
      </c>
      <c r="R3443">
        <v>1</v>
      </c>
      <c r="S3443">
        <v>0</v>
      </c>
      <c r="T3443">
        <v>50</v>
      </c>
      <c r="U3443">
        <v>64</v>
      </c>
    </row>
    <row r="3444" spans="1:21" x14ac:dyDescent="0.35">
      <c r="A3444" t="s">
        <v>26</v>
      </c>
      <c r="B3444" s="1">
        <v>44940</v>
      </c>
      <c r="C3444" t="s">
        <v>25</v>
      </c>
      <c r="D3444">
        <v>8.9</v>
      </c>
      <c r="E3444">
        <v>2.2999999999999998</v>
      </c>
      <c r="F3444">
        <v>1.2</v>
      </c>
      <c r="G3444">
        <v>3.9</v>
      </c>
      <c r="H3444">
        <v>7.4</v>
      </c>
      <c r="I3444">
        <v>0</v>
      </c>
      <c r="J3444">
        <v>0</v>
      </c>
      <c r="K3444">
        <v>0</v>
      </c>
      <c r="L3444">
        <v>0</v>
      </c>
      <c r="M3444">
        <v>0</v>
      </c>
      <c r="N3444">
        <v>78419</v>
      </c>
      <c r="O3444">
        <v>213045</v>
      </c>
      <c r="P3444">
        <v>161631</v>
      </c>
      <c r="Q3444">
        <v>7</v>
      </c>
      <c r="R3444">
        <v>5</v>
      </c>
      <c r="S3444">
        <v>2</v>
      </c>
      <c r="T3444">
        <v>18</v>
      </c>
      <c r="U3444">
        <v>29</v>
      </c>
    </row>
    <row r="3445" spans="1:21" x14ac:dyDescent="0.35">
      <c r="A3445" t="s">
        <v>21</v>
      </c>
      <c r="B3445" s="1">
        <v>44331</v>
      </c>
      <c r="C3445" t="s">
        <v>25</v>
      </c>
      <c r="D3445">
        <v>0.4</v>
      </c>
      <c r="E3445">
        <v>0</v>
      </c>
      <c r="F3445">
        <v>0</v>
      </c>
      <c r="G3445">
        <v>0</v>
      </c>
      <c r="H3445">
        <v>0</v>
      </c>
      <c r="I3445">
        <v>0</v>
      </c>
      <c r="J3445">
        <v>0</v>
      </c>
      <c r="K3445">
        <v>0</v>
      </c>
      <c r="L3445">
        <v>0</v>
      </c>
      <c r="M3445">
        <v>0</v>
      </c>
      <c r="N3445">
        <v>265014</v>
      </c>
      <c r="O3445">
        <v>159262</v>
      </c>
      <c r="P3445">
        <v>0</v>
      </c>
      <c r="Q3445">
        <v>1</v>
      </c>
      <c r="R3445">
        <v>0</v>
      </c>
      <c r="S3445">
        <v>0</v>
      </c>
      <c r="T3445">
        <v>18</v>
      </c>
      <c r="U3445">
        <v>29</v>
      </c>
    </row>
    <row r="3446" spans="1:21" x14ac:dyDescent="0.35">
      <c r="A3446" t="s">
        <v>28</v>
      </c>
      <c r="B3446" s="1">
        <v>44629</v>
      </c>
      <c r="C3446" t="s">
        <v>24</v>
      </c>
      <c r="D3446">
        <v>205.2</v>
      </c>
      <c r="E3446">
        <v>201</v>
      </c>
      <c r="F3446">
        <v>200.9</v>
      </c>
      <c r="G3446">
        <v>1</v>
      </c>
      <c r="H3446">
        <v>1</v>
      </c>
      <c r="I3446">
        <v>0</v>
      </c>
      <c r="J3446">
        <v>0</v>
      </c>
      <c r="K3446">
        <v>0</v>
      </c>
      <c r="L3446">
        <v>0</v>
      </c>
      <c r="M3446">
        <v>0</v>
      </c>
      <c r="N3446">
        <v>95528</v>
      </c>
      <c r="O3446">
        <v>82574</v>
      </c>
      <c r="P3446">
        <v>16920</v>
      </c>
      <c r="Q3446">
        <v>196</v>
      </c>
      <c r="R3446">
        <v>166</v>
      </c>
      <c r="S3446">
        <v>34</v>
      </c>
      <c r="T3446">
        <v>5</v>
      </c>
      <c r="U3446">
        <v>11</v>
      </c>
    </row>
    <row r="3447" spans="1:21" x14ac:dyDescent="0.35">
      <c r="A3447" t="s">
        <v>28</v>
      </c>
      <c r="B3447" s="1">
        <v>45255</v>
      </c>
      <c r="C3447" t="s">
        <v>30</v>
      </c>
      <c r="D3447">
        <v>75.400000000000006</v>
      </c>
      <c r="E3447">
        <v>77.3</v>
      </c>
      <c r="F3447">
        <v>168.9</v>
      </c>
      <c r="G3447">
        <v>1</v>
      </c>
      <c r="H3447">
        <v>0.4</v>
      </c>
      <c r="I3447">
        <v>0</v>
      </c>
      <c r="J3447">
        <v>0</v>
      </c>
      <c r="K3447">
        <v>0</v>
      </c>
      <c r="L3447">
        <v>0</v>
      </c>
      <c r="M3447">
        <v>0</v>
      </c>
      <c r="N3447">
        <v>23887</v>
      </c>
      <c r="O3447">
        <v>11638</v>
      </c>
      <c r="P3447">
        <v>47353</v>
      </c>
      <c r="Q3447">
        <v>18</v>
      </c>
      <c r="R3447">
        <v>9</v>
      </c>
      <c r="S3447">
        <v>80</v>
      </c>
      <c r="T3447">
        <v>80</v>
      </c>
      <c r="U3447">
        <v>200</v>
      </c>
    </row>
    <row r="3448" spans="1:21" x14ac:dyDescent="0.35">
      <c r="A3448" t="s">
        <v>21</v>
      </c>
      <c r="B3448" s="1">
        <v>44499</v>
      </c>
      <c r="C3448" t="s">
        <v>29</v>
      </c>
      <c r="D3448">
        <v>0.5</v>
      </c>
      <c r="E3448">
        <v>0</v>
      </c>
      <c r="F3448">
        <v>0</v>
      </c>
      <c r="G3448">
        <v>0</v>
      </c>
      <c r="H3448">
        <v>0</v>
      </c>
      <c r="I3448">
        <v>0</v>
      </c>
      <c r="J3448">
        <v>0</v>
      </c>
      <c r="K3448">
        <v>0</v>
      </c>
      <c r="L3448">
        <v>0</v>
      </c>
      <c r="M3448">
        <v>0</v>
      </c>
      <c r="N3448">
        <v>203492</v>
      </c>
      <c r="O3448">
        <v>531626</v>
      </c>
      <c r="P3448">
        <v>24199</v>
      </c>
      <c r="Q3448">
        <v>1</v>
      </c>
      <c r="R3448">
        <v>0</v>
      </c>
      <c r="S3448">
        <v>0</v>
      </c>
      <c r="T3448">
        <v>30</v>
      </c>
      <c r="U3448">
        <v>49</v>
      </c>
    </row>
    <row r="3449" spans="1:21" x14ac:dyDescent="0.35">
      <c r="A3449" t="s">
        <v>28</v>
      </c>
      <c r="B3449" s="1">
        <v>44930</v>
      </c>
      <c r="C3449" t="s">
        <v>25</v>
      </c>
      <c r="D3449">
        <v>85.4</v>
      </c>
      <c r="E3449">
        <v>23.8</v>
      </c>
      <c r="F3449">
        <v>38.299999999999997</v>
      </c>
      <c r="G3449">
        <v>3.6</v>
      </c>
      <c r="H3449">
        <v>2.2000000000000002</v>
      </c>
      <c r="I3449">
        <v>0</v>
      </c>
      <c r="J3449">
        <v>0</v>
      </c>
      <c r="K3449">
        <v>0</v>
      </c>
      <c r="L3449">
        <v>0</v>
      </c>
      <c r="M3449">
        <v>0</v>
      </c>
      <c r="N3449">
        <v>76086</v>
      </c>
      <c r="O3449">
        <v>213847</v>
      </c>
      <c r="P3449">
        <v>161677</v>
      </c>
      <c r="Q3449">
        <v>65</v>
      </c>
      <c r="R3449">
        <v>51</v>
      </c>
      <c r="S3449">
        <v>62</v>
      </c>
      <c r="T3449">
        <v>18</v>
      </c>
      <c r="U3449">
        <v>29</v>
      </c>
    </row>
    <row r="3450" spans="1:21" x14ac:dyDescent="0.35">
      <c r="A3450" t="s">
        <v>26</v>
      </c>
      <c r="B3450" s="1">
        <v>44473</v>
      </c>
      <c r="C3450" t="s">
        <v>31</v>
      </c>
      <c r="D3450">
        <v>52.3</v>
      </c>
      <c r="E3450">
        <v>3.7</v>
      </c>
      <c r="F3450">
        <v>0</v>
      </c>
      <c r="G3450">
        <v>14.1</v>
      </c>
      <c r="H3450">
        <v>0</v>
      </c>
      <c r="I3450">
        <v>0</v>
      </c>
      <c r="J3450">
        <v>0</v>
      </c>
      <c r="K3450">
        <v>0</v>
      </c>
      <c r="L3450">
        <v>0</v>
      </c>
      <c r="M3450">
        <v>0</v>
      </c>
      <c r="N3450">
        <v>99368</v>
      </c>
      <c r="O3450">
        <v>107437</v>
      </c>
      <c r="P3450">
        <v>0</v>
      </c>
      <c r="Q3450">
        <v>52</v>
      </c>
      <c r="R3450">
        <v>4</v>
      </c>
      <c r="S3450">
        <v>0</v>
      </c>
      <c r="T3450">
        <v>65</v>
      </c>
      <c r="U3450">
        <v>79</v>
      </c>
    </row>
    <row r="3451" spans="1:21" x14ac:dyDescent="0.35">
      <c r="A3451" t="s">
        <v>26</v>
      </c>
      <c r="B3451" s="1">
        <v>44583</v>
      </c>
      <c r="C3451" t="s">
        <v>23</v>
      </c>
      <c r="D3451">
        <v>164.5</v>
      </c>
      <c r="E3451">
        <v>32.700000000000003</v>
      </c>
      <c r="F3451">
        <v>15.3</v>
      </c>
      <c r="G3451">
        <v>5</v>
      </c>
      <c r="H3451">
        <v>10.8</v>
      </c>
      <c r="I3451">
        <v>0</v>
      </c>
      <c r="J3451">
        <v>0</v>
      </c>
      <c r="K3451">
        <v>0</v>
      </c>
      <c r="L3451">
        <v>0</v>
      </c>
      <c r="M3451">
        <v>0</v>
      </c>
      <c r="N3451">
        <v>51071</v>
      </c>
      <c r="O3451">
        <v>174412</v>
      </c>
      <c r="P3451">
        <v>182773</v>
      </c>
      <c r="Q3451">
        <v>84</v>
      </c>
      <c r="R3451">
        <v>57</v>
      </c>
      <c r="S3451">
        <v>28</v>
      </c>
      <c r="T3451">
        <v>50</v>
      </c>
      <c r="U3451">
        <v>64</v>
      </c>
    </row>
    <row r="3452" spans="1:21" x14ac:dyDescent="0.35">
      <c r="A3452" t="s">
        <v>28</v>
      </c>
      <c r="B3452" s="1">
        <v>44298</v>
      </c>
      <c r="C3452" t="s">
        <v>29</v>
      </c>
      <c r="D3452">
        <v>590.79999999999995</v>
      </c>
      <c r="E3452">
        <v>229</v>
      </c>
      <c r="F3452">
        <v>59.2</v>
      </c>
      <c r="G3452">
        <v>2.6</v>
      </c>
      <c r="H3452">
        <v>10</v>
      </c>
      <c r="I3452">
        <v>0</v>
      </c>
      <c r="J3452">
        <v>0</v>
      </c>
      <c r="K3452">
        <v>0</v>
      </c>
      <c r="L3452">
        <v>0</v>
      </c>
      <c r="M3452">
        <v>0</v>
      </c>
      <c r="N3452">
        <v>185523</v>
      </c>
      <c r="O3452">
        <v>469462</v>
      </c>
      <c r="P3452">
        <v>103054</v>
      </c>
      <c r="Q3452">
        <v>1096</v>
      </c>
      <c r="R3452">
        <v>1075</v>
      </c>
      <c r="S3452">
        <v>61</v>
      </c>
      <c r="T3452">
        <v>30</v>
      </c>
      <c r="U3452">
        <v>49</v>
      </c>
    </row>
    <row r="3453" spans="1:21" x14ac:dyDescent="0.35">
      <c r="A3453" t="s">
        <v>21</v>
      </c>
      <c r="B3453" s="1">
        <v>44358</v>
      </c>
      <c r="C3453" t="s">
        <v>31</v>
      </c>
      <c r="D3453">
        <v>6.9</v>
      </c>
      <c r="E3453">
        <v>1.2</v>
      </c>
      <c r="F3453">
        <v>0</v>
      </c>
      <c r="G3453">
        <v>5.8</v>
      </c>
      <c r="H3453">
        <v>0</v>
      </c>
      <c r="I3453">
        <v>0</v>
      </c>
      <c r="J3453">
        <v>0</v>
      </c>
      <c r="K3453">
        <v>0</v>
      </c>
      <c r="L3453">
        <v>0</v>
      </c>
      <c r="M3453">
        <v>0</v>
      </c>
      <c r="N3453">
        <v>58116</v>
      </c>
      <c r="O3453">
        <v>160017</v>
      </c>
      <c r="P3453">
        <v>41816</v>
      </c>
      <c r="Q3453">
        <v>4</v>
      </c>
      <c r="R3453">
        <v>2</v>
      </c>
      <c r="S3453">
        <v>0</v>
      </c>
      <c r="T3453">
        <v>65</v>
      </c>
      <c r="U3453">
        <v>79</v>
      </c>
    </row>
    <row r="3454" spans="1:21" x14ac:dyDescent="0.35">
      <c r="A3454" t="s">
        <v>21</v>
      </c>
      <c r="B3454" s="1">
        <v>45164</v>
      </c>
      <c r="C3454" t="s">
        <v>30</v>
      </c>
      <c r="D3454">
        <v>4.0999999999999996</v>
      </c>
      <c r="E3454">
        <v>0</v>
      </c>
      <c r="F3454">
        <v>2.1</v>
      </c>
      <c r="G3454">
        <v>0</v>
      </c>
      <c r="H3454">
        <v>2</v>
      </c>
      <c r="I3454">
        <v>0</v>
      </c>
      <c r="J3454">
        <v>0</v>
      </c>
      <c r="K3454">
        <v>0</v>
      </c>
      <c r="L3454">
        <v>0</v>
      </c>
      <c r="M3454">
        <v>0</v>
      </c>
      <c r="N3454">
        <v>24464</v>
      </c>
      <c r="O3454">
        <v>11380</v>
      </c>
      <c r="P3454">
        <v>47133</v>
      </c>
      <c r="Q3454">
        <v>1</v>
      </c>
      <c r="R3454">
        <v>0</v>
      </c>
      <c r="S3454">
        <v>1</v>
      </c>
      <c r="T3454">
        <v>80</v>
      </c>
      <c r="U3454">
        <v>200</v>
      </c>
    </row>
    <row r="3455" spans="1:21" x14ac:dyDescent="0.35">
      <c r="A3455" t="s">
        <v>26</v>
      </c>
      <c r="B3455" s="1">
        <v>45192</v>
      </c>
      <c r="C3455" t="s">
        <v>30</v>
      </c>
      <c r="D3455">
        <v>16.399999999999999</v>
      </c>
      <c r="E3455">
        <v>52.7</v>
      </c>
      <c r="F3455">
        <v>65.8</v>
      </c>
      <c r="G3455">
        <v>0.3</v>
      </c>
      <c r="H3455">
        <v>0.2</v>
      </c>
      <c r="I3455">
        <v>0</v>
      </c>
      <c r="J3455">
        <v>0</v>
      </c>
      <c r="K3455">
        <v>0</v>
      </c>
      <c r="L3455">
        <v>0</v>
      </c>
      <c r="M3455">
        <v>0</v>
      </c>
      <c r="N3455">
        <v>24430</v>
      </c>
      <c r="O3455">
        <v>11380</v>
      </c>
      <c r="P3455">
        <v>47134</v>
      </c>
      <c r="Q3455">
        <v>4</v>
      </c>
      <c r="R3455">
        <v>6</v>
      </c>
      <c r="S3455">
        <v>31</v>
      </c>
      <c r="T3455">
        <v>80</v>
      </c>
      <c r="U3455">
        <v>200</v>
      </c>
    </row>
    <row r="3456" spans="1:21" x14ac:dyDescent="0.35">
      <c r="A3456" t="s">
        <v>28</v>
      </c>
      <c r="B3456" s="1">
        <v>44933</v>
      </c>
      <c r="C3456" t="s">
        <v>30</v>
      </c>
      <c r="D3456">
        <v>4.0999999999999996</v>
      </c>
      <c r="E3456">
        <v>26.4</v>
      </c>
      <c r="F3456">
        <v>23.3</v>
      </c>
      <c r="G3456">
        <v>0.2</v>
      </c>
      <c r="H3456">
        <v>0.2</v>
      </c>
      <c r="I3456">
        <v>0</v>
      </c>
      <c r="J3456">
        <v>0</v>
      </c>
      <c r="K3456">
        <v>0</v>
      </c>
      <c r="L3456">
        <v>0</v>
      </c>
      <c r="M3456">
        <v>0</v>
      </c>
      <c r="N3456">
        <v>24502</v>
      </c>
      <c r="O3456">
        <v>11383</v>
      </c>
      <c r="P3456">
        <v>47130</v>
      </c>
      <c r="Q3456">
        <v>1</v>
      </c>
      <c r="R3456">
        <v>3</v>
      </c>
      <c r="S3456">
        <v>11</v>
      </c>
      <c r="T3456">
        <v>80</v>
      </c>
      <c r="U3456">
        <v>200</v>
      </c>
    </row>
    <row r="3457" spans="1:21" x14ac:dyDescent="0.35">
      <c r="A3457" t="s">
        <v>28</v>
      </c>
      <c r="B3457" s="1">
        <v>45205</v>
      </c>
      <c r="C3457" t="s">
        <v>22</v>
      </c>
      <c r="D3457">
        <v>15.7</v>
      </c>
      <c r="E3457">
        <v>6.4</v>
      </c>
      <c r="F3457">
        <v>11.8</v>
      </c>
      <c r="G3457">
        <v>2.5</v>
      </c>
      <c r="H3457">
        <v>1.3</v>
      </c>
      <c r="I3457">
        <v>18.7</v>
      </c>
      <c r="J3457">
        <v>6.8</v>
      </c>
      <c r="K3457">
        <v>9.3000000000000007</v>
      </c>
      <c r="L3457">
        <v>2.8</v>
      </c>
      <c r="M3457">
        <v>2</v>
      </c>
      <c r="N3457">
        <v>534086</v>
      </c>
      <c r="O3457">
        <v>860351</v>
      </c>
      <c r="P3457">
        <v>1040691</v>
      </c>
      <c r="Q3457">
        <v>84</v>
      </c>
      <c r="R3457">
        <v>55</v>
      </c>
      <c r="S3457">
        <v>123</v>
      </c>
      <c r="T3457">
        <v>999</v>
      </c>
      <c r="U3457">
        <v>999</v>
      </c>
    </row>
    <row r="3458" spans="1:21" x14ac:dyDescent="0.35">
      <c r="A3458" t="s">
        <v>26</v>
      </c>
      <c r="B3458" s="1">
        <v>45010</v>
      </c>
      <c r="C3458" t="s">
        <v>31</v>
      </c>
      <c r="D3458">
        <v>22.5</v>
      </c>
      <c r="E3458">
        <v>16.100000000000001</v>
      </c>
      <c r="F3458">
        <v>12.8</v>
      </c>
      <c r="G3458">
        <v>1.4</v>
      </c>
      <c r="H3458">
        <v>1.8</v>
      </c>
      <c r="I3458">
        <v>0</v>
      </c>
      <c r="J3458">
        <v>0</v>
      </c>
      <c r="K3458">
        <v>0</v>
      </c>
      <c r="L3458">
        <v>0</v>
      </c>
      <c r="M3458">
        <v>0</v>
      </c>
      <c r="N3458">
        <v>39930</v>
      </c>
      <c r="O3458">
        <v>43424</v>
      </c>
      <c r="P3458">
        <v>171711</v>
      </c>
      <c r="Q3458">
        <v>9</v>
      </c>
      <c r="R3458">
        <v>7</v>
      </c>
      <c r="S3458">
        <v>22</v>
      </c>
      <c r="T3458">
        <v>65</v>
      </c>
      <c r="U3458">
        <v>79</v>
      </c>
    </row>
    <row r="3459" spans="1:21" x14ac:dyDescent="0.35">
      <c r="A3459" t="s">
        <v>21</v>
      </c>
      <c r="B3459" s="1">
        <v>44849</v>
      </c>
      <c r="C3459" t="s">
        <v>31</v>
      </c>
      <c r="D3459">
        <v>0</v>
      </c>
      <c r="E3459">
        <v>0</v>
      </c>
      <c r="F3459">
        <v>0</v>
      </c>
      <c r="G3459">
        <v>0</v>
      </c>
      <c r="H3459">
        <v>0</v>
      </c>
      <c r="I3459">
        <v>0</v>
      </c>
      <c r="J3459">
        <v>0</v>
      </c>
      <c r="K3459">
        <v>0</v>
      </c>
      <c r="L3459">
        <v>0</v>
      </c>
      <c r="M3459">
        <v>0</v>
      </c>
      <c r="N3459">
        <v>43523</v>
      </c>
      <c r="O3459">
        <v>43397</v>
      </c>
      <c r="P3459">
        <v>171429</v>
      </c>
      <c r="Q3459">
        <v>0</v>
      </c>
      <c r="R3459">
        <v>0</v>
      </c>
      <c r="S3459">
        <v>0</v>
      </c>
      <c r="T3459">
        <v>65</v>
      </c>
      <c r="U3459">
        <v>79</v>
      </c>
    </row>
    <row r="3460" spans="1:21" x14ac:dyDescent="0.35">
      <c r="A3460" t="s">
        <v>26</v>
      </c>
      <c r="B3460" s="1">
        <v>44464</v>
      </c>
      <c r="C3460" t="s">
        <v>22</v>
      </c>
      <c r="D3460">
        <v>14.1</v>
      </c>
      <c r="E3460">
        <v>3.1</v>
      </c>
      <c r="F3460">
        <v>0</v>
      </c>
      <c r="G3460">
        <v>4.5</v>
      </c>
      <c r="H3460">
        <v>0</v>
      </c>
      <c r="I3460">
        <v>19.7</v>
      </c>
      <c r="J3460">
        <v>2.4</v>
      </c>
      <c r="K3460">
        <v>0</v>
      </c>
      <c r="L3460">
        <v>8.1</v>
      </c>
      <c r="M3460">
        <v>0</v>
      </c>
      <c r="N3460">
        <v>1021435</v>
      </c>
      <c r="O3460">
        <v>1498444</v>
      </c>
      <c r="P3460">
        <v>0</v>
      </c>
      <c r="Q3460">
        <v>144</v>
      </c>
      <c r="R3460">
        <v>46</v>
      </c>
      <c r="S3460">
        <v>0</v>
      </c>
      <c r="T3460">
        <v>999</v>
      </c>
      <c r="U3460">
        <v>999</v>
      </c>
    </row>
    <row r="3461" spans="1:21" x14ac:dyDescent="0.35">
      <c r="A3461" t="s">
        <v>28</v>
      </c>
      <c r="B3461" s="1">
        <v>44863</v>
      </c>
      <c r="C3461" t="s">
        <v>29</v>
      </c>
      <c r="D3461">
        <v>165.8</v>
      </c>
      <c r="E3461">
        <v>74.2</v>
      </c>
      <c r="F3461">
        <v>109.8</v>
      </c>
      <c r="G3461">
        <v>2.2000000000000002</v>
      </c>
      <c r="H3461">
        <v>1.5</v>
      </c>
      <c r="I3461">
        <v>0</v>
      </c>
      <c r="J3461">
        <v>0</v>
      </c>
      <c r="K3461">
        <v>0</v>
      </c>
      <c r="L3461">
        <v>0</v>
      </c>
      <c r="M3461">
        <v>0</v>
      </c>
      <c r="N3461">
        <v>118225</v>
      </c>
      <c r="O3461">
        <v>276436</v>
      </c>
      <c r="P3461">
        <v>347042</v>
      </c>
      <c r="Q3461">
        <v>196</v>
      </c>
      <c r="R3461">
        <v>205</v>
      </c>
      <c r="S3461">
        <v>381</v>
      </c>
      <c r="T3461">
        <v>30</v>
      </c>
      <c r="U3461">
        <v>49</v>
      </c>
    </row>
    <row r="3462" spans="1:21" x14ac:dyDescent="0.35">
      <c r="A3462" t="s">
        <v>26</v>
      </c>
      <c r="B3462" s="1">
        <v>45082</v>
      </c>
      <c r="C3462" t="s">
        <v>29</v>
      </c>
      <c r="D3462">
        <v>2.8</v>
      </c>
      <c r="E3462">
        <v>0.7</v>
      </c>
      <c r="F3462">
        <v>0.6</v>
      </c>
      <c r="G3462">
        <v>4</v>
      </c>
      <c r="H3462">
        <v>4.7</v>
      </c>
      <c r="I3462">
        <v>0</v>
      </c>
      <c r="J3462">
        <v>0</v>
      </c>
      <c r="K3462">
        <v>0</v>
      </c>
      <c r="L3462">
        <v>0</v>
      </c>
      <c r="M3462">
        <v>0</v>
      </c>
      <c r="N3462">
        <v>109056</v>
      </c>
      <c r="O3462">
        <v>278396</v>
      </c>
      <c r="P3462">
        <v>347295</v>
      </c>
      <c r="Q3462">
        <v>3</v>
      </c>
      <c r="R3462">
        <v>2</v>
      </c>
      <c r="S3462">
        <v>2</v>
      </c>
      <c r="T3462">
        <v>30</v>
      </c>
      <c r="U3462">
        <v>49</v>
      </c>
    </row>
    <row r="3463" spans="1:21" x14ac:dyDescent="0.35">
      <c r="A3463" t="s">
        <v>21</v>
      </c>
      <c r="B3463" s="1">
        <v>45038</v>
      </c>
      <c r="C3463" t="s">
        <v>22</v>
      </c>
      <c r="D3463">
        <v>0.2</v>
      </c>
      <c r="E3463">
        <v>0</v>
      </c>
      <c r="F3463">
        <v>0.1</v>
      </c>
      <c r="G3463">
        <v>0</v>
      </c>
      <c r="H3463">
        <v>2</v>
      </c>
      <c r="I3463">
        <v>0.1</v>
      </c>
      <c r="J3463">
        <v>0</v>
      </c>
      <c r="K3463">
        <v>0.1</v>
      </c>
      <c r="L3463">
        <v>0</v>
      </c>
      <c r="M3463">
        <v>2</v>
      </c>
      <c r="N3463">
        <v>538932</v>
      </c>
      <c r="O3463">
        <v>859890</v>
      </c>
      <c r="P3463">
        <v>1040601</v>
      </c>
      <c r="Q3463">
        <v>1</v>
      </c>
      <c r="R3463">
        <v>0</v>
      </c>
      <c r="S3463">
        <v>1</v>
      </c>
      <c r="T3463">
        <v>999</v>
      </c>
      <c r="U3463">
        <v>999</v>
      </c>
    </row>
    <row r="3464" spans="1:21" x14ac:dyDescent="0.35">
      <c r="A3464" t="s">
        <v>28</v>
      </c>
      <c r="B3464" s="1">
        <v>44758</v>
      </c>
      <c r="C3464" t="s">
        <v>30</v>
      </c>
      <c r="D3464">
        <v>151.6</v>
      </c>
      <c r="E3464">
        <v>274.89999999999998</v>
      </c>
      <c r="F3464">
        <v>268.60000000000002</v>
      </c>
      <c r="G3464">
        <v>0.6</v>
      </c>
      <c r="H3464">
        <v>0.6</v>
      </c>
      <c r="I3464">
        <v>0</v>
      </c>
      <c r="J3464">
        <v>0</v>
      </c>
      <c r="K3464">
        <v>0</v>
      </c>
      <c r="L3464">
        <v>0</v>
      </c>
      <c r="M3464">
        <v>0</v>
      </c>
      <c r="N3464">
        <v>26383</v>
      </c>
      <c r="O3464">
        <v>12003</v>
      </c>
      <c r="P3464">
        <v>46163</v>
      </c>
      <c r="Q3464">
        <v>40</v>
      </c>
      <c r="R3464">
        <v>33</v>
      </c>
      <c r="S3464">
        <v>124</v>
      </c>
      <c r="T3464">
        <v>80</v>
      </c>
      <c r="U3464">
        <v>200</v>
      </c>
    </row>
    <row r="3465" spans="1:21" x14ac:dyDescent="0.35">
      <c r="A3465" t="s">
        <v>28</v>
      </c>
      <c r="B3465" s="1">
        <v>44821</v>
      </c>
      <c r="C3465" t="s">
        <v>30</v>
      </c>
      <c r="D3465">
        <v>76.599999999999994</v>
      </c>
      <c r="E3465">
        <v>193.3</v>
      </c>
      <c r="F3465">
        <v>170.1</v>
      </c>
      <c r="G3465">
        <v>0.4</v>
      </c>
      <c r="H3465">
        <v>0.5</v>
      </c>
      <c r="I3465">
        <v>0</v>
      </c>
      <c r="J3465">
        <v>0</v>
      </c>
      <c r="K3465">
        <v>0</v>
      </c>
      <c r="L3465">
        <v>0</v>
      </c>
      <c r="M3465">
        <v>0</v>
      </c>
      <c r="N3465">
        <v>26096</v>
      </c>
      <c r="O3465">
        <v>11381</v>
      </c>
      <c r="P3465">
        <v>47028</v>
      </c>
      <c r="Q3465">
        <v>20</v>
      </c>
      <c r="R3465">
        <v>22</v>
      </c>
      <c r="S3465">
        <v>80</v>
      </c>
      <c r="T3465">
        <v>80</v>
      </c>
      <c r="U3465">
        <v>200</v>
      </c>
    </row>
    <row r="3466" spans="1:21" x14ac:dyDescent="0.35">
      <c r="A3466" t="s">
        <v>21</v>
      </c>
      <c r="B3466" s="1">
        <v>44933</v>
      </c>
      <c r="C3466" t="s">
        <v>29</v>
      </c>
      <c r="D3466">
        <v>0</v>
      </c>
      <c r="E3466">
        <v>0</v>
      </c>
      <c r="F3466">
        <v>0</v>
      </c>
      <c r="G3466">
        <v>0</v>
      </c>
      <c r="H3466">
        <v>0</v>
      </c>
      <c r="I3466">
        <v>0</v>
      </c>
      <c r="J3466">
        <v>0</v>
      </c>
      <c r="K3466">
        <v>0</v>
      </c>
      <c r="L3466">
        <v>0</v>
      </c>
      <c r="M3466">
        <v>0</v>
      </c>
      <c r="N3466">
        <v>107930</v>
      </c>
      <c r="O3466">
        <v>278403</v>
      </c>
      <c r="P3466">
        <v>347308</v>
      </c>
      <c r="Q3466">
        <v>0</v>
      </c>
      <c r="R3466">
        <v>0</v>
      </c>
      <c r="S3466">
        <v>0</v>
      </c>
      <c r="T3466">
        <v>30</v>
      </c>
      <c r="U3466">
        <v>49</v>
      </c>
    </row>
    <row r="3467" spans="1:21" x14ac:dyDescent="0.35">
      <c r="A3467" t="s">
        <v>21</v>
      </c>
      <c r="B3467" s="1">
        <v>44632</v>
      </c>
      <c r="C3467" t="s">
        <v>29</v>
      </c>
      <c r="D3467">
        <v>0</v>
      </c>
      <c r="E3467">
        <v>0</v>
      </c>
      <c r="F3467">
        <v>0</v>
      </c>
      <c r="G3467">
        <v>0</v>
      </c>
      <c r="H3467">
        <v>0</v>
      </c>
      <c r="I3467">
        <v>0</v>
      </c>
      <c r="J3467">
        <v>0</v>
      </c>
      <c r="K3467">
        <v>0</v>
      </c>
      <c r="L3467">
        <v>0</v>
      </c>
      <c r="M3467">
        <v>0</v>
      </c>
      <c r="N3467">
        <v>114875</v>
      </c>
      <c r="O3467">
        <v>276921</v>
      </c>
      <c r="P3467">
        <v>347113</v>
      </c>
      <c r="Q3467">
        <v>0</v>
      </c>
      <c r="R3467">
        <v>0</v>
      </c>
      <c r="S3467">
        <v>0</v>
      </c>
      <c r="T3467">
        <v>30</v>
      </c>
      <c r="U3467">
        <v>49</v>
      </c>
    </row>
    <row r="3468" spans="1:21" x14ac:dyDescent="0.35">
      <c r="A3468" t="s">
        <v>21</v>
      </c>
      <c r="B3468" s="1">
        <v>44919</v>
      </c>
      <c r="C3468" t="s">
        <v>25</v>
      </c>
      <c r="D3468">
        <v>0</v>
      </c>
      <c r="E3468">
        <v>0</v>
      </c>
      <c r="F3468">
        <v>0</v>
      </c>
      <c r="G3468">
        <v>0</v>
      </c>
      <c r="H3468">
        <v>0</v>
      </c>
      <c r="I3468">
        <v>0</v>
      </c>
      <c r="J3468">
        <v>0</v>
      </c>
      <c r="K3468">
        <v>0</v>
      </c>
      <c r="L3468">
        <v>0</v>
      </c>
      <c r="M3468">
        <v>0</v>
      </c>
      <c r="N3468">
        <v>79625</v>
      </c>
      <c r="O3468">
        <v>212863</v>
      </c>
      <c r="P3468">
        <v>161605</v>
      </c>
      <c r="Q3468">
        <v>0</v>
      </c>
      <c r="R3468">
        <v>0</v>
      </c>
      <c r="S3468">
        <v>0</v>
      </c>
      <c r="T3468">
        <v>18</v>
      </c>
      <c r="U3468">
        <v>29</v>
      </c>
    </row>
    <row r="3469" spans="1:21" x14ac:dyDescent="0.35">
      <c r="A3469" t="s">
        <v>28</v>
      </c>
      <c r="B3469" s="1">
        <v>45157</v>
      </c>
      <c r="C3469" t="s">
        <v>27</v>
      </c>
      <c r="D3469">
        <v>12.5</v>
      </c>
      <c r="E3469">
        <v>9.1999999999999993</v>
      </c>
      <c r="F3469">
        <v>13.5</v>
      </c>
      <c r="G3469">
        <v>1.4</v>
      </c>
      <c r="H3469">
        <v>0.9</v>
      </c>
      <c r="I3469">
        <v>0</v>
      </c>
      <c r="J3469">
        <v>0</v>
      </c>
      <c r="K3469">
        <v>0</v>
      </c>
      <c r="L3469">
        <v>0</v>
      </c>
      <c r="M3469">
        <v>0</v>
      </c>
      <c r="N3469">
        <v>31883</v>
      </c>
      <c r="O3469">
        <v>86575</v>
      </c>
      <c r="P3469">
        <v>44594</v>
      </c>
      <c r="Q3469">
        <v>4</v>
      </c>
      <c r="R3469">
        <v>8</v>
      </c>
      <c r="S3469">
        <v>6</v>
      </c>
      <c r="T3469">
        <v>12</v>
      </c>
      <c r="U3469">
        <v>17</v>
      </c>
    </row>
    <row r="3470" spans="1:21" x14ac:dyDescent="0.35">
      <c r="A3470" t="s">
        <v>26</v>
      </c>
      <c r="B3470" s="1">
        <v>44695</v>
      </c>
      <c r="C3470" t="s">
        <v>25</v>
      </c>
      <c r="D3470">
        <v>4.2</v>
      </c>
      <c r="E3470">
        <v>1.4</v>
      </c>
      <c r="F3470">
        <v>4.5999999999999996</v>
      </c>
      <c r="G3470">
        <v>3</v>
      </c>
      <c r="H3470">
        <v>0.9</v>
      </c>
      <c r="I3470">
        <v>0</v>
      </c>
      <c r="J3470">
        <v>0</v>
      </c>
      <c r="K3470">
        <v>0</v>
      </c>
      <c r="L3470">
        <v>0</v>
      </c>
      <c r="M3470">
        <v>0</v>
      </c>
      <c r="N3470">
        <v>96186</v>
      </c>
      <c r="O3470">
        <v>217174</v>
      </c>
      <c r="P3470">
        <v>151504</v>
      </c>
      <c r="Q3470">
        <v>4</v>
      </c>
      <c r="R3470">
        <v>3</v>
      </c>
      <c r="S3470">
        <v>7</v>
      </c>
      <c r="T3470">
        <v>18</v>
      </c>
      <c r="U3470">
        <v>29</v>
      </c>
    </row>
    <row r="3471" spans="1:21" x14ac:dyDescent="0.35">
      <c r="A3471" t="s">
        <v>21</v>
      </c>
      <c r="B3471" s="1">
        <v>44476</v>
      </c>
      <c r="C3471" t="s">
        <v>29</v>
      </c>
      <c r="D3471">
        <v>0.4</v>
      </c>
      <c r="E3471">
        <v>0</v>
      </c>
      <c r="F3471">
        <v>0</v>
      </c>
      <c r="G3471">
        <v>0</v>
      </c>
      <c r="H3471">
        <v>0</v>
      </c>
      <c r="I3471">
        <v>0</v>
      </c>
      <c r="J3471">
        <v>0</v>
      </c>
      <c r="K3471">
        <v>0</v>
      </c>
      <c r="L3471">
        <v>0</v>
      </c>
      <c r="M3471">
        <v>0</v>
      </c>
      <c r="N3471">
        <v>280996</v>
      </c>
      <c r="O3471">
        <v>481217</v>
      </c>
      <c r="P3471">
        <v>0</v>
      </c>
      <c r="Q3471">
        <v>1</v>
      </c>
      <c r="R3471">
        <v>0</v>
      </c>
      <c r="S3471">
        <v>0</v>
      </c>
      <c r="T3471">
        <v>30</v>
      </c>
      <c r="U3471">
        <v>49</v>
      </c>
    </row>
    <row r="3472" spans="1:21" x14ac:dyDescent="0.35">
      <c r="A3472" t="s">
        <v>26</v>
      </c>
      <c r="B3472" s="1">
        <v>44667</v>
      </c>
      <c r="C3472" t="s">
        <v>30</v>
      </c>
      <c r="D3472">
        <v>11.1</v>
      </c>
      <c r="E3472">
        <v>14.7</v>
      </c>
      <c r="F3472">
        <v>18.3</v>
      </c>
      <c r="G3472">
        <v>0.8</v>
      </c>
      <c r="H3472">
        <v>0.6</v>
      </c>
      <c r="I3472">
        <v>0</v>
      </c>
      <c r="J3472">
        <v>0</v>
      </c>
      <c r="K3472">
        <v>0</v>
      </c>
      <c r="L3472">
        <v>0</v>
      </c>
      <c r="M3472">
        <v>0</v>
      </c>
      <c r="N3472">
        <v>26947</v>
      </c>
      <c r="O3472">
        <v>13608</v>
      </c>
      <c r="P3472">
        <v>43669</v>
      </c>
      <c r="Q3472">
        <v>3</v>
      </c>
      <c r="R3472">
        <v>2</v>
      </c>
      <c r="S3472">
        <v>8</v>
      </c>
      <c r="T3472">
        <v>80</v>
      </c>
      <c r="U3472">
        <v>200</v>
      </c>
    </row>
    <row r="3473" spans="1:21" x14ac:dyDescent="0.35">
      <c r="A3473" t="s">
        <v>21</v>
      </c>
      <c r="B3473" s="1">
        <v>44897</v>
      </c>
      <c r="C3473" t="s">
        <v>25</v>
      </c>
      <c r="D3473">
        <v>0.9</v>
      </c>
      <c r="E3473">
        <v>0</v>
      </c>
      <c r="F3473">
        <v>0</v>
      </c>
      <c r="G3473">
        <v>0</v>
      </c>
      <c r="H3473">
        <v>0</v>
      </c>
      <c r="I3473">
        <v>0</v>
      </c>
      <c r="J3473">
        <v>0</v>
      </c>
      <c r="K3473">
        <v>0</v>
      </c>
      <c r="L3473">
        <v>0</v>
      </c>
      <c r="M3473">
        <v>0</v>
      </c>
      <c r="N3473">
        <v>105504</v>
      </c>
      <c r="O3473">
        <v>222132</v>
      </c>
      <c r="P3473">
        <v>129112</v>
      </c>
      <c r="Q3473">
        <v>1</v>
      </c>
      <c r="R3473">
        <v>0</v>
      </c>
      <c r="S3473">
        <v>0</v>
      </c>
      <c r="T3473">
        <v>18</v>
      </c>
      <c r="U3473">
        <v>29</v>
      </c>
    </row>
    <row r="3474" spans="1:21" x14ac:dyDescent="0.35">
      <c r="A3474" t="s">
        <v>26</v>
      </c>
      <c r="B3474" s="1">
        <v>44897</v>
      </c>
      <c r="C3474" t="s">
        <v>22</v>
      </c>
      <c r="D3474">
        <v>11.8</v>
      </c>
      <c r="E3474">
        <v>6.5</v>
      </c>
      <c r="F3474">
        <v>5.8</v>
      </c>
      <c r="G3474">
        <v>1.8</v>
      </c>
      <c r="H3474">
        <v>2</v>
      </c>
      <c r="I3474">
        <v>16.100000000000001</v>
      </c>
      <c r="J3474">
        <v>8.4</v>
      </c>
      <c r="K3474">
        <v>4.3</v>
      </c>
      <c r="L3474">
        <v>1.9</v>
      </c>
      <c r="M3474">
        <v>3.8</v>
      </c>
      <c r="N3474">
        <v>684647</v>
      </c>
      <c r="O3474">
        <v>914673</v>
      </c>
      <c r="P3474">
        <v>848563</v>
      </c>
      <c r="Q3474">
        <v>81</v>
      </c>
      <c r="R3474">
        <v>59</v>
      </c>
      <c r="S3474">
        <v>49</v>
      </c>
      <c r="T3474">
        <v>999</v>
      </c>
      <c r="U3474">
        <v>999</v>
      </c>
    </row>
    <row r="3475" spans="1:21" x14ac:dyDescent="0.35">
      <c r="A3475" t="s">
        <v>21</v>
      </c>
      <c r="B3475" s="1">
        <v>44513</v>
      </c>
      <c r="C3475" t="s">
        <v>25</v>
      </c>
      <c r="D3475">
        <v>0</v>
      </c>
      <c r="E3475">
        <v>0</v>
      </c>
      <c r="F3475">
        <v>0</v>
      </c>
      <c r="G3475">
        <v>0</v>
      </c>
      <c r="H3475">
        <v>0</v>
      </c>
      <c r="I3475">
        <v>0</v>
      </c>
      <c r="J3475">
        <v>0</v>
      </c>
      <c r="K3475">
        <v>0</v>
      </c>
      <c r="L3475">
        <v>0</v>
      </c>
      <c r="M3475">
        <v>0</v>
      </c>
      <c r="N3475">
        <v>160183</v>
      </c>
      <c r="O3475">
        <v>311808</v>
      </c>
      <c r="P3475">
        <v>14313</v>
      </c>
      <c r="Q3475">
        <v>0</v>
      </c>
      <c r="R3475">
        <v>0</v>
      </c>
      <c r="S3475">
        <v>0</v>
      </c>
      <c r="T3475">
        <v>18</v>
      </c>
      <c r="U3475">
        <v>29</v>
      </c>
    </row>
    <row r="3476" spans="1:21" x14ac:dyDescent="0.35">
      <c r="A3476" t="s">
        <v>21</v>
      </c>
      <c r="B3476" s="1">
        <v>45248</v>
      </c>
      <c r="C3476" t="s">
        <v>23</v>
      </c>
      <c r="D3476">
        <v>0</v>
      </c>
      <c r="E3476">
        <v>0</v>
      </c>
      <c r="F3476">
        <v>0.4</v>
      </c>
      <c r="G3476">
        <v>0</v>
      </c>
      <c r="H3476">
        <v>0</v>
      </c>
      <c r="I3476">
        <v>0</v>
      </c>
      <c r="J3476">
        <v>0</v>
      </c>
      <c r="K3476">
        <v>0</v>
      </c>
      <c r="L3476">
        <v>0</v>
      </c>
      <c r="M3476">
        <v>0</v>
      </c>
      <c r="N3476">
        <v>29998</v>
      </c>
      <c r="O3476">
        <v>125698</v>
      </c>
      <c r="P3476">
        <v>247977</v>
      </c>
      <c r="Q3476">
        <v>0</v>
      </c>
      <c r="R3476">
        <v>0</v>
      </c>
      <c r="S3476">
        <v>1</v>
      </c>
      <c r="T3476">
        <v>50</v>
      </c>
      <c r="U3476">
        <v>64</v>
      </c>
    </row>
    <row r="3477" spans="1:21" x14ac:dyDescent="0.35">
      <c r="A3477" t="s">
        <v>28</v>
      </c>
      <c r="B3477" s="1">
        <v>44436</v>
      </c>
      <c r="C3477" t="s">
        <v>31</v>
      </c>
      <c r="D3477">
        <v>167</v>
      </c>
      <c r="E3477">
        <v>62.6</v>
      </c>
      <c r="F3477">
        <v>0</v>
      </c>
      <c r="G3477">
        <v>2.7</v>
      </c>
      <c r="H3477">
        <v>0</v>
      </c>
      <c r="I3477">
        <v>0</v>
      </c>
      <c r="J3477">
        <v>0</v>
      </c>
      <c r="K3477">
        <v>0</v>
      </c>
      <c r="L3477">
        <v>0</v>
      </c>
      <c r="M3477">
        <v>0</v>
      </c>
      <c r="N3477">
        <v>65885</v>
      </c>
      <c r="O3477">
        <v>194871</v>
      </c>
      <c r="P3477">
        <v>0</v>
      </c>
      <c r="Q3477">
        <v>110</v>
      </c>
      <c r="R3477">
        <v>122</v>
      </c>
      <c r="S3477">
        <v>0</v>
      </c>
      <c r="T3477">
        <v>65</v>
      </c>
      <c r="U3477">
        <v>79</v>
      </c>
    </row>
    <row r="3478" spans="1:21" x14ac:dyDescent="0.35">
      <c r="A3478" t="s">
        <v>28</v>
      </c>
      <c r="B3478" s="1">
        <v>44730</v>
      </c>
      <c r="C3478" t="s">
        <v>22</v>
      </c>
      <c r="D3478">
        <v>209.4</v>
      </c>
      <c r="E3478">
        <v>127.2</v>
      </c>
      <c r="F3478">
        <v>226.9</v>
      </c>
      <c r="G3478">
        <v>1.6</v>
      </c>
      <c r="H3478">
        <v>0.9</v>
      </c>
      <c r="I3478">
        <v>252.8</v>
      </c>
      <c r="J3478">
        <v>124.4</v>
      </c>
      <c r="K3478">
        <v>199.7</v>
      </c>
      <c r="L3478">
        <v>2</v>
      </c>
      <c r="M3478">
        <v>1.3</v>
      </c>
      <c r="N3478">
        <v>638877</v>
      </c>
      <c r="O3478">
        <v>871208</v>
      </c>
      <c r="P3478">
        <v>984294</v>
      </c>
      <c r="Q3478">
        <v>1338</v>
      </c>
      <c r="R3478">
        <v>1108</v>
      </c>
      <c r="S3478">
        <v>2233</v>
      </c>
      <c r="T3478">
        <v>999</v>
      </c>
      <c r="U3478">
        <v>999</v>
      </c>
    </row>
    <row r="3479" spans="1:21" x14ac:dyDescent="0.35">
      <c r="A3479" t="s">
        <v>21</v>
      </c>
      <c r="B3479" s="1">
        <v>45031</v>
      </c>
      <c r="C3479" t="s">
        <v>30</v>
      </c>
      <c r="D3479">
        <v>0</v>
      </c>
      <c r="E3479">
        <v>0</v>
      </c>
      <c r="F3479">
        <v>0</v>
      </c>
      <c r="G3479">
        <v>0</v>
      </c>
      <c r="H3479">
        <v>0</v>
      </c>
      <c r="I3479">
        <v>0</v>
      </c>
      <c r="J3479">
        <v>0</v>
      </c>
      <c r="K3479">
        <v>0</v>
      </c>
      <c r="L3479">
        <v>0</v>
      </c>
      <c r="M3479">
        <v>0</v>
      </c>
      <c r="N3479">
        <v>24612</v>
      </c>
      <c r="O3479">
        <v>11385</v>
      </c>
      <c r="P3479">
        <v>47126</v>
      </c>
      <c r="Q3479">
        <v>0</v>
      </c>
      <c r="R3479">
        <v>0</v>
      </c>
      <c r="S3479">
        <v>0</v>
      </c>
      <c r="T3479">
        <v>80</v>
      </c>
      <c r="U3479">
        <v>200</v>
      </c>
    </row>
    <row r="3480" spans="1:21" x14ac:dyDescent="0.35">
      <c r="A3480" t="s">
        <v>28</v>
      </c>
      <c r="B3480" s="1">
        <v>45268</v>
      </c>
      <c r="C3480" t="s">
        <v>30</v>
      </c>
      <c r="D3480">
        <v>20.399999999999999</v>
      </c>
      <c r="E3480">
        <v>61.5</v>
      </c>
      <c r="F3480">
        <v>63.7</v>
      </c>
      <c r="G3480">
        <v>0.3</v>
      </c>
      <c r="H3480">
        <v>0.3</v>
      </c>
      <c r="I3480">
        <v>0</v>
      </c>
      <c r="J3480">
        <v>0</v>
      </c>
      <c r="K3480">
        <v>0</v>
      </c>
      <c r="L3480">
        <v>0</v>
      </c>
      <c r="M3480">
        <v>0</v>
      </c>
      <c r="N3480">
        <v>24472</v>
      </c>
      <c r="O3480">
        <v>11382</v>
      </c>
      <c r="P3480">
        <v>47131</v>
      </c>
      <c r="Q3480">
        <v>5</v>
      </c>
      <c r="R3480">
        <v>7</v>
      </c>
      <c r="S3480">
        <v>30</v>
      </c>
      <c r="T3480">
        <v>80</v>
      </c>
      <c r="U3480">
        <v>200</v>
      </c>
    </row>
    <row r="3481" spans="1:21" x14ac:dyDescent="0.35">
      <c r="A3481" t="s">
        <v>26</v>
      </c>
      <c r="B3481" s="1">
        <v>44930</v>
      </c>
      <c r="C3481" t="s">
        <v>22</v>
      </c>
      <c r="D3481">
        <v>7.6</v>
      </c>
      <c r="E3481">
        <v>2.4</v>
      </c>
      <c r="F3481">
        <v>5.9</v>
      </c>
      <c r="G3481">
        <v>3.2</v>
      </c>
      <c r="H3481">
        <v>1.3</v>
      </c>
      <c r="I3481">
        <v>10.199999999999999</v>
      </c>
      <c r="J3481">
        <v>2.9</v>
      </c>
      <c r="K3481">
        <v>4.2</v>
      </c>
      <c r="L3481">
        <v>3.5</v>
      </c>
      <c r="M3481">
        <v>2.4</v>
      </c>
      <c r="N3481">
        <v>541142</v>
      </c>
      <c r="O3481">
        <v>859045</v>
      </c>
      <c r="P3481">
        <v>1040539</v>
      </c>
      <c r="Q3481">
        <v>41</v>
      </c>
      <c r="R3481">
        <v>21</v>
      </c>
      <c r="S3481">
        <v>61</v>
      </c>
      <c r="T3481">
        <v>999</v>
      </c>
      <c r="U3481">
        <v>999</v>
      </c>
    </row>
    <row r="3482" spans="1:21" x14ac:dyDescent="0.35">
      <c r="A3482" t="s">
        <v>21</v>
      </c>
      <c r="B3482" s="1">
        <v>44709</v>
      </c>
      <c r="C3482" t="s">
        <v>25</v>
      </c>
      <c r="D3482">
        <v>0</v>
      </c>
      <c r="E3482">
        <v>0</v>
      </c>
      <c r="F3482">
        <v>0</v>
      </c>
      <c r="G3482">
        <v>0</v>
      </c>
      <c r="H3482">
        <v>0</v>
      </c>
      <c r="I3482">
        <v>0</v>
      </c>
      <c r="J3482">
        <v>0</v>
      </c>
      <c r="K3482">
        <v>0</v>
      </c>
      <c r="L3482">
        <v>0</v>
      </c>
      <c r="M3482">
        <v>0</v>
      </c>
      <c r="N3482">
        <v>95327</v>
      </c>
      <c r="O3482">
        <v>216374</v>
      </c>
      <c r="P3482">
        <v>152861</v>
      </c>
      <c r="Q3482">
        <v>0</v>
      </c>
      <c r="R3482">
        <v>0</v>
      </c>
      <c r="S3482">
        <v>0</v>
      </c>
      <c r="T3482">
        <v>18</v>
      </c>
      <c r="U3482">
        <v>29</v>
      </c>
    </row>
    <row r="3483" spans="1:21" x14ac:dyDescent="0.35">
      <c r="A3483" t="s">
        <v>26</v>
      </c>
      <c r="B3483" s="1">
        <v>44599</v>
      </c>
      <c r="C3483" t="s">
        <v>27</v>
      </c>
      <c r="D3483">
        <v>2.7</v>
      </c>
      <c r="E3483">
        <v>0</v>
      </c>
      <c r="F3483">
        <v>0</v>
      </c>
      <c r="G3483">
        <v>0</v>
      </c>
      <c r="H3483">
        <v>0</v>
      </c>
      <c r="I3483">
        <v>0</v>
      </c>
      <c r="J3483">
        <v>0</v>
      </c>
      <c r="K3483">
        <v>0</v>
      </c>
      <c r="L3483">
        <v>0</v>
      </c>
      <c r="M3483">
        <v>0</v>
      </c>
      <c r="N3483">
        <v>36490</v>
      </c>
      <c r="O3483">
        <v>91639</v>
      </c>
      <c r="P3483">
        <v>37326</v>
      </c>
      <c r="Q3483">
        <v>1</v>
      </c>
      <c r="R3483">
        <v>0</v>
      </c>
      <c r="S3483">
        <v>0</v>
      </c>
      <c r="T3483">
        <v>12</v>
      </c>
      <c r="U3483">
        <v>17</v>
      </c>
    </row>
    <row r="3484" spans="1:21" x14ac:dyDescent="0.35">
      <c r="A3484" t="s">
        <v>21</v>
      </c>
      <c r="B3484" s="1">
        <v>45192</v>
      </c>
      <c r="C3484" t="s">
        <v>29</v>
      </c>
      <c r="D3484">
        <v>0</v>
      </c>
      <c r="E3484">
        <v>0</v>
      </c>
      <c r="F3484">
        <v>0</v>
      </c>
      <c r="G3484">
        <v>0</v>
      </c>
      <c r="H3484">
        <v>0</v>
      </c>
      <c r="I3484">
        <v>0</v>
      </c>
      <c r="J3484">
        <v>0</v>
      </c>
      <c r="K3484">
        <v>0</v>
      </c>
      <c r="L3484">
        <v>0</v>
      </c>
      <c r="M3484">
        <v>0</v>
      </c>
      <c r="N3484">
        <v>106401</v>
      </c>
      <c r="O3484">
        <v>278395</v>
      </c>
      <c r="P3484">
        <v>347328</v>
      </c>
      <c r="Q3484">
        <v>0</v>
      </c>
      <c r="R3484">
        <v>0</v>
      </c>
      <c r="S3484">
        <v>0</v>
      </c>
      <c r="T3484">
        <v>30</v>
      </c>
      <c r="U3484">
        <v>49</v>
      </c>
    </row>
    <row r="3485" spans="1:21" x14ac:dyDescent="0.35">
      <c r="A3485" t="s">
        <v>26</v>
      </c>
      <c r="B3485" s="1">
        <v>44846</v>
      </c>
      <c r="C3485" t="s">
        <v>23</v>
      </c>
      <c r="D3485">
        <v>36.6</v>
      </c>
      <c r="E3485">
        <v>14.4</v>
      </c>
      <c r="F3485">
        <v>10.1</v>
      </c>
      <c r="G3485">
        <v>2.5</v>
      </c>
      <c r="H3485">
        <v>3.6</v>
      </c>
      <c r="I3485">
        <v>0</v>
      </c>
      <c r="J3485">
        <v>0</v>
      </c>
      <c r="K3485">
        <v>0</v>
      </c>
      <c r="L3485">
        <v>0</v>
      </c>
      <c r="M3485">
        <v>0</v>
      </c>
      <c r="N3485">
        <v>35521</v>
      </c>
      <c r="O3485">
        <v>125371</v>
      </c>
      <c r="P3485">
        <v>246748</v>
      </c>
      <c r="Q3485">
        <v>13</v>
      </c>
      <c r="R3485">
        <v>18</v>
      </c>
      <c r="S3485">
        <v>25</v>
      </c>
      <c r="T3485">
        <v>50</v>
      </c>
      <c r="U3485">
        <v>64</v>
      </c>
    </row>
    <row r="3486" spans="1:21" x14ac:dyDescent="0.35">
      <c r="A3486" t="s">
        <v>28</v>
      </c>
      <c r="B3486" s="1">
        <v>44683</v>
      </c>
      <c r="C3486" t="s">
        <v>31</v>
      </c>
      <c r="D3486">
        <v>150.69999999999999</v>
      </c>
      <c r="E3486">
        <v>117.2</v>
      </c>
      <c r="F3486">
        <v>100.7</v>
      </c>
      <c r="G3486">
        <v>1.3</v>
      </c>
      <c r="H3486">
        <v>1.5</v>
      </c>
      <c r="I3486">
        <v>0</v>
      </c>
      <c r="J3486">
        <v>0</v>
      </c>
      <c r="K3486">
        <v>0</v>
      </c>
      <c r="L3486">
        <v>0</v>
      </c>
      <c r="M3486">
        <v>0</v>
      </c>
      <c r="N3486">
        <v>49755</v>
      </c>
      <c r="O3486">
        <v>59749</v>
      </c>
      <c r="P3486">
        <v>148949</v>
      </c>
      <c r="Q3486">
        <v>75</v>
      </c>
      <c r="R3486">
        <v>70</v>
      </c>
      <c r="S3486">
        <v>150</v>
      </c>
      <c r="T3486">
        <v>65</v>
      </c>
      <c r="U3486">
        <v>79</v>
      </c>
    </row>
    <row r="3487" spans="1:21" x14ac:dyDescent="0.35">
      <c r="A3487" t="s">
        <v>21</v>
      </c>
      <c r="B3487" s="1">
        <v>44975</v>
      </c>
      <c r="C3487" t="s">
        <v>29</v>
      </c>
      <c r="D3487">
        <v>0</v>
      </c>
      <c r="E3487">
        <v>0</v>
      </c>
      <c r="F3487">
        <v>0</v>
      </c>
      <c r="G3487">
        <v>0</v>
      </c>
      <c r="H3487">
        <v>0</v>
      </c>
      <c r="I3487">
        <v>0</v>
      </c>
      <c r="J3487">
        <v>0</v>
      </c>
      <c r="K3487">
        <v>0</v>
      </c>
      <c r="L3487">
        <v>0</v>
      </c>
      <c r="M3487">
        <v>0</v>
      </c>
      <c r="N3487">
        <v>110993</v>
      </c>
      <c r="O3487">
        <v>277757</v>
      </c>
      <c r="P3487">
        <v>347252</v>
      </c>
      <c r="Q3487">
        <v>0</v>
      </c>
      <c r="R3487">
        <v>0</v>
      </c>
      <c r="S3487">
        <v>0</v>
      </c>
      <c r="T3487">
        <v>30</v>
      </c>
      <c r="U3487">
        <v>49</v>
      </c>
    </row>
    <row r="3488" spans="1:21" x14ac:dyDescent="0.35">
      <c r="A3488" t="s">
        <v>28</v>
      </c>
      <c r="B3488" s="1">
        <v>44237</v>
      </c>
      <c r="C3488" t="s">
        <v>23</v>
      </c>
      <c r="D3488">
        <v>220</v>
      </c>
      <c r="E3488">
        <v>50.6</v>
      </c>
      <c r="F3488">
        <v>0</v>
      </c>
      <c r="G3488">
        <v>4.3</v>
      </c>
      <c r="H3488">
        <v>0</v>
      </c>
      <c r="I3488">
        <v>0</v>
      </c>
      <c r="J3488">
        <v>0</v>
      </c>
      <c r="K3488">
        <v>0</v>
      </c>
      <c r="L3488">
        <v>0</v>
      </c>
      <c r="M3488">
        <v>0</v>
      </c>
      <c r="N3488">
        <v>79080</v>
      </c>
      <c r="O3488">
        <v>330032</v>
      </c>
      <c r="P3488">
        <v>0</v>
      </c>
      <c r="Q3488">
        <v>174</v>
      </c>
      <c r="R3488">
        <v>167</v>
      </c>
      <c r="S3488">
        <v>0</v>
      </c>
      <c r="T3488">
        <v>50</v>
      </c>
      <c r="U3488">
        <v>64</v>
      </c>
    </row>
    <row r="3489" spans="1:21" x14ac:dyDescent="0.35">
      <c r="A3489" t="s">
        <v>28</v>
      </c>
      <c r="B3489" s="1">
        <v>45268</v>
      </c>
      <c r="C3489" t="s">
        <v>24</v>
      </c>
      <c r="D3489">
        <v>2.2000000000000002</v>
      </c>
      <c r="E3489">
        <v>12.1</v>
      </c>
      <c r="F3489">
        <v>28.2</v>
      </c>
      <c r="G3489">
        <v>0.2</v>
      </c>
      <c r="H3489">
        <v>0.1</v>
      </c>
      <c r="I3489">
        <v>0</v>
      </c>
      <c r="J3489">
        <v>0</v>
      </c>
      <c r="K3489">
        <v>0</v>
      </c>
      <c r="L3489">
        <v>0</v>
      </c>
      <c r="M3489">
        <v>0</v>
      </c>
      <c r="N3489">
        <v>89770</v>
      </c>
      <c r="O3489">
        <v>82673</v>
      </c>
      <c r="P3489">
        <v>21260</v>
      </c>
      <c r="Q3489">
        <v>2</v>
      </c>
      <c r="R3489">
        <v>10</v>
      </c>
      <c r="S3489">
        <v>6</v>
      </c>
      <c r="T3489">
        <v>5</v>
      </c>
      <c r="U3489">
        <v>11</v>
      </c>
    </row>
    <row r="3490" spans="1:21" x14ac:dyDescent="0.35">
      <c r="A3490" t="s">
        <v>21</v>
      </c>
      <c r="B3490" s="1">
        <v>44926</v>
      </c>
      <c r="C3490" t="s">
        <v>30</v>
      </c>
      <c r="D3490">
        <v>8.1</v>
      </c>
      <c r="E3490">
        <v>17.600000000000001</v>
      </c>
      <c r="F3490">
        <v>4.2</v>
      </c>
      <c r="G3490">
        <v>0.5</v>
      </c>
      <c r="H3490">
        <v>1.9</v>
      </c>
      <c r="I3490">
        <v>0</v>
      </c>
      <c r="J3490">
        <v>0</v>
      </c>
      <c r="K3490">
        <v>0</v>
      </c>
      <c r="L3490">
        <v>0</v>
      </c>
      <c r="M3490">
        <v>0</v>
      </c>
      <c r="N3490">
        <v>24824</v>
      </c>
      <c r="O3490">
        <v>11367</v>
      </c>
      <c r="P3490">
        <v>47117</v>
      </c>
      <c r="Q3490">
        <v>2</v>
      </c>
      <c r="R3490">
        <v>2</v>
      </c>
      <c r="S3490">
        <v>2</v>
      </c>
      <c r="T3490">
        <v>80</v>
      </c>
      <c r="U3490">
        <v>200</v>
      </c>
    </row>
    <row r="3491" spans="1:21" x14ac:dyDescent="0.35">
      <c r="A3491" t="s">
        <v>26</v>
      </c>
      <c r="B3491" s="1">
        <v>45145</v>
      </c>
      <c r="C3491" t="s">
        <v>24</v>
      </c>
      <c r="D3491">
        <v>0</v>
      </c>
      <c r="E3491">
        <v>0</v>
      </c>
      <c r="F3491">
        <v>0</v>
      </c>
      <c r="G3491">
        <v>0</v>
      </c>
      <c r="H3491">
        <v>0</v>
      </c>
      <c r="I3491">
        <v>0</v>
      </c>
      <c r="J3491">
        <v>0</v>
      </c>
      <c r="K3491">
        <v>0</v>
      </c>
      <c r="L3491">
        <v>0</v>
      </c>
      <c r="M3491">
        <v>0</v>
      </c>
      <c r="N3491">
        <v>90204</v>
      </c>
      <c r="O3491">
        <v>82670</v>
      </c>
      <c r="P3491">
        <v>21257</v>
      </c>
      <c r="Q3491">
        <v>0</v>
      </c>
      <c r="R3491">
        <v>0</v>
      </c>
      <c r="S3491">
        <v>0</v>
      </c>
      <c r="T3491">
        <v>5</v>
      </c>
      <c r="U3491">
        <v>11</v>
      </c>
    </row>
    <row r="3492" spans="1:21" x14ac:dyDescent="0.35">
      <c r="A3492" t="s">
        <v>21</v>
      </c>
      <c r="B3492" s="1">
        <v>44737</v>
      </c>
      <c r="C3492" t="s">
        <v>31</v>
      </c>
      <c r="D3492">
        <v>0</v>
      </c>
      <c r="E3492">
        <v>2.2000000000000002</v>
      </c>
      <c r="F3492">
        <v>0</v>
      </c>
      <c r="G3492">
        <v>0</v>
      </c>
      <c r="H3492">
        <v>0</v>
      </c>
      <c r="I3492">
        <v>0</v>
      </c>
      <c r="J3492">
        <v>0</v>
      </c>
      <c r="K3492">
        <v>0</v>
      </c>
      <c r="L3492">
        <v>0</v>
      </c>
      <c r="M3492">
        <v>0</v>
      </c>
      <c r="N3492">
        <v>46578</v>
      </c>
      <c r="O3492">
        <v>46462</v>
      </c>
      <c r="P3492">
        <v>167052</v>
      </c>
      <c r="Q3492">
        <v>0</v>
      </c>
      <c r="R3492">
        <v>1</v>
      </c>
      <c r="S3492">
        <v>0</v>
      </c>
      <c r="T3492">
        <v>65</v>
      </c>
      <c r="U3492">
        <v>79</v>
      </c>
    </row>
    <row r="3493" spans="1:21" x14ac:dyDescent="0.35">
      <c r="A3493" t="s">
        <v>26</v>
      </c>
      <c r="B3493" s="1">
        <v>45233</v>
      </c>
      <c r="C3493" t="s">
        <v>23</v>
      </c>
      <c r="D3493">
        <v>29.7</v>
      </c>
      <c r="E3493">
        <v>6.4</v>
      </c>
      <c r="F3493">
        <v>6.5</v>
      </c>
      <c r="G3493">
        <v>4.5999999999999996</v>
      </c>
      <c r="H3493">
        <v>4.5999999999999996</v>
      </c>
      <c r="I3493">
        <v>0</v>
      </c>
      <c r="J3493">
        <v>0</v>
      </c>
      <c r="K3493">
        <v>0</v>
      </c>
      <c r="L3493">
        <v>0</v>
      </c>
      <c r="M3493">
        <v>0</v>
      </c>
      <c r="N3493">
        <v>33710</v>
      </c>
      <c r="O3493">
        <v>125621</v>
      </c>
      <c r="P3493">
        <v>246881</v>
      </c>
      <c r="Q3493">
        <v>10</v>
      </c>
      <c r="R3493">
        <v>8</v>
      </c>
      <c r="S3493">
        <v>16</v>
      </c>
      <c r="T3493">
        <v>50</v>
      </c>
      <c r="U3493">
        <v>64</v>
      </c>
    </row>
    <row r="3494" spans="1:21" x14ac:dyDescent="0.35">
      <c r="A3494" t="s">
        <v>28</v>
      </c>
      <c r="B3494" s="1">
        <v>44933</v>
      </c>
      <c r="C3494" t="s">
        <v>23</v>
      </c>
      <c r="D3494">
        <v>18.399999999999999</v>
      </c>
      <c r="E3494">
        <v>6.4</v>
      </c>
      <c r="F3494">
        <v>10.5</v>
      </c>
      <c r="G3494">
        <v>2.9</v>
      </c>
      <c r="H3494">
        <v>1.8</v>
      </c>
      <c r="I3494">
        <v>0</v>
      </c>
      <c r="J3494">
        <v>0</v>
      </c>
      <c r="K3494">
        <v>0</v>
      </c>
      <c r="L3494">
        <v>0</v>
      </c>
      <c r="M3494">
        <v>0</v>
      </c>
      <c r="N3494">
        <v>32676</v>
      </c>
      <c r="O3494">
        <v>125733</v>
      </c>
      <c r="P3494">
        <v>246928</v>
      </c>
      <c r="Q3494">
        <v>6</v>
      </c>
      <c r="R3494">
        <v>8</v>
      </c>
      <c r="S3494">
        <v>26</v>
      </c>
      <c r="T3494">
        <v>50</v>
      </c>
      <c r="U3494">
        <v>64</v>
      </c>
    </row>
    <row r="3495" spans="1:21" x14ac:dyDescent="0.35">
      <c r="A3495" t="s">
        <v>26</v>
      </c>
      <c r="B3495" s="1">
        <v>44933</v>
      </c>
      <c r="C3495" t="s">
        <v>27</v>
      </c>
      <c r="D3495">
        <v>0</v>
      </c>
      <c r="E3495">
        <v>0</v>
      </c>
      <c r="F3495">
        <v>0</v>
      </c>
      <c r="G3495">
        <v>0</v>
      </c>
      <c r="H3495">
        <v>0</v>
      </c>
      <c r="I3495">
        <v>0</v>
      </c>
      <c r="J3495">
        <v>0</v>
      </c>
      <c r="K3495">
        <v>0</v>
      </c>
      <c r="L3495">
        <v>0</v>
      </c>
      <c r="M3495">
        <v>0</v>
      </c>
      <c r="N3495">
        <v>32274</v>
      </c>
      <c r="O3495">
        <v>86578</v>
      </c>
      <c r="P3495">
        <v>44588</v>
      </c>
      <c r="Q3495">
        <v>0</v>
      </c>
      <c r="R3495">
        <v>0</v>
      </c>
      <c r="S3495">
        <v>0</v>
      </c>
      <c r="T3495">
        <v>12</v>
      </c>
      <c r="U3495">
        <v>17</v>
      </c>
    </row>
    <row r="3496" spans="1:21" x14ac:dyDescent="0.35">
      <c r="A3496" t="s">
        <v>26</v>
      </c>
      <c r="B3496" s="1">
        <v>44856</v>
      </c>
      <c r="C3496" t="s">
        <v>25</v>
      </c>
      <c r="D3496">
        <v>5.9</v>
      </c>
      <c r="E3496">
        <v>0.5</v>
      </c>
      <c r="F3496">
        <v>3.1</v>
      </c>
      <c r="G3496">
        <v>11.8</v>
      </c>
      <c r="H3496">
        <v>1.9</v>
      </c>
      <c r="I3496">
        <v>0</v>
      </c>
      <c r="J3496">
        <v>0</v>
      </c>
      <c r="K3496">
        <v>0</v>
      </c>
      <c r="L3496">
        <v>0</v>
      </c>
      <c r="M3496">
        <v>0</v>
      </c>
      <c r="N3496">
        <v>85278</v>
      </c>
      <c r="O3496">
        <v>212032</v>
      </c>
      <c r="P3496">
        <v>161513</v>
      </c>
      <c r="Q3496">
        <v>5</v>
      </c>
      <c r="R3496">
        <v>1</v>
      </c>
      <c r="S3496">
        <v>5</v>
      </c>
      <c r="T3496">
        <v>18</v>
      </c>
      <c r="U3496">
        <v>29</v>
      </c>
    </row>
    <row r="3497" spans="1:21" x14ac:dyDescent="0.35">
      <c r="A3497" t="s">
        <v>21</v>
      </c>
      <c r="B3497" s="1">
        <v>44758</v>
      </c>
      <c r="C3497" t="s">
        <v>31</v>
      </c>
      <c r="D3497">
        <v>4.3</v>
      </c>
      <c r="E3497">
        <v>0</v>
      </c>
      <c r="F3497">
        <v>0</v>
      </c>
      <c r="G3497">
        <v>0</v>
      </c>
      <c r="H3497">
        <v>0</v>
      </c>
      <c r="I3497">
        <v>0</v>
      </c>
      <c r="J3497">
        <v>0</v>
      </c>
      <c r="K3497">
        <v>0</v>
      </c>
      <c r="L3497">
        <v>0</v>
      </c>
      <c r="M3497">
        <v>0</v>
      </c>
      <c r="N3497">
        <v>46231</v>
      </c>
      <c r="O3497">
        <v>45565</v>
      </c>
      <c r="P3497">
        <v>168311</v>
      </c>
      <c r="Q3497">
        <v>2</v>
      </c>
      <c r="R3497">
        <v>0</v>
      </c>
      <c r="S3497">
        <v>0</v>
      </c>
      <c r="T3497">
        <v>65</v>
      </c>
      <c r="U3497">
        <v>79</v>
      </c>
    </row>
    <row r="3498" spans="1:21" x14ac:dyDescent="0.35">
      <c r="A3498" t="s">
        <v>21</v>
      </c>
      <c r="B3498" s="1">
        <v>45205</v>
      </c>
      <c r="C3498" t="s">
        <v>24</v>
      </c>
      <c r="D3498">
        <v>0</v>
      </c>
      <c r="E3498">
        <v>0</v>
      </c>
      <c r="F3498">
        <v>0</v>
      </c>
      <c r="G3498">
        <v>0</v>
      </c>
      <c r="H3498">
        <v>0</v>
      </c>
      <c r="I3498">
        <v>0</v>
      </c>
      <c r="J3498">
        <v>0</v>
      </c>
      <c r="K3498">
        <v>0</v>
      </c>
      <c r="L3498">
        <v>0</v>
      </c>
      <c r="M3498">
        <v>0</v>
      </c>
      <c r="N3498">
        <v>90486</v>
      </c>
      <c r="O3498">
        <v>82681</v>
      </c>
      <c r="P3498">
        <v>21245</v>
      </c>
      <c r="Q3498">
        <v>0</v>
      </c>
      <c r="R3498">
        <v>0</v>
      </c>
      <c r="S3498">
        <v>0</v>
      </c>
      <c r="T3498">
        <v>5</v>
      </c>
      <c r="U3498">
        <v>11</v>
      </c>
    </row>
    <row r="3499" spans="1:21" x14ac:dyDescent="0.35">
      <c r="A3499" t="s">
        <v>28</v>
      </c>
      <c r="B3499" s="1">
        <v>45003</v>
      </c>
      <c r="C3499" t="s">
        <v>25</v>
      </c>
      <c r="D3499">
        <v>109.9</v>
      </c>
      <c r="E3499">
        <v>34.6</v>
      </c>
      <c r="F3499">
        <v>45.2</v>
      </c>
      <c r="G3499">
        <v>3.2</v>
      </c>
      <c r="H3499">
        <v>2.4</v>
      </c>
      <c r="I3499">
        <v>0</v>
      </c>
      <c r="J3499">
        <v>0</v>
      </c>
      <c r="K3499">
        <v>0</v>
      </c>
      <c r="L3499">
        <v>0</v>
      </c>
      <c r="M3499">
        <v>0</v>
      </c>
      <c r="N3499">
        <v>76420</v>
      </c>
      <c r="O3499">
        <v>213693</v>
      </c>
      <c r="P3499">
        <v>161668</v>
      </c>
      <c r="Q3499">
        <v>84</v>
      </c>
      <c r="R3499">
        <v>74</v>
      </c>
      <c r="S3499">
        <v>73</v>
      </c>
      <c r="T3499">
        <v>18</v>
      </c>
      <c r="U3499">
        <v>29</v>
      </c>
    </row>
    <row r="3500" spans="1:21" x14ac:dyDescent="0.35">
      <c r="A3500" t="s">
        <v>28</v>
      </c>
      <c r="B3500" s="1">
        <v>44940</v>
      </c>
      <c r="C3500" t="s">
        <v>23</v>
      </c>
      <c r="D3500">
        <v>246.3</v>
      </c>
      <c r="E3500">
        <v>84.5</v>
      </c>
      <c r="F3500">
        <v>112.6</v>
      </c>
      <c r="G3500">
        <v>2.9</v>
      </c>
      <c r="H3500">
        <v>2.2000000000000002</v>
      </c>
      <c r="I3500">
        <v>0</v>
      </c>
      <c r="J3500">
        <v>0</v>
      </c>
      <c r="K3500">
        <v>0</v>
      </c>
      <c r="L3500">
        <v>0</v>
      </c>
      <c r="M3500">
        <v>0</v>
      </c>
      <c r="N3500">
        <v>34510</v>
      </c>
      <c r="O3500">
        <v>125451</v>
      </c>
      <c r="P3500">
        <v>246827</v>
      </c>
      <c r="Q3500">
        <v>85</v>
      </c>
      <c r="R3500">
        <v>106</v>
      </c>
      <c r="S3500">
        <v>278</v>
      </c>
      <c r="T3500">
        <v>50</v>
      </c>
      <c r="U3500">
        <v>64</v>
      </c>
    </row>
    <row r="3501" spans="1:21" x14ac:dyDescent="0.35">
      <c r="A3501" t="s">
        <v>21</v>
      </c>
      <c r="B3501" s="1">
        <v>44747</v>
      </c>
      <c r="C3501" t="s">
        <v>25</v>
      </c>
      <c r="D3501">
        <v>0</v>
      </c>
      <c r="E3501">
        <v>0</v>
      </c>
      <c r="F3501">
        <v>0</v>
      </c>
      <c r="G3501">
        <v>0</v>
      </c>
      <c r="H3501">
        <v>0</v>
      </c>
      <c r="I3501">
        <v>0</v>
      </c>
      <c r="J3501">
        <v>0</v>
      </c>
      <c r="K3501">
        <v>0</v>
      </c>
      <c r="L3501">
        <v>0</v>
      </c>
      <c r="M3501">
        <v>0</v>
      </c>
      <c r="N3501">
        <v>96593</v>
      </c>
      <c r="O3501">
        <v>217622</v>
      </c>
      <c r="P3501">
        <v>150759</v>
      </c>
      <c r="Q3501">
        <v>0</v>
      </c>
      <c r="R3501">
        <v>0</v>
      </c>
      <c r="S3501">
        <v>0</v>
      </c>
      <c r="T3501">
        <v>18</v>
      </c>
      <c r="U3501">
        <v>29</v>
      </c>
    </row>
    <row r="3502" spans="1:21" x14ac:dyDescent="0.35">
      <c r="A3502" t="s">
        <v>28</v>
      </c>
      <c r="B3502" s="1">
        <v>44485</v>
      </c>
      <c r="C3502" t="s">
        <v>27</v>
      </c>
      <c r="D3502">
        <v>200.2</v>
      </c>
      <c r="E3502">
        <v>30.8</v>
      </c>
      <c r="F3502">
        <v>0</v>
      </c>
      <c r="G3502">
        <v>6.5</v>
      </c>
      <c r="H3502">
        <v>0</v>
      </c>
      <c r="I3502">
        <v>0</v>
      </c>
      <c r="J3502">
        <v>0</v>
      </c>
      <c r="K3502">
        <v>0</v>
      </c>
      <c r="L3502">
        <v>0</v>
      </c>
      <c r="M3502">
        <v>0</v>
      </c>
      <c r="N3502">
        <v>65944</v>
      </c>
      <c r="O3502">
        <v>97454</v>
      </c>
      <c r="P3502">
        <v>0</v>
      </c>
      <c r="Q3502">
        <v>132</v>
      </c>
      <c r="R3502">
        <v>30</v>
      </c>
      <c r="S3502">
        <v>0</v>
      </c>
      <c r="T3502">
        <v>12</v>
      </c>
      <c r="U3502">
        <v>17</v>
      </c>
    </row>
    <row r="3503" spans="1:21" x14ac:dyDescent="0.35">
      <c r="A3503" t="s">
        <v>26</v>
      </c>
      <c r="B3503" s="1">
        <v>44772</v>
      </c>
      <c r="C3503" t="s">
        <v>24</v>
      </c>
      <c r="D3503">
        <v>1</v>
      </c>
      <c r="E3503">
        <v>2.2999999999999998</v>
      </c>
      <c r="F3503">
        <v>0</v>
      </c>
      <c r="G3503">
        <v>0.4</v>
      </c>
      <c r="H3503">
        <v>0</v>
      </c>
      <c r="I3503">
        <v>0</v>
      </c>
      <c r="J3503">
        <v>0</v>
      </c>
      <c r="K3503">
        <v>0</v>
      </c>
      <c r="L3503">
        <v>0</v>
      </c>
      <c r="M3503">
        <v>0</v>
      </c>
      <c r="N3503">
        <v>97719</v>
      </c>
      <c r="O3503">
        <v>86946</v>
      </c>
      <c r="P3503">
        <v>10832</v>
      </c>
      <c r="Q3503">
        <v>1</v>
      </c>
      <c r="R3503">
        <v>2</v>
      </c>
      <c r="S3503">
        <v>0</v>
      </c>
      <c r="T3503">
        <v>5</v>
      </c>
      <c r="U3503">
        <v>11</v>
      </c>
    </row>
    <row r="3504" spans="1:21" x14ac:dyDescent="0.35">
      <c r="A3504" t="s">
        <v>28</v>
      </c>
      <c r="B3504" s="1">
        <v>44991</v>
      </c>
      <c r="C3504" t="s">
        <v>24</v>
      </c>
      <c r="D3504">
        <v>16.600000000000001</v>
      </c>
      <c r="E3504">
        <v>20.6</v>
      </c>
      <c r="F3504">
        <v>18.8</v>
      </c>
      <c r="G3504">
        <v>0.8</v>
      </c>
      <c r="H3504">
        <v>0.9</v>
      </c>
      <c r="I3504">
        <v>0</v>
      </c>
      <c r="J3504">
        <v>0</v>
      </c>
      <c r="K3504">
        <v>0</v>
      </c>
      <c r="L3504">
        <v>0</v>
      </c>
      <c r="M3504">
        <v>0</v>
      </c>
      <c r="N3504">
        <v>90556</v>
      </c>
      <c r="O3504">
        <v>82682</v>
      </c>
      <c r="P3504">
        <v>21243</v>
      </c>
      <c r="Q3504">
        <v>15</v>
      </c>
      <c r="R3504">
        <v>17</v>
      </c>
      <c r="S3504">
        <v>4</v>
      </c>
      <c r="T3504">
        <v>5</v>
      </c>
      <c r="U3504">
        <v>11</v>
      </c>
    </row>
    <row r="3505" spans="1:21" x14ac:dyDescent="0.35">
      <c r="A3505" t="s">
        <v>28</v>
      </c>
      <c r="B3505" s="1">
        <v>45082</v>
      </c>
      <c r="C3505" t="s">
        <v>30</v>
      </c>
      <c r="D3505">
        <v>32.5</v>
      </c>
      <c r="E3505">
        <v>52.7</v>
      </c>
      <c r="F3505">
        <v>70</v>
      </c>
      <c r="G3505">
        <v>0.6</v>
      </c>
      <c r="H3505">
        <v>0.5</v>
      </c>
      <c r="I3505">
        <v>0</v>
      </c>
      <c r="J3505">
        <v>0</v>
      </c>
      <c r="K3505">
        <v>0</v>
      </c>
      <c r="L3505">
        <v>0</v>
      </c>
      <c r="M3505">
        <v>0</v>
      </c>
      <c r="N3505">
        <v>24581</v>
      </c>
      <c r="O3505">
        <v>11385</v>
      </c>
      <c r="P3505">
        <v>47127</v>
      </c>
      <c r="Q3505">
        <v>8</v>
      </c>
      <c r="R3505">
        <v>6</v>
      </c>
      <c r="S3505">
        <v>33</v>
      </c>
      <c r="T3505">
        <v>80</v>
      </c>
      <c r="U3505">
        <v>200</v>
      </c>
    </row>
    <row r="3506" spans="1:21" x14ac:dyDescent="0.35">
      <c r="A3506" t="s">
        <v>26</v>
      </c>
      <c r="B3506" s="1">
        <v>45031</v>
      </c>
      <c r="C3506" t="s">
        <v>31</v>
      </c>
      <c r="D3506">
        <v>20.100000000000001</v>
      </c>
      <c r="E3506">
        <v>9.1999999999999993</v>
      </c>
      <c r="F3506">
        <v>16.899999999999999</v>
      </c>
      <c r="G3506">
        <v>2.2000000000000002</v>
      </c>
      <c r="H3506">
        <v>1.2</v>
      </c>
      <c r="I3506">
        <v>0</v>
      </c>
      <c r="J3506">
        <v>0</v>
      </c>
      <c r="K3506">
        <v>0</v>
      </c>
      <c r="L3506">
        <v>0</v>
      </c>
      <c r="M3506">
        <v>0</v>
      </c>
      <c r="N3506">
        <v>39800</v>
      </c>
      <c r="O3506">
        <v>43431</v>
      </c>
      <c r="P3506">
        <v>171719</v>
      </c>
      <c r="Q3506">
        <v>8</v>
      </c>
      <c r="R3506">
        <v>4</v>
      </c>
      <c r="S3506">
        <v>29</v>
      </c>
      <c r="T3506">
        <v>65</v>
      </c>
      <c r="U3506">
        <v>79</v>
      </c>
    </row>
    <row r="3507" spans="1:21" x14ac:dyDescent="0.35">
      <c r="A3507" t="s">
        <v>21</v>
      </c>
      <c r="B3507" s="1">
        <v>45082</v>
      </c>
      <c r="C3507" t="s">
        <v>30</v>
      </c>
      <c r="D3507">
        <v>0</v>
      </c>
      <c r="E3507">
        <v>8.8000000000000007</v>
      </c>
      <c r="F3507">
        <v>0</v>
      </c>
      <c r="G3507">
        <v>0</v>
      </c>
      <c r="H3507">
        <v>0</v>
      </c>
      <c r="I3507">
        <v>0</v>
      </c>
      <c r="J3507">
        <v>0</v>
      </c>
      <c r="K3507">
        <v>0</v>
      </c>
      <c r="L3507">
        <v>0</v>
      </c>
      <c r="M3507">
        <v>0</v>
      </c>
      <c r="N3507">
        <v>24581</v>
      </c>
      <c r="O3507">
        <v>11385</v>
      </c>
      <c r="P3507">
        <v>47127</v>
      </c>
      <c r="Q3507">
        <v>0</v>
      </c>
      <c r="R3507">
        <v>1</v>
      </c>
      <c r="S3507">
        <v>0</v>
      </c>
      <c r="T3507">
        <v>80</v>
      </c>
      <c r="U3507">
        <v>200</v>
      </c>
    </row>
    <row r="3508" spans="1:21" x14ac:dyDescent="0.35">
      <c r="A3508" t="s">
        <v>21</v>
      </c>
      <c r="B3508" s="1">
        <v>44667</v>
      </c>
      <c r="C3508" t="s">
        <v>24</v>
      </c>
      <c r="D3508">
        <v>0</v>
      </c>
      <c r="E3508">
        <v>0</v>
      </c>
      <c r="F3508">
        <v>0</v>
      </c>
      <c r="G3508">
        <v>0</v>
      </c>
      <c r="H3508">
        <v>0</v>
      </c>
      <c r="I3508">
        <v>0</v>
      </c>
      <c r="J3508">
        <v>0</v>
      </c>
      <c r="K3508">
        <v>0</v>
      </c>
      <c r="L3508">
        <v>0</v>
      </c>
      <c r="M3508">
        <v>0</v>
      </c>
      <c r="N3508">
        <v>102695</v>
      </c>
      <c r="O3508">
        <v>92456</v>
      </c>
      <c r="P3508">
        <v>0</v>
      </c>
      <c r="Q3508">
        <v>0</v>
      </c>
      <c r="R3508">
        <v>0</v>
      </c>
      <c r="S3508">
        <v>0</v>
      </c>
      <c r="T3508">
        <v>5</v>
      </c>
      <c r="U3508">
        <v>11</v>
      </c>
    </row>
    <row r="3509" spans="1:21" x14ac:dyDescent="0.35">
      <c r="A3509" t="s">
        <v>28</v>
      </c>
      <c r="B3509" s="1">
        <v>44310</v>
      </c>
      <c r="C3509" t="s">
        <v>29</v>
      </c>
      <c r="D3509">
        <v>287.3</v>
      </c>
      <c r="E3509">
        <v>31.1</v>
      </c>
      <c r="F3509">
        <v>0</v>
      </c>
      <c r="G3509">
        <v>9.1999999999999993</v>
      </c>
      <c r="H3509">
        <v>0</v>
      </c>
      <c r="I3509">
        <v>0</v>
      </c>
      <c r="J3509">
        <v>0</v>
      </c>
      <c r="K3509">
        <v>0</v>
      </c>
      <c r="L3509">
        <v>0</v>
      </c>
      <c r="M3509">
        <v>0</v>
      </c>
      <c r="N3509">
        <v>386715</v>
      </c>
      <c r="O3509">
        <v>193096</v>
      </c>
      <c r="P3509">
        <v>0</v>
      </c>
      <c r="Q3509">
        <v>1111</v>
      </c>
      <c r="R3509">
        <v>60</v>
      </c>
      <c r="S3509">
        <v>0</v>
      </c>
      <c r="T3509">
        <v>30</v>
      </c>
      <c r="U3509">
        <v>49</v>
      </c>
    </row>
    <row r="3510" spans="1:21" x14ac:dyDescent="0.35">
      <c r="A3510" t="s">
        <v>28</v>
      </c>
      <c r="B3510" s="1">
        <v>44667</v>
      </c>
      <c r="C3510" t="s">
        <v>25</v>
      </c>
      <c r="D3510">
        <v>241.4</v>
      </c>
      <c r="E3510">
        <v>95.5</v>
      </c>
      <c r="F3510">
        <v>264.10000000000002</v>
      </c>
      <c r="G3510">
        <v>2.5</v>
      </c>
      <c r="H3510">
        <v>0.9</v>
      </c>
      <c r="I3510">
        <v>0</v>
      </c>
      <c r="J3510">
        <v>0</v>
      </c>
      <c r="K3510">
        <v>0</v>
      </c>
      <c r="L3510">
        <v>0</v>
      </c>
      <c r="M3510">
        <v>0</v>
      </c>
      <c r="N3510">
        <v>97780</v>
      </c>
      <c r="O3510">
        <v>218922</v>
      </c>
      <c r="P3510">
        <v>148408</v>
      </c>
      <c r="Q3510">
        <v>236</v>
      </c>
      <c r="R3510">
        <v>209</v>
      </c>
      <c r="S3510">
        <v>392</v>
      </c>
      <c r="T3510">
        <v>18</v>
      </c>
      <c r="U3510">
        <v>29</v>
      </c>
    </row>
    <row r="3511" spans="1:21" x14ac:dyDescent="0.35">
      <c r="A3511" t="s">
        <v>26</v>
      </c>
      <c r="B3511" s="1">
        <v>44747</v>
      </c>
      <c r="C3511" t="s">
        <v>23</v>
      </c>
      <c r="D3511">
        <v>20.5</v>
      </c>
      <c r="E3511">
        <v>5.2</v>
      </c>
      <c r="F3511">
        <v>3.4</v>
      </c>
      <c r="G3511">
        <v>3.9</v>
      </c>
      <c r="H3511">
        <v>6</v>
      </c>
      <c r="I3511">
        <v>0</v>
      </c>
      <c r="J3511">
        <v>0</v>
      </c>
      <c r="K3511">
        <v>0</v>
      </c>
      <c r="L3511">
        <v>0</v>
      </c>
      <c r="M3511">
        <v>0</v>
      </c>
      <c r="N3511">
        <v>43830</v>
      </c>
      <c r="O3511">
        <v>134524</v>
      </c>
      <c r="P3511">
        <v>233206</v>
      </c>
      <c r="Q3511">
        <v>9</v>
      </c>
      <c r="R3511">
        <v>7</v>
      </c>
      <c r="S3511">
        <v>8</v>
      </c>
      <c r="T3511">
        <v>50</v>
      </c>
      <c r="U3511">
        <v>64</v>
      </c>
    </row>
    <row r="3512" spans="1:21" x14ac:dyDescent="0.35">
      <c r="A3512" t="s">
        <v>26</v>
      </c>
      <c r="B3512" s="1">
        <v>44793</v>
      </c>
      <c r="C3512" t="s">
        <v>31</v>
      </c>
      <c r="D3512">
        <v>39.4</v>
      </c>
      <c r="E3512">
        <v>34</v>
      </c>
      <c r="F3512">
        <v>14.7</v>
      </c>
      <c r="G3512">
        <v>1.2</v>
      </c>
      <c r="H3512">
        <v>2.7</v>
      </c>
      <c r="I3512">
        <v>0</v>
      </c>
      <c r="J3512">
        <v>0</v>
      </c>
      <c r="K3512">
        <v>0</v>
      </c>
      <c r="L3512">
        <v>0</v>
      </c>
      <c r="M3512">
        <v>0</v>
      </c>
      <c r="N3512">
        <v>45707</v>
      </c>
      <c r="O3512">
        <v>44146</v>
      </c>
      <c r="P3512">
        <v>170344</v>
      </c>
      <c r="Q3512">
        <v>18</v>
      </c>
      <c r="R3512">
        <v>15</v>
      </c>
      <c r="S3512">
        <v>25</v>
      </c>
      <c r="T3512">
        <v>65</v>
      </c>
      <c r="U3512">
        <v>79</v>
      </c>
    </row>
    <row r="3513" spans="1:21" x14ac:dyDescent="0.35">
      <c r="A3513" t="s">
        <v>28</v>
      </c>
      <c r="B3513" s="1">
        <v>44856</v>
      </c>
      <c r="C3513" t="s">
        <v>31</v>
      </c>
      <c r="D3513">
        <v>148.69999999999999</v>
      </c>
      <c r="E3513">
        <v>122.2</v>
      </c>
      <c r="F3513">
        <v>135.30000000000001</v>
      </c>
      <c r="G3513">
        <v>1.2</v>
      </c>
      <c r="H3513">
        <v>1.1000000000000001</v>
      </c>
      <c r="I3513">
        <v>0</v>
      </c>
      <c r="J3513">
        <v>0</v>
      </c>
      <c r="K3513">
        <v>0</v>
      </c>
      <c r="L3513">
        <v>0</v>
      </c>
      <c r="M3513">
        <v>0</v>
      </c>
      <c r="N3513">
        <v>43032</v>
      </c>
      <c r="O3513">
        <v>43378</v>
      </c>
      <c r="P3513">
        <v>171472</v>
      </c>
      <c r="Q3513">
        <v>64</v>
      </c>
      <c r="R3513">
        <v>53</v>
      </c>
      <c r="S3513">
        <v>232</v>
      </c>
      <c r="T3513">
        <v>65</v>
      </c>
      <c r="U3513">
        <v>79</v>
      </c>
    </row>
    <row r="3514" spans="1:21" x14ac:dyDescent="0.35">
      <c r="A3514" t="s">
        <v>28</v>
      </c>
      <c r="B3514" s="1">
        <v>44422</v>
      </c>
      <c r="C3514" t="s">
        <v>29</v>
      </c>
      <c r="D3514">
        <v>280.10000000000002</v>
      </c>
      <c r="E3514">
        <v>120.1</v>
      </c>
      <c r="F3514">
        <v>0</v>
      </c>
      <c r="G3514">
        <v>2.2999999999999998</v>
      </c>
      <c r="H3514">
        <v>0</v>
      </c>
      <c r="I3514">
        <v>0</v>
      </c>
      <c r="J3514">
        <v>0</v>
      </c>
      <c r="K3514">
        <v>0</v>
      </c>
      <c r="L3514">
        <v>0</v>
      </c>
      <c r="M3514">
        <v>0</v>
      </c>
      <c r="N3514">
        <v>254572</v>
      </c>
      <c r="O3514">
        <v>504735</v>
      </c>
      <c r="P3514">
        <v>0</v>
      </c>
      <c r="Q3514">
        <v>713</v>
      </c>
      <c r="R3514">
        <v>606</v>
      </c>
      <c r="S3514">
        <v>0</v>
      </c>
      <c r="T3514">
        <v>30</v>
      </c>
      <c r="U3514">
        <v>49</v>
      </c>
    </row>
    <row r="3515" spans="1:21" x14ac:dyDescent="0.35">
      <c r="A3515" t="s">
        <v>26</v>
      </c>
      <c r="B3515" s="1">
        <v>44891</v>
      </c>
      <c r="C3515" t="s">
        <v>29</v>
      </c>
      <c r="D3515">
        <v>13.9</v>
      </c>
      <c r="E3515">
        <v>2.9</v>
      </c>
      <c r="F3515">
        <v>4.9000000000000004</v>
      </c>
      <c r="G3515">
        <v>4.8</v>
      </c>
      <c r="H3515">
        <v>2.8</v>
      </c>
      <c r="I3515">
        <v>0</v>
      </c>
      <c r="J3515">
        <v>0</v>
      </c>
      <c r="K3515">
        <v>0</v>
      </c>
      <c r="L3515">
        <v>0</v>
      </c>
      <c r="M3515">
        <v>0</v>
      </c>
      <c r="N3515">
        <v>115507</v>
      </c>
      <c r="O3515">
        <v>276843</v>
      </c>
      <c r="P3515">
        <v>347102</v>
      </c>
      <c r="Q3515">
        <v>16</v>
      </c>
      <c r="R3515">
        <v>8</v>
      </c>
      <c r="S3515">
        <v>17</v>
      </c>
      <c r="T3515">
        <v>30</v>
      </c>
      <c r="U3515">
        <v>49</v>
      </c>
    </row>
    <row r="3516" spans="1:21" x14ac:dyDescent="0.35">
      <c r="A3516" t="s">
        <v>21</v>
      </c>
      <c r="B3516" s="1">
        <v>44702</v>
      </c>
      <c r="C3516" t="s">
        <v>30</v>
      </c>
      <c r="D3516">
        <v>0</v>
      </c>
      <c r="E3516">
        <v>0</v>
      </c>
      <c r="F3516">
        <v>4.5</v>
      </c>
      <c r="G3516">
        <v>0</v>
      </c>
      <c r="H3516">
        <v>0</v>
      </c>
      <c r="I3516">
        <v>0</v>
      </c>
      <c r="J3516">
        <v>0</v>
      </c>
      <c r="K3516">
        <v>0</v>
      </c>
      <c r="L3516">
        <v>0</v>
      </c>
      <c r="M3516">
        <v>0</v>
      </c>
      <c r="N3516">
        <v>26685</v>
      </c>
      <c r="O3516">
        <v>12893</v>
      </c>
      <c r="P3516">
        <v>44830</v>
      </c>
      <c r="Q3516">
        <v>0</v>
      </c>
      <c r="R3516">
        <v>0</v>
      </c>
      <c r="S3516">
        <v>2</v>
      </c>
      <c r="T3516">
        <v>80</v>
      </c>
      <c r="U3516">
        <v>200</v>
      </c>
    </row>
    <row r="3517" spans="1:21" x14ac:dyDescent="0.35">
      <c r="A3517" t="s">
        <v>28</v>
      </c>
      <c r="B3517" s="1">
        <v>44259</v>
      </c>
      <c r="C3517" t="s">
        <v>25</v>
      </c>
      <c r="D3517">
        <v>315.2</v>
      </c>
      <c r="E3517">
        <v>43.9</v>
      </c>
      <c r="F3517">
        <v>0</v>
      </c>
      <c r="G3517">
        <v>7.2</v>
      </c>
      <c r="H3517">
        <v>0</v>
      </c>
      <c r="I3517">
        <v>0</v>
      </c>
      <c r="J3517">
        <v>0</v>
      </c>
      <c r="K3517">
        <v>0</v>
      </c>
      <c r="L3517">
        <v>0</v>
      </c>
      <c r="M3517">
        <v>0</v>
      </c>
      <c r="N3517">
        <v>385176</v>
      </c>
      <c r="O3517">
        <v>47882</v>
      </c>
      <c r="P3517">
        <v>0</v>
      </c>
      <c r="Q3517">
        <v>1214</v>
      </c>
      <c r="R3517">
        <v>21</v>
      </c>
      <c r="S3517">
        <v>0</v>
      </c>
      <c r="T3517">
        <v>18</v>
      </c>
      <c r="U3517">
        <v>29</v>
      </c>
    </row>
    <row r="3518" spans="1:21" x14ac:dyDescent="0.35">
      <c r="A3518" t="s">
        <v>28</v>
      </c>
      <c r="B3518" s="1">
        <v>44982</v>
      </c>
      <c r="C3518" t="s">
        <v>30</v>
      </c>
      <c r="D3518">
        <v>113.4</v>
      </c>
      <c r="E3518">
        <v>193.4</v>
      </c>
      <c r="F3518">
        <v>182.5</v>
      </c>
      <c r="G3518">
        <v>0.6</v>
      </c>
      <c r="H3518">
        <v>0.6</v>
      </c>
      <c r="I3518">
        <v>0</v>
      </c>
      <c r="J3518">
        <v>0</v>
      </c>
      <c r="K3518">
        <v>0</v>
      </c>
      <c r="L3518">
        <v>0</v>
      </c>
      <c r="M3518">
        <v>0</v>
      </c>
      <c r="N3518">
        <v>24695</v>
      </c>
      <c r="O3518">
        <v>11378</v>
      </c>
      <c r="P3518">
        <v>47124</v>
      </c>
      <c r="Q3518">
        <v>28</v>
      </c>
      <c r="R3518">
        <v>22</v>
      </c>
      <c r="S3518">
        <v>86</v>
      </c>
      <c r="T3518">
        <v>80</v>
      </c>
      <c r="U3518">
        <v>200</v>
      </c>
    </row>
    <row r="3519" spans="1:21" x14ac:dyDescent="0.35">
      <c r="A3519" t="s">
        <v>28</v>
      </c>
      <c r="B3519" s="1">
        <v>44683</v>
      </c>
      <c r="C3519" t="s">
        <v>22</v>
      </c>
      <c r="D3519">
        <v>208</v>
      </c>
      <c r="E3519">
        <v>124.9</v>
      </c>
      <c r="F3519">
        <v>131.6</v>
      </c>
      <c r="G3519">
        <v>1.7</v>
      </c>
      <c r="H3519">
        <v>1.6</v>
      </c>
      <c r="I3519">
        <v>223.4</v>
      </c>
      <c r="J3519">
        <v>128.30000000000001</v>
      </c>
      <c r="K3519">
        <v>110.7</v>
      </c>
      <c r="L3519">
        <v>1.7</v>
      </c>
      <c r="M3519">
        <v>2</v>
      </c>
      <c r="N3519">
        <v>695615</v>
      </c>
      <c r="O3519">
        <v>928537</v>
      </c>
      <c r="P3519">
        <v>818642</v>
      </c>
      <c r="Q3519">
        <v>1447</v>
      </c>
      <c r="R3519">
        <v>1160</v>
      </c>
      <c r="S3519">
        <v>1077</v>
      </c>
      <c r="T3519">
        <v>999</v>
      </c>
      <c r="U3519">
        <v>999</v>
      </c>
    </row>
    <row r="3520" spans="1:21" x14ac:dyDescent="0.35">
      <c r="A3520" t="s">
        <v>26</v>
      </c>
      <c r="B3520" s="1">
        <v>44800</v>
      </c>
      <c r="C3520" t="s">
        <v>30</v>
      </c>
      <c r="D3520">
        <v>61</v>
      </c>
      <c r="E3520">
        <v>156.1</v>
      </c>
      <c r="F3520">
        <v>79</v>
      </c>
      <c r="G3520">
        <v>0.4</v>
      </c>
      <c r="H3520">
        <v>0.8</v>
      </c>
      <c r="I3520">
        <v>0</v>
      </c>
      <c r="J3520">
        <v>0</v>
      </c>
      <c r="K3520">
        <v>0</v>
      </c>
      <c r="L3520">
        <v>0</v>
      </c>
      <c r="M3520">
        <v>0</v>
      </c>
      <c r="N3520">
        <v>26217</v>
      </c>
      <c r="O3520">
        <v>11529</v>
      </c>
      <c r="P3520">
        <v>46830</v>
      </c>
      <c r="Q3520">
        <v>16</v>
      </c>
      <c r="R3520">
        <v>18</v>
      </c>
      <c r="S3520">
        <v>37</v>
      </c>
      <c r="T3520">
        <v>80</v>
      </c>
      <c r="U3520">
        <v>200</v>
      </c>
    </row>
    <row r="3521" spans="1:21" x14ac:dyDescent="0.35">
      <c r="A3521" t="s">
        <v>26</v>
      </c>
      <c r="B3521" s="1">
        <v>44747</v>
      </c>
      <c r="C3521" t="s">
        <v>22</v>
      </c>
      <c r="D3521">
        <v>6.9</v>
      </c>
      <c r="E3521">
        <v>4.2</v>
      </c>
      <c r="F3521">
        <v>5.5</v>
      </c>
      <c r="G3521">
        <v>1.6</v>
      </c>
      <c r="H3521">
        <v>1.3</v>
      </c>
      <c r="I3521">
        <v>9.1999999999999993</v>
      </c>
      <c r="J3521">
        <v>5.6</v>
      </c>
      <c r="K3521">
        <v>3.8</v>
      </c>
      <c r="L3521">
        <v>1.6</v>
      </c>
      <c r="M3521">
        <v>2.4</v>
      </c>
      <c r="N3521">
        <v>648754</v>
      </c>
      <c r="O3521">
        <v>888946</v>
      </c>
      <c r="P3521">
        <v>956808</v>
      </c>
      <c r="Q3521">
        <v>45</v>
      </c>
      <c r="R3521">
        <v>37</v>
      </c>
      <c r="S3521">
        <v>53</v>
      </c>
      <c r="T3521">
        <v>999</v>
      </c>
      <c r="U3521">
        <v>999</v>
      </c>
    </row>
    <row r="3522" spans="1:21" x14ac:dyDescent="0.35">
      <c r="A3522" t="s">
        <v>21</v>
      </c>
      <c r="B3522" s="1">
        <v>45117</v>
      </c>
      <c r="C3522" t="s">
        <v>22</v>
      </c>
      <c r="D3522">
        <v>0.8</v>
      </c>
      <c r="E3522">
        <v>0.1</v>
      </c>
      <c r="F3522">
        <v>0.5</v>
      </c>
      <c r="G3522">
        <v>8</v>
      </c>
      <c r="H3522">
        <v>1.6</v>
      </c>
      <c r="I3522">
        <v>0.5</v>
      </c>
      <c r="J3522">
        <v>0.3</v>
      </c>
      <c r="K3522">
        <v>0.3</v>
      </c>
      <c r="L3522">
        <v>1.9</v>
      </c>
      <c r="M3522">
        <v>1.8</v>
      </c>
      <c r="N3522">
        <v>522040</v>
      </c>
      <c r="O3522">
        <v>860669</v>
      </c>
      <c r="P3522">
        <v>1041205</v>
      </c>
      <c r="Q3522">
        <v>4</v>
      </c>
      <c r="R3522">
        <v>1</v>
      </c>
      <c r="S3522">
        <v>5</v>
      </c>
      <c r="T3522">
        <v>999</v>
      </c>
      <c r="U3522">
        <v>999</v>
      </c>
    </row>
    <row r="3523" spans="1:21" x14ac:dyDescent="0.35">
      <c r="A3523" t="s">
        <v>26</v>
      </c>
      <c r="B3523" s="1">
        <v>45241</v>
      </c>
      <c r="C3523" t="s">
        <v>22</v>
      </c>
      <c r="D3523">
        <v>8.1999999999999993</v>
      </c>
      <c r="E3523">
        <v>2.7</v>
      </c>
      <c r="F3523">
        <v>6.9</v>
      </c>
      <c r="G3523">
        <v>3</v>
      </c>
      <c r="H3523">
        <v>1.2</v>
      </c>
      <c r="I3523">
        <v>10.199999999999999</v>
      </c>
      <c r="J3523">
        <v>3.9</v>
      </c>
      <c r="K3523">
        <v>4.5999999999999996</v>
      </c>
      <c r="L3523">
        <v>2.6</v>
      </c>
      <c r="M3523">
        <v>2.2000000000000002</v>
      </c>
      <c r="N3523">
        <v>509670</v>
      </c>
      <c r="O3523">
        <v>862682</v>
      </c>
      <c r="P3523">
        <v>1045972</v>
      </c>
      <c r="Q3523">
        <v>42</v>
      </c>
      <c r="R3523">
        <v>23</v>
      </c>
      <c r="S3523">
        <v>72</v>
      </c>
      <c r="T3523">
        <v>999</v>
      </c>
      <c r="U3523">
        <v>999</v>
      </c>
    </row>
    <row r="3524" spans="1:21" x14ac:dyDescent="0.35">
      <c r="A3524" t="s">
        <v>28</v>
      </c>
      <c r="B3524" s="1">
        <v>45145</v>
      </c>
      <c r="C3524" t="s">
        <v>31</v>
      </c>
      <c r="D3524">
        <v>22.9</v>
      </c>
      <c r="E3524">
        <v>11.5</v>
      </c>
      <c r="F3524">
        <v>15.7</v>
      </c>
      <c r="G3524">
        <v>2</v>
      </c>
      <c r="H3524">
        <v>1.5</v>
      </c>
      <c r="I3524">
        <v>0</v>
      </c>
      <c r="J3524">
        <v>0</v>
      </c>
      <c r="K3524">
        <v>0</v>
      </c>
      <c r="L3524">
        <v>0</v>
      </c>
      <c r="M3524">
        <v>0</v>
      </c>
      <c r="N3524">
        <v>39363</v>
      </c>
      <c r="O3524">
        <v>43427</v>
      </c>
      <c r="P3524">
        <v>171742</v>
      </c>
      <c r="Q3524">
        <v>9</v>
      </c>
      <c r="R3524">
        <v>5</v>
      </c>
      <c r="S3524">
        <v>27</v>
      </c>
      <c r="T3524">
        <v>65</v>
      </c>
      <c r="U3524">
        <v>79</v>
      </c>
    </row>
    <row r="3525" spans="1:21" x14ac:dyDescent="0.35">
      <c r="A3525" t="s">
        <v>21</v>
      </c>
      <c r="B3525" s="1">
        <v>44512</v>
      </c>
      <c r="C3525" t="s">
        <v>31</v>
      </c>
      <c r="D3525">
        <v>25.8</v>
      </c>
      <c r="E3525">
        <v>3.8</v>
      </c>
      <c r="F3525">
        <v>3</v>
      </c>
      <c r="G3525">
        <v>6.8</v>
      </c>
      <c r="H3525">
        <v>8.6</v>
      </c>
      <c r="I3525">
        <v>0</v>
      </c>
      <c r="J3525">
        <v>0</v>
      </c>
      <c r="K3525">
        <v>0</v>
      </c>
      <c r="L3525">
        <v>0</v>
      </c>
      <c r="M3525">
        <v>0</v>
      </c>
      <c r="N3525">
        <v>54236</v>
      </c>
      <c r="O3525">
        <v>104235</v>
      </c>
      <c r="P3525">
        <v>100914</v>
      </c>
      <c r="Q3525">
        <v>14</v>
      </c>
      <c r="R3525">
        <v>4</v>
      </c>
      <c r="S3525">
        <v>3</v>
      </c>
      <c r="T3525">
        <v>65</v>
      </c>
      <c r="U3525">
        <v>79</v>
      </c>
    </row>
    <row r="3526" spans="1:21" x14ac:dyDescent="0.35">
      <c r="A3526" t="s">
        <v>28</v>
      </c>
      <c r="B3526" s="1">
        <v>45232</v>
      </c>
      <c r="C3526" t="s">
        <v>30</v>
      </c>
      <c r="D3526">
        <v>93.1</v>
      </c>
      <c r="E3526">
        <v>202.2</v>
      </c>
      <c r="F3526">
        <v>180.4</v>
      </c>
      <c r="G3526">
        <v>0.5</v>
      </c>
      <c r="H3526">
        <v>0.5</v>
      </c>
      <c r="I3526">
        <v>0</v>
      </c>
      <c r="J3526">
        <v>0</v>
      </c>
      <c r="K3526">
        <v>0</v>
      </c>
      <c r="L3526">
        <v>0</v>
      </c>
      <c r="M3526">
        <v>0</v>
      </c>
      <c r="N3526">
        <v>24710</v>
      </c>
      <c r="O3526">
        <v>11376</v>
      </c>
      <c r="P3526">
        <v>47122</v>
      </c>
      <c r="Q3526">
        <v>23</v>
      </c>
      <c r="R3526">
        <v>23</v>
      </c>
      <c r="S3526">
        <v>85</v>
      </c>
      <c r="T3526">
        <v>80</v>
      </c>
      <c r="U3526">
        <v>200</v>
      </c>
    </row>
    <row r="3527" spans="1:21" x14ac:dyDescent="0.35">
      <c r="A3527" t="s">
        <v>28</v>
      </c>
      <c r="B3527" s="1">
        <v>44237</v>
      </c>
      <c r="C3527" t="s">
        <v>29</v>
      </c>
      <c r="D3527">
        <v>200.7</v>
      </c>
      <c r="E3527">
        <v>68.3</v>
      </c>
      <c r="F3527">
        <v>0</v>
      </c>
      <c r="G3527">
        <v>2.9</v>
      </c>
      <c r="H3527">
        <v>0</v>
      </c>
      <c r="I3527">
        <v>0</v>
      </c>
      <c r="J3527">
        <v>0</v>
      </c>
      <c r="K3527">
        <v>0</v>
      </c>
      <c r="L3527">
        <v>0</v>
      </c>
      <c r="M3527">
        <v>0</v>
      </c>
      <c r="N3527">
        <v>218778</v>
      </c>
      <c r="O3527">
        <v>533019</v>
      </c>
      <c r="P3527">
        <v>0</v>
      </c>
      <c r="Q3527">
        <v>439</v>
      </c>
      <c r="R3527">
        <v>364</v>
      </c>
      <c r="S3527">
        <v>0</v>
      </c>
      <c r="T3527">
        <v>30</v>
      </c>
      <c r="U3527">
        <v>49</v>
      </c>
    </row>
    <row r="3528" spans="1:21" x14ac:dyDescent="0.35">
      <c r="A3528" t="s">
        <v>21</v>
      </c>
      <c r="B3528" s="1">
        <v>44599</v>
      </c>
      <c r="C3528" t="s">
        <v>24</v>
      </c>
      <c r="D3528">
        <v>0</v>
      </c>
      <c r="E3528">
        <v>0</v>
      </c>
      <c r="F3528">
        <v>0</v>
      </c>
      <c r="G3528">
        <v>0</v>
      </c>
      <c r="H3528">
        <v>0</v>
      </c>
      <c r="I3528">
        <v>0</v>
      </c>
      <c r="J3528">
        <v>0</v>
      </c>
      <c r="K3528">
        <v>0</v>
      </c>
      <c r="L3528">
        <v>0</v>
      </c>
      <c r="M3528">
        <v>0</v>
      </c>
      <c r="N3528">
        <v>99299</v>
      </c>
      <c r="O3528">
        <v>90057</v>
      </c>
      <c r="P3528">
        <v>6610</v>
      </c>
      <c r="Q3528">
        <v>0</v>
      </c>
      <c r="R3528">
        <v>0</v>
      </c>
      <c r="S3528">
        <v>0</v>
      </c>
      <c r="T3528">
        <v>5</v>
      </c>
      <c r="U3528">
        <v>11</v>
      </c>
    </row>
    <row r="3529" spans="1:21" x14ac:dyDescent="0.35">
      <c r="A3529" t="s">
        <v>26</v>
      </c>
      <c r="B3529" s="1">
        <v>44863</v>
      </c>
      <c r="C3529" t="s">
        <v>29</v>
      </c>
      <c r="D3529">
        <v>7.6</v>
      </c>
      <c r="E3529">
        <v>3.3</v>
      </c>
      <c r="F3529">
        <v>3.7</v>
      </c>
      <c r="G3529">
        <v>2.2999999999999998</v>
      </c>
      <c r="H3529">
        <v>2.1</v>
      </c>
      <c r="I3529">
        <v>0</v>
      </c>
      <c r="J3529">
        <v>0</v>
      </c>
      <c r="K3529">
        <v>0</v>
      </c>
      <c r="L3529">
        <v>0</v>
      </c>
      <c r="M3529">
        <v>0</v>
      </c>
      <c r="N3529">
        <v>118225</v>
      </c>
      <c r="O3529">
        <v>276436</v>
      </c>
      <c r="P3529">
        <v>347042</v>
      </c>
      <c r="Q3529">
        <v>9</v>
      </c>
      <c r="R3529">
        <v>9</v>
      </c>
      <c r="S3529">
        <v>13</v>
      </c>
      <c r="T3529">
        <v>30</v>
      </c>
      <c r="U3529">
        <v>49</v>
      </c>
    </row>
    <row r="3530" spans="1:21" x14ac:dyDescent="0.35">
      <c r="A3530" t="s">
        <v>21</v>
      </c>
      <c r="B3530" s="1">
        <v>44897</v>
      </c>
      <c r="C3530" t="s">
        <v>27</v>
      </c>
      <c r="D3530">
        <v>0</v>
      </c>
      <c r="E3530">
        <v>0</v>
      </c>
      <c r="F3530">
        <v>0</v>
      </c>
      <c r="G3530">
        <v>0</v>
      </c>
      <c r="H3530">
        <v>0</v>
      </c>
      <c r="I3530">
        <v>0</v>
      </c>
      <c r="J3530">
        <v>0</v>
      </c>
      <c r="K3530">
        <v>0</v>
      </c>
      <c r="L3530">
        <v>0</v>
      </c>
      <c r="M3530">
        <v>0</v>
      </c>
      <c r="N3530">
        <v>41212</v>
      </c>
      <c r="O3530">
        <v>95886</v>
      </c>
      <c r="P3530">
        <v>21795</v>
      </c>
      <c r="Q3530">
        <v>0</v>
      </c>
      <c r="R3530">
        <v>0</v>
      </c>
      <c r="S3530">
        <v>0</v>
      </c>
      <c r="T3530">
        <v>12</v>
      </c>
      <c r="U3530">
        <v>17</v>
      </c>
    </row>
    <row r="3531" spans="1:21" x14ac:dyDescent="0.35">
      <c r="A3531" t="s">
        <v>26</v>
      </c>
      <c r="B3531" s="1">
        <v>44657</v>
      </c>
      <c r="C3531" t="s">
        <v>22</v>
      </c>
      <c r="D3531">
        <v>14.3</v>
      </c>
      <c r="E3531">
        <v>4.0999999999999996</v>
      </c>
      <c r="F3531">
        <v>9.1999999999999993</v>
      </c>
      <c r="G3531">
        <v>3.5</v>
      </c>
      <c r="H3531">
        <v>1.6</v>
      </c>
      <c r="I3531">
        <v>18</v>
      </c>
      <c r="J3531">
        <v>5.2</v>
      </c>
      <c r="K3531">
        <v>6.5</v>
      </c>
      <c r="L3531">
        <v>3.4</v>
      </c>
      <c r="M3531">
        <v>2.8</v>
      </c>
      <c r="N3531">
        <v>641809</v>
      </c>
      <c r="O3531">
        <v>878533</v>
      </c>
      <c r="P3531">
        <v>974045</v>
      </c>
      <c r="Q3531">
        <v>92</v>
      </c>
      <c r="R3531">
        <v>36</v>
      </c>
      <c r="S3531">
        <v>90</v>
      </c>
      <c r="T3531">
        <v>999</v>
      </c>
      <c r="U3531">
        <v>999</v>
      </c>
    </row>
    <row r="3532" spans="1:21" x14ac:dyDescent="0.35">
      <c r="A3532" t="s">
        <v>26</v>
      </c>
      <c r="B3532" s="1">
        <v>44720</v>
      </c>
      <c r="C3532" t="s">
        <v>30</v>
      </c>
      <c r="D3532">
        <v>64.7</v>
      </c>
      <c r="E3532">
        <v>51.1</v>
      </c>
      <c r="F3532">
        <v>66.599999999999994</v>
      </c>
      <c r="G3532">
        <v>1.3</v>
      </c>
      <c r="H3532">
        <v>1</v>
      </c>
      <c r="I3532">
        <v>0</v>
      </c>
      <c r="J3532">
        <v>0</v>
      </c>
      <c r="K3532">
        <v>0</v>
      </c>
      <c r="L3532">
        <v>0</v>
      </c>
      <c r="M3532">
        <v>0</v>
      </c>
      <c r="N3532">
        <v>26292</v>
      </c>
      <c r="O3532">
        <v>11735</v>
      </c>
      <c r="P3532">
        <v>46545</v>
      </c>
      <c r="Q3532">
        <v>17</v>
      </c>
      <c r="R3532">
        <v>6</v>
      </c>
      <c r="S3532">
        <v>31</v>
      </c>
      <c r="T3532">
        <v>80</v>
      </c>
      <c r="U3532">
        <v>200</v>
      </c>
    </row>
    <row r="3533" spans="1:21" x14ac:dyDescent="0.35">
      <c r="A3533" t="s">
        <v>26</v>
      </c>
      <c r="B3533" s="1">
        <v>44590</v>
      </c>
      <c r="C3533" t="s">
        <v>27</v>
      </c>
      <c r="D3533">
        <v>6.8</v>
      </c>
      <c r="E3533">
        <v>1</v>
      </c>
      <c r="F3533">
        <v>0</v>
      </c>
      <c r="G3533">
        <v>6.8</v>
      </c>
      <c r="H3533">
        <v>0</v>
      </c>
      <c r="I3533">
        <v>0</v>
      </c>
      <c r="J3533">
        <v>0</v>
      </c>
      <c r="K3533">
        <v>0</v>
      </c>
      <c r="L3533">
        <v>0</v>
      </c>
      <c r="M3533">
        <v>0</v>
      </c>
      <c r="N3533">
        <v>44003</v>
      </c>
      <c r="O3533">
        <v>100652</v>
      </c>
      <c r="P3533">
        <v>13613</v>
      </c>
      <c r="Q3533">
        <v>3</v>
      </c>
      <c r="R3533">
        <v>1</v>
      </c>
      <c r="S3533">
        <v>0</v>
      </c>
      <c r="T3533">
        <v>12</v>
      </c>
      <c r="U3533">
        <v>17</v>
      </c>
    </row>
    <row r="3534" spans="1:21" x14ac:dyDescent="0.35">
      <c r="A3534" t="s">
        <v>21</v>
      </c>
      <c r="B3534" s="1">
        <v>45094</v>
      </c>
      <c r="C3534" t="s">
        <v>29</v>
      </c>
      <c r="D3534">
        <v>0</v>
      </c>
      <c r="E3534">
        <v>0</v>
      </c>
      <c r="F3534">
        <v>0</v>
      </c>
      <c r="G3534">
        <v>0</v>
      </c>
      <c r="H3534">
        <v>0</v>
      </c>
      <c r="I3534">
        <v>0</v>
      </c>
      <c r="J3534">
        <v>0</v>
      </c>
      <c r="K3534">
        <v>0</v>
      </c>
      <c r="L3534">
        <v>0</v>
      </c>
      <c r="M3534">
        <v>0</v>
      </c>
      <c r="N3534">
        <v>108176</v>
      </c>
      <c r="O3534">
        <v>278399</v>
      </c>
      <c r="P3534">
        <v>347307</v>
      </c>
      <c r="Q3534">
        <v>0</v>
      </c>
      <c r="R3534">
        <v>0</v>
      </c>
      <c r="S3534">
        <v>0</v>
      </c>
      <c r="T3534">
        <v>30</v>
      </c>
      <c r="U3534">
        <v>49</v>
      </c>
    </row>
    <row r="3535" spans="1:21" x14ac:dyDescent="0.35">
      <c r="A3535" t="s">
        <v>28</v>
      </c>
      <c r="B3535" s="1">
        <v>44555</v>
      </c>
      <c r="C3535" t="s">
        <v>31</v>
      </c>
      <c r="D3535">
        <v>892.8</v>
      </c>
      <c r="E3535">
        <v>705.2</v>
      </c>
      <c r="F3535">
        <v>339.1</v>
      </c>
      <c r="G3535">
        <v>1.3</v>
      </c>
      <c r="H3535">
        <v>2.6</v>
      </c>
      <c r="I3535">
        <v>0</v>
      </c>
      <c r="J3535">
        <v>0</v>
      </c>
      <c r="K3535">
        <v>0</v>
      </c>
      <c r="L3535">
        <v>0</v>
      </c>
      <c r="M3535">
        <v>0</v>
      </c>
      <c r="N3535">
        <v>52868</v>
      </c>
      <c r="O3535">
        <v>86648</v>
      </c>
      <c r="P3535">
        <v>119716</v>
      </c>
      <c r="Q3535">
        <v>472</v>
      </c>
      <c r="R3535">
        <v>611</v>
      </c>
      <c r="S3535">
        <v>406</v>
      </c>
      <c r="T3535">
        <v>65</v>
      </c>
      <c r="U3535">
        <v>79</v>
      </c>
    </row>
    <row r="3536" spans="1:21" x14ac:dyDescent="0.35">
      <c r="A3536" t="s">
        <v>28</v>
      </c>
      <c r="B3536" s="1">
        <v>44772</v>
      </c>
      <c r="C3536" t="s">
        <v>22</v>
      </c>
      <c r="D3536">
        <v>269.3</v>
      </c>
      <c r="E3536">
        <v>155.9</v>
      </c>
      <c r="F3536">
        <v>235.2</v>
      </c>
      <c r="G3536">
        <v>1.7</v>
      </c>
      <c r="H3536">
        <v>1.1000000000000001</v>
      </c>
      <c r="I3536">
        <v>319.7</v>
      </c>
      <c r="J3536">
        <v>149.69999999999999</v>
      </c>
      <c r="K3536">
        <v>197.8</v>
      </c>
      <c r="L3536">
        <v>2.1</v>
      </c>
      <c r="M3536">
        <v>1.6</v>
      </c>
      <c r="N3536">
        <v>617241</v>
      </c>
      <c r="O3536">
        <v>853308</v>
      </c>
      <c r="P3536">
        <v>1009629</v>
      </c>
      <c r="Q3536">
        <v>1662</v>
      </c>
      <c r="R3536">
        <v>1330</v>
      </c>
      <c r="S3536">
        <v>2375</v>
      </c>
      <c r="T3536">
        <v>999</v>
      </c>
      <c r="U3536">
        <v>999</v>
      </c>
    </row>
    <row r="3537" spans="1:21" x14ac:dyDescent="0.35">
      <c r="A3537" t="s">
        <v>21</v>
      </c>
      <c r="B3537" s="1">
        <v>45192</v>
      </c>
      <c r="C3537" t="s">
        <v>32</v>
      </c>
      <c r="D3537">
        <v>0</v>
      </c>
      <c r="E3537">
        <v>0</v>
      </c>
      <c r="F3537">
        <v>0</v>
      </c>
      <c r="G3537">
        <v>0</v>
      </c>
      <c r="H3537">
        <v>0</v>
      </c>
      <c r="I3537">
        <v>0</v>
      </c>
      <c r="J3537">
        <v>0</v>
      </c>
      <c r="K3537">
        <v>0</v>
      </c>
      <c r="L3537">
        <v>0</v>
      </c>
      <c r="M3537">
        <v>0</v>
      </c>
      <c r="N3537">
        <v>162642</v>
      </c>
      <c r="O3537">
        <v>0</v>
      </c>
      <c r="P3537">
        <v>0</v>
      </c>
      <c r="Q3537">
        <v>0</v>
      </c>
      <c r="R3537">
        <v>0</v>
      </c>
      <c r="S3537">
        <v>0</v>
      </c>
      <c r="T3537">
        <v>0</v>
      </c>
      <c r="U3537">
        <v>4</v>
      </c>
    </row>
    <row r="3538" spans="1:21" x14ac:dyDescent="0.35">
      <c r="A3538" t="s">
        <v>26</v>
      </c>
      <c r="B3538" s="1">
        <v>44800</v>
      </c>
      <c r="C3538" t="s">
        <v>29</v>
      </c>
      <c r="D3538">
        <v>10.4</v>
      </c>
      <c r="E3538">
        <v>5.4</v>
      </c>
      <c r="F3538">
        <v>4.3</v>
      </c>
      <c r="G3538">
        <v>1.9</v>
      </c>
      <c r="H3538">
        <v>2.4</v>
      </c>
      <c r="I3538">
        <v>0</v>
      </c>
      <c r="J3538">
        <v>0</v>
      </c>
      <c r="K3538">
        <v>0</v>
      </c>
      <c r="L3538">
        <v>0</v>
      </c>
      <c r="M3538">
        <v>0</v>
      </c>
      <c r="N3538">
        <v>125403</v>
      </c>
      <c r="O3538">
        <v>276779</v>
      </c>
      <c r="P3538">
        <v>345420</v>
      </c>
      <c r="Q3538">
        <v>13</v>
      </c>
      <c r="R3538">
        <v>15</v>
      </c>
      <c r="S3538">
        <v>15</v>
      </c>
      <c r="T3538">
        <v>30</v>
      </c>
      <c r="U3538">
        <v>49</v>
      </c>
    </row>
    <row r="3539" spans="1:21" x14ac:dyDescent="0.35">
      <c r="A3539" t="s">
        <v>28</v>
      </c>
      <c r="B3539" s="1">
        <v>45213</v>
      </c>
      <c r="C3539" t="s">
        <v>27</v>
      </c>
      <c r="D3539">
        <v>22.1</v>
      </c>
      <c r="E3539">
        <v>8.1</v>
      </c>
      <c r="F3539">
        <v>6.7</v>
      </c>
      <c r="G3539">
        <v>2.7</v>
      </c>
      <c r="H3539">
        <v>3.3</v>
      </c>
      <c r="I3539">
        <v>0</v>
      </c>
      <c r="J3539">
        <v>0</v>
      </c>
      <c r="K3539">
        <v>0</v>
      </c>
      <c r="L3539">
        <v>0</v>
      </c>
      <c r="M3539">
        <v>0</v>
      </c>
      <c r="N3539">
        <v>31636</v>
      </c>
      <c r="O3539">
        <v>86569</v>
      </c>
      <c r="P3539">
        <v>44606</v>
      </c>
      <c r="Q3539">
        <v>7</v>
      </c>
      <c r="R3539">
        <v>7</v>
      </c>
      <c r="S3539">
        <v>3</v>
      </c>
      <c r="T3539">
        <v>12</v>
      </c>
      <c r="U3539">
        <v>17</v>
      </c>
    </row>
    <row r="3540" spans="1:21" x14ac:dyDescent="0.35">
      <c r="A3540" t="s">
        <v>21</v>
      </c>
      <c r="B3540" s="1">
        <v>44884</v>
      </c>
      <c r="C3540" t="s">
        <v>31</v>
      </c>
      <c r="D3540">
        <v>0</v>
      </c>
      <c r="E3540">
        <v>0</v>
      </c>
      <c r="F3540">
        <v>0</v>
      </c>
      <c r="G3540">
        <v>0</v>
      </c>
      <c r="H3540">
        <v>0</v>
      </c>
      <c r="I3540">
        <v>0</v>
      </c>
      <c r="J3540">
        <v>0</v>
      </c>
      <c r="K3540">
        <v>0</v>
      </c>
      <c r="L3540">
        <v>0</v>
      </c>
      <c r="M3540">
        <v>0</v>
      </c>
      <c r="N3540">
        <v>41725</v>
      </c>
      <c r="O3540">
        <v>43336</v>
      </c>
      <c r="P3540">
        <v>171598</v>
      </c>
      <c r="Q3540">
        <v>0</v>
      </c>
      <c r="R3540">
        <v>0</v>
      </c>
      <c r="S3540">
        <v>0</v>
      </c>
      <c r="T3540">
        <v>65</v>
      </c>
      <c r="U3540">
        <v>79</v>
      </c>
    </row>
    <row r="3541" spans="1:21" x14ac:dyDescent="0.35">
      <c r="A3541" t="s">
        <v>26</v>
      </c>
      <c r="B3541" s="1">
        <v>44871</v>
      </c>
      <c r="C3541" t="s">
        <v>31</v>
      </c>
      <c r="D3541">
        <v>29.9</v>
      </c>
      <c r="E3541">
        <v>25.5</v>
      </c>
      <c r="F3541">
        <v>9</v>
      </c>
      <c r="G3541">
        <v>1.2</v>
      </c>
      <c r="H3541">
        <v>3.3</v>
      </c>
      <c r="I3541">
        <v>0</v>
      </c>
      <c r="J3541">
        <v>0</v>
      </c>
      <c r="K3541">
        <v>0</v>
      </c>
      <c r="L3541">
        <v>0</v>
      </c>
      <c r="M3541">
        <v>0</v>
      </c>
      <c r="N3541">
        <v>46831</v>
      </c>
      <c r="O3541">
        <v>47037</v>
      </c>
      <c r="P3541">
        <v>166138</v>
      </c>
      <c r="Q3541">
        <v>14</v>
      </c>
      <c r="R3541">
        <v>12</v>
      </c>
      <c r="S3541">
        <v>15</v>
      </c>
      <c r="T3541">
        <v>65</v>
      </c>
      <c r="U3541">
        <v>79</v>
      </c>
    </row>
    <row r="3542" spans="1:21" x14ac:dyDescent="0.35">
      <c r="A3542" t="s">
        <v>21</v>
      </c>
      <c r="B3542" s="1">
        <v>44863</v>
      </c>
      <c r="C3542" t="s">
        <v>27</v>
      </c>
      <c r="D3542">
        <v>0</v>
      </c>
      <c r="E3542">
        <v>0</v>
      </c>
      <c r="F3542">
        <v>0</v>
      </c>
      <c r="G3542">
        <v>0</v>
      </c>
      <c r="H3542">
        <v>0</v>
      </c>
      <c r="I3542">
        <v>0</v>
      </c>
      <c r="J3542">
        <v>0</v>
      </c>
      <c r="K3542">
        <v>0</v>
      </c>
      <c r="L3542">
        <v>0</v>
      </c>
      <c r="M3542">
        <v>0</v>
      </c>
      <c r="N3542">
        <v>34446</v>
      </c>
      <c r="O3542">
        <v>85966</v>
      </c>
      <c r="P3542">
        <v>44479</v>
      </c>
      <c r="Q3542">
        <v>0</v>
      </c>
      <c r="R3542">
        <v>0</v>
      </c>
      <c r="S3542">
        <v>0</v>
      </c>
      <c r="T3542">
        <v>12</v>
      </c>
      <c r="U3542">
        <v>17</v>
      </c>
    </row>
    <row r="3543" spans="1:21" x14ac:dyDescent="0.35">
      <c r="A3543" t="s">
        <v>28</v>
      </c>
      <c r="B3543" s="1">
        <v>45073</v>
      </c>
      <c r="C3543" t="s">
        <v>27</v>
      </c>
      <c r="D3543">
        <v>15.4</v>
      </c>
      <c r="E3543">
        <v>3.5</v>
      </c>
      <c r="F3543">
        <v>15.7</v>
      </c>
      <c r="G3543">
        <v>4.4000000000000004</v>
      </c>
      <c r="H3543">
        <v>1</v>
      </c>
      <c r="I3543">
        <v>0</v>
      </c>
      <c r="J3543">
        <v>0</v>
      </c>
      <c r="K3543">
        <v>0</v>
      </c>
      <c r="L3543">
        <v>0</v>
      </c>
      <c r="M3543">
        <v>0</v>
      </c>
      <c r="N3543">
        <v>32492</v>
      </c>
      <c r="O3543">
        <v>86582</v>
      </c>
      <c r="P3543">
        <v>44579</v>
      </c>
      <c r="Q3543">
        <v>5</v>
      </c>
      <c r="R3543">
        <v>3</v>
      </c>
      <c r="S3543">
        <v>7</v>
      </c>
      <c r="T3543">
        <v>12</v>
      </c>
      <c r="U3543">
        <v>17</v>
      </c>
    </row>
    <row r="3544" spans="1:21" x14ac:dyDescent="0.35">
      <c r="A3544" t="s">
        <v>26</v>
      </c>
      <c r="B3544" s="1">
        <v>44237</v>
      </c>
      <c r="C3544" t="s">
        <v>22</v>
      </c>
      <c r="D3544">
        <v>12.7</v>
      </c>
      <c r="E3544">
        <v>3.1</v>
      </c>
      <c r="F3544">
        <v>0</v>
      </c>
      <c r="G3544">
        <v>4.0999999999999996</v>
      </c>
      <c r="H3544">
        <v>0</v>
      </c>
      <c r="I3544">
        <v>18.399999999999999</v>
      </c>
      <c r="J3544">
        <v>2.4</v>
      </c>
      <c r="K3544">
        <v>0</v>
      </c>
      <c r="L3544">
        <v>7.8</v>
      </c>
      <c r="M3544">
        <v>0</v>
      </c>
      <c r="N3544">
        <v>1009399</v>
      </c>
      <c r="O3544">
        <v>1510653</v>
      </c>
      <c r="P3544">
        <v>0</v>
      </c>
      <c r="Q3544">
        <v>128</v>
      </c>
      <c r="R3544">
        <v>47</v>
      </c>
      <c r="S3544">
        <v>0</v>
      </c>
      <c r="T3544">
        <v>999</v>
      </c>
      <c r="U3544">
        <v>999</v>
      </c>
    </row>
    <row r="3545" spans="1:21" x14ac:dyDescent="0.35">
      <c r="A3545" t="s">
        <v>28</v>
      </c>
      <c r="B3545" s="1">
        <v>45101</v>
      </c>
      <c r="C3545" t="s">
        <v>31</v>
      </c>
      <c r="D3545">
        <v>10.199999999999999</v>
      </c>
      <c r="E3545">
        <v>18.399999999999999</v>
      </c>
      <c r="F3545">
        <v>21</v>
      </c>
      <c r="G3545">
        <v>0.6</v>
      </c>
      <c r="H3545">
        <v>0.5</v>
      </c>
      <c r="I3545">
        <v>0</v>
      </c>
      <c r="J3545">
        <v>0</v>
      </c>
      <c r="K3545">
        <v>0</v>
      </c>
      <c r="L3545">
        <v>0</v>
      </c>
      <c r="M3545">
        <v>0</v>
      </c>
      <c r="N3545">
        <v>39394</v>
      </c>
      <c r="O3545">
        <v>43428</v>
      </c>
      <c r="P3545">
        <v>171739</v>
      </c>
      <c r="Q3545">
        <v>4</v>
      </c>
      <c r="R3545">
        <v>8</v>
      </c>
      <c r="S3545">
        <v>36</v>
      </c>
      <c r="T3545">
        <v>65</v>
      </c>
      <c r="U3545">
        <v>79</v>
      </c>
    </row>
    <row r="3546" spans="1:21" x14ac:dyDescent="0.35">
      <c r="A3546" t="s">
        <v>21</v>
      </c>
      <c r="B3546" s="1">
        <v>45213</v>
      </c>
      <c r="C3546" t="s">
        <v>29</v>
      </c>
      <c r="D3546">
        <v>0</v>
      </c>
      <c r="E3546">
        <v>0</v>
      </c>
      <c r="F3546">
        <v>0</v>
      </c>
      <c r="G3546">
        <v>0</v>
      </c>
      <c r="H3546">
        <v>0</v>
      </c>
      <c r="I3546">
        <v>0</v>
      </c>
      <c r="J3546">
        <v>0</v>
      </c>
      <c r="K3546">
        <v>0</v>
      </c>
      <c r="L3546">
        <v>0</v>
      </c>
      <c r="M3546">
        <v>0</v>
      </c>
      <c r="N3546">
        <v>104020</v>
      </c>
      <c r="O3546">
        <v>278747</v>
      </c>
      <c r="P3546">
        <v>347612</v>
      </c>
      <c r="Q3546">
        <v>0</v>
      </c>
      <c r="R3546">
        <v>0</v>
      </c>
      <c r="S3546">
        <v>0</v>
      </c>
      <c r="T3546">
        <v>30</v>
      </c>
      <c r="U3546">
        <v>49</v>
      </c>
    </row>
    <row r="3547" spans="1:21" x14ac:dyDescent="0.35">
      <c r="A3547" t="s">
        <v>21</v>
      </c>
      <c r="B3547" s="1">
        <v>44786</v>
      </c>
      <c r="C3547" t="s">
        <v>29</v>
      </c>
      <c r="D3547">
        <v>0</v>
      </c>
      <c r="E3547">
        <v>0</v>
      </c>
      <c r="F3547">
        <v>0</v>
      </c>
      <c r="G3547">
        <v>0</v>
      </c>
      <c r="H3547">
        <v>0</v>
      </c>
      <c r="I3547">
        <v>0</v>
      </c>
      <c r="J3547">
        <v>0</v>
      </c>
      <c r="K3547">
        <v>0</v>
      </c>
      <c r="L3547">
        <v>0</v>
      </c>
      <c r="M3547">
        <v>0</v>
      </c>
      <c r="N3547">
        <v>125984</v>
      </c>
      <c r="O3547">
        <v>277655</v>
      </c>
      <c r="P3547">
        <v>344132</v>
      </c>
      <c r="Q3547">
        <v>0</v>
      </c>
      <c r="R3547">
        <v>0</v>
      </c>
      <c r="S3547">
        <v>0</v>
      </c>
      <c r="T3547">
        <v>30</v>
      </c>
      <c r="U3547">
        <v>49</v>
      </c>
    </row>
    <row r="3548" spans="1:21" x14ac:dyDescent="0.35">
      <c r="A3548" t="s">
        <v>21</v>
      </c>
      <c r="B3548" s="1">
        <v>44331</v>
      </c>
      <c r="C3548" t="s">
        <v>23</v>
      </c>
      <c r="D3548">
        <v>7.2</v>
      </c>
      <c r="E3548">
        <v>0</v>
      </c>
      <c r="F3548">
        <v>0</v>
      </c>
      <c r="G3548">
        <v>0</v>
      </c>
      <c r="H3548">
        <v>0</v>
      </c>
      <c r="I3548">
        <v>0</v>
      </c>
      <c r="J3548">
        <v>0</v>
      </c>
      <c r="K3548">
        <v>0</v>
      </c>
      <c r="L3548">
        <v>0</v>
      </c>
      <c r="M3548">
        <v>0</v>
      </c>
      <c r="N3548">
        <v>139168</v>
      </c>
      <c r="O3548">
        <v>218624</v>
      </c>
      <c r="P3548">
        <v>0</v>
      </c>
      <c r="Q3548">
        <v>10</v>
      </c>
      <c r="R3548">
        <v>0</v>
      </c>
      <c r="S3548">
        <v>0</v>
      </c>
      <c r="T3548">
        <v>50</v>
      </c>
      <c r="U3548">
        <v>64</v>
      </c>
    </row>
    <row r="3549" spans="1:21" x14ac:dyDescent="0.35">
      <c r="A3549" t="s">
        <v>26</v>
      </c>
      <c r="B3549" s="1">
        <v>44919</v>
      </c>
      <c r="C3549" t="s">
        <v>22</v>
      </c>
      <c r="D3549">
        <v>15.4</v>
      </c>
      <c r="E3549">
        <v>6.8</v>
      </c>
      <c r="F3549">
        <v>13.1</v>
      </c>
      <c r="G3549">
        <v>2.2999999999999998</v>
      </c>
      <c r="H3549">
        <v>1.2</v>
      </c>
      <c r="I3549">
        <v>21.9</v>
      </c>
      <c r="J3549">
        <v>10.4</v>
      </c>
      <c r="K3549">
        <v>9.4</v>
      </c>
      <c r="L3549">
        <v>2.1</v>
      </c>
      <c r="M3549">
        <v>2.2999999999999998</v>
      </c>
      <c r="N3549">
        <v>556867</v>
      </c>
      <c r="O3549">
        <v>853365</v>
      </c>
      <c r="P3549">
        <v>1040060</v>
      </c>
      <c r="Q3549">
        <v>86</v>
      </c>
      <c r="R3549">
        <v>58</v>
      </c>
      <c r="S3549">
        <v>136</v>
      </c>
      <c r="T3549">
        <v>999</v>
      </c>
      <c r="U3549">
        <v>999</v>
      </c>
    </row>
    <row r="3550" spans="1:21" x14ac:dyDescent="0.35">
      <c r="A3550" t="s">
        <v>21</v>
      </c>
      <c r="B3550" s="1">
        <v>45142</v>
      </c>
      <c r="C3550" t="s">
        <v>24</v>
      </c>
      <c r="D3550">
        <v>0</v>
      </c>
      <c r="E3550">
        <v>0</v>
      </c>
      <c r="F3550">
        <v>0</v>
      </c>
      <c r="G3550">
        <v>0</v>
      </c>
      <c r="H3550">
        <v>0</v>
      </c>
      <c r="I3550">
        <v>0</v>
      </c>
      <c r="J3550">
        <v>0</v>
      </c>
      <c r="K3550">
        <v>0</v>
      </c>
      <c r="L3550">
        <v>0</v>
      </c>
      <c r="M3550">
        <v>0</v>
      </c>
      <c r="N3550">
        <v>91121</v>
      </c>
      <c r="O3550">
        <v>82526</v>
      </c>
      <c r="P3550">
        <v>21223</v>
      </c>
      <c r="Q3550">
        <v>0</v>
      </c>
      <c r="R3550">
        <v>0</v>
      </c>
      <c r="S3550">
        <v>0</v>
      </c>
      <c r="T3550">
        <v>5</v>
      </c>
      <c r="U3550">
        <v>11</v>
      </c>
    </row>
    <row r="3551" spans="1:21" x14ac:dyDescent="0.35">
      <c r="A3551" t="s">
        <v>21</v>
      </c>
      <c r="B3551" s="1">
        <v>44618</v>
      </c>
      <c r="C3551" t="s">
        <v>23</v>
      </c>
      <c r="D3551">
        <v>8.6</v>
      </c>
      <c r="E3551">
        <v>2.1</v>
      </c>
      <c r="F3551">
        <v>0.9</v>
      </c>
      <c r="G3551">
        <v>4.0999999999999996</v>
      </c>
      <c r="H3551">
        <v>9.6</v>
      </c>
      <c r="I3551">
        <v>0</v>
      </c>
      <c r="J3551">
        <v>0</v>
      </c>
      <c r="K3551">
        <v>0</v>
      </c>
      <c r="L3551">
        <v>0</v>
      </c>
      <c r="M3551">
        <v>0</v>
      </c>
      <c r="N3551">
        <v>46700</v>
      </c>
      <c r="O3551">
        <v>145752</v>
      </c>
      <c r="P3551">
        <v>217214</v>
      </c>
      <c r="Q3551">
        <v>4</v>
      </c>
      <c r="R3551">
        <v>3</v>
      </c>
      <c r="S3551">
        <v>2</v>
      </c>
      <c r="T3551">
        <v>50</v>
      </c>
      <c r="U3551">
        <v>64</v>
      </c>
    </row>
    <row r="3552" spans="1:21" x14ac:dyDescent="0.35">
      <c r="A3552" t="s">
        <v>26</v>
      </c>
      <c r="B3552" s="1">
        <v>44599</v>
      </c>
      <c r="C3552" t="s">
        <v>22</v>
      </c>
      <c r="D3552">
        <v>12.7</v>
      </c>
      <c r="E3552">
        <v>5.8</v>
      </c>
      <c r="F3552">
        <v>9.3000000000000007</v>
      </c>
      <c r="G3552">
        <v>2.2000000000000002</v>
      </c>
      <c r="H3552">
        <v>1.4</v>
      </c>
      <c r="I3552">
        <v>16</v>
      </c>
      <c r="J3552">
        <v>7.3</v>
      </c>
      <c r="K3552">
        <v>6.4</v>
      </c>
      <c r="L3552">
        <v>2.2000000000000002</v>
      </c>
      <c r="M3552">
        <v>2.5</v>
      </c>
      <c r="N3552">
        <v>631303</v>
      </c>
      <c r="O3552">
        <v>865202</v>
      </c>
      <c r="P3552">
        <v>992967</v>
      </c>
      <c r="Q3552">
        <v>80</v>
      </c>
      <c r="R3552">
        <v>50</v>
      </c>
      <c r="S3552">
        <v>92</v>
      </c>
      <c r="T3552">
        <v>999</v>
      </c>
      <c r="U3552">
        <v>999</v>
      </c>
    </row>
    <row r="3553" spans="1:21" x14ac:dyDescent="0.35">
      <c r="A3553" t="s">
        <v>21</v>
      </c>
      <c r="B3553" s="1">
        <v>44473</v>
      </c>
      <c r="C3553" t="s">
        <v>29</v>
      </c>
      <c r="D3553">
        <v>0.9</v>
      </c>
      <c r="E3553">
        <v>0</v>
      </c>
      <c r="F3553">
        <v>0</v>
      </c>
      <c r="G3553">
        <v>0</v>
      </c>
      <c r="H3553">
        <v>0</v>
      </c>
      <c r="I3553">
        <v>0</v>
      </c>
      <c r="J3553">
        <v>0</v>
      </c>
      <c r="K3553">
        <v>0</v>
      </c>
      <c r="L3553">
        <v>0</v>
      </c>
      <c r="M3553">
        <v>0</v>
      </c>
      <c r="N3553">
        <v>455598</v>
      </c>
      <c r="O3553">
        <v>123661</v>
      </c>
      <c r="P3553">
        <v>0</v>
      </c>
      <c r="Q3553">
        <v>4</v>
      </c>
      <c r="R3553">
        <v>0</v>
      </c>
      <c r="S3553">
        <v>0</v>
      </c>
      <c r="T3553">
        <v>30</v>
      </c>
      <c r="U3553">
        <v>49</v>
      </c>
    </row>
    <row r="3554" spans="1:21" x14ac:dyDescent="0.35">
      <c r="A3554" t="s">
        <v>26</v>
      </c>
      <c r="B3554" s="1">
        <v>44783</v>
      </c>
      <c r="C3554" t="s">
        <v>31</v>
      </c>
      <c r="D3554">
        <v>6.8</v>
      </c>
      <c r="E3554">
        <v>27.6</v>
      </c>
      <c r="F3554">
        <v>14.6</v>
      </c>
      <c r="G3554">
        <v>0.2</v>
      </c>
      <c r="H3554">
        <v>0.5</v>
      </c>
      <c r="I3554">
        <v>0</v>
      </c>
      <c r="J3554">
        <v>0</v>
      </c>
      <c r="K3554">
        <v>0</v>
      </c>
      <c r="L3554">
        <v>0</v>
      </c>
      <c r="M3554">
        <v>0</v>
      </c>
      <c r="N3554">
        <v>43949</v>
      </c>
      <c r="O3554">
        <v>43409</v>
      </c>
      <c r="P3554">
        <v>171395</v>
      </c>
      <c r="Q3554">
        <v>3</v>
      </c>
      <c r="R3554">
        <v>12</v>
      </c>
      <c r="S3554">
        <v>25</v>
      </c>
      <c r="T3554">
        <v>65</v>
      </c>
      <c r="U3554">
        <v>79</v>
      </c>
    </row>
    <row r="3555" spans="1:21" x14ac:dyDescent="0.35">
      <c r="A3555" t="s">
        <v>21</v>
      </c>
      <c r="B3555" s="1">
        <v>45136</v>
      </c>
      <c r="C3555" t="s">
        <v>23</v>
      </c>
      <c r="D3555">
        <v>3.1</v>
      </c>
      <c r="E3555">
        <v>0</v>
      </c>
      <c r="F3555">
        <v>0.4</v>
      </c>
      <c r="G3555">
        <v>0</v>
      </c>
      <c r="H3555">
        <v>7.8</v>
      </c>
      <c r="I3555">
        <v>0</v>
      </c>
      <c r="J3555">
        <v>0</v>
      </c>
      <c r="K3555">
        <v>0</v>
      </c>
      <c r="L3555">
        <v>0</v>
      </c>
      <c r="M3555">
        <v>0</v>
      </c>
      <c r="N3555">
        <v>32542</v>
      </c>
      <c r="O3555">
        <v>125729</v>
      </c>
      <c r="P3555">
        <v>246933</v>
      </c>
      <c r="Q3555">
        <v>1</v>
      </c>
      <c r="R3555">
        <v>0</v>
      </c>
      <c r="S3555">
        <v>1</v>
      </c>
      <c r="T3555">
        <v>50</v>
      </c>
      <c r="U3555">
        <v>64</v>
      </c>
    </row>
    <row r="3556" spans="1:21" x14ac:dyDescent="0.35">
      <c r="A3556" t="s">
        <v>26</v>
      </c>
      <c r="B3556" s="1">
        <v>44562</v>
      </c>
      <c r="C3556" t="s">
        <v>25</v>
      </c>
      <c r="D3556">
        <v>86.3</v>
      </c>
      <c r="E3556">
        <v>18</v>
      </c>
      <c r="F3556">
        <v>9.6999999999999993</v>
      </c>
      <c r="G3556">
        <v>4.8</v>
      </c>
      <c r="H3556">
        <v>8.9</v>
      </c>
      <c r="I3556">
        <v>0</v>
      </c>
      <c r="J3556">
        <v>0</v>
      </c>
      <c r="K3556">
        <v>0</v>
      </c>
      <c r="L3556">
        <v>0</v>
      </c>
      <c r="M3556">
        <v>0</v>
      </c>
      <c r="N3556">
        <v>135521</v>
      </c>
      <c r="O3556">
        <v>266118</v>
      </c>
      <c r="P3556">
        <v>72360</v>
      </c>
      <c r="Q3556">
        <v>117</v>
      </c>
      <c r="R3556">
        <v>48</v>
      </c>
      <c r="S3556">
        <v>7</v>
      </c>
      <c r="T3556">
        <v>18</v>
      </c>
      <c r="U3556">
        <v>29</v>
      </c>
    </row>
    <row r="3557" spans="1:21" x14ac:dyDescent="0.35">
      <c r="A3557" t="s">
        <v>26</v>
      </c>
      <c r="B3557" s="1">
        <v>44821</v>
      </c>
      <c r="C3557" t="s">
        <v>24</v>
      </c>
      <c r="D3557">
        <v>0</v>
      </c>
      <c r="E3557">
        <v>1.2</v>
      </c>
      <c r="F3557">
        <v>0</v>
      </c>
      <c r="G3557">
        <v>0</v>
      </c>
      <c r="H3557">
        <v>0</v>
      </c>
      <c r="I3557">
        <v>0</v>
      </c>
      <c r="J3557">
        <v>0</v>
      </c>
      <c r="K3557">
        <v>0</v>
      </c>
      <c r="L3557">
        <v>0</v>
      </c>
      <c r="M3557">
        <v>0</v>
      </c>
      <c r="N3557">
        <v>95128</v>
      </c>
      <c r="O3557">
        <v>81802</v>
      </c>
      <c r="P3557">
        <v>18308</v>
      </c>
      <c r="Q3557">
        <v>0</v>
      </c>
      <c r="R3557">
        <v>1</v>
      </c>
      <c r="S3557">
        <v>0</v>
      </c>
      <c r="T3557">
        <v>5</v>
      </c>
      <c r="U3557">
        <v>11</v>
      </c>
    </row>
    <row r="3558" spans="1:21" x14ac:dyDescent="0.35">
      <c r="A3558" t="s">
        <v>28</v>
      </c>
      <c r="B3558" s="1">
        <v>44897</v>
      </c>
      <c r="C3558" t="s">
        <v>25</v>
      </c>
      <c r="D3558">
        <v>216.1</v>
      </c>
      <c r="E3558">
        <v>76.5</v>
      </c>
      <c r="F3558">
        <v>126.2</v>
      </c>
      <c r="G3558">
        <v>2.8</v>
      </c>
      <c r="H3558">
        <v>1.7</v>
      </c>
      <c r="I3558">
        <v>0</v>
      </c>
      <c r="J3558">
        <v>0</v>
      </c>
      <c r="K3558">
        <v>0</v>
      </c>
      <c r="L3558">
        <v>0</v>
      </c>
      <c r="M3558">
        <v>0</v>
      </c>
      <c r="N3558">
        <v>105504</v>
      </c>
      <c r="O3558">
        <v>222132</v>
      </c>
      <c r="P3558">
        <v>129112</v>
      </c>
      <c r="Q3558">
        <v>228</v>
      </c>
      <c r="R3558">
        <v>170</v>
      </c>
      <c r="S3558">
        <v>163</v>
      </c>
      <c r="T3558">
        <v>18</v>
      </c>
      <c r="U3558">
        <v>29</v>
      </c>
    </row>
    <row r="3559" spans="1:21" x14ac:dyDescent="0.35">
      <c r="A3559" t="s">
        <v>26</v>
      </c>
      <c r="B3559" s="1">
        <v>44930</v>
      </c>
      <c r="C3559" t="s">
        <v>31</v>
      </c>
      <c r="D3559">
        <v>12.5</v>
      </c>
      <c r="E3559">
        <v>11.5</v>
      </c>
      <c r="F3559">
        <v>12.2</v>
      </c>
      <c r="G3559">
        <v>1.1000000000000001</v>
      </c>
      <c r="H3559">
        <v>1</v>
      </c>
      <c r="I3559">
        <v>0</v>
      </c>
      <c r="J3559">
        <v>0</v>
      </c>
      <c r="K3559">
        <v>0</v>
      </c>
      <c r="L3559">
        <v>0</v>
      </c>
      <c r="M3559">
        <v>0</v>
      </c>
      <c r="N3559">
        <v>39878</v>
      </c>
      <c r="O3559">
        <v>43429</v>
      </c>
      <c r="P3559">
        <v>171712</v>
      </c>
      <c r="Q3559">
        <v>5</v>
      </c>
      <c r="R3559">
        <v>5</v>
      </c>
      <c r="S3559">
        <v>21</v>
      </c>
      <c r="T3559">
        <v>65</v>
      </c>
      <c r="U3559">
        <v>79</v>
      </c>
    </row>
    <row r="3560" spans="1:21" x14ac:dyDescent="0.35">
      <c r="A3560" t="s">
        <v>26</v>
      </c>
      <c r="B3560" s="1">
        <v>44310</v>
      </c>
      <c r="C3560" t="s">
        <v>22</v>
      </c>
      <c r="D3560">
        <v>21.6</v>
      </c>
      <c r="E3560">
        <v>1.7</v>
      </c>
      <c r="F3560">
        <v>0</v>
      </c>
      <c r="G3560">
        <v>12.7</v>
      </c>
      <c r="H3560">
        <v>0</v>
      </c>
      <c r="I3560">
        <v>27.5</v>
      </c>
      <c r="J3560">
        <v>1</v>
      </c>
      <c r="K3560">
        <v>0</v>
      </c>
      <c r="L3560">
        <v>27.1</v>
      </c>
      <c r="M3560">
        <v>0</v>
      </c>
      <c r="N3560">
        <v>1530109</v>
      </c>
      <c r="O3560">
        <v>593621</v>
      </c>
      <c r="P3560">
        <v>0</v>
      </c>
      <c r="Q3560">
        <v>330</v>
      </c>
      <c r="R3560">
        <v>10</v>
      </c>
      <c r="S3560">
        <v>0</v>
      </c>
      <c r="T3560">
        <v>999</v>
      </c>
      <c r="U3560">
        <v>999</v>
      </c>
    </row>
    <row r="3561" spans="1:21" x14ac:dyDescent="0.35">
      <c r="A3561" t="s">
        <v>26</v>
      </c>
      <c r="B3561" s="1">
        <v>44373</v>
      </c>
      <c r="C3561" t="s">
        <v>23</v>
      </c>
      <c r="D3561">
        <v>6.3</v>
      </c>
      <c r="E3561">
        <v>1</v>
      </c>
      <c r="F3561">
        <v>0</v>
      </c>
      <c r="G3561">
        <v>6.3</v>
      </c>
      <c r="H3561">
        <v>0</v>
      </c>
      <c r="I3561">
        <v>0</v>
      </c>
      <c r="J3561">
        <v>0</v>
      </c>
      <c r="K3561">
        <v>0</v>
      </c>
      <c r="L3561">
        <v>0</v>
      </c>
      <c r="M3561">
        <v>0</v>
      </c>
      <c r="N3561">
        <v>111605</v>
      </c>
      <c r="O3561">
        <v>294901</v>
      </c>
      <c r="P3561">
        <v>0</v>
      </c>
      <c r="Q3561">
        <v>7</v>
      </c>
      <c r="R3561">
        <v>3</v>
      </c>
      <c r="S3561">
        <v>0</v>
      </c>
      <c r="T3561">
        <v>50</v>
      </c>
      <c r="U3561">
        <v>64</v>
      </c>
    </row>
    <row r="3562" spans="1:21" x14ac:dyDescent="0.35">
      <c r="A3562" t="s">
        <v>21</v>
      </c>
      <c r="B3562" s="1">
        <v>44954</v>
      </c>
      <c r="C3562" t="s">
        <v>24</v>
      </c>
      <c r="D3562">
        <v>0</v>
      </c>
      <c r="E3562">
        <v>0</v>
      </c>
      <c r="F3562">
        <v>0</v>
      </c>
      <c r="G3562">
        <v>0</v>
      </c>
      <c r="H3562">
        <v>0</v>
      </c>
      <c r="I3562">
        <v>0</v>
      </c>
      <c r="J3562">
        <v>0</v>
      </c>
      <c r="K3562">
        <v>0</v>
      </c>
      <c r="L3562">
        <v>0</v>
      </c>
      <c r="M3562">
        <v>0</v>
      </c>
      <c r="N3562">
        <v>91930</v>
      </c>
      <c r="O3562">
        <v>81866</v>
      </c>
      <c r="P3562">
        <v>21179</v>
      </c>
      <c r="Q3562">
        <v>0</v>
      </c>
      <c r="R3562">
        <v>0</v>
      </c>
      <c r="S3562">
        <v>0</v>
      </c>
      <c r="T3562">
        <v>5</v>
      </c>
      <c r="U3562">
        <v>11</v>
      </c>
    </row>
    <row r="3563" spans="1:21" x14ac:dyDescent="0.35">
      <c r="A3563" t="s">
        <v>28</v>
      </c>
      <c r="B3563" s="1">
        <v>44898</v>
      </c>
      <c r="C3563" t="s">
        <v>29</v>
      </c>
      <c r="D3563">
        <v>50.5</v>
      </c>
      <c r="E3563">
        <v>16.7</v>
      </c>
      <c r="F3563">
        <v>44</v>
      </c>
      <c r="G3563">
        <v>3</v>
      </c>
      <c r="H3563">
        <v>1.1000000000000001</v>
      </c>
      <c r="I3563">
        <v>0</v>
      </c>
      <c r="J3563">
        <v>0</v>
      </c>
      <c r="K3563">
        <v>0</v>
      </c>
      <c r="L3563">
        <v>0</v>
      </c>
      <c r="M3563">
        <v>0</v>
      </c>
      <c r="N3563">
        <v>134617</v>
      </c>
      <c r="O3563">
        <v>294114</v>
      </c>
      <c r="P3563">
        <v>317904</v>
      </c>
      <c r="Q3563">
        <v>68</v>
      </c>
      <c r="R3563">
        <v>49</v>
      </c>
      <c r="S3563">
        <v>140</v>
      </c>
      <c r="T3563">
        <v>30</v>
      </c>
      <c r="U3563">
        <v>49</v>
      </c>
    </row>
    <row r="3564" spans="1:21" x14ac:dyDescent="0.35">
      <c r="A3564" t="s">
        <v>26</v>
      </c>
      <c r="B3564" s="1">
        <v>45136</v>
      </c>
      <c r="C3564" t="s">
        <v>29</v>
      </c>
      <c r="D3564">
        <v>1.9</v>
      </c>
      <c r="E3564">
        <v>0.7</v>
      </c>
      <c r="F3564">
        <v>0.3</v>
      </c>
      <c r="G3564">
        <v>2.7</v>
      </c>
      <c r="H3564">
        <v>6.3</v>
      </c>
      <c r="I3564">
        <v>0</v>
      </c>
      <c r="J3564">
        <v>0</v>
      </c>
      <c r="K3564">
        <v>0</v>
      </c>
      <c r="L3564">
        <v>0</v>
      </c>
      <c r="M3564">
        <v>0</v>
      </c>
      <c r="N3564">
        <v>107515</v>
      </c>
      <c r="O3564">
        <v>278402</v>
      </c>
      <c r="P3564">
        <v>347313</v>
      </c>
      <c r="Q3564">
        <v>2</v>
      </c>
      <c r="R3564">
        <v>2</v>
      </c>
      <c r="S3564">
        <v>1</v>
      </c>
      <c r="T3564">
        <v>30</v>
      </c>
      <c r="U3564">
        <v>49</v>
      </c>
    </row>
    <row r="3565" spans="1:21" x14ac:dyDescent="0.35">
      <c r="A3565" t="s">
        <v>26</v>
      </c>
      <c r="B3565" s="1">
        <v>44629</v>
      </c>
      <c r="C3565" t="s">
        <v>27</v>
      </c>
      <c r="D3565">
        <v>8.5</v>
      </c>
      <c r="E3565">
        <v>0</v>
      </c>
      <c r="F3565">
        <v>2.2999999999999998</v>
      </c>
      <c r="G3565">
        <v>0</v>
      </c>
      <c r="H3565">
        <v>3.7</v>
      </c>
      <c r="I3565">
        <v>0</v>
      </c>
      <c r="J3565">
        <v>0</v>
      </c>
      <c r="K3565">
        <v>0</v>
      </c>
      <c r="L3565">
        <v>0</v>
      </c>
      <c r="M3565">
        <v>0</v>
      </c>
      <c r="N3565">
        <v>35274</v>
      </c>
      <c r="O3565">
        <v>86333</v>
      </c>
      <c r="P3565">
        <v>43599</v>
      </c>
      <c r="Q3565">
        <v>3</v>
      </c>
      <c r="R3565">
        <v>0</v>
      </c>
      <c r="S3565">
        <v>1</v>
      </c>
      <c r="T3565">
        <v>12</v>
      </c>
      <c r="U3565">
        <v>17</v>
      </c>
    </row>
    <row r="3566" spans="1:21" x14ac:dyDescent="0.35">
      <c r="A3566" t="s">
        <v>28</v>
      </c>
      <c r="B3566" s="1">
        <v>44966</v>
      </c>
      <c r="C3566" t="s">
        <v>31</v>
      </c>
      <c r="D3566">
        <v>66.400000000000006</v>
      </c>
      <c r="E3566">
        <v>50.7</v>
      </c>
      <c r="F3566">
        <v>48.9</v>
      </c>
      <c r="G3566">
        <v>1.3</v>
      </c>
      <c r="H3566">
        <v>1.4</v>
      </c>
      <c r="I3566">
        <v>0</v>
      </c>
      <c r="J3566">
        <v>0</v>
      </c>
      <c r="K3566">
        <v>0</v>
      </c>
      <c r="L3566">
        <v>0</v>
      </c>
      <c r="M3566">
        <v>0</v>
      </c>
      <c r="N3566">
        <v>39162</v>
      </c>
      <c r="O3566">
        <v>43414</v>
      </c>
      <c r="P3566">
        <v>171755</v>
      </c>
      <c r="Q3566">
        <v>26</v>
      </c>
      <c r="R3566">
        <v>22</v>
      </c>
      <c r="S3566">
        <v>84</v>
      </c>
      <c r="T3566">
        <v>65</v>
      </c>
      <c r="U3566">
        <v>79</v>
      </c>
    </row>
    <row r="3567" spans="1:21" x14ac:dyDescent="0.35">
      <c r="A3567" t="s">
        <v>26</v>
      </c>
      <c r="B3567" s="1">
        <v>45129</v>
      </c>
      <c r="C3567" t="s">
        <v>27</v>
      </c>
      <c r="D3567">
        <v>0</v>
      </c>
      <c r="E3567">
        <v>0</v>
      </c>
      <c r="F3567">
        <v>0</v>
      </c>
      <c r="G3567">
        <v>0</v>
      </c>
      <c r="H3567">
        <v>0</v>
      </c>
      <c r="I3567">
        <v>0</v>
      </c>
      <c r="J3567">
        <v>0</v>
      </c>
      <c r="K3567">
        <v>0</v>
      </c>
      <c r="L3567">
        <v>0</v>
      </c>
      <c r="M3567">
        <v>0</v>
      </c>
      <c r="N3567">
        <v>32134</v>
      </c>
      <c r="O3567">
        <v>86577</v>
      </c>
      <c r="P3567">
        <v>44590</v>
      </c>
      <c r="Q3567">
        <v>0</v>
      </c>
      <c r="R3567">
        <v>0</v>
      </c>
      <c r="S3567">
        <v>0</v>
      </c>
      <c r="T3567">
        <v>12</v>
      </c>
      <c r="U3567">
        <v>17</v>
      </c>
    </row>
    <row r="3568" spans="1:21" x14ac:dyDescent="0.35">
      <c r="A3568" t="s">
        <v>28</v>
      </c>
      <c r="B3568" s="1">
        <v>45101</v>
      </c>
      <c r="C3568" t="s">
        <v>30</v>
      </c>
      <c r="D3568">
        <v>24.5</v>
      </c>
      <c r="E3568">
        <v>0</v>
      </c>
      <c r="F3568">
        <v>53</v>
      </c>
      <c r="G3568">
        <v>0</v>
      </c>
      <c r="H3568">
        <v>0.5</v>
      </c>
      <c r="I3568">
        <v>0</v>
      </c>
      <c r="J3568">
        <v>0</v>
      </c>
      <c r="K3568">
        <v>0</v>
      </c>
      <c r="L3568">
        <v>0</v>
      </c>
      <c r="M3568">
        <v>0</v>
      </c>
      <c r="N3568">
        <v>24509</v>
      </c>
      <c r="O3568">
        <v>11383</v>
      </c>
      <c r="P3568">
        <v>47130</v>
      </c>
      <c r="Q3568">
        <v>6</v>
      </c>
      <c r="R3568">
        <v>0</v>
      </c>
      <c r="S3568">
        <v>25</v>
      </c>
      <c r="T3568">
        <v>80</v>
      </c>
      <c r="U3568">
        <v>200</v>
      </c>
    </row>
    <row r="3569" spans="1:21" x14ac:dyDescent="0.35">
      <c r="A3569" t="s">
        <v>28</v>
      </c>
      <c r="B3569" s="1">
        <v>45142</v>
      </c>
      <c r="C3569" t="s">
        <v>23</v>
      </c>
      <c r="D3569">
        <v>77.8</v>
      </c>
      <c r="E3569">
        <v>33.4</v>
      </c>
      <c r="F3569">
        <v>45</v>
      </c>
      <c r="G3569">
        <v>2.2999999999999998</v>
      </c>
      <c r="H3569">
        <v>1.7</v>
      </c>
      <c r="I3569">
        <v>0</v>
      </c>
      <c r="J3569">
        <v>0</v>
      </c>
      <c r="K3569">
        <v>0</v>
      </c>
      <c r="L3569">
        <v>0</v>
      </c>
      <c r="M3569">
        <v>0</v>
      </c>
      <c r="N3569">
        <v>33404</v>
      </c>
      <c r="O3569">
        <v>125694</v>
      </c>
      <c r="P3569">
        <v>246895</v>
      </c>
      <c r="Q3569">
        <v>26</v>
      </c>
      <c r="R3569">
        <v>42</v>
      </c>
      <c r="S3569">
        <v>111</v>
      </c>
      <c r="T3569">
        <v>50</v>
      </c>
      <c r="U3569">
        <v>64</v>
      </c>
    </row>
    <row r="3570" spans="1:21" x14ac:dyDescent="0.35">
      <c r="A3570" t="s">
        <v>26</v>
      </c>
      <c r="B3570" s="1">
        <v>44629</v>
      </c>
      <c r="C3570" t="s">
        <v>23</v>
      </c>
      <c r="D3570">
        <v>42.2</v>
      </c>
      <c r="E3570">
        <v>8</v>
      </c>
      <c r="F3570">
        <v>8.1</v>
      </c>
      <c r="G3570">
        <v>5.3</v>
      </c>
      <c r="H3570">
        <v>5.2</v>
      </c>
      <c r="I3570">
        <v>0</v>
      </c>
      <c r="J3570">
        <v>0</v>
      </c>
      <c r="K3570">
        <v>0</v>
      </c>
      <c r="L3570">
        <v>0</v>
      </c>
      <c r="M3570">
        <v>0</v>
      </c>
      <c r="N3570">
        <v>40251</v>
      </c>
      <c r="O3570">
        <v>125600</v>
      </c>
      <c r="P3570">
        <v>245831</v>
      </c>
      <c r="Q3570">
        <v>17</v>
      </c>
      <c r="R3570">
        <v>10</v>
      </c>
      <c r="S3570">
        <v>20</v>
      </c>
      <c r="T3570">
        <v>50</v>
      </c>
      <c r="U3570">
        <v>64</v>
      </c>
    </row>
    <row r="3571" spans="1:21" x14ac:dyDescent="0.35">
      <c r="A3571" t="s">
        <v>26</v>
      </c>
      <c r="B3571" s="1">
        <v>44527</v>
      </c>
      <c r="C3571" t="s">
        <v>31</v>
      </c>
      <c r="D3571">
        <v>104</v>
      </c>
      <c r="E3571">
        <v>19.600000000000001</v>
      </c>
      <c r="F3571">
        <v>4.9000000000000004</v>
      </c>
      <c r="G3571">
        <v>5.3</v>
      </c>
      <c r="H3571">
        <v>21.2</v>
      </c>
      <c r="I3571">
        <v>0</v>
      </c>
      <c r="J3571">
        <v>0</v>
      </c>
      <c r="K3571">
        <v>0</v>
      </c>
      <c r="L3571">
        <v>0</v>
      </c>
      <c r="M3571">
        <v>0</v>
      </c>
      <c r="N3571">
        <v>55747</v>
      </c>
      <c r="O3571">
        <v>122640</v>
      </c>
      <c r="P3571">
        <v>81384</v>
      </c>
      <c r="Q3571">
        <v>58</v>
      </c>
      <c r="R3571">
        <v>24</v>
      </c>
      <c r="S3571">
        <v>4</v>
      </c>
      <c r="T3571">
        <v>65</v>
      </c>
      <c r="U3571">
        <v>79</v>
      </c>
    </row>
    <row r="3572" spans="1:21" x14ac:dyDescent="0.35">
      <c r="A3572" t="s">
        <v>21</v>
      </c>
      <c r="B3572" s="1">
        <v>44975</v>
      </c>
      <c r="C3572" t="s">
        <v>25</v>
      </c>
      <c r="D3572">
        <v>0</v>
      </c>
      <c r="E3572">
        <v>0</v>
      </c>
      <c r="F3572">
        <v>0</v>
      </c>
      <c r="G3572">
        <v>0</v>
      </c>
      <c r="H3572">
        <v>0</v>
      </c>
      <c r="I3572">
        <v>0</v>
      </c>
      <c r="J3572">
        <v>0</v>
      </c>
      <c r="K3572">
        <v>0</v>
      </c>
      <c r="L3572">
        <v>0</v>
      </c>
      <c r="M3572">
        <v>0</v>
      </c>
      <c r="N3572">
        <v>77142</v>
      </c>
      <c r="O3572">
        <v>213438</v>
      </c>
      <c r="P3572">
        <v>161646</v>
      </c>
      <c r="Q3572">
        <v>0</v>
      </c>
      <c r="R3572">
        <v>0</v>
      </c>
      <c r="S3572">
        <v>0</v>
      </c>
      <c r="T3572">
        <v>18</v>
      </c>
      <c r="U3572">
        <v>29</v>
      </c>
    </row>
    <row r="3573" spans="1:21" x14ac:dyDescent="0.35">
      <c r="A3573" t="s">
        <v>21</v>
      </c>
      <c r="B3573" s="1">
        <v>44856</v>
      </c>
      <c r="C3573" t="s">
        <v>31</v>
      </c>
      <c r="D3573">
        <v>2.2999999999999998</v>
      </c>
      <c r="E3573">
        <v>2.2999999999999998</v>
      </c>
      <c r="F3573">
        <v>0.6</v>
      </c>
      <c r="G3573">
        <v>1</v>
      </c>
      <c r="H3573">
        <v>3.8</v>
      </c>
      <c r="I3573">
        <v>0</v>
      </c>
      <c r="J3573">
        <v>0</v>
      </c>
      <c r="K3573">
        <v>0</v>
      </c>
      <c r="L3573">
        <v>0</v>
      </c>
      <c r="M3573">
        <v>0</v>
      </c>
      <c r="N3573">
        <v>43032</v>
      </c>
      <c r="O3573">
        <v>43378</v>
      </c>
      <c r="P3573">
        <v>171472</v>
      </c>
      <c r="Q3573">
        <v>1</v>
      </c>
      <c r="R3573">
        <v>1</v>
      </c>
      <c r="S3573">
        <v>1</v>
      </c>
      <c r="T3573">
        <v>65</v>
      </c>
      <c r="U3573">
        <v>79</v>
      </c>
    </row>
    <row r="3574" spans="1:21" x14ac:dyDescent="0.35">
      <c r="A3574" t="s">
        <v>21</v>
      </c>
      <c r="B3574" s="1">
        <v>44476</v>
      </c>
      <c r="C3574" t="s">
        <v>27</v>
      </c>
      <c r="D3574">
        <v>0</v>
      </c>
      <c r="E3574">
        <v>0</v>
      </c>
      <c r="F3574">
        <v>0</v>
      </c>
      <c r="G3574">
        <v>0</v>
      </c>
      <c r="H3574">
        <v>0</v>
      </c>
      <c r="I3574">
        <v>0</v>
      </c>
      <c r="J3574">
        <v>0</v>
      </c>
      <c r="K3574">
        <v>0</v>
      </c>
      <c r="L3574">
        <v>0</v>
      </c>
      <c r="M3574">
        <v>0</v>
      </c>
      <c r="N3574">
        <v>105323</v>
      </c>
      <c r="O3574">
        <v>53689</v>
      </c>
      <c r="P3574">
        <v>0</v>
      </c>
      <c r="Q3574">
        <v>0</v>
      </c>
      <c r="R3574">
        <v>0</v>
      </c>
      <c r="S3574">
        <v>0</v>
      </c>
      <c r="T3574">
        <v>12</v>
      </c>
      <c r="U3574">
        <v>17</v>
      </c>
    </row>
    <row r="3575" spans="1:21" x14ac:dyDescent="0.35">
      <c r="A3575" t="s">
        <v>28</v>
      </c>
      <c r="B3575" s="1">
        <v>45018</v>
      </c>
      <c r="C3575" t="s">
        <v>30</v>
      </c>
      <c r="D3575">
        <v>68.8</v>
      </c>
      <c r="E3575">
        <v>105.5</v>
      </c>
      <c r="F3575">
        <v>97.6</v>
      </c>
      <c r="G3575">
        <v>0.7</v>
      </c>
      <c r="H3575">
        <v>0.7</v>
      </c>
      <c r="I3575">
        <v>0</v>
      </c>
      <c r="J3575">
        <v>0</v>
      </c>
      <c r="K3575">
        <v>0</v>
      </c>
      <c r="L3575">
        <v>0</v>
      </c>
      <c r="M3575">
        <v>0</v>
      </c>
      <c r="N3575">
        <v>24721</v>
      </c>
      <c r="O3575">
        <v>11375</v>
      </c>
      <c r="P3575">
        <v>47121</v>
      </c>
      <c r="Q3575">
        <v>17</v>
      </c>
      <c r="R3575">
        <v>12</v>
      </c>
      <c r="S3575">
        <v>46</v>
      </c>
      <c r="T3575">
        <v>80</v>
      </c>
      <c r="U3575">
        <v>200</v>
      </c>
    </row>
    <row r="3576" spans="1:21" x14ac:dyDescent="0.35">
      <c r="A3576" t="s">
        <v>21</v>
      </c>
      <c r="B3576" s="1">
        <v>44692</v>
      </c>
      <c r="C3576" t="s">
        <v>27</v>
      </c>
      <c r="D3576">
        <v>0</v>
      </c>
      <c r="E3576">
        <v>0</v>
      </c>
      <c r="F3576">
        <v>0</v>
      </c>
      <c r="G3576">
        <v>0</v>
      </c>
      <c r="H3576">
        <v>0</v>
      </c>
      <c r="I3576">
        <v>0</v>
      </c>
      <c r="J3576">
        <v>0</v>
      </c>
      <c r="K3576">
        <v>0</v>
      </c>
      <c r="L3576">
        <v>0</v>
      </c>
      <c r="M3576">
        <v>0</v>
      </c>
      <c r="N3576">
        <v>34344</v>
      </c>
      <c r="O3576">
        <v>85986</v>
      </c>
      <c r="P3576">
        <v>44495</v>
      </c>
      <c r="Q3576">
        <v>0</v>
      </c>
      <c r="R3576">
        <v>0</v>
      </c>
      <c r="S3576">
        <v>0</v>
      </c>
      <c r="T3576">
        <v>12</v>
      </c>
      <c r="U3576">
        <v>17</v>
      </c>
    </row>
    <row r="3577" spans="1:21" x14ac:dyDescent="0.35">
      <c r="A3577" t="s">
        <v>21</v>
      </c>
      <c r="B3577" s="1">
        <v>44366</v>
      </c>
      <c r="C3577" t="s">
        <v>25</v>
      </c>
      <c r="D3577">
        <v>0</v>
      </c>
      <c r="E3577">
        <v>0</v>
      </c>
      <c r="F3577">
        <v>0</v>
      </c>
      <c r="G3577">
        <v>0</v>
      </c>
      <c r="H3577">
        <v>0</v>
      </c>
      <c r="I3577">
        <v>0</v>
      </c>
      <c r="J3577">
        <v>0</v>
      </c>
      <c r="K3577">
        <v>0</v>
      </c>
      <c r="L3577">
        <v>0</v>
      </c>
      <c r="M3577">
        <v>0</v>
      </c>
      <c r="N3577">
        <v>232120</v>
      </c>
      <c r="O3577">
        <v>245040</v>
      </c>
      <c r="P3577">
        <v>0</v>
      </c>
      <c r="Q3577">
        <v>0</v>
      </c>
      <c r="R3577">
        <v>0</v>
      </c>
      <c r="S3577">
        <v>0</v>
      </c>
      <c r="T3577">
        <v>18</v>
      </c>
      <c r="U3577">
        <v>29</v>
      </c>
    </row>
    <row r="3578" spans="1:21" x14ac:dyDescent="0.35">
      <c r="A3578" t="s">
        <v>26</v>
      </c>
      <c r="B3578" s="1">
        <v>44933</v>
      </c>
      <c r="C3578" t="s">
        <v>29</v>
      </c>
      <c r="D3578">
        <v>0.9</v>
      </c>
      <c r="E3578">
        <v>0</v>
      </c>
      <c r="F3578">
        <v>0</v>
      </c>
      <c r="G3578">
        <v>0</v>
      </c>
      <c r="H3578">
        <v>0</v>
      </c>
      <c r="I3578">
        <v>0</v>
      </c>
      <c r="J3578">
        <v>0</v>
      </c>
      <c r="K3578">
        <v>0</v>
      </c>
      <c r="L3578">
        <v>0</v>
      </c>
      <c r="M3578">
        <v>0</v>
      </c>
      <c r="N3578">
        <v>107930</v>
      </c>
      <c r="O3578">
        <v>278403</v>
      </c>
      <c r="P3578">
        <v>347308</v>
      </c>
      <c r="Q3578">
        <v>1</v>
      </c>
      <c r="R3578">
        <v>0</v>
      </c>
      <c r="S3578">
        <v>0</v>
      </c>
      <c r="T3578">
        <v>30</v>
      </c>
      <c r="U3578">
        <v>49</v>
      </c>
    </row>
    <row r="3579" spans="1:21" x14ac:dyDescent="0.35">
      <c r="A3579" t="s">
        <v>28</v>
      </c>
      <c r="B3579" s="1">
        <v>45185</v>
      </c>
      <c r="C3579" t="s">
        <v>23</v>
      </c>
      <c r="D3579">
        <v>120.9</v>
      </c>
      <c r="E3579">
        <v>35.799999999999997</v>
      </c>
      <c r="F3579">
        <v>46.2</v>
      </c>
      <c r="G3579">
        <v>3.4</v>
      </c>
      <c r="H3579">
        <v>2.6</v>
      </c>
      <c r="I3579">
        <v>0</v>
      </c>
      <c r="J3579">
        <v>0</v>
      </c>
      <c r="K3579">
        <v>0</v>
      </c>
      <c r="L3579">
        <v>0</v>
      </c>
      <c r="M3579">
        <v>0</v>
      </c>
      <c r="N3579">
        <v>32248</v>
      </c>
      <c r="O3579">
        <v>125721</v>
      </c>
      <c r="P3579">
        <v>246942</v>
      </c>
      <c r="Q3579">
        <v>39</v>
      </c>
      <c r="R3579">
        <v>45</v>
      </c>
      <c r="S3579">
        <v>114</v>
      </c>
      <c r="T3579">
        <v>50</v>
      </c>
      <c r="U3579">
        <v>64</v>
      </c>
    </row>
    <row r="3580" spans="1:21" x14ac:dyDescent="0.35">
      <c r="A3580" t="s">
        <v>28</v>
      </c>
      <c r="B3580" s="1">
        <v>45101</v>
      </c>
      <c r="C3580" t="s">
        <v>25</v>
      </c>
      <c r="D3580">
        <v>21.5</v>
      </c>
      <c r="E3580">
        <v>5.0999999999999996</v>
      </c>
      <c r="F3580">
        <v>5.6</v>
      </c>
      <c r="G3580">
        <v>4.2</v>
      </c>
      <c r="H3580">
        <v>3.8</v>
      </c>
      <c r="I3580">
        <v>0</v>
      </c>
      <c r="J3580">
        <v>0</v>
      </c>
      <c r="K3580">
        <v>0</v>
      </c>
      <c r="L3580">
        <v>0</v>
      </c>
      <c r="M3580">
        <v>0</v>
      </c>
      <c r="N3580">
        <v>74402</v>
      </c>
      <c r="O3580">
        <v>214137</v>
      </c>
      <c r="P3580">
        <v>161700</v>
      </c>
      <c r="Q3580">
        <v>16</v>
      </c>
      <c r="R3580">
        <v>11</v>
      </c>
      <c r="S3580">
        <v>9</v>
      </c>
      <c r="T3580">
        <v>18</v>
      </c>
      <c r="U3580">
        <v>29</v>
      </c>
    </row>
    <row r="3581" spans="1:21" x14ac:dyDescent="0.35">
      <c r="A3581" t="s">
        <v>28</v>
      </c>
      <c r="B3581" s="1">
        <v>45122</v>
      </c>
      <c r="C3581" t="s">
        <v>23</v>
      </c>
      <c r="D3581">
        <v>18.399999999999999</v>
      </c>
      <c r="E3581">
        <v>5.6</v>
      </c>
      <c r="F3581">
        <v>15</v>
      </c>
      <c r="G3581">
        <v>3.3</v>
      </c>
      <c r="H3581">
        <v>1.2</v>
      </c>
      <c r="I3581">
        <v>0</v>
      </c>
      <c r="J3581">
        <v>0</v>
      </c>
      <c r="K3581">
        <v>0</v>
      </c>
      <c r="L3581">
        <v>0</v>
      </c>
      <c r="M3581">
        <v>0</v>
      </c>
      <c r="N3581">
        <v>32602</v>
      </c>
      <c r="O3581">
        <v>125728</v>
      </c>
      <c r="P3581">
        <v>246933</v>
      </c>
      <c r="Q3581">
        <v>6</v>
      </c>
      <c r="R3581">
        <v>7</v>
      </c>
      <c r="S3581">
        <v>37</v>
      </c>
      <c r="T3581">
        <v>50</v>
      </c>
      <c r="U3581">
        <v>64</v>
      </c>
    </row>
    <row r="3582" spans="1:21" x14ac:dyDescent="0.35">
      <c r="A3582" t="s">
        <v>26</v>
      </c>
      <c r="B3582" s="1">
        <v>44758</v>
      </c>
      <c r="C3582" t="s">
        <v>25</v>
      </c>
      <c r="D3582">
        <v>12.9</v>
      </c>
      <c r="E3582">
        <v>3.3</v>
      </c>
      <c r="F3582">
        <v>2.5</v>
      </c>
      <c r="G3582">
        <v>3.9</v>
      </c>
      <c r="H3582">
        <v>5.2</v>
      </c>
      <c r="I3582">
        <v>0</v>
      </c>
      <c r="J3582">
        <v>0</v>
      </c>
      <c r="K3582">
        <v>0</v>
      </c>
      <c r="L3582">
        <v>0</v>
      </c>
      <c r="M3582">
        <v>0</v>
      </c>
      <c r="N3582">
        <v>93079</v>
      </c>
      <c r="O3582">
        <v>214025</v>
      </c>
      <c r="P3582">
        <v>156874</v>
      </c>
      <c r="Q3582">
        <v>12</v>
      </c>
      <c r="R3582">
        <v>7</v>
      </c>
      <c r="S3582">
        <v>4</v>
      </c>
      <c r="T3582">
        <v>18</v>
      </c>
      <c r="U3582">
        <v>29</v>
      </c>
    </row>
    <row r="3583" spans="1:21" x14ac:dyDescent="0.35">
      <c r="A3583" t="s">
        <v>28</v>
      </c>
      <c r="B3583" s="1">
        <v>44891</v>
      </c>
      <c r="C3583" t="s">
        <v>27</v>
      </c>
      <c r="D3583">
        <v>85.1</v>
      </c>
      <c r="E3583">
        <v>18.600000000000001</v>
      </c>
      <c r="F3583">
        <v>62.9</v>
      </c>
      <c r="G3583">
        <v>4.5999999999999996</v>
      </c>
      <c r="H3583">
        <v>1.4</v>
      </c>
      <c r="I3583">
        <v>0</v>
      </c>
      <c r="J3583">
        <v>0</v>
      </c>
      <c r="K3583">
        <v>0</v>
      </c>
      <c r="L3583">
        <v>0</v>
      </c>
      <c r="M3583">
        <v>0</v>
      </c>
      <c r="N3583">
        <v>34061</v>
      </c>
      <c r="O3583">
        <v>86072</v>
      </c>
      <c r="P3583">
        <v>44511</v>
      </c>
      <c r="Q3583">
        <v>29</v>
      </c>
      <c r="R3583">
        <v>16</v>
      </c>
      <c r="S3583">
        <v>28</v>
      </c>
      <c r="T3583">
        <v>12</v>
      </c>
      <c r="U3583">
        <v>17</v>
      </c>
    </row>
    <row r="3584" spans="1:21" x14ac:dyDescent="0.35">
      <c r="A3584" t="s">
        <v>26</v>
      </c>
      <c r="B3584" s="1">
        <v>45213</v>
      </c>
      <c r="C3584" t="s">
        <v>22</v>
      </c>
      <c r="D3584">
        <v>5.8</v>
      </c>
      <c r="E3584">
        <v>2.2999999999999998</v>
      </c>
      <c r="F3584">
        <v>4.4000000000000004</v>
      </c>
      <c r="G3584">
        <v>2.5</v>
      </c>
      <c r="H3584">
        <v>1.3</v>
      </c>
      <c r="I3584">
        <v>7.2</v>
      </c>
      <c r="J3584">
        <v>3.7</v>
      </c>
      <c r="K3584">
        <v>2.8</v>
      </c>
      <c r="L3584">
        <v>1.9</v>
      </c>
      <c r="M3584">
        <v>2.5</v>
      </c>
      <c r="N3584">
        <v>519565</v>
      </c>
      <c r="O3584">
        <v>861107</v>
      </c>
      <c r="P3584">
        <v>1041683</v>
      </c>
      <c r="Q3584">
        <v>30</v>
      </c>
      <c r="R3584">
        <v>20</v>
      </c>
      <c r="S3584">
        <v>46</v>
      </c>
      <c r="T3584">
        <v>999</v>
      </c>
      <c r="U3584">
        <v>999</v>
      </c>
    </row>
    <row r="3585" spans="1:21" x14ac:dyDescent="0.35">
      <c r="A3585" t="s">
        <v>26</v>
      </c>
      <c r="B3585" s="1">
        <v>45031</v>
      </c>
      <c r="C3585" t="s">
        <v>29</v>
      </c>
      <c r="D3585">
        <v>2.7</v>
      </c>
      <c r="E3585">
        <v>2.9</v>
      </c>
      <c r="F3585">
        <v>1.4</v>
      </c>
      <c r="G3585">
        <v>0.9</v>
      </c>
      <c r="H3585">
        <v>1.9</v>
      </c>
      <c r="I3585">
        <v>0</v>
      </c>
      <c r="J3585">
        <v>0</v>
      </c>
      <c r="K3585">
        <v>0</v>
      </c>
      <c r="L3585">
        <v>0</v>
      </c>
      <c r="M3585">
        <v>0</v>
      </c>
      <c r="N3585">
        <v>109559</v>
      </c>
      <c r="O3585">
        <v>278257</v>
      </c>
      <c r="P3585">
        <v>347286</v>
      </c>
      <c r="Q3585">
        <v>3</v>
      </c>
      <c r="R3585">
        <v>8</v>
      </c>
      <c r="S3585">
        <v>5</v>
      </c>
      <c r="T3585">
        <v>30</v>
      </c>
      <c r="U3585">
        <v>49</v>
      </c>
    </row>
    <row r="3586" spans="1:21" x14ac:dyDescent="0.35">
      <c r="A3586" t="s">
        <v>21</v>
      </c>
      <c r="B3586" s="1">
        <v>44310</v>
      </c>
      <c r="C3586" t="s">
        <v>27</v>
      </c>
      <c r="D3586">
        <v>0</v>
      </c>
      <c r="E3586">
        <v>0</v>
      </c>
      <c r="F3586">
        <v>0</v>
      </c>
      <c r="G3586">
        <v>0</v>
      </c>
      <c r="H3586">
        <v>0</v>
      </c>
      <c r="I3586">
        <v>0</v>
      </c>
      <c r="J3586">
        <v>0</v>
      </c>
      <c r="K3586">
        <v>0</v>
      </c>
      <c r="L3586">
        <v>0</v>
      </c>
      <c r="M3586">
        <v>0</v>
      </c>
      <c r="N3586">
        <v>170936</v>
      </c>
      <c r="O3586">
        <v>0</v>
      </c>
      <c r="P3586">
        <v>0</v>
      </c>
      <c r="Q3586">
        <v>0</v>
      </c>
      <c r="R3586">
        <v>0</v>
      </c>
      <c r="S3586">
        <v>0</v>
      </c>
      <c r="T3586">
        <v>12</v>
      </c>
      <c r="U3586">
        <v>17</v>
      </c>
    </row>
    <row r="3587" spans="1:21" x14ac:dyDescent="0.35">
      <c r="A3587" t="s">
        <v>21</v>
      </c>
      <c r="B3587" s="1">
        <v>44684</v>
      </c>
      <c r="C3587" t="s">
        <v>24</v>
      </c>
      <c r="D3587">
        <v>0.9</v>
      </c>
      <c r="E3587">
        <v>0</v>
      </c>
      <c r="F3587">
        <v>0</v>
      </c>
      <c r="G3587">
        <v>0</v>
      </c>
      <c r="H3587">
        <v>0</v>
      </c>
      <c r="I3587">
        <v>0</v>
      </c>
      <c r="J3587">
        <v>0</v>
      </c>
      <c r="K3587">
        <v>0</v>
      </c>
      <c r="L3587">
        <v>0</v>
      </c>
      <c r="M3587">
        <v>0</v>
      </c>
      <c r="N3587">
        <v>105610</v>
      </c>
      <c r="O3587">
        <v>83554</v>
      </c>
      <c r="P3587">
        <v>0</v>
      </c>
      <c r="Q3587">
        <v>1</v>
      </c>
      <c r="R3587">
        <v>0</v>
      </c>
      <c r="S3587">
        <v>0</v>
      </c>
      <c r="T3587">
        <v>5</v>
      </c>
      <c r="U3587">
        <v>11</v>
      </c>
    </row>
    <row r="3588" spans="1:21" x14ac:dyDescent="0.35">
      <c r="A3588" t="s">
        <v>21</v>
      </c>
      <c r="B3588" s="1">
        <v>44684</v>
      </c>
      <c r="C3588" t="s">
        <v>23</v>
      </c>
      <c r="D3588">
        <v>2.2000000000000002</v>
      </c>
      <c r="E3588">
        <v>0</v>
      </c>
      <c r="F3588">
        <v>0</v>
      </c>
      <c r="G3588">
        <v>0</v>
      </c>
      <c r="H3588">
        <v>0</v>
      </c>
      <c r="I3588">
        <v>0</v>
      </c>
      <c r="J3588">
        <v>0</v>
      </c>
      <c r="K3588">
        <v>0</v>
      </c>
      <c r="L3588">
        <v>0</v>
      </c>
      <c r="M3588">
        <v>0</v>
      </c>
      <c r="N3588">
        <v>46352</v>
      </c>
      <c r="O3588">
        <v>143917</v>
      </c>
      <c r="P3588">
        <v>219986</v>
      </c>
      <c r="Q3588">
        <v>1</v>
      </c>
      <c r="R3588">
        <v>0</v>
      </c>
      <c r="S3588">
        <v>0</v>
      </c>
      <c r="T3588">
        <v>50</v>
      </c>
      <c r="U3588">
        <v>64</v>
      </c>
    </row>
    <row r="3589" spans="1:21" x14ac:dyDescent="0.35">
      <c r="A3589" t="s">
        <v>28</v>
      </c>
      <c r="B3589" s="1">
        <v>45117</v>
      </c>
      <c r="C3589" t="s">
        <v>31</v>
      </c>
      <c r="D3589">
        <v>51.8</v>
      </c>
      <c r="E3589">
        <v>29.9</v>
      </c>
      <c r="F3589">
        <v>53</v>
      </c>
      <c r="G3589">
        <v>1.7</v>
      </c>
      <c r="H3589">
        <v>1</v>
      </c>
      <c r="I3589">
        <v>0</v>
      </c>
      <c r="J3589">
        <v>0</v>
      </c>
      <c r="K3589">
        <v>0</v>
      </c>
      <c r="L3589">
        <v>0</v>
      </c>
      <c r="M3589">
        <v>0</v>
      </c>
      <c r="N3589">
        <v>38643</v>
      </c>
      <c r="O3589">
        <v>43457</v>
      </c>
      <c r="P3589">
        <v>171823</v>
      </c>
      <c r="Q3589">
        <v>20</v>
      </c>
      <c r="R3589">
        <v>13</v>
      </c>
      <c r="S3589">
        <v>91</v>
      </c>
      <c r="T3589">
        <v>65</v>
      </c>
      <c r="U3589">
        <v>79</v>
      </c>
    </row>
    <row r="3590" spans="1:21" x14ac:dyDescent="0.35">
      <c r="A3590" t="s">
        <v>28</v>
      </c>
      <c r="B3590" s="1">
        <v>44846</v>
      </c>
      <c r="C3590" t="s">
        <v>29</v>
      </c>
      <c r="D3590">
        <v>285.10000000000002</v>
      </c>
      <c r="E3590">
        <v>123.1</v>
      </c>
      <c r="F3590">
        <v>157</v>
      </c>
      <c r="G3590">
        <v>2.2999999999999998</v>
      </c>
      <c r="H3590">
        <v>1.8</v>
      </c>
      <c r="I3590">
        <v>0</v>
      </c>
      <c r="J3590">
        <v>0</v>
      </c>
      <c r="K3590">
        <v>0</v>
      </c>
      <c r="L3590">
        <v>0</v>
      </c>
      <c r="M3590">
        <v>0</v>
      </c>
      <c r="N3590">
        <v>114339</v>
      </c>
      <c r="O3590">
        <v>276994</v>
      </c>
      <c r="P3590">
        <v>347125</v>
      </c>
      <c r="Q3590">
        <v>326</v>
      </c>
      <c r="R3590">
        <v>341</v>
      </c>
      <c r="S3590">
        <v>545</v>
      </c>
      <c r="T3590">
        <v>30</v>
      </c>
      <c r="U3590">
        <v>49</v>
      </c>
    </row>
    <row r="3591" spans="1:21" x14ac:dyDescent="0.35">
      <c r="A3591" t="s">
        <v>21</v>
      </c>
      <c r="B3591" s="1">
        <v>45192</v>
      </c>
      <c r="C3591" t="s">
        <v>24</v>
      </c>
      <c r="D3591">
        <v>0</v>
      </c>
      <c r="E3591">
        <v>0</v>
      </c>
      <c r="F3591">
        <v>0</v>
      </c>
      <c r="G3591">
        <v>0</v>
      </c>
      <c r="H3591">
        <v>0</v>
      </c>
      <c r="I3591">
        <v>0</v>
      </c>
      <c r="J3591">
        <v>0</v>
      </c>
      <c r="K3591">
        <v>0</v>
      </c>
      <c r="L3591">
        <v>0</v>
      </c>
      <c r="M3591">
        <v>0</v>
      </c>
      <c r="N3591">
        <v>89403</v>
      </c>
      <c r="O3591">
        <v>82669</v>
      </c>
      <c r="P3591">
        <v>21266</v>
      </c>
      <c r="Q3591">
        <v>0</v>
      </c>
      <c r="R3591">
        <v>0</v>
      </c>
      <c r="S3591">
        <v>0</v>
      </c>
      <c r="T3591">
        <v>5</v>
      </c>
      <c r="U3591">
        <v>11</v>
      </c>
    </row>
    <row r="3592" spans="1:21" x14ac:dyDescent="0.35">
      <c r="A3592" t="s">
        <v>28</v>
      </c>
      <c r="B3592" s="1">
        <v>45220</v>
      </c>
      <c r="C3592" t="s">
        <v>23</v>
      </c>
      <c r="D3592">
        <v>90</v>
      </c>
      <c r="E3592">
        <v>31</v>
      </c>
      <c r="F3592">
        <v>34.4</v>
      </c>
      <c r="G3592">
        <v>2.9</v>
      </c>
      <c r="H3592">
        <v>2.6</v>
      </c>
      <c r="I3592">
        <v>0</v>
      </c>
      <c r="J3592">
        <v>0</v>
      </c>
      <c r="K3592">
        <v>0</v>
      </c>
      <c r="L3592">
        <v>0</v>
      </c>
      <c r="M3592">
        <v>0</v>
      </c>
      <c r="N3592">
        <v>31095</v>
      </c>
      <c r="O3592">
        <v>125782</v>
      </c>
      <c r="P3592">
        <v>247254</v>
      </c>
      <c r="Q3592">
        <v>28</v>
      </c>
      <c r="R3592">
        <v>39</v>
      </c>
      <c r="S3592">
        <v>85</v>
      </c>
      <c r="T3592">
        <v>50</v>
      </c>
      <c r="U3592">
        <v>64</v>
      </c>
    </row>
    <row r="3593" spans="1:21" x14ac:dyDescent="0.35">
      <c r="A3593" t="s">
        <v>21</v>
      </c>
      <c r="B3593" s="1">
        <v>44975</v>
      </c>
      <c r="C3593" t="s">
        <v>27</v>
      </c>
      <c r="D3593">
        <v>0</v>
      </c>
      <c r="E3593">
        <v>0</v>
      </c>
      <c r="F3593">
        <v>0</v>
      </c>
      <c r="G3593">
        <v>0</v>
      </c>
      <c r="H3593">
        <v>0</v>
      </c>
      <c r="I3593">
        <v>0</v>
      </c>
      <c r="J3593">
        <v>0</v>
      </c>
      <c r="K3593">
        <v>0</v>
      </c>
      <c r="L3593">
        <v>0</v>
      </c>
      <c r="M3593">
        <v>0</v>
      </c>
      <c r="N3593">
        <v>33231</v>
      </c>
      <c r="O3593">
        <v>86353</v>
      </c>
      <c r="P3593">
        <v>44558</v>
      </c>
      <c r="Q3593">
        <v>0</v>
      </c>
      <c r="R3593">
        <v>0</v>
      </c>
      <c r="S3593">
        <v>0</v>
      </c>
      <c r="T3593">
        <v>12</v>
      </c>
      <c r="U3593">
        <v>17</v>
      </c>
    </row>
    <row r="3594" spans="1:21" x14ac:dyDescent="0.35">
      <c r="A3594" t="s">
        <v>21</v>
      </c>
      <c r="B3594" s="1">
        <v>44933</v>
      </c>
      <c r="C3594" t="s">
        <v>27</v>
      </c>
      <c r="D3594">
        <v>0</v>
      </c>
      <c r="E3594">
        <v>0</v>
      </c>
      <c r="F3594">
        <v>0</v>
      </c>
      <c r="G3594">
        <v>0</v>
      </c>
      <c r="H3594">
        <v>0</v>
      </c>
      <c r="I3594">
        <v>0</v>
      </c>
      <c r="J3594">
        <v>0</v>
      </c>
      <c r="K3594">
        <v>0</v>
      </c>
      <c r="L3594">
        <v>0</v>
      </c>
      <c r="M3594">
        <v>0</v>
      </c>
      <c r="N3594">
        <v>32274</v>
      </c>
      <c r="O3594">
        <v>86578</v>
      </c>
      <c r="P3594">
        <v>44588</v>
      </c>
      <c r="Q3594">
        <v>0</v>
      </c>
      <c r="R3594">
        <v>0</v>
      </c>
      <c r="S3594">
        <v>0</v>
      </c>
      <c r="T3594">
        <v>12</v>
      </c>
      <c r="U3594">
        <v>17</v>
      </c>
    </row>
    <row r="3595" spans="1:21" x14ac:dyDescent="0.35">
      <c r="A3595" t="s">
        <v>28</v>
      </c>
      <c r="B3595" s="1">
        <v>45178</v>
      </c>
      <c r="C3595" t="s">
        <v>23</v>
      </c>
      <c r="D3595">
        <v>102.3</v>
      </c>
      <c r="E3595">
        <v>44.5</v>
      </c>
      <c r="F3595">
        <v>57.5</v>
      </c>
      <c r="G3595">
        <v>2.2999999999999998</v>
      </c>
      <c r="H3595">
        <v>1.8</v>
      </c>
      <c r="I3595">
        <v>0</v>
      </c>
      <c r="J3595">
        <v>0</v>
      </c>
      <c r="K3595">
        <v>0</v>
      </c>
      <c r="L3595">
        <v>0</v>
      </c>
      <c r="M3595">
        <v>0</v>
      </c>
      <c r="N3595">
        <v>32271</v>
      </c>
      <c r="O3595">
        <v>125723</v>
      </c>
      <c r="P3595">
        <v>246940</v>
      </c>
      <c r="Q3595">
        <v>33</v>
      </c>
      <c r="R3595">
        <v>56</v>
      </c>
      <c r="S3595">
        <v>142</v>
      </c>
      <c r="T3595">
        <v>50</v>
      </c>
      <c r="U3595">
        <v>64</v>
      </c>
    </row>
    <row r="3596" spans="1:21" x14ac:dyDescent="0.35">
      <c r="A3596" t="s">
        <v>28</v>
      </c>
      <c r="B3596" s="1">
        <v>45059</v>
      </c>
      <c r="C3596" t="s">
        <v>30</v>
      </c>
      <c r="D3596">
        <v>28.5</v>
      </c>
      <c r="E3596">
        <v>52.7</v>
      </c>
      <c r="F3596">
        <v>78.5</v>
      </c>
      <c r="G3596">
        <v>0.5</v>
      </c>
      <c r="H3596">
        <v>0.4</v>
      </c>
      <c r="I3596">
        <v>0</v>
      </c>
      <c r="J3596">
        <v>0</v>
      </c>
      <c r="K3596">
        <v>0</v>
      </c>
      <c r="L3596">
        <v>0</v>
      </c>
      <c r="M3596">
        <v>0</v>
      </c>
      <c r="N3596">
        <v>24575</v>
      </c>
      <c r="O3596">
        <v>11384</v>
      </c>
      <c r="P3596">
        <v>47128</v>
      </c>
      <c r="Q3596">
        <v>7</v>
      </c>
      <c r="R3596">
        <v>6</v>
      </c>
      <c r="S3596">
        <v>37</v>
      </c>
      <c r="T3596">
        <v>80</v>
      </c>
      <c r="U3596">
        <v>200</v>
      </c>
    </row>
    <row r="3597" spans="1:21" x14ac:dyDescent="0.35">
      <c r="A3597" t="s">
        <v>21</v>
      </c>
      <c r="B3597" s="1">
        <v>44310</v>
      </c>
      <c r="C3597" t="s">
        <v>31</v>
      </c>
      <c r="D3597">
        <v>14.4</v>
      </c>
      <c r="E3597">
        <v>0</v>
      </c>
      <c r="F3597">
        <v>0</v>
      </c>
      <c r="G3597">
        <v>0</v>
      </c>
      <c r="H3597">
        <v>0</v>
      </c>
      <c r="I3597">
        <v>0</v>
      </c>
      <c r="J3597">
        <v>0</v>
      </c>
      <c r="K3597">
        <v>0</v>
      </c>
      <c r="L3597">
        <v>0</v>
      </c>
      <c r="M3597">
        <v>0</v>
      </c>
      <c r="N3597">
        <v>90355</v>
      </c>
      <c r="O3597">
        <v>140945</v>
      </c>
      <c r="P3597">
        <v>0</v>
      </c>
      <c r="Q3597">
        <v>13</v>
      </c>
      <c r="R3597">
        <v>0</v>
      </c>
      <c r="S3597">
        <v>0</v>
      </c>
      <c r="T3597">
        <v>65</v>
      </c>
      <c r="U3597">
        <v>79</v>
      </c>
    </row>
    <row r="3598" spans="1:21" x14ac:dyDescent="0.35">
      <c r="A3598" t="s">
        <v>28</v>
      </c>
      <c r="B3598" s="1">
        <v>44590</v>
      </c>
      <c r="C3598" t="s">
        <v>23</v>
      </c>
      <c r="D3598">
        <v>547.29999999999995</v>
      </c>
      <c r="E3598">
        <v>173.2</v>
      </c>
      <c r="F3598">
        <v>175</v>
      </c>
      <c r="G3598">
        <v>3.2</v>
      </c>
      <c r="H3598">
        <v>3.1</v>
      </c>
      <c r="I3598">
        <v>0</v>
      </c>
      <c r="J3598">
        <v>0</v>
      </c>
      <c r="K3598">
        <v>0</v>
      </c>
      <c r="L3598">
        <v>0</v>
      </c>
      <c r="M3598">
        <v>0</v>
      </c>
      <c r="N3598">
        <v>49696</v>
      </c>
      <c r="O3598">
        <v>165132</v>
      </c>
      <c r="P3598">
        <v>193153</v>
      </c>
      <c r="Q3598">
        <v>272</v>
      </c>
      <c r="R3598">
        <v>286</v>
      </c>
      <c r="S3598">
        <v>338</v>
      </c>
      <c r="T3598">
        <v>50</v>
      </c>
      <c r="U3598">
        <v>64</v>
      </c>
    </row>
    <row r="3599" spans="1:21" x14ac:dyDescent="0.35">
      <c r="A3599" t="s">
        <v>28</v>
      </c>
      <c r="B3599" s="1">
        <v>44576</v>
      </c>
      <c r="C3599" t="s">
        <v>30</v>
      </c>
      <c r="D3599">
        <v>986.3</v>
      </c>
      <c r="E3599">
        <v>1032.4000000000001</v>
      </c>
      <c r="F3599">
        <v>477.3</v>
      </c>
      <c r="G3599">
        <v>1</v>
      </c>
      <c r="H3599">
        <v>2.1</v>
      </c>
      <c r="I3599">
        <v>0</v>
      </c>
      <c r="J3599">
        <v>0</v>
      </c>
      <c r="K3599">
        <v>0</v>
      </c>
      <c r="L3599">
        <v>0</v>
      </c>
      <c r="M3599">
        <v>0</v>
      </c>
      <c r="N3599">
        <v>27679</v>
      </c>
      <c r="O3599">
        <v>18306</v>
      </c>
      <c r="P3599">
        <v>38129</v>
      </c>
      <c r="Q3599">
        <v>273</v>
      </c>
      <c r="R3599">
        <v>189</v>
      </c>
      <c r="S3599">
        <v>182</v>
      </c>
      <c r="T3599">
        <v>80</v>
      </c>
      <c r="U3599">
        <v>200</v>
      </c>
    </row>
    <row r="3600" spans="1:21" x14ac:dyDescent="0.35">
      <c r="A3600" t="s">
        <v>21</v>
      </c>
      <c r="B3600" s="1">
        <v>45241</v>
      </c>
      <c r="C3600" t="s">
        <v>22</v>
      </c>
      <c r="D3600">
        <v>0.2</v>
      </c>
      <c r="E3600">
        <v>0</v>
      </c>
      <c r="F3600">
        <v>0.3</v>
      </c>
      <c r="G3600">
        <v>0</v>
      </c>
      <c r="H3600">
        <v>0.7</v>
      </c>
      <c r="I3600">
        <v>0.3</v>
      </c>
      <c r="J3600">
        <v>0</v>
      </c>
      <c r="K3600">
        <v>0.2</v>
      </c>
      <c r="L3600">
        <v>0</v>
      </c>
      <c r="M3600">
        <v>1.3</v>
      </c>
      <c r="N3600">
        <v>509670</v>
      </c>
      <c r="O3600">
        <v>862682</v>
      </c>
      <c r="P3600">
        <v>1045972</v>
      </c>
      <c r="Q3600">
        <v>1</v>
      </c>
      <c r="R3600">
        <v>0</v>
      </c>
      <c r="S3600">
        <v>3</v>
      </c>
      <c r="T3600">
        <v>999</v>
      </c>
      <c r="U3600">
        <v>999</v>
      </c>
    </row>
    <row r="3601" spans="1:21" x14ac:dyDescent="0.35">
      <c r="A3601" t="s">
        <v>28</v>
      </c>
      <c r="B3601" s="1">
        <v>44657</v>
      </c>
      <c r="C3601" t="s">
        <v>31</v>
      </c>
      <c r="D3601">
        <v>198.1</v>
      </c>
      <c r="E3601">
        <v>130.6</v>
      </c>
      <c r="F3601">
        <v>194</v>
      </c>
      <c r="G3601">
        <v>1.5</v>
      </c>
      <c r="H3601">
        <v>1</v>
      </c>
      <c r="I3601">
        <v>0</v>
      </c>
      <c r="J3601">
        <v>0</v>
      </c>
      <c r="K3601">
        <v>0</v>
      </c>
      <c r="L3601">
        <v>0</v>
      </c>
      <c r="M3601">
        <v>0</v>
      </c>
      <c r="N3601">
        <v>46947</v>
      </c>
      <c r="O3601">
        <v>47490</v>
      </c>
      <c r="P3601">
        <v>165480</v>
      </c>
      <c r="Q3601">
        <v>93</v>
      </c>
      <c r="R3601">
        <v>62</v>
      </c>
      <c r="S3601">
        <v>321</v>
      </c>
      <c r="T3601">
        <v>65</v>
      </c>
      <c r="U3601">
        <v>79</v>
      </c>
    </row>
    <row r="3602" spans="1:21" x14ac:dyDescent="0.35">
      <c r="A3602" t="s">
        <v>21</v>
      </c>
      <c r="B3602" s="1">
        <v>44758</v>
      </c>
      <c r="C3602" t="s">
        <v>25</v>
      </c>
      <c r="D3602">
        <v>0</v>
      </c>
      <c r="E3602">
        <v>0</v>
      </c>
      <c r="F3602">
        <v>0</v>
      </c>
      <c r="G3602">
        <v>0</v>
      </c>
      <c r="H3602">
        <v>0</v>
      </c>
      <c r="I3602">
        <v>0</v>
      </c>
      <c r="J3602">
        <v>0</v>
      </c>
      <c r="K3602">
        <v>0</v>
      </c>
      <c r="L3602">
        <v>0</v>
      </c>
      <c r="M3602">
        <v>0</v>
      </c>
      <c r="N3602">
        <v>93079</v>
      </c>
      <c r="O3602">
        <v>214025</v>
      </c>
      <c r="P3602">
        <v>156874</v>
      </c>
      <c r="Q3602">
        <v>0</v>
      </c>
      <c r="R3602">
        <v>0</v>
      </c>
      <c r="S3602">
        <v>0</v>
      </c>
      <c r="T3602">
        <v>18</v>
      </c>
      <c r="U3602">
        <v>29</v>
      </c>
    </row>
    <row r="3603" spans="1:21" x14ac:dyDescent="0.35">
      <c r="A3603" t="s">
        <v>28</v>
      </c>
      <c r="B3603" s="1">
        <v>44632</v>
      </c>
      <c r="C3603" t="s">
        <v>30</v>
      </c>
      <c r="D3603">
        <v>180.2</v>
      </c>
      <c r="E3603">
        <v>369.2</v>
      </c>
      <c r="F3603">
        <v>246.3</v>
      </c>
      <c r="G3603">
        <v>0.5</v>
      </c>
      <c r="H3603">
        <v>0.7</v>
      </c>
      <c r="I3603">
        <v>0</v>
      </c>
      <c r="J3603">
        <v>0</v>
      </c>
      <c r="K3603">
        <v>0</v>
      </c>
      <c r="L3603">
        <v>0</v>
      </c>
      <c r="M3603">
        <v>0</v>
      </c>
      <c r="N3603">
        <v>24971</v>
      </c>
      <c r="O3603">
        <v>11375</v>
      </c>
      <c r="P3603">
        <v>47102</v>
      </c>
      <c r="Q3603">
        <v>45</v>
      </c>
      <c r="R3603">
        <v>42</v>
      </c>
      <c r="S3603">
        <v>116</v>
      </c>
      <c r="T3603">
        <v>80</v>
      </c>
      <c r="U3603">
        <v>200</v>
      </c>
    </row>
    <row r="3604" spans="1:21" x14ac:dyDescent="0.35">
      <c r="A3604" t="s">
        <v>26</v>
      </c>
      <c r="B3604" s="1">
        <v>44473</v>
      </c>
      <c r="C3604" t="s">
        <v>23</v>
      </c>
      <c r="D3604">
        <v>53.1</v>
      </c>
      <c r="E3604">
        <v>2.5</v>
      </c>
      <c r="F3604">
        <v>0</v>
      </c>
      <c r="G3604">
        <v>21.2</v>
      </c>
      <c r="H3604">
        <v>0</v>
      </c>
      <c r="I3604">
        <v>0</v>
      </c>
      <c r="J3604">
        <v>0</v>
      </c>
      <c r="K3604">
        <v>0</v>
      </c>
      <c r="L3604">
        <v>0</v>
      </c>
      <c r="M3604">
        <v>0</v>
      </c>
      <c r="N3604">
        <v>207234</v>
      </c>
      <c r="O3604">
        <v>80426</v>
      </c>
      <c r="P3604">
        <v>0</v>
      </c>
      <c r="Q3604">
        <v>110</v>
      </c>
      <c r="R3604">
        <v>2</v>
      </c>
      <c r="S3604">
        <v>0</v>
      </c>
      <c r="T3604">
        <v>50</v>
      </c>
      <c r="U3604">
        <v>64</v>
      </c>
    </row>
    <row r="3605" spans="1:21" x14ac:dyDescent="0.35">
      <c r="A3605" t="s">
        <v>21</v>
      </c>
      <c r="B3605" s="1">
        <v>44413</v>
      </c>
      <c r="C3605" t="s">
        <v>29</v>
      </c>
      <c r="D3605">
        <v>1.4</v>
      </c>
      <c r="E3605">
        <v>0</v>
      </c>
      <c r="F3605">
        <v>0</v>
      </c>
      <c r="G3605">
        <v>0</v>
      </c>
      <c r="H3605">
        <v>0</v>
      </c>
      <c r="I3605">
        <v>0</v>
      </c>
      <c r="J3605">
        <v>0</v>
      </c>
      <c r="K3605">
        <v>0</v>
      </c>
      <c r="L3605">
        <v>0</v>
      </c>
      <c r="M3605">
        <v>0</v>
      </c>
      <c r="N3605">
        <v>350842</v>
      </c>
      <c r="O3605">
        <v>287155</v>
      </c>
      <c r="P3605">
        <v>0</v>
      </c>
      <c r="Q3605">
        <v>5</v>
      </c>
      <c r="R3605">
        <v>0</v>
      </c>
      <c r="S3605">
        <v>0</v>
      </c>
      <c r="T3605">
        <v>30</v>
      </c>
      <c r="U3605">
        <v>49</v>
      </c>
    </row>
    <row r="3606" spans="1:21" x14ac:dyDescent="0.35">
      <c r="A3606" t="s">
        <v>26</v>
      </c>
      <c r="B3606" s="1">
        <v>45145</v>
      </c>
      <c r="C3606" t="s">
        <v>29</v>
      </c>
      <c r="D3606">
        <v>0.9</v>
      </c>
      <c r="E3606">
        <v>0.4</v>
      </c>
      <c r="F3606">
        <v>0</v>
      </c>
      <c r="G3606">
        <v>2.2000000000000002</v>
      </c>
      <c r="H3606">
        <v>0</v>
      </c>
      <c r="I3606">
        <v>0</v>
      </c>
      <c r="J3606">
        <v>0</v>
      </c>
      <c r="K3606">
        <v>0</v>
      </c>
      <c r="L3606">
        <v>0</v>
      </c>
      <c r="M3606">
        <v>0</v>
      </c>
      <c r="N3606">
        <v>107855</v>
      </c>
      <c r="O3606">
        <v>278403</v>
      </c>
      <c r="P3606">
        <v>347309</v>
      </c>
      <c r="Q3606">
        <v>1</v>
      </c>
      <c r="R3606">
        <v>1</v>
      </c>
      <c r="S3606">
        <v>0</v>
      </c>
      <c r="T3606">
        <v>30</v>
      </c>
      <c r="U3606">
        <v>49</v>
      </c>
    </row>
    <row r="3607" spans="1:21" x14ac:dyDescent="0.35">
      <c r="A3607" t="s">
        <v>21</v>
      </c>
      <c r="B3607" s="1">
        <v>44449</v>
      </c>
      <c r="C3607" t="s">
        <v>31</v>
      </c>
      <c r="D3607">
        <v>16.3</v>
      </c>
      <c r="E3607">
        <v>0</v>
      </c>
      <c r="F3607">
        <v>0</v>
      </c>
      <c r="G3607">
        <v>0</v>
      </c>
      <c r="H3607">
        <v>0</v>
      </c>
      <c r="I3607">
        <v>0</v>
      </c>
      <c r="J3607">
        <v>0</v>
      </c>
      <c r="K3607">
        <v>0</v>
      </c>
      <c r="L3607">
        <v>0</v>
      </c>
      <c r="M3607">
        <v>0</v>
      </c>
      <c r="N3607">
        <v>61521</v>
      </c>
      <c r="O3607">
        <v>191460</v>
      </c>
      <c r="P3607">
        <v>0</v>
      </c>
      <c r="Q3607">
        <v>10</v>
      </c>
      <c r="R3607">
        <v>0</v>
      </c>
      <c r="S3607">
        <v>0</v>
      </c>
      <c r="T3607">
        <v>65</v>
      </c>
      <c r="U3607">
        <v>79</v>
      </c>
    </row>
    <row r="3608" spans="1:21" x14ac:dyDescent="0.35">
      <c r="A3608" t="s">
        <v>28</v>
      </c>
      <c r="B3608" s="1">
        <v>44485</v>
      </c>
      <c r="C3608" t="s">
        <v>25</v>
      </c>
      <c r="D3608">
        <v>146.30000000000001</v>
      </c>
      <c r="E3608">
        <v>55.7</v>
      </c>
      <c r="F3608">
        <v>0</v>
      </c>
      <c r="G3608">
        <v>2.6</v>
      </c>
      <c r="H3608">
        <v>0</v>
      </c>
      <c r="I3608">
        <v>0</v>
      </c>
      <c r="J3608">
        <v>0</v>
      </c>
      <c r="K3608">
        <v>0</v>
      </c>
      <c r="L3608">
        <v>0</v>
      </c>
      <c r="M3608">
        <v>0</v>
      </c>
      <c r="N3608">
        <v>170186</v>
      </c>
      <c r="O3608">
        <v>312457</v>
      </c>
      <c r="P3608">
        <v>0</v>
      </c>
      <c r="Q3608">
        <v>249</v>
      </c>
      <c r="R3608">
        <v>174</v>
      </c>
      <c r="S3608">
        <v>0</v>
      </c>
      <c r="T3608">
        <v>18</v>
      </c>
      <c r="U3608">
        <v>29</v>
      </c>
    </row>
    <row r="3609" spans="1:21" x14ac:dyDescent="0.35">
      <c r="A3609" t="s">
        <v>28</v>
      </c>
      <c r="B3609" s="1">
        <v>44295</v>
      </c>
      <c r="C3609" t="s">
        <v>22</v>
      </c>
      <c r="D3609">
        <v>196.4</v>
      </c>
      <c r="E3609">
        <v>75.599999999999994</v>
      </c>
      <c r="F3609">
        <v>0</v>
      </c>
      <c r="G3609">
        <v>2.6</v>
      </c>
      <c r="H3609">
        <v>0</v>
      </c>
      <c r="I3609">
        <v>215.4</v>
      </c>
      <c r="J3609">
        <v>61.6</v>
      </c>
      <c r="K3609">
        <v>0</v>
      </c>
      <c r="L3609">
        <v>3.5</v>
      </c>
      <c r="M3609">
        <v>0</v>
      </c>
      <c r="N3609">
        <v>1059836</v>
      </c>
      <c r="O3609">
        <v>1462025</v>
      </c>
      <c r="P3609">
        <v>0</v>
      </c>
      <c r="Q3609">
        <v>2081</v>
      </c>
      <c r="R3609">
        <v>1105</v>
      </c>
      <c r="S3609">
        <v>0</v>
      </c>
      <c r="T3609">
        <v>999</v>
      </c>
      <c r="U3609">
        <v>999</v>
      </c>
    </row>
    <row r="3610" spans="1:21" x14ac:dyDescent="0.35">
      <c r="A3610" t="s">
        <v>28</v>
      </c>
      <c r="B3610" s="1">
        <v>44737</v>
      </c>
      <c r="C3610" t="s">
        <v>29</v>
      </c>
      <c r="D3610">
        <v>339.4</v>
      </c>
      <c r="E3610">
        <v>163.5</v>
      </c>
      <c r="F3610">
        <v>301.3</v>
      </c>
      <c r="G3610">
        <v>2.1</v>
      </c>
      <c r="H3610">
        <v>1.1000000000000001</v>
      </c>
      <c r="I3610">
        <v>0</v>
      </c>
      <c r="J3610">
        <v>0</v>
      </c>
      <c r="K3610">
        <v>0</v>
      </c>
      <c r="L3610">
        <v>0</v>
      </c>
      <c r="M3610">
        <v>0</v>
      </c>
      <c r="N3610">
        <v>128154</v>
      </c>
      <c r="O3610">
        <v>281330</v>
      </c>
      <c r="P3610">
        <v>338834</v>
      </c>
      <c r="Q3610">
        <v>435</v>
      </c>
      <c r="R3610">
        <v>460</v>
      </c>
      <c r="S3610">
        <v>1021</v>
      </c>
      <c r="T3610">
        <v>30</v>
      </c>
      <c r="U3610">
        <v>49</v>
      </c>
    </row>
    <row r="3611" spans="1:21" x14ac:dyDescent="0.35">
      <c r="A3611" t="s">
        <v>21</v>
      </c>
      <c r="B3611" s="1">
        <v>44912</v>
      </c>
      <c r="C3611" t="s">
        <v>31</v>
      </c>
      <c r="D3611">
        <v>0</v>
      </c>
      <c r="E3611">
        <v>2.2999999999999998</v>
      </c>
      <c r="F3611">
        <v>0</v>
      </c>
      <c r="G3611">
        <v>0</v>
      </c>
      <c r="H3611">
        <v>0</v>
      </c>
      <c r="I3611">
        <v>0</v>
      </c>
      <c r="J3611">
        <v>0</v>
      </c>
      <c r="K3611">
        <v>0</v>
      </c>
      <c r="L3611">
        <v>0</v>
      </c>
      <c r="M3611">
        <v>0</v>
      </c>
      <c r="N3611">
        <v>40932</v>
      </c>
      <c r="O3611">
        <v>43361</v>
      </c>
      <c r="P3611">
        <v>171648</v>
      </c>
      <c r="Q3611">
        <v>0</v>
      </c>
      <c r="R3611">
        <v>1</v>
      </c>
      <c r="S3611">
        <v>0</v>
      </c>
      <c r="T3611">
        <v>65</v>
      </c>
      <c r="U3611">
        <v>79</v>
      </c>
    </row>
    <row r="3612" spans="1:21" x14ac:dyDescent="0.35">
      <c r="A3612" t="s">
        <v>28</v>
      </c>
      <c r="B3612" s="1">
        <v>44358</v>
      </c>
      <c r="C3612" t="s">
        <v>23</v>
      </c>
      <c r="D3612">
        <v>241.3</v>
      </c>
      <c r="E3612">
        <v>60.6</v>
      </c>
      <c r="F3612">
        <v>35.799999999999997</v>
      </c>
      <c r="G3612">
        <v>4</v>
      </c>
      <c r="H3612">
        <v>6.7</v>
      </c>
      <c r="I3612">
        <v>0</v>
      </c>
      <c r="J3612">
        <v>0</v>
      </c>
      <c r="K3612">
        <v>0</v>
      </c>
      <c r="L3612">
        <v>0</v>
      </c>
      <c r="M3612">
        <v>0</v>
      </c>
      <c r="N3612">
        <v>70859</v>
      </c>
      <c r="O3612">
        <v>318525</v>
      </c>
      <c r="P3612">
        <v>25135</v>
      </c>
      <c r="Q3612">
        <v>171</v>
      </c>
      <c r="R3612">
        <v>193</v>
      </c>
      <c r="S3612">
        <v>9</v>
      </c>
      <c r="T3612">
        <v>50</v>
      </c>
      <c r="U3612">
        <v>64</v>
      </c>
    </row>
    <row r="3613" spans="1:21" x14ac:dyDescent="0.35">
      <c r="A3613" t="s">
        <v>26</v>
      </c>
      <c r="B3613" s="1">
        <v>44982</v>
      </c>
      <c r="C3613" t="s">
        <v>23</v>
      </c>
      <c r="D3613">
        <v>38.4</v>
      </c>
      <c r="E3613">
        <v>11.1</v>
      </c>
      <c r="F3613">
        <v>6.1</v>
      </c>
      <c r="G3613">
        <v>3.5</v>
      </c>
      <c r="H3613">
        <v>6.3</v>
      </c>
      <c r="I3613">
        <v>0</v>
      </c>
      <c r="J3613">
        <v>0</v>
      </c>
      <c r="K3613">
        <v>0</v>
      </c>
      <c r="L3613">
        <v>0</v>
      </c>
      <c r="M3613">
        <v>0</v>
      </c>
      <c r="N3613">
        <v>33861</v>
      </c>
      <c r="O3613">
        <v>125587</v>
      </c>
      <c r="P3613">
        <v>246869</v>
      </c>
      <c r="Q3613">
        <v>13</v>
      </c>
      <c r="R3613">
        <v>14</v>
      </c>
      <c r="S3613">
        <v>15</v>
      </c>
      <c r="T3613">
        <v>50</v>
      </c>
      <c r="U3613">
        <v>64</v>
      </c>
    </row>
    <row r="3614" spans="1:21" x14ac:dyDescent="0.35">
      <c r="A3614" t="s">
        <v>28</v>
      </c>
      <c r="B3614" s="1">
        <v>44947</v>
      </c>
      <c r="C3614" t="s">
        <v>23</v>
      </c>
      <c r="D3614">
        <v>235.5</v>
      </c>
      <c r="E3614">
        <v>82.1</v>
      </c>
      <c r="F3614">
        <v>104.1</v>
      </c>
      <c r="G3614">
        <v>2.9</v>
      </c>
      <c r="H3614">
        <v>2.2999999999999998</v>
      </c>
      <c r="I3614">
        <v>0</v>
      </c>
      <c r="J3614">
        <v>0</v>
      </c>
      <c r="K3614">
        <v>0</v>
      </c>
      <c r="L3614">
        <v>0</v>
      </c>
      <c r="M3614">
        <v>0</v>
      </c>
      <c r="N3614">
        <v>34398</v>
      </c>
      <c r="O3614">
        <v>125483</v>
      </c>
      <c r="P3614">
        <v>246834</v>
      </c>
      <c r="Q3614">
        <v>81</v>
      </c>
      <c r="R3614">
        <v>103</v>
      </c>
      <c r="S3614">
        <v>257</v>
      </c>
      <c r="T3614">
        <v>50</v>
      </c>
      <c r="U3614">
        <v>64</v>
      </c>
    </row>
    <row r="3615" spans="1:21" x14ac:dyDescent="0.35">
      <c r="A3615" t="s">
        <v>28</v>
      </c>
      <c r="B3615" s="1">
        <v>45101</v>
      </c>
      <c r="C3615" t="s">
        <v>24</v>
      </c>
      <c r="D3615">
        <v>6.6</v>
      </c>
      <c r="E3615">
        <v>0</v>
      </c>
      <c r="F3615">
        <v>0</v>
      </c>
      <c r="G3615">
        <v>0</v>
      </c>
      <c r="H3615">
        <v>0</v>
      </c>
      <c r="I3615">
        <v>0</v>
      </c>
      <c r="J3615">
        <v>0</v>
      </c>
      <c r="K3615">
        <v>0</v>
      </c>
      <c r="L3615">
        <v>0</v>
      </c>
      <c r="M3615">
        <v>0</v>
      </c>
      <c r="N3615">
        <v>90346</v>
      </c>
      <c r="O3615">
        <v>82675</v>
      </c>
      <c r="P3615">
        <v>21251</v>
      </c>
      <c r="Q3615">
        <v>6</v>
      </c>
      <c r="R3615">
        <v>0</v>
      </c>
      <c r="S3615">
        <v>0</v>
      </c>
      <c r="T3615">
        <v>5</v>
      </c>
      <c r="U3615">
        <v>11</v>
      </c>
    </row>
    <row r="3616" spans="1:21" x14ac:dyDescent="0.35">
      <c r="A3616" t="s">
        <v>28</v>
      </c>
      <c r="B3616" s="1">
        <v>44821</v>
      </c>
      <c r="C3616" t="s">
        <v>22</v>
      </c>
      <c r="D3616">
        <v>135.9</v>
      </c>
      <c r="E3616">
        <v>77.400000000000006</v>
      </c>
      <c r="F3616">
        <v>121.7</v>
      </c>
      <c r="G3616">
        <v>1.8</v>
      </c>
      <c r="H3616">
        <v>1.1000000000000001</v>
      </c>
      <c r="I3616">
        <v>156.9</v>
      </c>
      <c r="J3616">
        <v>79</v>
      </c>
      <c r="K3616">
        <v>117.5</v>
      </c>
      <c r="L3616">
        <v>2</v>
      </c>
      <c r="M3616">
        <v>1.3</v>
      </c>
      <c r="N3616">
        <v>599179</v>
      </c>
      <c r="O3616">
        <v>840837</v>
      </c>
      <c r="P3616">
        <v>1035714</v>
      </c>
      <c r="Q3616">
        <v>814</v>
      </c>
      <c r="R3616">
        <v>651</v>
      </c>
      <c r="S3616">
        <v>1260</v>
      </c>
      <c r="T3616">
        <v>999</v>
      </c>
      <c r="U3616">
        <v>999</v>
      </c>
    </row>
    <row r="3617" spans="1:21" x14ac:dyDescent="0.35">
      <c r="A3617" t="s">
        <v>26</v>
      </c>
      <c r="B3617" s="1">
        <v>44646</v>
      </c>
      <c r="C3617" t="s">
        <v>22</v>
      </c>
      <c r="D3617">
        <v>2.7</v>
      </c>
      <c r="E3617">
        <v>1.7</v>
      </c>
      <c r="F3617">
        <v>1.6</v>
      </c>
      <c r="G3617">
        <v>1.6</v>
      </c>
      <c r="H3617">
        <v>1.7</v>
      </c>
      <c r="I3617">
        <v>3.5</v>
      </c>
      <c r="J3617">
        <v>2</v>
      </c>
      <c r="K3617">
        <v>1</v>
      </c>
      <c r="L3617">
        <v>1.7</v>
      </c>
      <c r="M3617">
        <v>3.4</v>
      </c>
      <c r="N3617">
        <v>659972</v>
      </c>
      <c r="O3617">
        <v>904268</v>
      </c>
      <c r="P3617">
        <v>925908</v>
      </c>
      <c r="Q3617">
        <v>18</v>
      </c>
      <c r="R3617">
        <v>15</v>
      </c>
      <c r="S3617">
        <v>15</v>
      </c>
      <c r="T3617">
        <v>999</v>
      </c>
      <c r="U3617">
        <v>999</v>
      </c>
    </row>
    <row r="3618" spans="1:21" x14ac:dyDescent="0.35">
      <c r="A3618" t="s">
        <v>28</v>
      </c>
      <c r="B3618" s="1">
        <v>44846</v>
      </c>
      <c r="C3618" t="s">
        <v>25</v>
      </c>
      <c r="D3618">
        <v>254.7</v>
      </c>
      <c r="E3618">
        <v>78.5</v>
      </c>
      <c r="F3618">
        <v>112</v>
      </c>
      <c r="G3618">
        <v>3.2</v>
      </c>
      <c r="H3618">
        <v>2.2999999999999998</v>
      </c>
      <c r="I3618">
        <v>0</v>
      </c>
      <c r="J3618">
        <v>0</v>
      </c>
      <c r="K3618">
        <v>0</v>
      </c>
      <c r="L3618">
        <v>0</v>
      </c>
      <c r="M3618">
        <v>0</v>
      </c>
      <c r="N3618">
        <v>80480</v>
      </c>
      <c r="O3618">
        <v>212671</v>
      </c>
      <c r="P3618">
        <v>161589</v>
      </c>
      <c r="Q3618">
        <v>205</v>
      </c>
      <c r="R3618">
        <v>167</v>
      </c>
      <c r="S3618">
        <v>181</v>
      </c>
      <c r="T3618">
        <v>18</v>
      </c>
      <c r="U3618">
        <v>29</v>
      </c>
    </row>
    <row r="3619" spans="1:21" x14ac:dyDescent="0.35">
      <c r="A3619" t="s">
        <v>28</v>
      </c>
      <c r="B3619" s="1">
        <v>44692</v>
      </c>
      <c r="C3619" t="s">
        <v>22</v>
      </c>
      <c r="D3619">
        <v>160.6</v>
      </c>
      <c r="E3619">
        <v>81.3</v>
      </c>
      <c r="F3619">
        <v>115.8</v>
      </c>
      <c r="G3619">
        <v>2</v>
      </c>
      <c r="H3619">
        <v>1.4</v>
      </c>
      <c r="I3619">
        <v>191.9</v>
      </c>
      <c r="J3619">
        <v>82.4</v>
      </c>
      <c r="K3619">
        <v>105.3</v>
      </c>
      <c r="L3619">
        <v>2.2999999999999998</v>
      </c>
      <c r="M3619">
        <v>1.8</v>
      </c>
      <c r="N3619">
        <v>573510</v>
      </c>
      <c r="O3619">
        <v>847144</v>
      </c>
      <c r="P3619">
        <v>1039435</v>
      </c>
      <c r="Q3619">
        <v>921</v>
      </c>
      <c r="R3619">
        <v>689</v>
      </c>
      <c r="S3619">
        <v>1204</v>
      </c>
      <c r="T3619">
        <v>999</v>
      </c>
      <c r="U3619">
        <v>999</v>
      </c>
    </row>
    <row r="3620" spans="1:21" x14ac:dyDescent="0.35">
      <c r="A3620" t="s">
        <v>26</v>
      </c>
      <c r="B3620" s="1">
        <v>44449</v>
      </c>
      <c r="C3620" t="s">
        <v>25</v>
      </c>
      <c r="D3620">
        <v>5.8</v>
      </c>
      <c r="E3620">
        <v>0</v>
      </c>
      <c r="F3620">
        <v>0</v>
      </c>
      <c r="G3620">
        <v>0</v>
      </c>
      <c r="H3620">
        <v>0</v>
      </c>
      <c r="I3620">
        <v>0</v>
      </c>
      <c r="J3620">
        <v>0</v>
      </c>
      <c r="K3620">
        <v>0</v>
      </c>
      <c r="L3620">
        <v>0</v>
      </c>
      <c r="M3620">
        <v>0</v>
      </c>
      <c r="N3620">
        <v>172892</v>
      </c>
      <c r="O3620">
        <v>311257</v>
      </c>
      <c r="P3620">
        <v>0</v>
      </c>
      <c r="Q3620">
        <v>10</v>
      </c>
      <c r="R3620">
        <v>0</v>
      </c>
      <c r="S3620">
        <v>0</v>
      </c>
      <c r="T3620">
        <v>18</v>
      </c>
      <c r="U3620">
        <v>29</v>
      </c>
    </row>
    <row r="3621" spans="1:21" x14ac:dyDescent="0.35">
      <c r="A3621" t="s">
        <v>21</v>
      </c>
      <c r="B3621" s="1">
        <v>44303</v>
      </c>
      <c r="C3621" t="s">
        <v>31</v>
      </c>
      <c r="D3621">
        <v>7.4</v>
      </c>
      <c r="E3621">
        <v>0</v>
      </c>
      <c r="F3621">
        <v>0</v>
      </c>
      <c r="G3621">
        <v>0</v>
      </c>
      <c r="H3621">
        <v>0</v>
      </c>
      <c r="I3621">
        <v>0</v>
      </c>
      <c r="J3621">
        <v>0</v>
      </c>
      <c r="K3621">
        <v>0</v>
      </c>
      <c r="L3621">
        <v>0</v>
      </c>
      <c r="M3621">
        <v>0</v>
      </c>
      <c r="N3621">
        <v>94416</v>
      </c>
      <c r="O3621">
        <v>124678</v>
      </c>
      <c r="P3621">
        <v>0</v>
      </c>
      <c r="Q3621">
        <v>7</v>
      </c>
      <c r="R3621">
        <v>0</v>
      </c>
      <c r="S3621">
        <v>0</v>
      </c>
      <c r="T3621">
        <v>65</v>
      </c>
      <c r="U3621">
        <v>79</v>
      </c>
    </row>
    <row r="3622" spans="1:21" x14ac:dyDescent="0.35">
      <c r="A3622" t="s">
        <v>28</v>
      </c>
      <c r="B3622" s="1">
        <v>44422</v>
      </c>
      <c r="C3622" t="s">
        <v>27</v>
      </c>
      <c r="D3622">
        <v>170.1</v>
      </c>
      <c r="E3622">
        <v>38.6</v>
      </c>
      <c r="F3622">
        <v>0</v>
      </c>
      <c r="G3622">
        <v>4.4000000000000004</v>
      </c>
      <c r="H3622">
        <v>0</v>
      </c>
      <c r="I3622">
        <v>0</v>
      </c>
      <c r="J3622">
        <v>0</v>
      </c>
      <c r="K3622">
        <v>0</v>
      </c>
      <c r="L3622">
        <v>0</v>
      </c>
      <c r="M3622">
        <v>0</v>
      </c>
      <c r="N3622">
        <v>85815</v>
      </c>
      <c r="O3622">
        <v>69935</v>
      </c>
      <c r="P3622">
        <v>0</v>
      </c>
      <c r="Q3622">
        <v>146</v>
      </c>
      <c r="R3622">
        <v>27</v>
      </c>
      <c r="S3622">
        <v>0</v>
      </c>
      <c r="T3622">
        <v>12</v>
      </c>
      <c r="U3622">
        <v>17</v>
      </c>
    </row>
    <row r="3623" spans="1:21" x14ac:dyDescent="0.35">
      <c r="A3623" t="s">
        <v>21</v>
      </c>
      <c r="B3623" s="1">
        <v>44358</v>
      </c>
      <c r="C3623" t="s">
        <v>25</v>
      </c>
      <c r="D3623">
        <v>0</v>
      </c>
      <c r="E3623">
        <v>0</v>
      </c>
      <c r="F3623">
        <v>0</v>
      </c>
      <c r="G3623">
        <v>0</v>
      </c>
      <c r="H3623">
        <v>0</v>
      </c>
      <c r="I3623">
        <v>0</v>
      </c>
      <c r="J3623">
        <v>0</v>
      </c>
      <c r="K3623">
        <v>0</v>
      </c>
      <c r="L3623">
        <v>0</v>
      </c>
      <c r="M3623">
        <v>0</v>
      </c>
      <c r="N3623">
        <v>162718</v>
      </c>
      <c r="O3623">
        <v>313731</v>
      </c>
      <c r="P3623">
        <v>10229</v>
      </c>
      <c r="Q3623">
        <v>0</v>
      </c>
      <c r="R3623">
        <v>0</v>
      </c>
      <c r="S3623">
        <v>0</v>
      </c>
      <c r="T3623">
        <v>18</v>
      </c>
      <c r="U3623">
        <v>29</v>
      </c>
    </row>
    <row r="3624" spans="1:21" x14ac:dyDescent="0.35">
      <c r="A3624" t="s">
        <v>28</v>
      </c>
      <c r="B3624" s="1">
        <v>44331</v>
      </c>
      <c r="C3624" t="s">
        <v>31</v>
      </c>
      <c r="D3624">
        <v>118.5</v>
      </c>
      <c r="E3624">
        <v>14.4</v>
      </c>
      <c r="F3624">
        <v>0</v>
      </c>
      <c r="G3624">
        <v>8.1999999999999993</v>
      </c>
      <c r="H3624">
        <v>0</v>
      </c>
      <c r="I3624">
        <v>0</v>
      </c>
      <c r="J3624">
        <v>0</v>
      </c>
      <c r="K3624">
        <v>0</v>
      </c>
      <c r="L3624">
        <v>0</v>
      </c>
      <c r="M3624">
        <v>0</v>
      </c>
      <c r="N3624">
        <v>81874</v>
      </c>
      <c r="O3624">
        <v>166358</v>
      </c>
      <c r="P3624">
        <v>0</v>
      </c>
      <c r="Q3624">
        <v>97</v>
      </c>
      <c r="R3624">
        <v>24</v>
      </c>
      <c r="S3624">
        <v>0</v>
      </c>
      <c r="T3624">
        <v>65</v>
      </c>
      <c r="U3624">
        <v>79</v>
      </c>
    </row>
    <row r="3625" spans="1:21" x14ac:dyDescent="0.35">
      <c r="A3625" t="s">
        <v>21</v>
      </c>
      <c r="B3625" s="1">
        <v>44930</v>
      </c>
      <c r="C3625" t="s">
        <v>31</v>
      </c>
      <c r="D3625">
        <v>5</v>
      </c>
      <c r="E3625">
        <v>2.2999999999999998</v>
      </c>
      <c r="F3625">
        <v>0</v>
      </c>
      <c r="G3625">
        <v>2.2000000000000002</v>
      </c>
      <c r="H3625">
        <v>0</v>
      </c>
      <c r="I3625">
        <v>0</v>
      </c>
      <c r="J3625">
        <v>0</v>
      </c>
      <c r="K3625">
        <v>0</v>
      </c>
      <c r="L3625">
        <v>0</v>
      </c>
      <c r="M3625">
        <v>0</v>
      </c>
      <c r="N3625">
        <v>39878</v>
      </c>
      <c r="O3625">
        <v>43429</v>
      </c>
      <c r="P3625">
        <v>171712</v>
      </c>
      <c r="Q3625">
        <v>2</v>
      </c>
      <c r="R3625">
        <v>1</v>
      </c>
      <c r="S3625">
        <v>0</v>
      </c>
      <c r="T3625">
        <v>65</v>
      </c>
      <c r="U3625">
        <v>79</v>
      </c>
    </row>
    <row r="3626" spans="1:21" x14ac:dyDescent="0.35">
      <c r="A3626" t="s">
        <v>28</v>
      </c>
      <c r="B3626" s="1">
        <v>44758</v>
      </c>
      <c r="C3626" t="s">
        <v>23</v>
      </c>
      <c r="D3626">
        <v>520.20000000000005</v>
      </c>
      <c r="E3626">
        <v>193.3</v>
      </c>
      <c r="F3626">
        <v>270.39999999999998</v>
      </c>
      <c r="G3626">
        <v>2.7</v>
      </c>
      <c r="H3626">
        <v>1.9</v>
      </c>
      <c r="I3626">
        <v>0</v>
      </c>
      <c r="J3626">
        <v>0</v>
      </c>
      <c r="K3626">
        <v>0</v>
      </c>
      <c r="L3626">
        <v>0</v>
      </c>
      <c r="M3626">
        <v>0</v>
      </c>
      <c r="N3626">
        <v>41521</v>
      </c>
      <c r="O3626">
        <v>128806</v>
      </c>
      <c r="P3626">
        <v>241470</v>
      </c>
      <c r="Q3626">
        <v>216</v>
      </c>
      <c r="R3626">
        <v>249</v>
      </c>
      <c r="S3626">
        <v>653</v>
      </c>
      <c r="T3626">
        <v>50</v>
      </c>
      <c r="U3626">
        <v>64</v>
      </c>
    </row>
    <row r="3627" spans="1:21" x14ac:dyDescent="0.35">
      <c r="A3627" t="s">
        <v>26</v>
      </c>
      <c r="B3627" s="1">
        <v>44709</v>
      </c>
      <c r="C3627" t="s">
        <v>24</v>
      </c>
      <c r="D3627">
        <v>1</v>
      </c>
      <c r="E3627">
        <v>0</v>
      </c>
      <c r="F3627">
        <v>0</v>
      </c>
      <c r="G3627">
        <v>0</v>
      </c>
      <c r="H3627">
        <v>0</v>
      </c>
      <c r="I3627">
        <v>0</v>
      </c>
      <c r="J3627">
        <v>0</v>
      </c>
      <c r="K3627">
        <v>0</v>
      </c>
      <c r="L3627">
        <v>0</v>
      </c>
      <c r="M3627">
        <v>0</v>
      </c>
      <c r="N3627">
        <v>100718</v>
      </c>
      <c r="O3627">
        <v>94665</v>
      </c>
      <c r="P3627">
        <v>418</v>
      </c>
      <c r="Q3627">
        <v>1</v>
      </c>
      <c r="R3627">
        <v>0</v>
      </c>
      <c r="S3627">
        <v>0</v>
      </c>
      <c r="T3627">
        <v>5</v>
      </c>
      <c r="U3627">
        <v>11</v>
      </c>
    </row>
    <row r="3628" spans="1:21" x14ac:dyDescent="0.35">
      <c r="A3628" t="s">
        <v>26</v>
      </c>
      <c r="B3628" s="1">
        <v>44940</v>
      </c>
      <c r="C3628" t="s">
        <v>31</v>
      </c>
      <c r="D3628">
        <v>54.4</v>
      </c>
      <c r="E3628">
        <v>34.6</v>
      </c>
      <c r="F3628">
        <v>25</v>
      </c>
      <c r="G3628">
        <v>1.6</v>
      </c>
      <c r="H3628">
        <v>2.2000000000000002</v>
      </c>
      <c r="I3628">
        <v>0</v>
      </c>
      <c r="J3628">
        <v>0</v>
      </c>
      <c r="K3628">
        <v>0</v>
      </c>
      <c r="L3628">
        <v>0</v>
      </c>
      <c r="M3628">
        <v>0</v>
      </c>
      <c r="N3628">
        <v>40444</v>
      </c>
      <c r="O3628">
        <v>43375</v>
      </c>
      <c r="P3628">
        <v>171679</v>
      </c>
      <c r="Q3628">
        <v>22</v>
      </c>
      <c r="R3628">
        <v>15</v>
      </c>
      <c r="S3628">
        <v>43</v>
      </c>
      <c r="T3628">
        <v>65</v>
      </c>
      <c r="U3628">
        <v>79</v>
      </c>
    </row>
    <row r="3629" spans="1:21" x14ac:dyDescent="0.35">
      <c r="A3629" t="s">
        <v>28</v>
      </c>
      <c r="B3629" s="1">
        <v>44583</v>
      </c>
      <c r="C3629" t="s">
        <v>23</v>
      </c>
      <c r="D3629">
        <v>1057.4000000000001</v>
      </c>
      <c r="E3629">
        <v>410.5</v>
      </c>
      <c r="F3629">
        <v>333.2</v>
      </c>
      <c r="G3629">
        <v>2.6</v>
      </c>
      <c r="H3629">
        <v>3.2</v>
      </c>
      <c r="I3629">
        <v>0</v>
      </c>
      <c r="J3629">
        <v>0</v>
      </c>
      <c r="K3629">
        <v>0</v>
      </c>
      <c r="L3629">
        <v>0</v>
      </c>
      <c r="M3629">
        <v>0</v>
      </c>
      <c r="N3629">
        <v>51071</v>
      </c>
      <c r="O3629">
        <v>174412</v>
      </c>
      <c r="P3629">
        <v>182773</v>
      </c>
      <c r="Q3629">
        <v>540</v>
      </c>
      <c r="R3629">
        <v>716</v>
      </c>
      <c r="S3629">
        <v>609</v>
      </c>
      <c r="T3629">
        <v>50</v>
      </c>
      <c r="U3629">
        <v>64</v>
      </c>
    </row>
    <row r="3630" spans="1:21" x14ac:dyDescent="0.35">
      <c r="A3630" t="s">
        <v>21</v>
      </c>
      <c r="B3630" s="1">
        <v>44401</v>
      </c>
      <c r="C3630" t="s">
        <v>31</v>
      </c>
      <c r="D3630">
        <v>4.3</v>
      </c>
      <c r="E3630">
        <v>0</v>
      </c>
      <c r="F3630">
        <v>0</v>
      </c>
      <c r="G3630">
        <v>0</v>
      </c>
      <c r="H3630">
        <v>0</v>
      </c>
      <c r="I3630">
        <v>0</v>
      </c>
      <c r="J3630">
        <v>0</v>
      </c>
      <c r="K3630">
        <v>0</v>
      </c>
      <c r="L3630">
        <v>0</v>
      </c>
      <c r="M3630">
        <v>0</v>
      </c>
      <c r="N3630">
        <v>70306</v>
      </c>
      <c r="O3630">
        <v>191132</v>
      </c>
      <c r="P3630">
        <v>0</v>
      </c>
      <c r="Q3630">
        <v>3</v>
      </c>
      <c r="R3630">
        <v>0</v>
      </c>
      <c r="S3630">
        <v>0</v>
      </c>
      <c r="T3630">
        <v>65</v>
      </c>
      <c r="U3630">
        <v>79</v>
      </c>
    </row>
    <row r="3631" spans="1:21" x14ac:dyDescent="0.35">
      <c r="A3631" t="s">
        <v>21</v>
      </c>
      <c r="B3631" s="1">
        <v>44720</v>
      </c>
      <c r="C3631" t="s">
        <v>30</v>
      </c>
      <c r="D3631">
        <v>7.6</v>
      </c>
      <c r="E3631">
        <v>8.5</v>
      </c>
      <c r="F3631">
        <v>2.1</v>
      </c>
      <c r="G3631">
        <v>0.9</v>
      </c>
      <c r="H3631">
        <v>3.6</v>
      </c>
      <c r="I3631">
        <v>0</v>
      </c>
      <c r="J3631">
        <v>0</v>
      </c>
      <c r="K3631">
        <v>0</v>
      </c>
      <c r="L3631">
        <v>0</v>
      </c>
      <c r="M3631">
        <v>0</v>
      </c>
      <c r="N3631">
        <v>26292</v>
      </c>
      <c r="O3631">
        <v>11735</v>
      </c>
      <c r="P3631">
        <v>46545</v>
      </c>
      <c r="Q3631">
        <v>2</v>
      </c>
      <c r="R3631">
        <v>1</v>
      </c>
      <c r="S3631">
        <v>1</v>
      </c>
      <c r="T3631">
        <v>80</v>
      </c>
      <c r="U3631">
        <v>200</v>
      </c>
    </row>
    <row r="3632" spans="1:21" x14ac:dyDescent="0.35">
      <c r="A3632" t="s">
        <v>26</v>
      </c>
      <c r="B3632" s="1">
        <v>44373</v>
      </c>
      <c r="C3632" t="s">
        <v>31</v>
      </c>
      <c r="D3632">
        <v>5.5</v>
      </c>
      <c r="E3632">
        <v>0.5</v>
      </c>
      <c r="F3632">
        <v>0</v>
      </c>
      <c r="G3632">
        <v>11</v>
      </c>
      <c r="H3632">
        <v>0</v>
      </c>
      <c r="I3632">
        <v>0</v>
      </c>
      <c r="J3632">
        <v>0</v>
      </c>
      <c r="K3632">
        <v>0</v>
      </c>
      <c r="L3632">
        <v>0</v>
      </c>
      <c r="M3632">
        <v>0</v>
      </c>
      <c r="N3632">
        <v>73343</v>
      </c>
      <c r="O3632">
        <v>186066</v>
      </c>
      <c r="P3632">
        <v>0</v>
      </c>
      <c r="Q3632">
        <v>4</v>
      </c>
      <c r="R3632">
        <v>1</v>
      </c>
      <c r="S3632">
        <v>0</v>
      </c>
      <c r="T3632">
        <v>65</v>
      </c>
      <c r="U3632">
        <v>79</v>
      </c>
    </row>
    <row r="3633" spans="1:21" x14ac:dyDescent="0.35">
      <c r="A3633" t="s">
        <v>28</v>
      </c>
      <c r="B3633" s="1">
        <v>44596</v>
      </c>
      <c r="C3633" t="s">
        <v>29</v>
      </c>
      <c r="D3633">
        <v>91.2</v>
      </c>
      <c r="E3633">
        <v>49.9</v>
      </c>
      <c r="F3633">
        <v>142.80000000000001</v>
      </c>
      <c r="G3633">
        <v>1.8</v>
      </c>
      <c r="H3633">
        <v>0.6</v>
      </c>
      <c r="I3633">
        <v>0</v>
      </c>
      <c r="J3633">
        <v>0</v>
      </c>
      <c r="K3633">
        <v>0</v>
      </c>
      <c r="L3633">
        <v>0</v>
      </c>
      <c r="M3633">
        <v>0</v>
      </c>
      <c r="N3633">
        <v>132699</v>
      </c>
      <c r="O3633">
        <v>290611</v>
      </c>
      <c r="P3633">
        <v>324980</v>
      </c>
      <c r="Q3633">
        <v>121</v>
      </c>
      <c r="R3633">
        <v>145</v>
      </c>
      <c r="S3633">
        <v>464</v>
      </c>
      <c r="T3633">
        <v>30</v>
      </c>
      <c r="U3633">
        <v>49</v>
      </c>
    </row>
    <row r="3634" spans="1:21" x14ac:dyDescent="0.35">
      <c r="A3634" t="s">
        <v>28</v>
      </c>
      <c r="B3634" s="1">
        <v>44954</v>
      </c>
      <c r="C3634" t="s">
        <v>25</v>
      </c>
      <c r="D3634">
        <v>125.9</v>
      </c>
      <c r="E3634">
        <v>49.2</v>
      </c>
      <c r="F3634">
        <v>58.8</v>
      </c>
      <c r="G3634">
        <v>2.6</v>
      </c>
      <c r="H3634">
        <v>2.1</v>
      </c>
      <c r="I3634">
        <v>0</v>
      </c>
      <c r="J3634">
        <v>0</v>
      </c>
      <c r="K3634">
        <v>0</v>
      </c>
      <c r="L3634">
        <v>0</v>
      </c>
      <c r="M3634">
        <v>0</v>
      </c>
      <c r="N3634">
        <v>77858</v>
      </c>
      <c r="O3634">
        <v>213199</v>
      </c>
      <c r="P3634">
        <v>161636</v>
      </c>
      <c r="Q3634">
        <v>98</v>
      </c>
      <c r="R3634">
        <v>105</v>
      </c>
      <c r="S3634">
        <v>95</v>
      </c>
      <c r="T3634">
        <v>18</v>
      </c>
      <c r="U3634">
        <v>29</v>
      </c>
    </row>
    <row r="3635" spans="1:21" x14ac:dyDescent="0.35">
      <c r="A3635" t="s">
        <v>26</v>
      </c>
      <c r="B3635" s="1">
        <v>45094</v>
      </c>
      <c r="C3635" t="s">
        <v>27</v>
      </c>
      <c r="D3635">
        <v>0</v>
      </c>
      <c r="E3635">
        <v>0</v>
      </c>
      <c r="F3635">
        <v>0</v>
      </c>
      <c r="G3635">
        <v>0</v>
      </c>
      <c r="H3635">
        <v>0</v>
      </c>
      <c r="I3635">
        <v>0</v>
      </c>
      <c r="J3635">
        <v>0</v>
      </c>
      <c r="K3635">
        <v>0</v>
      </c>
      <c r="L3635">
        <v>0</v>
      </c>
      <c r="M3635">
        <v>0</v>
      </c>
      <c r="N3635">
        <v>32372</v>
      </c>
      <c r="O3635">
        <v>86577</v>
      </c>
      <c r="P3635">
        <v>44586</v>
      </c>
      <c r="Q3635">
        <v>0</v>
      </c>
      <c r="R3635">
        <v>0</v>
      </c>
      <c r="S3635">
        <v>0</v>
      </c>
      <c r="T3635">
        <v>12</v>
      </c>
      <c r="U3635">
        <v>17</v>
      </c>
    </row>
    <row r="3636" spans="1:21" x14ac:dyDescent="0.35">
      <c r="A3636" t="s">
        <v>21</v>
      </c>
      <c r="B3636" s="1">
        <v>44639</v>
      </c>
      <c r="C3636" t="s">
        <v>30</v>
      </c>
      <c r="D3636">
        <v>7.4</v>
      </c>
      <c r="E3636">
        <v>21.2</v>
      </c>
      <c r="F3636">
        <v>0</v>
      </c>
      <c r="G3636">
        <v>0.3</v>
      </c>
      <c r="H3636">
        <v>0</v>
      </c>
      <c r="I3636">
        <v>0</v>
      </c>
      <c r="J3636">
        <v>0</v>
      </c>
      <c r="K3636">
        <v>0</v>
      </c>
      <c r="L3636">
        <v>0</v>
      </c>
      <c r="M3636">
        <v>0</v>
      </c>
      <c r="N3636">
        <v>27097</v>
      </c>
      <c r="O3636">
        <v>14172</v>
      </c>
      <c r="P3636">
        <v>42943</v>
      </c>
      <c r="Q3636">
        <v>2</v>
      </c>
      <c r="R3636">
        <v>3</v>
      </c>
      <c r="S3636">
        <v>0</v>
      </c>
      <c r="T3636">
        <v>80</v>
      </c>
      <c r="U3636">
        <v>200</v>
      </c>
    </row>
    <row r="3637" spans="1:21" x14ac:dyDescent="0.35">
      <c r="A3637" t="s">
        <v>21</v>
      </c>
      <c r="B3637" s="1">
        <v>44912</v>
      </c>
      <c r="C3637" t="s">
        <v>23</v>
      </c>
      <c r="D3637">
        <v>0</v>
      </c>
      <c r="E3637">
        <v>0.8</v>
      </c>
      <c r="F3637">
        <v>0</v>
      </c>
      <c r="G3637">
        <v>0</v>
      </c>
      <c r="H3637">
        <v>0</v>
      </c>
      <c r="I3637">
        <v>0</v>
      </c>
      <c r="J3637">
        <v>0</v>
      </c>
      <c r="K3637">
        <v>0</v>
      </c>
      <c r="L3637">
        <v>0</v>
      </c>
      <c r="M3637">
        <v>0</v>
      </c>
      <c r="N3637">
        <v>35269</v>
      </c>
      <c r="O3637">
        <v>125391</v>
      </c>
      <c r="P3637">
        <v>246772</v>
      </c>
      <c r="Q3637">
        <v>0</v>
      </c>
      <c r="R3637">
        <v>1</v>
      </c>
      <c r="S3637">
        <v>0</v>
      </c>
      <c r="T3637">
        <v>50</v>
      </c>
      <c r="U3637">
        <v>64</v>
      </c>
    </row>
    <row r="3638" spans="1:21" x14ac:dyDescent="0.35">
      <c r="A3638" t="s">
        <v>26</v>
      </c>
      <c r="B3638" s="1">
        <v>44345</v>
      </c>
      <c r="C3638" t="s">
        <v>31</v>
      </c>
      <c r="D3638">
        <v>39.799999999999997</v>
      </c>
      <c r="E3638">
        <v>4.5999999999999996</v>
      </c>
      <c r="F3638">
        <v>0</v>
      </c>
      <c r="G3638">
        <v>8.6999999999999993</v>
      </c>
      <c r="H3638">
        <v>0</v>
      </c>
      <c r="I3638">
        <v>0</v>
      </c>
      <c r="J3638">
        <v>0</v>
      </c>
      <c r="K3638">
        <v>0</v>
      </c>
      <c r="L3638">
        <v>0</v>
      </c>
      <c r="M3638">
        <v>0</v>
      </c>
      <c r="N3638">
        <v>77839</v>
      </c>
      <c r="O3638">
        <v>175452</v>
      </c>
      <c r="P3638">
        <v>0</v>
      </c>
      <c r="Q3638">
        <v>31</v>
      </c>
      <c r="R3638">
        <v>8</v>
      </c>
      <c r="S3638">
        <v>0</v>
      </c>
      <c r="T3638">
        <v>65</v>
      </c>
      <c r="U3638">
        <v>79</v>
      </c>
    </row>
    <row r="3639" spans="1:21" x14ac:dyDescent="0.35">
      <c r="A3639" t="s">
        <v>21</v>
      </c>
      <c r="B3639" s="1">
        <v>44449</v>
      </c>
      <c r="C3639" t="s">
        <v>25</v>
      </c>
      <c r="D3639">
        <v>0</v>
      </c>
      <c r="E3639">
        <v>0</v>
      </c>
      <c r="F3639">
        <v>0</v>
      </c>
      <c r="G3639">
        <v>0</v>
      </c>
      <c r="H3639">
        <v>0</v>
      </c>
      <c r="I3639">
        <v>0</v>
      </c>
      <c r="J3639">
        <v>0</v>
      </c>
      <c r="K3639">
        <v>0</v>
      </c>
      <c r="L3639">
        <v>0</v>
      </c>
      <c r="M3639">
        <v>0</v>
      </c>
      <c r="N3639">
        <v>172892</v>
      </c>
      <c r="O3639">
        <v>311257</v>
      </c>
      <c r="P3639">
        <v>0</v>
      </c>
      <c r="Q3639">
        <v>0</v>
      </c>
      <c r="R3639">
        <v>0</v>
      </c>
      <c r="S3639">
        <v>0</v>
      </c>
      <c r="T3639">
        <v>18</v>
      </c>
      <c r="U3639">
        <v>29</v>
      </c>
    </row>
    <row r="3640" spans="1:21" x14ac:dyDescent="0.35">
      <c r="A3640" t="s">
        <v>26</v>
      </c>
      <c r="B3640" s="1">
        <v>45101</v>
      </c>
      <c r="C3640" t="s">
        <v>27</v>
      </c>
      <c r="D3640">
        <v>0</v>
      </c>
      <c r="E3640">
        <v>0</v>
      </c>
      <c r="F3640">
        <v>0</v>
      </c>
      <c r="G3640">
        <v>0</v>
      </c>
      <c r="H3640">
        <v>0</v>
      </c>
      <c r="I3640">
        <v>0</v>
      </c>
      <c r="J3640">
        <v>0</v>
      </c>
      <c r="K3640">
        <v>0</v>
      </c>
      <c r="L3640">
        <v>0</v>
      </c>
      <c r="M3640">
        <v>0</v>
      </c>
      <c r="N3640">
        <v>32320</v>
      </c>
      <c r="O3640">
        <v>86578</v>
      </c>
      <c r="P3640">
        <v>44587</v>
      </c>
      <c r="Q3640">
        <v>0</v>
      </c>
      <c r="R3640">
        <v>0</v>
      </c>
      <c r="S3640">
        <v>0</v>
      </c>
      <c r="T3640">
        <v>12</v>
      </c>
      <c r="U3640">
        <v>17</v>
      </c>
    </row>
    <row r="3641" spans="1:21" x14ac:dyDescent="0.35">
      <c r="A3641" t="s">
        <v>26</v>
      </c>
      <c r="B3641" s="1">
        <v>44747</v>
      </c>
      <c r="C3641" t="s">
        <v>27</v>
      </c>
      <c r="D3641">
        <v>2.7</v>
      </c>
      <c r="E3641">
        <v>0</v>
      </c>
      <c r="F3641">
        <v>0</v>
      </c>
      <c r="G3641">
        <v>0</v>
      </c>
      <c r="H3641">
        <v>0</v>
      </c>
      <c r="I3641">
        <v>0</v>
      </c>
      <c r="J3641">
        <v>0</v>
      </c>
      <c r="K3641">
        <v>0</v>
      </c>
      <c r="L3641">
        <v>0</v>
      </c>
      <c r="M3641">
        <v>0</v>
      </c>
      <c r="N3641">
        <v>37479</v>
      </c>
      <c r="O3641">
        <v>94246</v>
      </c>
      <c r="P3641">
        <v>33698</v>
      </c>
      <c r="Q3641">
        <v>1</v>
      </c>
      <c r="R3641">
        <v>0</v>
      </c>
      <c r="S3641">
        <v>0</v>
      </c>
      <c r="T3641">
        <v>12</v>
      </c>
      <c r="U3641">
        <v>17</v>
      </c>
    </row>
    <row r="3642" spans="1:21" x14ac:dyDescent="0.35">
      <c r="A3642" t="s">
        <v>21</v>
      </c>
      <c r="B3642" s="1">
        <v>44683</v>
      </c>
      <c r="C3642" t="s">
        <v>24</v>
      </c>
      <c r="D3642">
        <v>0</v>
      </c>
      <c r="E3642">
        <v>0</v>
      </c>
      <c r="F3642">
        <v>0</v>
      </c>
      <c r="G3642">
        <v>0</v>
      </c>
      <c r="H3642">
        <v>0</v>
      </c>
      <c r="I3642">
        <v>0</v>
      </c>
      <c r="J3642">
        <v>0</v>
      </c>
      <c r="K3642">
        <v>0</v>
      </c>
      <c r="L3642">
        <v>0</v>
      </c>
      <c r="M3642">
        <v>0</v>
      </c>
      <c r="N3642">
        <v>112371</v>
      </c>
      <c r="O3642">
        <v>63443</v>
      </c>
      <c r="P3642">
        <v>0</v>
      </c>
      <c r="Q3642">
        <v>0</v>
      </c>
      <c r="R3642">
        <v>0</v>
      </c>
      <c r="S3642">
        <v>0</v>
      </c>
      <c r="T3642">
        <v>5</v>
      </c>
      <c r="U3642">
        <v>11</v>
      </c>
    </row>
    <row r="3643" spans="1:21" x14ac:dyDescent="0.35">
      <c r="A3643" t="s">
        <v>21</v>
      </c>
      <c r="B3643" s="1">
        <v>44954</v>
      </c>
      <c r="C3643" t="s">
        <v>30</v>
      </c>
      <c r="D3643">
        <v>4</v>
      </c>
      <c r="E3643">
        <v>8.8000000000000007</v>
      </c>
      <c r="F3643">
        <v>2.1</v>
      </c>
      <c r="G3643">
        <v>0.5</v>
      </c>
      <c r="H3643">
        <v>1.9</v>
      </c>
      <c r="I3643">
        <v>0</v>
      </c>
      <c r="J3643">
        <v>0</v>
      </c>
      <c r="K3643">
        <v>0</v>
      </c>
      <c r="L3643">
        <v>0</v>
      </c>
      <c r="M3643">
        <v>0</v>
      </c>
      <c r="N3643">
        <v>24736</v>
      </c>
      <c r="O3643">
        <v>11376</v>
      </c>
      <c r="P3643">
        <v>47117</v>
      </c>
      <c r="Q3643">
        <v>1</v>
      </c>
      <c r="R3643">
        <v>1</v>
      </c>
      <c r="S3643">
        <v>1</v>
      </c>
      <c r="T3643">
        <v>80</v>
      </c>
      <c r="U3643">
        <v>200</v>
      </c>
    </row>
    <row r="3644" spans="1:21" x14ac:dyDescent="0.35">
      <c r="A3644" t="s">
        <v>28</v>
      </c>
      <c r="B3644" s="1">
        <v>45129</v>
      </c>
      <c r="C3644" t="s">
        <v>23</v>
      </c>
      <c r="D3644">
        <v>58.3</v>
      </c>
      <c r="E3644">
        <v>9.5</v>
      </c>
      <c r="F3644">
        <v>16.2</v>
      </c>
      <c r="G3644">
        <v>6.1</v>
      </c>
      <c r="H3644">
        <v>3.6</v>
      </c>
      <c r="I3644">
        <v>0</v>
      </c>
      <c r="J3644">
        <v>0</v>
      </c>
      <c r="K3644">
        <v>0</v>
      </c>
      <c r="L3644">
        <v>0</v>
      </c>
      <c r="M3644">
        <v>0</v>
      </c>
      <c r="N3644">
        <v>32565</v>
      </c>
      <c r="O3644">
        <v>125729</v>
      </c>
      <c r="P3644">
        <v>246933</v>
      </c>
      <c r="Q3644">
        <v>19</v>
      </c>
      <c r="R3644">
        <v>12</v>
      </c>
      <c r="S3644">
        <v>40</v>
      </c>
      <c r="T3644">
        <v>50</v>
      </c>
      <c r="U3644">
        <v>64</v>
      </c>
    </row>
    <row r="3645" spans="1:21" x14ac:dyDescent="0.35">
      <c r="A3645" t="s">
        <v>26</v>
      </c>
      <c r="B3645" s="1">
        <v>44947</v>
      </c>
      <c r="C3645" t="s">
        <v>27</v>
      </c>
      <c r="D3645">
        <v>0</v>
      </c>
      <c r="E3645">
        <v>1.2</v>
      </c>
      <c r="F3645">
        <v>0</v>
      </c>
      <c r="G3645">
        <v>0</v>
      </c>
      <c r="H3645">
        <v>0</v>
      </c>
      <c r="I3645">
        <v>0</v>
      </c>
      <c r="J3645">
        <v>0</v>
      </c>
      <c r="K3645">
        <v>0</v>
      </c>
      <c r="L3645">
        <v>0</v>
      </c>
      <c r="M3645">
        <v>0</v>
      </c>
      <c r="N3645">
        <v>33470</v>
      </c>
      <c r="O3645">
        <v>86275</v>
      </c>
      <c r="P3645">
        <v>44545</v>
      </c>
      <c r="Q3645">
        <v>0</v>
      </c>
      <c r="R3645">
        <v>1</v>
      </c>
      <c r="S3645">
        <v>0</v>
      </c>
      <c r="T3645">
        <v>12</v>
      </c>
      <c r="U3645">
        <v>17</v>
      </c>
    </row>
    <row r="3646" spans="1:21" x14ac:dyDescent="0.35">
      <c r="A3646" t="s">
        <v>26</v>
      </c>
      <c r="B3646" s="1">
        <v>44772</v>
      </c>
      <c r="C3646" t="s">
        <v>31</v>
      </c>
      <c r="D3646">
        <v>43.5</v>
      </c>
      <c r="E3646">
        <v>28.9</v>
      </c>
      <c r="F3646">
        <v>18.3</v>
      </c>
      <c r="G3646">
        <v>1.5</v>
      </c>
      <c r="H3646">
        <v>2.4</v>
      </c>
      <c r="I3646">
        <v>0</v>
      </c>
      <c r="J3646">
        <v>0</v>
      </c>
      <c r="K3646">
        <v>0</v>
      </c>
      <c r="L3646">
        <v>0</v>
      </c>
      <c r="M3646">
        <v>0</v>
      </c>
      <c r="N3646">
        <v>45965</v>
      </c>
      <c r="O3646">
        <v>45025</v>
      </c>
      <c r="P3646">
        <v>169088</v>
      </c>
      <c r="Q3646">
        <v>20</v>
      </c>
      <c r="R3646">
        <v>13</v>
      </c>
      <c r="S3646">
        <v>31</v>
      </c>
      <c r="T3646">
        <v>65</v>
      </c>
      <c r="U3646">
        <v>79</v>
      </c>
    </row>
    <row r="3647" spans="1:21" x14ac:dyDescent="0.35">
      <c r="A3647" t="s">
        <v>26</v>
      </c>
      <c r="B3647" s="1">
        <v>44449</v>
      </c>
      <c r="C3647" t="s">
        <v>23</v>
      </c>
      <c r="D3647">
        <v>37.4</v>
      </c>
      <c r="E3647">
        <v>2.4</v>
      </c>
      <c r="F3647">
        <v>0</v>
      </c>
      <c r="G3647">
        <v>15.6</v>
      </c>
      <c r="H3647">
        <v>0</v>
      </c>
      <c r="I3647">
        <v>0</v>
      </c>
      <c r="J3647">
        <v>0</v>
      </c>
      <c r="K3647">
        <v>0</v>
      </c>
      <c r="L3647">
        <v>0</v>
      </c>
      <c r="M3647">
        <v>0</v>
      </c>
      <c r="N3647">
        <v>77460</v>
      </c>
      <c r="O3647">
        <v>331279</v>
      </c>
      <c r="P3647">
        <v>0</v>
      </c>
      <c r="Q3647">
        <v>29</v>
      </c>
      <c r="R3647">
        <v>8</v>
      </c>
      <c r="S3647">
        <v>0</v>
      </c>
      <c r="T3647">
        <v>50</v>
      </c>
      <c r="U3647">
        <v>64</v>
      </c>
    </row>
    <row r="3648" spans="1:21" x14ac:dyDescent="0.35">
      <c r="A3648" t="s">
        <v>28</v>
      </c>
      <c r="B3648" s="1">
        <v>44492</v>
      </c>
      <c r="C3648" t="s">
        <v>22</v>
      </c>
      <c r="D3648">
        <v>123.7</v>
      </c>
      <c r="E3648">
        <v>51.4</v>
      </c>
      <c r="F3648">
        <v>16.100000000000001</v>
      </c>
      <c r="G3648">
        <v>2.4</v>
      </c>
      <c r="H3648">
        <v>7.7</v>
      </c>
      <c r="I3648">
        <v>139.80000000000001</v>
      </c>
      <c r="J3648">
        <v>41.5</v>
      </c>
      <c r="K3648">
        <v>14</v>
      </c>
      <c r="L3648">
        <v>3.4</v>
      </c>
      <c r="M3648">
        <v>10</v>
      </c>
      <c r="N3648">
        <v>978761</v>
      </c>
      <c r="O3648">
        <v>1496643</v>
      </c>
      <c r="P3648">
        <v>68441</v>
      </c>
      <c r="Q3648">
        <v>1211</v>
      </c>
      <c r="R3648">
        <v>769</v>
      </c>
      <c r="S3648">
        <v>11</v>
      </c>
      <c r="T3648">
        <v>999</v>
      </c>
      <c r="U3648">
        <v>999</v>
      </c>
    </row>
    <row r="3649" spans="1:21" x14ac:dyDescent="0.35">
      <c r="A3649" t="s">
        <v>21</v>
      </c>
      <c r="B3649" s="1">
        <v>44954</v>
      </c>
      <c r="C3649" t="s">
        <v>23</v>
      </c>
      <c r="D3649">
        <v>2.9</v>
      </c>
      <c r="E3649">
        <v>0</v>
      </c>
      <c r="F3649">
        <v>0.8</v>
      </c>
      <c r="G3649">
        <v>0</v>
      </c>
      <c r="H3649">
        <v>3.6</v>
      </c>
      <c r="I3649">
        <v>0</v>
      </c>
      <c r="J3649">
        <v>0</v>
      </c>
      <c r="K3649">
        <v>0</v>
      </c>
      <c r="L3649">
        <v>0</v>
      </c>
      <c r="M3649">
        <v>0</v>
      </c>
      <c r="N3649">
        <v>34286</v>
      </c>
      <c r="O3649">
        <v>125502</v>
      </c>
      <c r="P3649">
        <v>246842</v>
      </c>
      <c r="Q3649">
        <v>1</v>
      </c>
      <c r="R3649">
        <v>0</v>
      </c>
      <c r="S3649">
        <v>2</v>
      </c>
      <c r="T3649">
        <v>50</v>
      </c>
      <c r="U3649">
        <v>64</v>
      </c>
    </row>
    <row r="3650" spans="1:21" x14ac:dyDescent="0.35">
      <c r="A3650" t="s">
        <v>28</v>
      </c>
      <c r="B3650" s="1">
        <v>45073</v>
      </c>
      <c r="C3650" t="s">
        <v>29</v>
      </c>
      <c r="D3650">
        <v>25.8</v>
      </c>
      <c r="E3650">
        <v>9</v>
      </c>
      <c r="F3650">
        <v>14.7</v>
      </c>
      <c r="G3650">
        <v>2.9</v>
      </c>
      <c r="H3650">
        <v>1.8</v>
      </c>
      <c r="I3650">
        <v>0</v>
      </c>
      <c r="J3650">
        <v>0</v>
      </c>
      <c r="K3650">
        <v>0</v>
      </c>
      <c r="L3650">
        <v>0</v>
      </c>
      <c r="M3650">
        <v>0</v>
      </c>
      <c r="N3650">
        <v>108550</v>
      </c>
      <c r="O3650">
        <v>278401</v>
      </c>
      <c r="P3650">
        <v>347299</v>
      </c>
      <c r="Q3650">
        <v>28</v>
      </c>
      <c r="R3650">
        <v>25</v>
      </c>
      <c r="S3650">
        <v>51</v>
      </c>
      <c r="T3650">
        <v>30</v>
      </c>
      <c r="U3650">
        <v>49</v>
      </c>
    </row>
    <row r="3651" spans="1:21" x14ac:dyDescent="0.35">
      <c r="A3651" t="s">
        <v>21</v>
      </c>
      <c r="B3651" s="1">
        <v>44385</v>
      </c>
      <c r="C3651" t="s">
        <v>22</v>
      </c>
      <c r="D3651">
        <v>1.4</v>
      </c>
      <c r="E3651">
        <v>0.2</v>
      </c>
      <c r="F3651">
        <v>0</v>
      </c>
      <c r="G3651">
        <v>7</v>
      </c>
      <c r="H3651">
        <v>0</v>
      </c>
      <c r="I3651">
        <v>1.8</v>
      </c>
      <c r="J3651">
        <v>0.2</v>
      </c>
      <c r="K3651">
        <v>0</v>
      </c>
      <c r="L3651">
        <v>10.6</v>
      </c>
      <c r="M3651">
        <v>0</v>
      </c>
      <c r="N3651">
        <v>1127960</v>
      </c>
      <c r="O3651">
        <v>1412725</v>
      </c>
      <c r="P3651">
        <v>0</v>
      </c>
      <c r="Q3651">
        <v>16</v>
      </c>
      <c r="R3651">
        <v>3</v>
      </c>
      <c r="S3651">
        <v>0</v>
      </c>
      <c r="T3651">
        <v>999</v>
      </c>
      <c r="U3651">
        <v>999</v>
      </c>
    </row>
    <row r="3652" spans="1:21" x14ac:dyDescent="0.35">
      <c r="A3652" t="s">
        <v>28</v>
      </c>
      <c r="B3652" s="1">
        <v>45232</v>
      </c>
      <c r="C3652" t="s">
        <v>25</v>
      </c>
      <c r="D3652">
        <v>143.5</v>
      </c>
      <c r="E3652">
        <v>52</v>
      </c>
      <c r="F3652">
        <v>72.400000000000006</v>
      </c>
      <c r="G3652">
        <v>2.8</v>
      </c>
      <c r="H3652">
        <v>2</v>
      </c>
      <c r="I3652">
        <v>0</v>
      </c>
      <c r="J3652">
        <v>0</v>
      </c>
      <c r="K3652">
        <v>0</v>
      </c>
      <c r="L3652">
        <v>0</v>
      </c>
      <c r="M3652">
        <v>0</v>
      </c>
      <c r="N3652">
        <v>77378</v>
      </c>
      <c r="O3652">
        <v>213351</v>
      </c>
      <c r="P3652">
        <v>161644</v>
      </c>
      <c r="Q3652">
        <v>111</v>
      </c>
      <c r="R3652">
        <v>111</v>
      </c>
      <c r="S3652">
        <v>117</v>
      </c>
      <c r="T3652">
        <v>18</v>
      </c>
      <c r="U3652">
        <v>29</v>
      </c>
    </row>
    <row r="3653" spans="1:21" x14ac:dyDescent="0.35">
      <c r="A3653" t="s">
        <v>26</v>
      </c>
      <c r="B3653" s="1">
        <v>44947</v>
      </c>
      <c r="C3653" t="s">
        <v>31</v>
      </c>
      <c r="D3653">
        <v>42.1</v>
      </c>
      <c r="E3653">
        <v>18.399999999999999</v>
      </c>
      <c r="F3653">
        <v>19.8</v>
      </c>
      <c r="G3653">
        <v>2.2999999999999998</v>
      </c>
      <c r="H3653">
        <v>2.1</v>
      </c>
      <c r="I3653">
        <v>0</v>
      </c>
      <c r="J3653">
        <v>0</v>
      </c>
      <c r="K3653">
        <v>0</v>
      </c>
      <c r="L3653">
        <v>0</v>
      </c>
      <c r="M3653">
        <v>0</v>
      </c>
      <c r="N3653">
        <v>40373</v>
      </c>
      <c r="O3653">
        <v>43379</v>
      </c>
      <c r="P3653">
        <v>171682</v>
      </c>
      <c r="Q3653">
        <v>17</v>
      </c>
      <c r="R3653">
        <v>8</v>
      </c>
      <c r="S3653">
        <v>34</v>
      </c>
      <c r="T3653">
        <v>65</v>
      </c>
      <c r="U3653">
        <v>79</v>
      </c>
    </row>
    <row r="3654" spans="1:21" x14ac:dyDescent="0.35">
      <c r="A3654" t="s">
        <v>21</v>
      </c>
      <c r="B3654" s="1">
        <v>44639</v>
      </c>
      <c r="C3654" t="s">
        <v>23</v>
      </c>
      <c r="D3654">
        <v>2.2000000000000002</v>
      </c>
      <c r="E3654">
        <v>0</v>
      </c>
      <c r="F3654">
        <v>0</v>
      </c>
      <c r="G3654">
        <v>0</v>
      </c>
      <c r="H3654">
        <v>0</v>
      </c>
      <c r="I3654">
        <v>0</v>
      </c>
      <c r="J3654">
        <v>0</v>
      </c>
      <c r="K3654">
        <v>0</v>
      </c>
      <c r="L3654">
        <v>0</v>
      </c>
      <c r="M3654">
        <v>0</v>
      </c>
      <c r="N3654">
        <v>45704</v>
      </c>
      <c r="O3654">
        <v>140906</v>
      </c>
      <c r="P3654">
        <v>224298</v>
      </c>
      <c r="Q3654">
        <v>1</v>
      </c>
      <c r="R3654">
        <v>0</v>
      </c>
      <c r="S3654">
        <v>0</v>
      </c>
      <c r="T3654">
        <v>50</v>
      </c>
      <c r="U3654">
        <v>64</v>
      </c>
    </row>
    <row r="3655" spans="1:21" x14ac:dyDescent="0.35">
      <c r="A3655" t="s">
        <v>28</v>
      </c>
      <c r="B3655" s="1">
        <v>44429</v>
      </c>
      <c r="C3655" t="s">
        <v>22</v>
      </c>
      <c r="D3655">
        <v>186.8</v>
      </c>
      <c r="E3655">
        <v>89.4</v>
      </c>
      <c r="F3655">
        <v>0</v>
      </c>
      <c r="G3655">
        <v>2.1</v>
      </c>
      <c r="H3655">
        <v>0</v>
      </c>
      <c r="I3655">
        <v>212.1</v>
      </c>
      <c r="J3655">
        <v>72.5</v>
      </c>
      <c r="K3655">
        <v>0</v>
      </c>
      <c r="L3655">
        <v>2.9</v>
      </c>
      <c r="M3655">
        <v>0</v>
      </c>
      <c r="N3655">
        <v>1093280</v>
      </c>
      <c r="O3655">
        <v>1437082</v>
      </c>
      <c r="P3655">
        <v>0</v>
      </c>
      <c r="Q3655">
        <v>2042</v>
      </c>
      <c r="R3655">
        <v>1285</v>
      </c>
      <c r="S3655">
        <v>0</v>
      </c>
      <c r="T3655">
        <v>999</v>
      </c>
      <c r="U3655">
        <v>999</v>
      </c>
    </row>
    <row r="3656" spans="1:21" x14ac:dyDescent="0.35">
      <c r="A3656" t="s">
        <v>21</v>
      </c>
      <c r="B3656" s="1">
        <v>45233</v>
      </c>
      <c r="C3656" t="s">
        <v>31</v>
      </c>
      <c r="D3656">
        <v>0</v>
      </c>
      <c r="E3656">
        <v>0</v>
      </c>
      <c r="F3656">
        <v>0</v>
      </c>
      <c r="G3656">
        <v>0</v>
      </c>
      <c r="H3656">
        <v>0</v>
      </c>
      <c r="I3656">
        <v>0</v>
      </c>
      <c r="J3656">
        <v>0</v>
      </c>
      <c r="K3656">
        <v>0</v>
      </c>
      <c r="L3656">
        <v>0</v>
      </c>
      <c r="M3656">
        <v>0</v>
      </c>
      <c r="N3656">
        <v>40003</v>
      </c>
      <c r="O3656">
        <v>43418</v>
      </c>
      <c r="P3656">
        <v>171704</v>
      </c>
      <c r="Q3656">
        <v>0</v>
      </c>
      <c r="R3656">
        <v>0</v>
      </c>
      <c r="S3656">
        <v>0</v>
      </c>
      <c r="T3656">
        <v>65</v>
      </c>
      <c r="U3656">
        <v>79</v>
      </c>
    </row>
    <row r="3657" spans="1:21" x14ac:dyDescent="0.35">
      <c r="A3657" t="s">
        <v>28</v>
      </c>
      <c r="B3657" s="1">
        <v>44548</v>
      </c>
      <c r="C3657" t="s">
        <v>24</v>
      </c>
      <c r="D3657">
        <v>719.2</v>
      </c>
      <c r="E3657">
        <v>187.4</v>
      </c>
      <c r="F3657">
        <v>0</v>
      </c>
      <c r="G3657">
        <v>3.8</v>
      </c>
      <c r="H3657">
        <v>0</v>
      </c>
      <c r="I3657">
        <v>0</v>
      </c>
      <c r="J3657">
        <v>0</v>
      </c>
      <c r="K3657">
        <v>0</v>
      </c>
      <c r="L3657">
        <v>0</v>
      </c>
      <c r="M3657">
        <v>0</v>
      </c>
      <c r="N3657">
        <v>147394</v>
      </c>
      <c r="O3657">
        <v>24009</v>
      </c>
      <c r="P3657">
        <v>0</v>
      </c>
      <c r="Q3657">
        <v>1060</v>
      </c>
      <c r="R3657">
        <v>45</v>
      </c>
      <c r="S3657">
        <v>0</v>
      </c>
      <c r="T3657">
        <v>5</v>
      </c>
      <c r="U3657">
        <v>11</v>
      </c>
    </row>
    <row r="3658" spans="1:21" x14ac:dyDescent="0.35">
      <c r="A3658" t="s">
        <v>28</v>
      </c>
      <c r="B3658" s="1">
        <v>44657</v>
      </c>
      <c r="C3658" t="s">
        <v>22</v>
      </c>
      <c r="D3658">
        <v>285.10000000000002</v>
      </c>
      <c r="E3658">
        <v>187.5</v>
      </c>
      <c r="F3658">
        <v>302.3</v>
      </c>
      <c r="G3658">
        <v>1.5</v>
      </c>
      <c r="H3658">
        <v>0.9</v>
      </c>
      <c r="I3658">
        <v>327.2</v>
      </c>
      <c r="J3658">
        <v>175.5</v>
      </c>
      <c r="K3658">
        <v>296.60000000000002</v>
      </c>
      <c r="L3658">
        <v>1.9</v>
      </c>
      <c r="M3658">
        <v>1.1000000000000001</v>
      </c>
      <c r="N3658">
        <v>641809</v>
      </c>
      <c r="O3658">
        <v>878533</v>
      </c>
      <c r="P3658">
        <v>974045</v>
      </c>
      <c r="Q3658">
        <v>1830</v>
      </c>
      <c r="R3658">
        <v>1647</v>
      </c>
      <c r="S3658">
        <v>2945</v>
      </c>
      <c r="T3658">
        <v>999</v>
      </c>
      <c r="U3658">
        <v>999</v>
      </c>
    </row>
    <row r="3659" spans="1:21" x14ac:dyDescent="0.35">
      <c r="A3659" t="s">
        <v>21</v>
      </c>
      <c r="B3659" s="1">
        <v>44774</v>
      </c>
      <c r="C3659" t="s">
        <v>29</v>
      </c>
      <c r="D3659">
        <v>6.2</v>
      </c>
      <c r="E3659">
        <v>0.8</v>
      </c>
      <c r="F3659">
        <v>0</v>
      </c>
      <c r="G3659">
        <v>7.8</v>
      </c>
      <c r="H3659">
        <v>0</v>
      </c>
      <c r="I3659">
        <v>0</v>
      </c>
      <c r="J3659">
        <v>0</v>
      </c>
      <c r="K3659">
        <v>0</v>
      </c>
      <c r="L3659">
        <v>0</v>
      </c>
      <c r="M3659">
        <v>0</v>
      </c>
      <c r="N3659">
        <v>161589</v>
      </c>
      <c r="O3659">
        <v>361224</v>
      </c>
      <c r="P3659">
        <v>223160</v>
      </c>
      <c r="Q3659">
        <v>10</v>
      </c>
      <c r="R3659">
        <v>3</v>
      </c>
      <c r="S3659">
        <v>0</v>
      </c>
      <c r="T3659">
        <v>30</v>
      </c>
      <c r="U3659">
        <v>49</v>
      </c>
    </row>
    <row r="3660" spans="1:21" x14ac:dyDescent="0.35">
      <c r="A3660" t="s">
        <v>26</v>
      </c>
      <c r="B3660" s="1">
        <v>44954</v>
      </c>
      <c r="C3660" t="s">
        <v>29</v>
      </c>
      <c r="D3660">
        <v>7.2</v>
      </c>
      <c r="E3660">
        <v>2.5</v>
      </c>
      <c r="F3660">
        <v>2.6</v>
      </c>
      <c r="G3660">
        <v>2.9</v>
      </c>
      <c r="H3660">
        <v>2.8</v>
      </c>
      <c r="I3660">
        <v>0</v>
      </c>
      <c r="J3660">
        <v>0</v>
      </c>
      <c r="K3660">
        <v>0</v>
      </c>
      <c r="L3660">
        <v>0</v>
      </c>
      <c r="M3660">
        <v>0</v>
      </c>
      <c r="N3660">
        <v>111793</v>
      </c>
      <c r="O3660">
        <v>277548</v>
      </c>
      <c r="P3660">
        <v>347231</v>
      </c>
      <c r="Q3660">
        <v>8</v>
      </c>
      <c r="R3660">
        <v>7</v>
      </c>
      <c r="S3660">
        <v>9</v>
      </c>
      <c r="T3660">
        <v>30</v>
      </c>
      <c r="U3660">
        <v>49</v>
      </c>
    </row>
    <row r="3661" spans="1:21" x14ac:dyDescent="0.35">
      <c r="A3661" t="s">
        <v>28</v>
      </c>
      <c r="B3661" s="1">
        <v>44846</v>
      </c>
      <c r="C3661" t="s">
        <v>30</v>
      </c>
      <c r="D3661">
        <v>224.7</v>
      </c>
      <c r="E3661">
        <v>395.7</v>
      </c>
      <c r="F3661">
        <v>329.1</v>
      </c>
      <c r="G3661">
        <v>0.6</v>
      </c>
      <c r="H3661">
        <v>0.7</v>
      </c>
      <c r="I3661">
        <v>0</v>
      </c>
      <c r="J3661">
        <v>0</v>
      </c>
      <c r="K3661">
        <v>0</v>
      </c>
      <c r="L3661">
        <v>0</v>
      </c>
      <c r="M3661">
        <v>0</v>
      </c>
      <c r="N3661">
        <v>24925</v>
      </c>
      <c r="O3661">
        <v>11373</v>
      </c>
      <c r="P3661">
        <v>47104</v>
      </c>
      <c r="Q3661">
        <v>56</v>
      </c>
      <c r="R3661">
        <v>45</v>
      </c>
      <c r="S3661">
        <v>155</v>
      </c>
      <c r="T3661">
        <v>80</v>
      </c>
      <c r="U3661">
        <v>200</v>
      </c>
    </row>
    <row r="3662" spans="1:21" x14ac:dyDescent="0.35">
      <c r="A3662" t="s">
        <v>21</v>
      </c>
      <c r="B3662" s="1">
        <v>45054</v>
      </c>
      <c r="C3662" t="s">
        <v>30</v>
      </c>
      <c r="D3662">
        <v>0</v>
      </c>
      <c r="E3662">
        <v>0</v>
      </c>
      <c r="F3662">
        <v>0</v>
      </c>
      <c r="G3662">
        <v>0</v>
      </c>
      <c r="H3662">
        <v>0</v>
      </c>
      <c r="I3662">
        <v>0</v>
      </c>
      <c r="J3662">
        <v>0</v>
      </c>
      <c r="K3662">
        <v>0</v>
      </c>
      <c r="L3662">
        <v>0</v>
      </c>
      <c r="M3662">
        <v>0</v>
      </c>
      <c r="N3662">
        <v>24475</v>
      </c>
      <c r="O3662">
        <v>11382</v>
      </c>
      <c r="P3662">
        <v>47131</v>
      </c>
      <c r="Q3662">
        <v>0</v>
      </c>
      <c r="R3662">
        <v>0</v>
      </c>
      <c r="S3662">
        <v>0</v>
      </c>
      <c r="T3662">
        <v>80</v>
      </c>
      <c r="U3662">
        <v>200</v>
      </c>
    </row>
    <row r="3663" spans="1:21" x14ac:dyDescent="0.35">
      <c r="A3663" t="s">
        <v>21</v>
      </c>
      <c r="B3663" s="1">
        <v>45073</v>
      </c>
      <c r="C3663" t="s">
        <v>30</v>
      </c>
      <c r="D3663">
        <v>0</v>
      </c>
      <c r="E3663">
        <v>0</v>
      </c>
      <c r="F3663">
        <v>0</v>
      </c>
      <c r="G3663">
        <v>0</v>
      </c>
      <c r="H3663">
        <v>0</v>
      </c>
      <c r="I3663">
        <v>0</v>
      </c>
      <c r="J3663">
        <v>0</v>
      </c>
      <c r="K3663">
        <v>0</v>
      </c>
      <c r="L3663">
        <v>0</v>
      </c>
      <c r="M3663">
        <v>0</v>
      </c>
      <c r="N3663">
        <v>24542</v>
      </c>
      <c r="O3663">
        <v>11384</v>
      </c>
      <c r="P3663">
        <v>47129</v>
      </c>
      <c r="Q3663">
        <v>0</v>
      </c>
      <c r="R3663">
        <v>0</v>
      </c>
      <c r="S3663">
        <v>0</v>
      </c>
      <c r="T3663">
        <v>80</v>
      </c>
      <c r="U3663">
        <v>200</v>
      </c>
    </row>
    <row r="3664" spans="1:21" x14ac:dyDescent="0.35">
      <c r="A3664" t="s">
        <v>26</v>
      </c>
      <c r="B3664" s="1">
        <v>44783</v>
      </c>
      <c r="C3664" t="s">
        <v>27</v>
      </c>
      <c r="D3664">
        <v>2.9</v>
      </c>
      <c r="E3664">
        <v>0</v>
      </c>
      <c r="F3664">
        <v>0</v>
      </c>
      <c r="G3664">
        <v>0</v>
      </c>
      <c r="H3664">
        <v>0</v>
      </c>
      <c r="I3664">
        <v>0</v>
      </c>
      <c r="J3664">
        <v>0</v>
      </c>
      <c r="K3664">
        <v>0</v>
      </c>
      <c r="L3664">
        <v>0</v>
      </c>
      <c r="M3664">
        <v>0</v>
      </c>
      <c r="N3664">
        <v>34773</v>
      </c>
      <c r="O3664">
        <v>85834</v>
      </c>
      <c r="P3664">
        <v>44443</v>
      </c>
      <c r="Q3664">
        <v>1</v>
      </c>
      <c r="R3664">
        <v>0</v>
      </c>
      <c r="S3664">
        <v>0</v>
      </c>
      <c r="T3664">
        <v>12</v>
      </c>
      <c r="U3664">
        <v>17</v>
      </c>
    </row>
    <row r="3665" spans="1:21" x14ac:dyDescent="0.35">
      <c r="A3665" t="s">
        <v>26</v>
      </c>
      <c r="B3665" s="1">
        <v>44966</v>
      </c>
      <c r="C3665" t="s">
        <v>25</v>
      </c>
      <c r="D3665">
        <v>2.7</v>
      </c>
      <c r="E3665">
        <v>0.5</v>
      </c>
      <c r="F3665">
        <v>0.6</v>
      </c>
      <c r="G3665">
        <v>5.4</v>
      </c>
      <c r="H3665">
        <v>4.5</v>
      </c>
      <c r="I3665">
        <v>0</v>
      </c>
      <c r="J3665">
        <v>0</v>
      </c>
      <c r="K3665">
        <v>0</v>
      </c>
      <c r="L3665">
        <v>0</v>
      </c>
      <c r="M3665">
        <v>0</v>
      </c>
      <c r="N3665">
        <v>73298</v>
      </c>
      <c r="O3665">
        <v>214129</v>
      </c>
      <c r="P3665">
        <v>161722</v>
      </c>
      <c r="Q3665">
        <v>2</v>
      </c>
      <c r="R3665">
        <v>1</v>
      </c>
      <c r="S3665">
        <v>1</v>
      </c>
      <c r="T3665">
        <v>18</v>
      </c>
      <c r="U3665">
        <v>29</v>
      </c>
    </row>
    <row r="3666" spans="1:21" x14ac:dyDescent="0.35">
      <c r="A3666" t="s">
        <v>21</v>
      </c>
      <c r="B3666" s="1">
        <v>44590</v>
      </c>
      <c r="C3666" t="s">
        <v>22</v>
      </c>
      <c r="D3666">
        <v>10.5</v>
      </c>
      <c r="E3666">
        <v>4</v>
      </c>
      <c r="F3666">
        <v>2.8</v>
      </c>
      <c r="G3666">
        <v>2.6</v>
      </c>
      <c r="H3666">
        <v>3.8</v>
      </c>
      <c r="I3666">
        <v>14</v>
      </c>
      <c r="J3666">
        <v>5.8</v>
      </c>
      <c r="K3666">
        <v>1.6</v>
      </c>
      <c r="L3666">
        <v>2.4</v>
      </c>
      <c r="M3666">
        <v>8.5</v>
      </c>
      <c r="N3666">
        <v>707592</v>
      </c>
      <c r="O3666">
        <v>954511</v>
      </c>
      <c r="P3666">
        <v>779977</v>
      </c>
      <c r="Q3666">
        <v>74</v>
      </c>
      <c r="R3666">
        <v>38</v>
      </c>
      <c r="S3666">
        <v>22</v>
      </c>
      <c r="T3666">
        <v>999</v>
      </c>
      <c r="U3666">
        <v>999</v>
      </c>
    </row>
    <row r="3667" spans="1:21" x14ac:dyDescent="0.35">
      <c r="A3667" t="s">
        <v>26</v>
      </c>
      <c r="B3667" s="1">
        <v>44464</v>
      </c>
      <c r="C3667" t="s">
        <v>27</v>
      </c>
      <c r="D3667">
        <v>4.3</v>
      </c>
      <c r="E3667">
        <v>0</v>
      </c>
      <c r="F3667">
        <v>0</v>
      </c>
      <c r="G3667">
        <v>0</v>
      </c>
      <c r="H3667">
        <v>0</v>
      </c>
      <c r="I3667">
        <v>0</v>
      </c>
      <c r="J3667">
        <v>0</v>
      </c>
      <c r="K3667">
        <v>0</v>
      </c>
      <c r="L3667">
        <v>0</v>
      </c>
      <c r="M3667">
        <v>0</v>
      </c>
      <c r="N3667">
        <v>69960</v>
      </c>
      <c r="O3667">
        <v>90234</v>
      </c>
      <c r="P3667">
        <v>0</v>
      </c>
      <c r="Q3667">
        <v>3</v>
      </c>
      <c r="R3667">
        <v>0</v>
      </c>
      <c r="S3667">
        <v>0</v>
      </c>
      <c r="T3667">
        <v>12</v>
      </c>
      <c r="U3667">
        <v>17</v>
      </c>
    </row>
    <row r="3668" spans="1:21" x14ac:dyDescent="0.35">
      <c r="A3668" t="s">
        <v>28</v>
      </c>
      <c r="B3668" s="1">
        <v>45010</v>
      </c>
      <c r="C3668" t="s">
        <v>30</v>
      </c>
      <c r="D3668">
        <v>56.8</v>
      </c>
      <c r="E3668">
        <v>123</v>
      </c>
      <c r="F3668">
        <v>129.4</v>
      </c>
      <c r="G3668">
        <v>0.5</v>
      </c>
      <c r="H3668">
        <v>0.4</v>
      </c>
      <c r="I3668">
        <v>0</v>
      </c>
      <c r="J3668">
        <v>0</v>
      </c>
      <c r="K3668">
        <v>0</v>
      </c>
      <c r="L3668">
        <v>0</v>
      </c>
      <c r="M3668">
        <v>0</v>
      </c>
      <c r="N3668">
        <v>24648</v>
      </c>
      <c r="O3668">
        <v>11381</v>
      </c>
      <c r="P3668">
        <v>47126</v>
      </c>
      <c r="Q3668">
        <v>14</v>
      </c>
      <c r="R3668">
        <v>14</v>
      </c>
      <c r="S3668">
        <v>61</v>
      </c>
      <c r="T3668">
        <v>80</v>
      </c>
      <c r="U3668">
        <v>200</v>
      </c>
    </row>
    <row r="3669" spans="1:21" x14ac:dyDescent="0.35">
      <c r="A3669" t="s">
        <v>21</v>
      </c>
      <c r="B3669" s="1">
        <v>45205</v>
      </c>
      <c r="C3669" t="s">
        <v>27</v>
      </c>
      <c r="D3669">
        <v>0</v>
      </c>
      <c r="E3669">
        <v>0</v>
      </c>
      <c r="F3669">
        <v>0</v>
      </c>
      <c r="G3669">
        <v>0</v>
      </c>
      <c r="H3669">
        <v>0</v>
      </c>
      <c r="I3669">
        <v>0</v>
      </c>
      <c r="J3669">
        <v>0</v>
      </c>
      <c r="K3669">
        <v>0</v>
      </c>
      <c r="L3669">
        <v>0</v>
      </c>
      <c r="M3669">
        <v>0</v>
      </c>
      <c r="N3669">
        <v>32409</v>
      </c>
      <c r="O3669">
        <v>86579</v>
      </c>
      <c r="P3669">
        <v>44583</v>
      </c>
      <c r="Q3669">
        <v>0</v>
      </c>
      <c r="R3669">
        <v>0</v>
      </c>
      <c r="S3669">
        <v>0</v>
      </c>
      <c r="T3669">
        <v>12</v>
      </c>
      <c r="U3669">
        <v>17</v>
      </c>
    </row>
    <row r="3670" spans="1:21" x14ac:dyDescent="0.35">
      <c r="A3670" t="s">
        <v>28</v>
      </c>
      <c r="B3670" s="1">
        <v>44684</v>
      </c>
      <c r="C3670" t="s">
        <v>24</v>
      </c>
      <c r="D3670">
        <v>58.7</v>
      </c>
      <c r="E3670">
        <v>71.8</v>
      </c>
      <c r="F3670">
        <v>0</v>
      </c>
      <c r="G3670">
        <v>0.8</v>
      </c>
      <c r="H3670">
        <v>0</v>
      </c>
      <c r="I3670">
        <v>0</v>
      </c>
      <c r="J3670">
        <v>0</v>
      </c>
      <c r="K3670">
        <v>0</v>
      </c>
      <c r="L3670">
        <v>0</v>
      </c>
      <c r="M3670">
        <v>0</v>
      </c>
      <c r="N3670">
        <v>105610</v>
      </c>
      <c r="O3670">
        <v>83554</v>
      </c>
      <c r="P3670">
        <v>0</v>
      </c>
      <c r="Q3670">
        <v>62</v>
      </c>
      <c r="R3670">
        <v>60</v>
      </c>
      <c r="S3670">
        <v>0</v>
      </c>
      <c r="T3670">
        <v>5</v>
      </c>
      <c r="U3670">
        <v>11</v>
      </c>
    </row>
    <row r="3671" spans="1:21" x14ac:dyDescent="0.35">
      <c r="A3671" t="s">
        <v>28</v>
      </c>
      <c r="B3671" s="1">
        <v>45027</v>
      </c>
      <c r="C3671" t="s">
        <v>25</v>
      </c>
      <c r="D3671">
        <v>82.1</v>
      </c>
      <c r="E3671">
        <v>15.3</v>
      </c>
      <c r="F3671">
        <v>17.899999999999999</v>
      </c>
      <c r="G3671">
        <v>5.4</v>
      </c>
      <c r="H3671">
        <v>4.5999999999999996</v>
      </c>
      <c r="I3671">
        <v>0</v>
      </c>
      <c r="J3671">
        <v>0</v>
      </c>
      <c r="K3671">
        <v>0</v>
      </c>
      <c r="L3671">
        <v>0</v>
      </c>
      <c r="M3671">
        <v>0</v>
      </c>
      <c r="N3671">
        <v>69457</v>
      </c>
      <c r="O3671">
        <v>215124</v>
      </c>
      <c r="P3671">
        <v>162370</v>
      </c>
      <c r="Q3671">
        <v>57</v>
      </c>
      <c r="R3671">
        <v>33</v>
      </c>
      <c r="S3671">
        <v>29</v>
      </c>
      <c r="T3671">
        <v>18</v>
      </c>
      <c r="U3671">
        <v>29</v>
      </c>
    </row>
    <row r="3672" spans="1:21" x14ac:dyDescent="0.35">
      <c r="A3672" t="s">
        <v>28</v>
      </c>
      <c r="B3672" s="1">
        <v>44800</v>
      </c>
      <c r="C3672" t="s">
        <v>30</v>
      </c>
      <c r="D3672">
        <v>125.9</v>
      </c>
      <c r="E3672">
        <v>251.5</v>
      </c>
      <c r="F3672">
        <v>241.3</v>
      </c>
      <c r="G3672">
        <v>0.5</v>
      </c>
      <c r="H3672">
        <v>0.5</v>
      </c>
      <c r="I3672">
        <v>0</v>
      </c>
      <c r="J3672">
        <v>0</v>
      </c>
      <c r="K3672">
        <v>0</v>
      </c>
      <c r="L3672">
        <v>0</v>
      </c>
      <c r="M3672">
        <v>0</v>
      </c>
      <c r="N3672">
        <v>26217</v>
      </c>
      <c r="O3672">
        <v>11529</v>
      </c>
      <c r="P3672">
        <v>46830</v>
      </c>
      <c r="Q3672">
        <v>33</v>
      </c>
      <c r="R3672">
        <v>29</v>
      </c>
      <c r="S3672">
        <v>113</v>
      </c>
      <c r="T3672">
        <v>80</v>
      </c>
      <c r="U3672">
        <v>200</v>
      </c>
    </row>
    <row r="3673" spans="1:21" x14ac:dyDescent="0.35">
      <c r="A3673" t="s">
        <v>21</v>
      </c>
      <c r="B3673" s="1">
        <v>44657</v>
      </c>
      <c r="C3673" t="s">
        <v>29</v>
      </c>
      <c r="D3673">
        <v>0</v>
      </c>
      <c r="E3673">
        <v>0</v>
      </c>
      <c r="F3673">
        <v>0</v>
      </c>
      <c r="G3673">
        <v>0</v>
      </c>
      <c r="H3673">
        <v>0</v>
      </c>
      <c r="I3673">
        <v>0</v>
      </c>
      <c r="J3673">
        <v>0</v>
      </c>
      <c r="K3673">
        <v>0</v>
      </c>
      <c r="L3673">
        <v>0</v>
      </c>
      <c r="M3673">
        <v>0</v>
      </c>
      <c r="N3673">
        <v>129048</v>
      </c>
      <c r="O3673">
        <v>283039</v>
      </c>
      <c r="P3673">
        <v>336241</v>
      </c>
      <c r="Q3673">
        <v>0</v>
      </c>
      <c r="R3673">
        <v>0</v>
      </c>
      <c r="S3673">
        <v>0</v>
      </c>
      <c r="T3673">
        <v>30</v>
      </c>
      <c r="U3673">
        <v>49</v>
      </c>
    </row>
    <row r="3674" spans="1:21" x14ac:dyDescent="0.35">
      <c r="A3674" t="s">
        <v>21</v>
      </c>
      <c r="B3674" s="1">
        <v>44709</v>
      </c>
      <c r="C3674" t="s">
        <v>30</v>
      </c>
      <c r="D3674">
        <v>7.5</v>
      </c>
      <c r="E3674">
        <v>7.8</v>
      </c>
      <c r="F3674">
        <v>0</v>
      </c>
      <c r="G3674">
        <v>1</v>
      </c>
      <c r="H3674">
        <v>0</v>
      </c>
      <c r="I3674">
        <v>0</v>
      </c>
      <c r="J3674">
        <v>0</v>
      </c>
      <c r="K3674">
        <v>0</v>
      </c>
      <c r="L3674">
        <v>0</v>
      </c>
      <c r="M3674">
        <v>0</v>
      </c>
      <c r="N3674">
        <v>26624</v>
      </c>
      <c r="O3674">
        <v>12774</v>
      </c>
      <c r="P3674">
        <v>45035</v>
      </c>
      <c r="Q3674">
        <v>2</v>
      </c>
      <c r="R3674">
        <v>1</v>
      </c>
      <c r="S3674">
        <v>0</v>
      </c>
      <c r="T3674">
        <v>80</v>
      </c>
      <c r="U3674">
        <v>200</v>
      </c>
    </row>
    <row r="3675" spans="1:21" x14ac:dyDescent="0.35">
      <c r="A3675" t="s">
        <v>26</v>
      </c>
      <c r="B3675" s="1">
        <v>44884</v>
      </c>
      <c r="C3675" t="s">
        <v>30</v>
      </c>
      <c r="D3675">
        <v>47.8</v>
      </c>
      <c r="E3675">
        <v>114.4</v>
      </c>
      <c r="F3675">
        <v>65.8</v>
      </c>
      <c r="G3675">
        <v>0.4</v>
      </c>
      <c r="H3675">
        <v>0.7</v>
      </c>
      <c r="I3675">
        <v>0</v>
      </c>
      <c r="J3675">
        <v>0</v>
      </c>
      <c r="K3675">
        <v>0</v>
      </c>
      <c r="L3675">
        <v>0</v>
      </c>
      <c r="M3675">
        <v>0</v>
      </c>
      <c r="N3675">
        <v>25083</v>
      </c>
      <c r="O3675">
        <v>11368</v>
      </c>
      <c r="P3675">
        <v>47093</v>
      </c>
      <c r="Q3675">
        <v>12</v>
      </c>
      <c r="R3675">
        <v>13</v>
      </c>
      <c r="S3675">
        <v>31</v>
      </c>
      <c r="T3675">
        <v>80</v>
      </c>
      <c r="U3675">
        <v>200</v>
      </c>
    </row>
    <row r="3676" spans="1:21" x14ac:dyDescent="0.35">
      <c r="A3676" t="s">
        <v>26</v>
      </c>
      <c r="B3676" s="1">
        <v>44436</v>
      </c>
      <c r="C3676" t="s">
        <v>29</v>
      </c>
      <c r="D3676">
        <v>21.4</v>
      </c>
      <c r="E3676">
        <v>0.8</v>
      </c>
      <c r="F3676">
        <v>0</v>
      </c>
      <c r="G3676">
        <v>26.8</v>
      </c>
      <c r="H3676">
        <v>0</v>
      </c>
      <c r="I3676">
        <v>0</v>
      </c>
      <c r="J3676">
        <v>0</v>
      </c>
      <c r="K3676">
        <v>0</v>
      </c>
      <c r="L3676">
        <v>0</v>
      </c>
      <c r="M3676">
        <v>0</v>
      </c>
      <c r="N3676">
        <v>243499</v>
      </c>
      <c r="O3676">
        <v>512355</v>
      </c>
      <c r="P3676">
        <v>0</v>
      </c>
      <c r="Q3676">
        <v>52</v>
      </c>
      <c r="R3676">
        <v>4</v>
      </c>
      <c r="S3676">
        <v>0</v>
      </c>
      <c r="T3676">
        <v>30</v>
      </c>
      <c r="U3676">
        <v>49</v>
      </c>
    </row>
    <row r="3677" spans="1:21" x14ac:dyDescent="0.35">
      <c r="A3677" t="s">
        <v>21</v>
      </c>
      <c r="B3677" s="1">
        <v>44702</v>
      </c>
      <c r="C3677" t="s">
        <v>29</v>
      </c>
      <c r="D3677">
        <v>0</v>
      </c>
      <c r="E3677">
        <v>0</v>
      </c>
      <c r="F3677">
        <v>0</v>
      </c>
      <c r="G3677">
        <v>0</v>
      </c>
      <c r="H3677">
        <v>0</v>
      </c>
      <c r="I3677">
        <v>0</v>
      </c>
      <c r="J3677">
        <v>0</v>
      </c>
      <c r="K3677">
        <v>0</v>
      </c>
      <c r="L3677">
        <v>0</v>
      </c>
      <c r="M3677">
        <v>0</v>
      </c>
      <c r="N3677">
        <v>129750</v>
      </c>
      <c r="O3677">
        <v>284685</v>
      </c>
      <c r="P3677">
        <v>334000</v>
      </c>
      <c r="Q3677">
        <v>0</v>
      </c>
      <c r="R3677">
        <v>0</v>
      </c>
      <c r="S3677">
        <v>0</v>
      </c>
      <c r="T3677">
        <v>30</v>
      </c>
      <c r="U3677">
        <v>49</v>
      </c>
    </row>
    <row r="3678" spans="1:21" x14ac:dyDescent="0.35">
      <c r="A3678" t="s">
        <v>26</v>
      </c>
      <c r="B3678" s="1">
        <v>44849</v>
      </c>
      <c r="C3678" t="s">
        <v>29</v>
      </c>
      <c r="D3678">
        <v>8.3000000000000007</v>
      </c>
      <c r="E3678">
        <v>4</v>
      </c>
      <c r="F3678">
        <v>1.7</v>
      </c>
      <c r="G3678">
        <v>2.1</v>
      </c>
      <c r="H3678">
        <v>4.9000000000000004</v>
      </c>
      <c r="I3678">
        <v>0</v>
      </c>
      <c r="J3678">
        <v>0</v>
      </c>
      <c r="K3678">
        <v>0</v>
      </c>
      <c r="L3678">
        <v>0</v>
      </c>
      <c r="M3678">
        <v>0</v>
      </c>
      <c r="N3678">
        <v>119967</v>
      </c>
      <c r="O3678">
        <v>276252</v>
      </c>
      <c r="P3678">
        <v>346982</v>
      </c>
      <c r="Q3678">
        <v>10</v>
      </c>
      <c r="R3678">
        <v>11</v>
      </c>
      <c r="S3678">
        <v>6</v>
      </c>
      <c r="T3678">
        <v>30</v>
      </c>
      <c r="U3678">
        <v>49</v>
      </c>
    </row>
    <row r="3679" spans="1:21" x14ac:dyDescent="0.35">
      <c r="A3679" t="s">
        <v>28</v>
      </c>
      <c r="B3679" s="1">
        <v>45164</v>
      </c>
      <c r="C3679" t="s">
        <v>23</v>
      </c>
      <c r="D3679">
        <v>114.4</v>
      </c>
      <c r="E3679">
        <v>39</v>
      </c>
      <c r="F3679">
        <v>52.6</v>
      </c>
      <c r="G3679">
        <v>2.9</v>
      </c>
      <c r="H3679">
        <v>2.2000000000000002</v>
      </c>
      <c r="I3679">
        <v>0</v>
      </c>
      <c r="J3679">
        <v>0</v>
      </c>
      <c r="K3679">
        <v>0</v>
      </c>
      <c r="L3679">
        <v>0</v>
      </c>
      <c r="M3679">
        <v>0</v>
      </c>
      <c r="N3679">
        <v>32353</v>
      </c>
      <c r="O3679">
        <v>125723</v>
      </c>
      <c r="P3679">
        <v>246939</v>
      </c>
      <c r="Q3679">
        <v>37</v>
      </c>
      <c r="R3679">
        <v>49</v>
      </c>
      <c r="S3679">
        <v>130</v>
      </c>
      <c r="T3679">
        <v>50</v>
      </c>
      <c r="U3679">
        <v>64</v>
      </c>
    </row>
    <row r="3680" spans="1:21" x14ac:dyDescent="0.35">
      <c r="A3680" t="s">
        <v>26</v>
      </c>
      <c r="B3680" s="1">
        <v>45094</v>
      </c>
      <c r="C3680" t="s">
        <v>22</v>
      </c>
      <c r="D3680">
        <v>1.9</v>
      </c>
      <c r="E3680">
        <v>0.5</v>
      </c>
      <c r="F3680">
        <v>1.2</v>
      </c>
      <c r="G3680">
        <v>3.8</v>
      </c>
      <c r="H3680">
        <v>1.6</v>
      </c>
      <c r="I3680">
        <v>2.2000000000000002</v>
      </c>
      <c r="J3680">
        <v>0.5</v>
      </c>
      <c r="K3680">
        <v>0.7</v>
      </c>
      <c r="L3680">
        <v>4.2</v>
      </c>
      <c r="M3680">
        <v>3</v>
      </c>
      <c r="N3680">
        <v>533523</v>
      </c>
      <c r="O3680">
        <v>860344</v>
      </c>
      <c r="P3680">
        <v>1040706</v>
      </c>
      <c r="Q3680">
        <v>10</v>
      </c>
      <c r="R3680">
        <v>4</v>
      </c>
      <c r="S3680">
        <v>12</v>
      </c>
      <c r="T3680">
        <v>999</v>
      </c>
      <c r="U3680">
        <v>999</v>
      </c>
    </row>
    <row r="3681" spans="1:21" x14ac:dyDescent="0.35">
      <c r="A3681" t="s">
        <v>21</v>
      </c>
      <c r="B3681" s="1">
        <v>44684</v>
      </c>
      <c r="C3681" t="s">
        <v>25</v>
      </c>
      <c r="D3681">
        <v>0</v>
      </c>
      <c r="E3681">
        <v>0</v>
      </c>
      <c r="F3681">
        <v>0</v>
      </c>
      <c r="G3681">
        <v>0</v>
      </c>
      <c r="H3681">
        <v>0</v>
      </c>
      <c r="I3681">
        <v>0</v>
      </c>
      <c r="J3681">
        <v>0</v>
      </c>
      <c r="K3681">
        <v>0</v>
      </c>
      <c r="L3681">
        <v>0</v>
      </c>
      <c r="M3681">
        <v>0</v>
      </c>
      <c r="N3681">
        <v>101225</v>
      </c>
      <c r="O3681">
        <v>221226</v>
      </c>
      <c r="P3681">
        <v>139795</v>
      </c>
      <c r="Q3681">
        <v>0</v>
      </c>
      <c r="R3681">
        <v>0</v>
      </c>
      <c r="S3681">
        <v>0</v>
      </c>
      <c r="T3681">
        <v>18</v>
      </c>
      <c r="U3681">
        <v>29</v>
      </c>
    </row>
    <row r="3682" spans="1:21" x14ac:dyDescent="0.35">
      <c r="A3682" t="s">
        <v>28</v>
      </c>
      <c r="B3682" s="1">
        <v>44793</v>
      </c>
      <c r="C3682" t="s">
        <v>27</v>
      </c>
      <c r="D3682">
        <v>115.6</v>
      </c>
      <c r="E3682">
        <v>72.8</v>
      </c>
      <c r="F3682">
        <v>71.8</v>
      </c>
      <c r="G3682">
        <v>1.6</v>
      </c>
      <c r="H3682">
        <v>1.6</v>
      </c>
      <c r="I3682">
        <v>0</v>
      </c>
      <c r="J3682">
        <v>0</v>
      </c>
      <c r="K3682">
        <v>0</v>
      </c>
      <c r="L3682">
        <v>0</v>
      </c>
      <c r="M3682">
        <v>0</v>
      </c>
      <c r="N3682">
        <v>35466</v>
      </c>
      <c r="O3682">
        <v>87908</v>
      </c>
      <c r="P3682">
        <v>41807</v>
      </c>
      <c r="Q3682">
        <v>41</v>
      </c>
      <c r="R3682">
        <v>64</v>
      </c>
      <c r="S3682">
        <v>30</v>
      </c>
      <c r="T3682">
        <v>12</v>
      </c>
      <c r="U3682">
        <v>17</v>
      </c>
    </row>
    <row r="3683" spans="1:21" x14ac:dyDescent="0.35">
      <c r="A3683" t="s">
        <v>28</v>
      </c>
      <c r="B3683" s="1">
        <v>44684</v>
      </c>
      <c r="C3683" t="s">
        <v>25</v>
      </c>
      <c r="D3683">
        <v>50.4</v>
      </c>
      <c r="E3683">
        <v>22.1</v>
      </c>
      <c r="F3683">
        <v>45.8</v>
      </c>
      <c r="G3683">
        <v>2.2999999999999998</v>
      </c>
      <c r="H3683">
        <v>1.1000000000000001</v>
      </c>
      <c r="I3683">
        <v>0</v>
      </c>
      <c r="J3683">
        <v>0</v>
      </c>
      <c r="K3683">
        <v>0</v>
      </c>
      <c r="L3683">
        <v>0</v>
      </c>
      <c r="M3683">
        <v>0</v>
      </c>
      <c r="N3683">
        <v>101225</v>
      </c>
      <c r="O3683">
        <v>221226</v>
      </c>
      <c r="P3683">
        <v>139795</v>
      </c>
      <c r="Q3683">
        <v>51</v>
      </c>
      <c r="R3683">
        <v>49</v>
      </c>
      <c r="S3683">
        <v>64</v>
      </c>
      <c r="T3683">
        <v>18</v>
      </c>
      <c r="U3683">
        <v>29</v>
      </c>
    </row>
    <row r="3684" spans="1:21" x14ac:dyDescent="0.35">
      <c r="A3684" t="s">
        <v>26</v>
      </c>
      <c r="B3684" s="1">
        <v>44590</v>
      </c>
      <c r="C3684" t="s">
        <v>22</v>
      </c>
      <c r="D3684">
        <v>28</v>
      </c>
      <c r="E3684">
        <v>14.1</v>
      </c>
      <c r="F3684">
        <v>10.8</v>
      </c>
      <c r="G3684">
        <v>2</v>
      </c>
      <c r="H3684">
        <v>2.6</v>
      </c>
      <c r="I3684">
        <v>38</v>
      </c>
      <c r="J3684">
        <v>17.3</v>
      </c>
      <c r="K3684">
        <v>6.8</v>
      </c>
      <c r="L3684">
        <v>2.2000000000000002</v>
      </c>
      <c r="M3684">
        <v>5.6</v>
      </c>
      <c r="N3684">
        <v>707592</v>
      </c>
      <c r="O3684">
        <v>954511</v>
      </c>
      <c r="P3684">
        <v>779977</v>
      </c>
      <c r="Q3684">
        <v>198</v>
      </c>
      <c r="R3684">
        <v>135</v>
      </c>
      <c r="S3684">
        <v>84</v>
      </c>
      <c r="T3684">
        <v>999</v>
      </c>
      <c r="U3684">
        <v>999</v>
      </c>
    </row>
    <row r="3685" spans="1:21" x14ac:dyDescent="0.35">
      <c r="A3685" t="s">
        <v>26</v>
      </c>
      <c r="B3685" s="1">
        <v>45205</v>
      </c>
      <c r="C3685" t="s">
        <v>23</v>
      </c>
      <c r="D3685">
        <v>9.1</v>
      </c>
      <c r="E3685">
        <v>1.6</v>
      </c>
      <c r="F3685">
        <v>1.6</v>
      </c>
      <c r="G3685">
        <v>5.7</v>
      </c>
      <c r="H3685">
        <v>5.7</v>
      </c>
      <c r="I3685">
        <v>0</v>
      </c>
      <c r="J3685">
        <v>0</v>
      </c>
      <c r="K3685">
        <v>0</v>
      </c>
      <c r="L3685">
        <v>0</v>
      </c>
      <c r="M3685">
        <v>0</v>
      </c>
      <c r="N3685">
        <v>32808</v>
      </c>
      <c r="O3685">
        <v>125744</v>
      </c>
      <c r="P3685">
        <v>246916</v>
      </c>
      <c r="Q3685">
        <v>3</v>
      </c>
      <c r="R3685">
        <v>2</v>
      </c>
      <c r="S3685">
        <v>4</v>
      </c>
      <c r="T3685">
        <v>50</v>
      </c>
      <c r="U3685">
        <v>64</v>
      </c>
    </row>
    <row r="3686" spans="1:21" x14ac:dyDescent="0.35">
      <c r="A3686" t="s">
        <v>26</v>
      </c>
      <c r="B3686" s="1">
        <v>44436</v>
      </c>
      <c r="C3686" t="s">
        <v>22</v>
      </c>
      <c r="D3686">
        <v>19.100000000000001</v>
      </c>
      <c r="E3686">
        <v>3.9</v>
      </c>
      <c r="F3686">
        <v>0</v>
      </c>
      <c r="G3686">
        <v>4.9000000000000004</v>
      </c>
      <c r="H3686">
        <v>0</v>
      </c>
      <c r="I3686">
        <v>27</v>
      </c>
      <c r="J3686">
        <v>2.9</v>
      </c>
      <c r="K3686">
        <v>0</v>
      </c>
      <c r="L3686">
        <v>9.4</v>
      </c>
      <c r="M3686">
        <v>0</v>
      </c>
      <c r="N3686">
        <v>1076102</v>
      </c>
      <c r="O3686">
        <v>1450111</v>
      </c>
      <c r="P3686">
        <v>0</v>
      </c>
      <c r="Q3686">
        <v>205</v>
      </c>
      <c r="R3686">
        <v>56</v>
      </c>
      <c r="S3686">
        <v>0</v>
      </c>
      <c r="T3686">
        <v>999</v>
      </c>
      <c r="U3686">
        <v>999</v>
      </c>
    </row>
    <row r="3687" spans="1:21" x14ac:dyDescent="0.35">
      <c r="A3687" t="s">
        <v>26</v>
      </c>
      <c r="B3687" s="1">
        <v>44966</v>
      </c>
      <c r="C3687" t="s">
        <v>29</v>
      </c>
      <c r="D3687">
        <v>2.8</v>
      </c>
      <c r="E3687">
        <v>1.1000000000000001</v>
      </c>
      <c r="F3687">
        <v>2</v>
      </c>
      <c r="G3687">
        <v>2.5</v>
      </c>
      <c r="H3687">
        <v>1.4</v>
      </c>
      <c r="I3687">
        <v>0</v>
      </c>
      <c r="J3687">
        <v>0</v>
      </c>
      <c r="K3687">
        <v>0</v>
      </c>
      <c r="L3687">
        <v>0</v>
      </c>
      <c r="M3687">
        <v>0</v>
      </c>
      <c r="N3687">
        <v>106946</v>
      </c>
      <c r="O3687">
        <v>278397</v>
      </c>
      <c r="P3687">
        <v>347321</v>
      </c>
      <c r="Q3687">
        <v>3</v>
      </c>
      <c r="R3687">
        <v>3</v>
      </c>
      <c r="S3687">
        <v>7</v>
      </c>
      <c r="T3687">
        <v>30</v>
      </c>
      <c r="U3687">
        <v>49</v>
      </c>
    </row>
    <row r="3688" spans="1:21" x14ac:dyDescent="0.35">
      <c r="A3688" t="s">
        <v>21</v>
      </c>
      <c r="B3688" s="1">
        <v>44772</v>
      </c>
      <c r="C3688" t="s">
        <v>23</v>
      </c>
      <c r="D3688">
        <v>4.9000000000000004</v>
      </c>
      <c r="E3688">
        <v>0</v>
      </c>
      <c r="F3688">
        <v>0</v>
      </c>
      <c r="G3688">
        <v>0</v>
      </c>
      <c r="H3688">
        <v>0</v>
      </c>
      <c r="I3688">
        <v>0</v>
      </c>
      <c r="J3688">
        <v>0</v>
      </c>
      <c r="K3688">
        <v>0</v>
      </c>
      <c r="L3688">
        <v>0</v>
      </c>
      <c r="M3688">
        <v>0</v>
      </c>
      <c r="N3688">
        <v>41078</v>
      </c>
      <c r="O3688">
        <v>127792</v>
      </c>
      <c r="P3688">
        <v>242873</v>
      </c>
      <c r="Q3688">
        <v>2</v>
      </c>
      <c r="R3688">
        <v>0</v>
      </c>
      <c r="S3688">
        <v>0</v>
      </c>
      <c r="T3688">
        <v>50</v>
      </c>
      <c r="U3688">
        <v>64</v>
      </c>
    </row>
    <row r="3689" spans="1:21" x14ac:dyDescent="0.35">
      <c r="A3689" t="s">
        <v>21</v>
      </c>
      <c r="B3689" s="1">
        <v>45082</v>
      </c>
      <c r="C3689" t="s">
        <v>23</v>
      </c>
      <c r="D3689">
        <v>0</v>
      </c>
      <c r="E3689">
        <v>0</v>
      </c>
      <c r="F3689">
        <v>0</v>
      </c>
      <c r="G3689">
        <v>0</v>
      </c>
      <c r="H3689">
        <v>0</v>
      </c>
      <c r="I3689">
        <v>0</v>
      </c>
      <c r="J3689">
        <v>0</v>
      </c>
      <c r="K3689">
        <v>0</v>
      </c>
      <c r="L3689">
        <v>0</v>
      </c>
      <c r="M3689">
        <v>0</v>
      </c>
      <c r="N3689">
        <v>33091</v>
      </c>
      <c r="O3689">
        <v>125743</v>
      </c>
      <c r="P3689">
        <v>246908</v>
      </c>
      <c r="Q3689">
        <v>0</v>
      </c>
      <c r="R3689">
        <v>0</v>
      </c>
      <c r="S3689">
        <v>0</v>
      </c>
      <c r="T3689">
        <v>50</v>
      </c>
      <c r="U3689">
        <v>64</v>
      </c>
    </row>
    <row r="3690" spans="1:21" x14ac:dyDescent="0.35">
      <c r="A3690" t="s">
        <v>26</v>
      </c>
      <c r="B3690" s="1">
        <v>44657</v>
      </c>
      <c r="C3690" t="s">
        <v>24</v>
      </c>
      <c r="D3690">
        <v>1</v>
      </c>
      <c r="E3690">
        <v>0</v>
      </c>
      <c r="F3690">
        <v>0</v>
      </c>
      <c r="G3690">
        <v>0</v>
      </c>
      <c r="H3690">
        <v>0</v>
      </c>
      <c r="I3690">
        <v>0</v>
      </c>
      <c r="J3690">
        <v>0</v>
      </c>
      <c r="K3690">
        <v>0</v>
      </c>
      <c r="L3690">
        <v>0</v>
      </c>
      <c r="M3690">
        <v>0</v>
      </c>
      <c r="N3690">
        <v>100456</v>
      </c>
      <c r="O3690">
        <v>94553</v>
      </c>
      <c r="P3690">
        <v>895</v>
      </c>
      <c r="Q3690">
        <v>1</v>
      </c>
      <c r="R3690">
        <v>0</v>
      </c>
      <c r="S3690">
        <v>0</v>
      </c>
      <c r="T3690">
        <v>5</v>
      </c>
      <c r="U3690">
        <v>11</v>
      </c>
    </row>
    <row r="3691" spans="1:21" x14ac:dyDescent="0.35">
      <c r="A3691" t="s">
        <v>21</v>
      </c>
      <c r="B3691" s="1">
        <v>45142</v>
      </c>
      <c r="C3691" t="s">
        <v>25</v>
      </c>
      <c r="D3691">
        <v>0</v>
      </c>
      <c r="E3691">
        <v>0</v>
      </c>
      <c r="F3691">
        <v>0</v>
      </c>
      <c r="G3691">
        <v>0</v>
      </c>
      <c r="H3691">
        <v>0</v>
      </c>
      <c r="I3691">
        <v>0</v>
      </c>
      <c r="J3691">
        <v>0</v>
      </c>
      <c r="K3691">
        <v>0</v>
      </c>
      <c r="L3691">
        <v>0</v>
      </c>
      <c r="M3691">
        <v>0</v>
      </c>
      <c r="N3691">
        <v>75926</v>
      </c>
      <c r="O3691">
        <v>213911</v>
      </c>
      <c r="P3691">
        <v>161680</v>
      </c>
      <c r="Q3691">
        <v>0</v>
      </c>
      <c r="R3691">
        <v>0</v>
      </c>
      <c r="S3691">
        <v>0</v>
      </c>
      <c r="T3691">
        <v>18</v>
      </c>
      <c r="U3691">
        <v>29</v>
      </c>
    </row>
    <row r="3692" spans="1:21" x14ac:dyDescent="0.35">
      <c r="A3692" t="s">
        <v>28</v>
      </c>
      <c r="B3692" s="1">
        <v>44520</v>
      </c>
      <c r="C3692" t="s">
        <v>27</v>
      </c>
      <c r="D3692">
        <v>435.8</v>
      </c>
      <c r="E3692">
        <v>52.9</v>
      </c>
      <c r="F3692">
        <v>0</v>
      </c>
      <c r="G3692">
        <v>8.1999999999999993</v>
      </c>
      <c r="H3692">
        <v>0</v>
      </c>
      <c r="I3692">
        <v>0</v>
      </c>
      <c r="J3692">
        <v>0</v>
      </c>
      <c r="K3692">
        <v>0</v>
      </c>
      <c r="L3692">
        <v>0</v>
      </c>
      <c r="M3692">
        <v>0</v>
      </c>
      <c r="N3692">
        <v>60117</v>
      </c>
      <c r="O3692">
        <v>103905</v>
      </c>
      <c r="P3692">
        <v>0</v>
      </c>
      <c r="Q3692">
        <v>262</v>
      </c>
      <c r="R3692">
        <v>55</v>
      </c>
      <c r="S3692">
        <v>0</v>
      </c>
      <c r="T3692">
        <v>12</v>
      </c>
      <c r="U3692">
        <v>17</v>
      </c>
    </row>
    <row r="3693" spans="1:21" x14ac:dyDescent="0.35">
      <c r="A3693" t="s">
        <v>28</v>
      </c>
      <c r="B3693" s="1">
        <v>44298</v>
      </c>
      <c r="C3693" t="s">
        <v>24</v>
      </c>
      <c r="D3693">
        <v>393</v>
      </c>
      <c r="E3693">
        <v>0</v>
      </c>
      <c r="F3693">
        <v>0</v>
      </c>
      <c r="G3693">
        <v>0</v>
      </c>
      <c r="H3693">
        <v>0</v>
      </c>
      <c r="I3693">
        <v>0</v>
      </c>
      <c r="J3693">
        <v>0</v>
      </c>
      <c r="K3693">
        <v>0</v>
      </c>
      <c r="L3693">
        <v>0</v>
      </c>
      <c r="M3693">
        <v>0</v>
      </c>
      <c r="N3693">
        <v>156736</v>
      </c>
      <c r="O3693">
        <v>13</v>
      </c>
      <c r="P3693">
        <v>0</v>
      </c>
      <c r="Q3693">
        <v>616</v>
      </c>
      <c r="R3693">
        <v>0</v>
      </c>
      <c r="S3693">
        <v>0</v>
      </c>
      <c r="T3693">
        <v>5</v>
      </c>
      <c r="U3693">
        <v>11</v>
      </c>
    </row>
    <row r="3694" spans="1:21" x14ac:dyDescent="0.35">
      <c r="A3694" t="s">
        <v>28</v>
      </c>
      <c r="B3694" s="1">
        <v>45232</v>
      </c>
      <c r="C3694" t="s">
        <v>27</v>
      </c>
      <c r="D3694">
        <v>198.2</v>
      </c>
      <c r="E3694">
        <v>103.1</v>
      </c>
      <c r="F3694">
        <v>112.2</v>
      </c>
      <c r="G3694">
        <v>1.9</v>
      </c>
      <c r="H3694">
        <v>1.8</v>
      </c>
      <c r="I3694">
        <v>0</v>
      </c>
      <c r="J3694">
        <v>0</v>
      </c>
      <c r="K3694">
        <v>0</v>
      </c>
      <c r="L3694">
        <v>0</v>
      </c>
      <c r="M3694">
        <v>0</v>
      </c>
      <c r="N3694">
        <v>33305</v>
      </c>
      <c r="O3694">
        <v>86332</v>
      </c>
      <c r="P3694">
        <v>44556</v>
      </c>
      <c r="Q3694">
        <v>66</v>
      </c>
      <c r="R3694">
        <v>89</v>
      </c>
      <c r="S3694">
        <v>50</v>
      </c>
      <c r="T3694">
        <v>12</v>
      </c>
      <c r="U3694">
        <v>17</v>
      </c>
    </row>
    <row r="3695" spans="1:21" x14ac:dyDescent="0.35">
      <c r="A3695" t="s">
        <v>28</v>
      </c>
      <c r="B3695" s="1">
        <v>44473</v>
      </c>
      <c r="C3695" t="s">
        <v>22</v>
      </c>
      <c r="D3695">
        <v>252.1</v>
      </c>
      <c r="E3695">
        <v>24.5</v>
      </c>
      <c r="F3695">
        <v>0</v>
      </c>
      <c r="G3695">
        <v>10.3</v>
      </c>
      <c r="H3695">
        <v>0</v>
      </c>
      <c r="I3695">
        <v>252.8</v>
      </c>
      <c r="J3695">
        <v>21.1</v>
      </c>
      <c r="K3695">
        <v>0</v>
      </c>
      <c r="L3695">
        <v>12</v>
      </c>
      <c r="M3695">
        <v>0</v>
      </c>
      <c r="N3695">
        <v>1707958</v>
      </c>
      <c r="O3695">
        <v>396727</v>
      </c>
      <c r="P3695">
        <v>0</v>
      </c>
      <c r="Q3695">
        <v>4305</v>
      </c>
      <c r="R3695">
        <v>97</v>
      </c>
      <c r="S3695">
        <v>0</v>
      </c>
      <c r="T3695">
        <v>999</v>
      </c>
      <c r="U3695">
        <v>999</v>
      </c>
    </row>
    <row r="3696" spans="1:21" x14ac:dyDescent="0.35">
      <c r="A3696" t="s">
        <v>26</v>
      </c>
      <c r="B3696" s="1">
        <v>45054</v>
      </c>
      <c r="C3696" t="s">
        <v>22</v>
      </c>
      <c r="D3696">
        <v>3</v>
      </c>
      <c r="E3696">
        <v>1.2</v>
      </c>
      <c r="F3696">
        <v>2.6</v>
      </c>
      <c r="G3696">
        <v>2.5</v>
      </c>
      <c r="H3696">
        <v>1.2</v>
      </c>
      <c r="I3696">
        <v>3.6</v>
      </c>
      <c r="J3696">
        <v>2.2000000000000002</v>
      </c>
      <c r="K3696">
        <v>1.8</v>
      </c>
      <c r="L3696">
        <v>1.6</v>
      </c>
      <c r="M3696">
        <v>2</v>
      </c>
      <c r="N3696">
        <v>529533</v>
      </c>
      <c r="O3696">
        <v>860315</v>
      </c>
      <c r="P3696">
        <v>1040778</v>
      </c>
      <c r="Q3696">
        <v>16</v>
      </c>
      <c r="R3696">
        <v>10</v>
      </c>
      <c r="S3696">
        <v>27</v>
      </c>
      <c r="T3696">
        <v>999</v>
      </c>
      <c r="U3696">
        <v>999</v>
      </c>
    </row>
    <row r="3697" spans="1:21" x14ac:dyDescent="0.35">
      <c r="A3697" t="s">
        <v>26</v>
      </c>
      <c r="B3697" s="1">
        <v>45054</v>
      </c>
      <c r="C3697" t="s">
        <v>29</v>
      </c>
      <c r="D3697">
        <v>0.9</v>
      </c>
      <c r="E3697">
        <v>0</v>
      </c>
      <c r="F3697">
        <v>1.7</v>
      </c>
      <c r="G3697">
        <v>0</v>
      </c>
      <c r="H3697">
        <v>0.5</v>
      </c>
      <c r="I3697">
        <v>0</v>
      </c>
      <c r="J3697">
        <v>0</v>
      </c>
      <c r="K3697">
        <v>0</v>
      </c>
      <c r="L3697">
        <v>0</v>
      </c>
      <c r="M3697">
        <v>0</v>
      </c>
      <c r="N3697">
        <v>107409</v>
      </c>
      <c r="O3697">
        <v>278402</v>
      </c>
      <c r="P3697">
        <v>347313</v>
      </c>
      <c r="Q3697">
        <v>1</v>
      </c>
      <c r="R3697">
        <v>0</v>
      </c>
      <c r="S3697">
        <v>6</v>
      </c>
      <c r="T3697">
        <v>30</v>
      </c>
      <c r="U3697">
        <v>49</v>
      </c>
    </row>
    <row r="3698" spans="1:21" x14ac:dyDescent="0.35">
      <c r="A3698" t="s">
        <v>26</v>
      </c>
      <c r="B3698" s="1">
        <v>45145</v>
      </c>
      <c r="C3698" t="s">
        <v>23</v>
      </c>
      <c r="D3698">
        <v>0</v>
      </c>
      <c r="E3698">
        <v>3.2</v>
      </c>
      <c r="F3698">
        <v>0.4</v>
      </c>
      <c r="G3698">
        <v>0</v>
      </c>
      <c r="H3698">
        <v>0</v>
      </c>
      <c r="I3698">
        <v>0</v>
      </c>
      <c r="J3698">
        <v>0</v>
      </c>
      <c r="K3698">
        <v>0</v>
      </c>
      <c r="L3698">
        <v>0</v>
      </c>
      <c r="M3698">
        <v>0</v>
      </c>
      <c r="N3698">
        <v>32640</v>
      </c>
      <c r="O3698">
        <v>125730</v>
      </c>
      <c r="P3698">
        <v>246931</v>
      </c>
      <c r="Q3698">
        <v>0</v>
      </c>
      <c r="R3698">
        <v>4</v>
      </c>
      <c r="S3698">
        <v>1</v>
      </c>
      <c r="T3698">
        <v>50</v>
      </c>
      <c r="U3698">
        <v>64</v>
      </c>
    </row>
    <row r="3699" spans="1:21" x14ac:dyDescent="0.35">
      <c r="A3699" t="s">
        <v>21</v>
      </c>
      <c r="B3699" s="1">
        <v>44843</v>
      </c>
      <c r="C3699" t="s">
        <v>31</v>
      </c>
      <c r="D3699">
        <v>2.2000000000000002</v>
      </c>
      <c r="E3699">
        <v>4.5999999999999996</v>
      </c>
      <c r="F3699">
        <v>0.6</v>
      </c>
      <c r="G3699">
        <v>0.5</v>
      </c>
      <c r="H3699">
        <v>3.7</v>
      </c>
      <c r="I3699">
        <v>0</v>
      </c>
      <c r="J3699">
        <v>0</v>
      </c>
      <c r="K3699">
        <v>0</v>
      </c>
      <c r="L3699">
        <v>0</v>
      </c>
      <c r="M3699">
        <v>0</v>
      </c>
      <c r="N3699">
        <v>45457</v>
      </c>
      <c r="O3699">
        <v>43539</v>
      </c>
      <c r="P3699">
        <v>171141</v>
      </c>
      <c r="Q3699">
        <v>1</v>
      </c>
      <c r="R3699">
        <v>2</v>
      </c>
      <c r="S3699">
        <v>1</v>
      </c>
      <c r="T3699">
        <v>65</v>
      </c>
      <c r="U3699">
        <v>79</v>
      </c>
    </row>
    <row r="3700" spans="1:21" x14ac:dyDescent="0.35">
      <c r="A3700" t="s">
        <v>26</v>
      </c>
      <c r="B3700" s="1">
        <v>44599</v>
      </c>
      <c r="C3700" t="s">
        <v>30</v>
      </c>
      <c r="D3700">
        <v>52.9</v>
      </c>
      <c r="E3700">
        <v>57.5</v>
      </c>
      <c r="F3700">
        <v>54.5</v>
      </c>
      <c r="G3700">
        <v>0.9</v>
      </c>
      <c r="H3700">
        <v>1</v>
      </c>
      <c r="I3700">
        <v>0</v>
      </c>
      <c r="J3700">
        <v>0</v>
      </c>
      <c r="K3700">
        <v>0</v>
      </c>
      <c r="L3700">
        <v>0</v>
      </c>
      <c r="M3700">
        <v>0</v>
      </c>
      <c r="N3700">
        <v>26451</v>
      </c>
      <c r="O3700">
        <v>12179</v>
      </c>
      <c r="P3700">
        <v>45911</v>
      </c>
      <c r="Q3700">
        <v>14</v>
      </c>
      <c r="R3700">
        <v>7</v>
      </c>
      <c r="S3700">
        <v>25</v>
      </c>
      <c r="T3700">
        <v>80</v>
      </c>
      <c r="U3700">
        <v>200</v>
      </c>
    </row>
    <row r="3701" spans="1:21" x14ac:dyDescent="0.35">
      <c r="A3701" t="s">
        <v>28</v>
      </c>
      <c r="B3701" s="1">
        <v>44492</v>
      </c>
      <c r="C3701" t="s">
        <v>29</v>
      </c>
      <c r="D3701">
        <v>156</v>
      </c>
      <c r="E3701">
        <v>63.3</v>
      </c>
      <c r="F3701">
        <v>17.399999999999999</v>
      </c>
      <c r="G3701">
        <v>2.5</v>
      </c>
      <c r="H3701">
        <v>9</v>
      </c>
      <c r="I3701">
        <v>0</v>
      </c>
      <c r="J3701">
        <v>0</v>
      </c>
      <c r="K3701">
        <v>0</v>
      </c>
      <c r="L3701">
        <v>0</v>
      </c>
      <c r="M3701">
        <v>0</v>
      </c>
      <c r="N3701">
        <v>207114</v>
      </c>
      <c r="O3701">
        <v>534216</v>
      </c>
      <c r="P3701">
        <v>17244</v>
      </c>
      <c r="Q3701">
        <v>323</v>
      </c>
      <c r="R3701">
        <v>338</v>
      </c>
      <c r="S3701">
        <v>3</v>
      </c>
      <c r="T3701">
        <v>30</v>
      </c>
      <c r="U3701">
        <v>49</v>
      </c>
    </row>
    <row r="3702" spans="1:21" x14ac:dyDescent="0.35">
      <c r="A3702" t="s">
        <v>21</v>
      </c>
      <c r="B3702" s="1">
        <v>44345</v>
      </c>
      <c r="C3702" t="s">
        <v>27</v>
      </c>
      <c r="D3702">
        <v>0</v>
      </c>
      <c r="E3702">
        <v>0</v>
      </c>
      <c r="F3702">
        <v>0</v>
      </c>
      <c r="G3702">
        <v>0</v>
      </c>
      <c r="H3702">
        <v>0</v>
      </c>
      <c r="I3702">
        <v>0</v>
      </c>
      <c r="J3702">
        <v>0</v>
      </c>
      <c r="K3702">
        <v>0</v>
      </c>
      <c r="L3702">
        <v>0</v>
      </c>
      <c r="M3702">
        <v>0</v>
      </c>
      <c r="N3702">
        <v>128173</v>
      </c>
      <c r="O3702">
        <v>8885</v>
      </c>
      <c r="P3702">
        <v>0</v>
      </c>
      <c r="Q3702">
        <v>0</v>
      </c>
      <c r="R3702">
        <v>0</v>
      </c>
      <c r="S3702">
        <v>0</v>
      </c>
      <c r="T3702">
        <v>12</v>
      </c>
      <c r="U3702">
        <v>17</v>
      </c>
    </row>
    <row r="3703" spans="1:21" x14ac:dyDescent="0.35">
      <c r="A3703" t="s">
        <v>26</v>
      </c>
      <c r="B3703" s="1">
        <v>44695</v>
      </c>
      <c r="C3703" t="s">
        <v>24</v>
      </c>
      <c r="D3703">
        <v>1</v>
      </c>
      <c r="E3703">
        <v>0</v>
      </c>
      <c r="F3703">
        <v>0</v>
      </c>
      <c r="G3703">
        <v>0</v>
      </c>
      <c r="H3703">
        <v>0</v>
      </c>
      <c r="I3703">
        <v>0</v>
      </c>
      <c r="J3703">
        <v>0</v>
      </c>
      <c r="K3703">
        <v>0</v>
      </c>
      <c r="L3703">
        <v>0</v>
      </c>
      <c r="M3703">
        <v>0</v>
      </c>
      <c r="N3703">
        <v>101446</v>
      </c>
      <c r="O3703">
        <v>94072</v>
      </c>
      <c r="P3703">
        <v>0</v>
      </c>
      <c r="Q3703">
        <v>1</v>
      </c>
      <c r="R3703">
        <v>0</v>
      </c>
      <c r="S3703">
        <v>0</v>
      </c>
      <c r="T3703">
        <v>5</v>
      </c>
      <c r="U3703">
        <v>11</v>
      </c>
    </row>
    <row r="3704" spans="1:21" x14ac:dyDescent="0.35">
      <c r="A3704" t="s">
        <v>28</v>
      </c>
      <c r="B3704" s="1">
        <v>44576</v>
      </c>
      <c r="C3704" t="s">
        <v>22</v>
      </c>
      <c r="D3704">
        <v>1213.5</v>
      </c>
      <c r="E3704">
        <v>830.7</v>
      </c>
      <c r="F3704">
        <v>664</v>
      </c>
      <c r="G3704">
        <v>1.5</v>
      </c>
      <c r="H3704">
        <v>1.8</v>
      </c>
      <c r="I3704">
        <v>1352.9</v>
      </c>
      <c r="J3704">
        <v>808.7</v>
      </c>
      <c r="K3704">
        <v>575.1</v>
      </c>
      <c r="L3704">
        <v>1.7</v>
      </c>
      <c r="M3704">
        <v>2.4</v>
      </c>
      <c r="N3704">
        <v>745375</v>
      </c>
      <c r="O3704">
        <v>1023963</v>
      </c>
      <c r="P3704">
        <v>685691</v>
      </c>
      <c r="Q3704">
        <v>9045</v>
      </c>
      <c r="R3704">
        <v>8506</v>
      </c>
      <c r="S3704">
        <v>4553</v>
      </c>
      <c r="T3704">
        <v>999</v>
      </c>
      <c r="U3704">
        <v>999</v>
      </c>
    </row>
    <row r="3705" spans="1:21" x14ac:dyDescent="0.35">
      <c r="A3705" t="s">
        <v>28</v>
      </c>
      <c r="B3705" s="1">
        <v>44871</v>
      </c>
      <c r="C3705" t="s">
        <v>24</v>
      </c>
      <c r="D3705">
        <v>276.5</v>
      </c>
      <c r="E3705">
        <v>309.2</v>
      </c>
      <c r="F3705">
        <v>112.9</v>
      </c>
      <c r="G3705">
        <v>0.9</v>
      </c>
      <c r="H3705">
        <v>2.4</v>
      </c>
      <c r="I3705">
        <v>0</v>
      </c>
      <c r="J3705">
        <v>0</v>
      </c>
      <c r="K3705">
        <v>0</v>
      </c>
      <c r="L3705">
        <v>0</v>
      </c>
      <c r="M3705">
        <v>0</v>
      </c>
      <c r="N3705">
        <v>100172</v>
      </c>
      <c r="O3705">
        <v>93140</v>
      </c>
      <c r="P3705">
        <v>2658</v>
      </c>
      <c r="Q3705">
        <v>277</v>
      </c>
      <c r="R3705">
        <v>288</v>
      </c>
      <c r="S3705">
        <v>3</v>
      </c>
      <c r="T3705">
        <v>5</v>
      </c>
      <c r="U3705">
        <v>11</v>
      </c>
    </row>
    <row r="3706" spans="1:21" x14ac:dyDescent="0.35">
      <c r="A3706" t="s">
        <v>28</v>
      </c>
      <c r="B3706" s="1">
        <v>45117</v>
      </c>
      <c r="C3706" t="s">
        <v>23</v>
      </c>
      <c r="D3706">
        <v>60</v>
      </c>
      <c r="E3706">
        <v>15.9</v>
      </c>
      <c r="F3706">
        <v>31.6</v>
      </c>
      <c r="G3706">
        <v>3.8</v>
      </c>
      <c r="H3706">
        <v>1.9</v>
      </c>
      <c r="I3706">
        <v>0</v>
      </c>
      <c r="J3706">
        <v>0</v>
      </c>
      <c r="K3706">
        <v>0</v>
      </c>
      <c r="L3706">
        <v>0</v>
      </c>
      <c r="M3706">
        <v>0</v>
      </c>
      <c r="N3706">
        <v>31672</v>
      </c>
      <c r="O3706">
        <v>125732</v>
      </c>
      <c r="P3706">
        <v>247019</v>
      </c>
      <c r="Q3706">
        <v>19</v>
      </c>
      <c r="R3706">
        <v>20</v>
      </c>
      <c r="S3706">
        <v>78</v>
      </c>
      <c r="T3706">
        <v>50</v>
      </c>
      <c r="U3706">
        <v>64</v>
      </c>
    </row>
    <row r="3707" spans="1:21" x14ac:dyDescent="0.35">
      <c r="A3707" t="s">
        <v>28</v>
      </c>
      <c r="B3707" s="1">
        <v>44966</v>
      </c>
      <c r="C3707" t="s">
        <v>23</v>
      </c>
      <c r="D3707">
        <v>123.8</v>
      </c>
      <c r="E3707">
        <v>27</v>
      </c>
      <c r="F3707">
        <v>55.5</v>
      </c>
      <c r="G3707">
        <v>4.5999999999999996</v>
      </c>
      <c r="H3707">
        <v>2.2000000000000002</v>
      </c>
      <c r="I3707">
        <v>0</v>
      </c>
      <c r="J3707">
        <v>0</v>
      </c>
      <c r="K3707">
        <v>0</v>
      </c>
      <c r="L3707">
        <v>0</v>
      </c>
      <c r="M3707">
        <v>0</v>
      </c>
      <c r="N3707">
        <v>32314</v>
      </c>
      <c r="O3707">
        <v>125722</v>
      </c>
      <c r="P3707">
        <v>246940</v>
      </c>
      <c r="Q3707">
        <v>40</v>
      </c>
      <c r="R3707">
        <v>34</v>
      </c>
      <c r="S3707">
        <v>137</v>
      </c>
      <c r="T3707">
        <v>50</v>
      </c>
      <c r="U3707">
        <v>64</v>
      </c>
    </row>
    <row r="3708" spans="1:21" x14ac:dyDescent="0.35">
      <c r="A3708" t="s">
        <v>26</v>
      </c>
      <c r="B3708" s="1">
        <v>44457</v>
      </c>
      <c r="C3708" t="s">
        <v>29</v>
      </c>
      <c r="D3708">
        <v>22</v>
      </c>
      <c r="E3708">
        <v>1.5</v>
      </c>
      <c r="F3708">
        <v>0</v>
      </c>
      <c r="G3708">
        <v>14.7</v>
      </c>
      <c r="H3708">
        <v>0</v>
      </c>
      <c r="I3708">
        <v>0</v>
      </c>
      <c r="J3708">
        <v>0</v>
      </c>
      <c r="K3708">
        <v>0</v>
      </c>
      <c r="L3708">
        <v>0</v>
      </c>
      <c r="M3708">
        <v>0</v>
      </c>
      <c r="N3708">
        <v>227597</v>
      </c>
      <c r="O3708">
        <v>524734</v>
      </c>
      <c r="P3708">
        <v>0</v>
      </c>
      <c r="Q3708">
        <v>50</v>
      </c>
      <c r="R3708">
        <v>8</v>
      </c>
      <c r="S3708">
        <v>0</v>
      </c>
      <c r="T3708">
        <v>30</v>
      </c>
      <c r="U3708">
        <v>49</v>
      </c>
    </row>
    <row r="3709" spans="1:21" x14ac:dyDescent="0.35">
      <c r="A3709" t="s">
        <v>26</v>
      </c>
      <c r="B3709" s="1">
        <v>44599</v>
      </c>
      <c r="C3709" t="s">
        <v>29</v>
      </c>
      <c r="D3709">
        <v>14.9</v>
      </c>
      <c r="E3709">
        <v>3.2</v>
      </c>
      <c r="F3709">
        <v>5.3</v>
      </c>
      <c r="G3709">
        <v>4.7</v>
      </c>
      <c r="H3709">
        <v>2.8</v>
      </c>
      <c r="I3709">
        <v>0</v>
      </c>
      <c r="J3709">
        <v>0</v>
      </c>
      <c r="K3709">
        <v>0</v>
      </c>
      <c r="L3709">
        <v>0</v>
      </c>
      <c r="M3709">
        <v>0</v>
      </c>
      <c r="N3709">
        <v>127872</v>
      </c>
      <c r="O3709">
        <v>280840</v>
      </c>
      <c r="P3709">
        <v>339580</v>
      </c>
      <c r="Q3709">
        <v>19</v>
      </c>
      <c r="R3709">
        <v>9</v>
      </c>
      <c r="S3709">
        <v>18</v>
      </c>
      <c r="T3709">
        <v>30</v>
      </c>
      <c r="U3709">
        <v>49</v>
      </c>
    </row>
    <row r="3710" spans="1:21" x14ac:dyDescent="0.35">
      <c r="A3710" t="s">
        <v>26</v>
      </c>
      <c r="B3710" s="1">
        <v>44843</v>
      </c>
      <c r="C3710" t="s">
        <v>23</v>
      </c>
      <c r="D3710">
        <v>44.9</v>
      </c>
      <c r="E3710">
        <v>4.8</v>
      </c>
      <c r="F3710">
        <v>7.7</v>
      </c>
      <c r="G3710">
        <v>9.4</v>
      </c>
      <c r="H3710">
        <v>5.8</v>
      </c>
      <c r="I3710">
        <v>0</v>
      </c>
      <c r="J3710">
        <v>0</v>
      </c>
      <c r="K3710">
        <v>0</v>
      </c>
      <c r="L3710">
        <v>0</v>
      </c>
      <c r="M3710">
        <v>0</v>
      </c>
      <c r="N3710">
        <v>40087</v>
      </c>
      <c r="O3710">
        <v>125285</v>
      </c>
      <c r="P3710">
        <v>246259</v>
      </c>
      <c r="Q3710">
        <v>18</v>
      </c>
      <c r="R3710">
        <v>6</v>
      </c>
      <c r="S3710">
        <v>19</v>
      </c>
      <c r="T3710">
        <v>50</v>
      </c>
      <c r="U3710">
        <v>64</v>
      </c>
    </row>
    <row r="3711" spans="1:21" x14ac:dyDescent="0.35">
      <c r="A3711" t="s">
        <v>26</v>
      </c>
      <c r="B3711" s="1">
        <v>45003</v>
      </c>
      <c r="C3711" t="s">
        <v>23</v>
      </c>
      <c r="D3711">
        <v>8.9</v>
      </c>
      <c r="E3711">
        <v>6.4</v>
      </c>
      <c r="F3711">
        <v>4.5</v>
      </c>
      <c r="G3711">
        <v>1.4</v>
      </c>
      <c r="H3711">
        <v>2</v>
      </c>
      <c r="I3711">
        <v>0</v>
      </c>
      <c r="J3711">
        <v>0</v>
      </c>
      <c r="K3711">
        <v>0</v>
      </c>
      <c r="L3711">
        <v>0</v>
      </c>
      <c r="M3711">
        <v>0</v>
      </c>
      <c r="N3711">
        <v>33625</v>
      </c>
      <c r="O3711">
        <v>125634</v>
      </c>
      <c r="P3711">
        <v>246883</v>
      </c>
      <c r="Q3711">
        <v>3</v>
      </c>
      <c r="R3711">
        <v>8</v>
      </c>
      <c r="S3711">
        <v>11</v>
      </c>
      <c r="T3711">
        <v>50</v>
      </c>
      <c r="U3711">
        <v>64</v>
      </c>
    </row>
    <row r="3712" spans="1:21" x14ac:dyDescent="0.35">
      <c r="A3712" t="s">
        <v>21</v>
      </c>
      <c r="B3712" s="1">
        <v>44793</v>
      </c>
      <c r="C3712" t="s">
        <v>31</v>
      </c>
      <c r="D3712">
        <v>4.4000000000000004</v>
      </c>
      <c r="E3712">
        <v>0</v>
      </c>
      <c r="F3712">
        <v>0.6</v>
      </c>
      <c r="G3712">
        <v>0</v>
      </c>
      <c r="H3712">
        <v>7.3</v>
      </c>
      <c r="I3712">
        <v>0</v>
      </c>
      <c r="J3712">
        <v>0</v>
      </c>
      <c r="K3712">
        <v>0</v>
      </c>
      <c r="L3712">
        <v>0</v>
      </c>
      <c r="M3712">
        <v>0</v>
      </c>
      <c r="N3712">
        <v>45707</v>
      </c>
      <c r="O3712">
        <v>44146</v>
      </c>
      <c r="P3712">
        <v>170344</v>
      </c>
      <c r="Q3712">
        <v>2</v>
      </c>
      <c r="R3712">
        <v>0</v>
      </c>
      <c r="S3712">
        <v>1</v>
      </c>
      <c r="T3712">
        <v>65</v>
      </c>
      <c r="U3712">
        <v>79</v>
      </c>
    </row>
    <row r="3713" spans="1:21" x14ac:dyDescent="0.35">
      <c r="A3713" t="s">
        <v>21</v>
      </c>
      <c r="B3713" s="1">
        <v>44897</v>
      </c>
      <c r="C3713" t="s">
        <v>22</v>
      </c>
      <c r="D3713">
        <v>5.6</v>
      </c>
      <c r="E3713">
        <v>2.4</v>
      </c>
      <c r="F3713">
        <v>1.3</v>
      </c>
      <c r="G3713">
        <v>2.2999999999999998</v>
      </c>
      <c r="H3713">
        <v>4.3</v>
      </c>
      <c r="I3713">
        <v>6.9</v>
      </c>
      <c r="J3713">
        <v>3.3</v>
      </c>
      <c r="K3713">
        <v>0.8</v>
      </c>
      <c r="L3713">
        <v>2.1</v>
      </c>
      <c r="M3713">
        <v>8.5</v>
      </c>
      <c r="N3713">
        <v>684647</v>
      </c>
      <c r="O3713">
        <v>914673</v>
      </c>
      <c r="P3713">
        <v>848563</v>
      </c>
      <c r="Q3713">
        <v>38</v>
      </c>
      <c r="R3713">
        <v>22</v>
      </c>
      <c r="S3713">
        <v>11</v>
      </c>
      <c r="T3713">
        <v>999</v>
      </c>
      <c r="U3713">
        <v>999</v>
      </c>
    </row>
    <row r="3714" spans="1:21" x14ac:dyDescent="0.35">
      <c r="A3714" t="s">
        <v>21</v>
      </c>
      <c r="B3714" s="1">
        <v>44590</v>
      </c>
      <c r="C3714" t="s">
        <v>25</v>
      </c>
      <c r="D3714">
        <v>0.9</v>
      </c>
      <c r="E3714">
        <v>0</v>
      </c>
      <c r="F3714">
        <v>0</v>
      </c>
      <c r="G3714">
        <v>0</v>
      </c>
      <c r="H3714">
        <v>0</v>
      </c>
      <c r="I3714">
        <v>0</v>
      </c>
      <c r="J3714">
        <v>0</v>
      </c>
      <c r="K3714">
        <v>0</v>
      </c>
      <c r="L3714">
        <v>0</v>
      </c>
      <c r="M3714">
        <v>0</v>
      </c>
      <c r="N3714">
        <v>111576</v>
      </c>
      <c r="O3714">
        <v>231646</v>
      </c>
      <c r="P3714">
        <v>114102</v>
      </c>
      <c r="Q3714">
        <v>1</v>
      </c>
      <c r="R3714">
        <v>0</v>
      </c>
      <c r="S3714">
        <v>0</v>
      </c>
      <c r="T3714">
        <v>18</v>
      </c>
      <c r="U3714">
        <v>29</v>
      </c>
    </row>
    <row r="3715" spans="1:21" x14ac:dyDescent="0.35">
      <c r="A3715" t="s">
        <v>21</v>
      </c>
      <c r="B3715" s="1">
        <v>44394</v>
      </c>
      <c r="C3715" t="s">
        <v>23</v>
      </c>
      <c r="D3715">
        <v>2.9</v>
      </c>
      <c r="E3715">
        <v>0</v>
      </c>
      <c r="F3715">
        <v>0</v>
      </c>
      <c r="G3715">
        <v>0</v>
      </c>
      <c r="H3715">
        <v>0</v>
      </c>
      <c r="I3715">
        <v>0</v>
      </c>
      <c r="J3715">
        <v>0</v>
      </c>
      <c r="K3715">
        <v>0</v>
      </c>
      <c r="L3715">
        <v>0</v>
      </c>
      <c r="M3715">
        <v>0</v>
      </c>
      <c r="N3715">
        <v>105017</v>
      </c>
      <c r="O3715">
        <v>308063</v>
      </c>
      <c r="P3715">
        <v>0</v>
      </c>
      <c r="Q3715">
        <v>3</v>
      </c>
      <c r="R3715">
        <v>0</v>
      </c>
      <c r="S3715">
        <v>0</v>
      </c>
      <c r="T3715">
        <v>50</v>
      </c>
      <c r="U3715">
        <v>64</v>
      </c>
    </row>
    <row r="3716" spans="1:21" x14ac:dyDescent="0.35">
      <c r="A3716" t="s">
        <v>28</v>
      </c>
      <c r="B3716" s="1">
        <v>44856</v>
      </c>
      <c r="C3716" t="s">
        <v>30</v>
      </c>
      <c r="D3716">
        <v>70.7</v>
      </c>
      <c r="E3716">
        <v>184.7</v>
      </c>
      <c r="F3716">
        <v>167.8</v>
      </c>
      <c r="G3716">
        <v>0.4</v>
      </c>
      <c r="H3716">
        <v>0.4</v>
      </c>
      <c r="I3716">
        <v>0</v>
      </c>
      <c r="J3716">
        <v>0</v>
      </c>
      <c r="K3716">
        <v>0</v>
      </c>
      <c r="L3716">
        <v>0</v>
      </c>
      <c r="M3716">
        <v>0</v>
      </c>
      <c r="N3716">
        <v>25467</v>
      </c>
      <c r="O3716">
        <v>11367</v>
      </c>
      <c r="P3716">
        <v>47073</v>
      </c>
      <c r="Q3716">
        <v>18</v>
      </c>
      <c r="R3716">
        <v>21</v>
      </c>
      <c r="S3716">
        <v>79</v>
      </c>
      <c r="T3716">
        <v>80</v>
      </c>
      <c r="U3716">
        <v>200</v>
      </c>
    </row>
    <row r="3717" spans="1:21" x14ac:dyDescent="0.35">
      <c r="A3717" t="s">
        <v>28</v>
      </c>
      <c r="B3717" s="1">
        <v>45213</v>
      </c>
      <c r="C3717" t="s">
        <v>23</v>
      </c>
      <c r="D3717">
        <v>89.2</v>
      </c>
      <c r="E3717">
        <v>19.100000000000001</v>
      </c>
      <c r="F3717">
        <v>32.799999999999997</v>
      </c>
      <c r="G3717">
        <v>4.7</v>
      </c>
      <c r="H3717">
        <v>2.7</v>
      </c>
      <c r="I3717">
        <v>0</v>
      </c>
      <c r="J3717">
        <v>0</v>
      </c>
      <c r="K3717">
        <v>0</v>
      </c>
      <c r="L3717">
        <v>0</v>
      </c>
      <c r="M3717">
        <v>0</v>
      </c>
      <c r="N3717">
        <v>31377</v>
      </c>
      <c r="O3717">
        <v>125742</v>
      </c>
      <c r="P3717">
        <v>247106</v>
      </c>
      <c r="Q3717">
        <v>28</v>
      </c>
      <c r="R3717">
        <v>24</v>
      </c>
      <c r="S3717">
        <v>81</v>
      </c>
      <c r="T3717">
        <v>50</v>
      </c>
      <c r="U3717">
        <v>64</v>
      </c>
    </row>
    <row r="3718" spans="1:21" x14ac:dyDescent="0.35">
      <c r="A3718" t="s">
        <v>26</v>
      </c>
      <c r="B3718" s="1">
        <v>44436</v>
      </c>
      <c r="C3718" t="s">
        <v>27</v>
      </c>
      <c r="D3718">
        <v>3.9</v>
      </c>
      <c r="E3718">
        <v>0</v>
      </c>
      <c r="F3718">
        <v>0</v>
      </c>
      <c r="G3718">
        <v>0</v>
      </c>
      <c r="H3718">
        <v>0</v>
      </c>
      <c r="I3718">
        <v>0</v>
      </c>
      <c r="J3718">
        <v>0</v>
      </c>
      <c r="K3718">
        <v>0</v>
      </c>
      <c r="L3718">
        <v>0</v>
      </c>
      <c r="M3718">
        <v>0</v>
      </c>
      <c r="N3718">
        <v>77824</v>
      </c>
      <c r="O3718">
        <v>75875</v>
      </c>
      <c r="P3718">
        <v>0</v>
      </c>
      <c r="Q3718">
        <v>3</v>
      </c>
      <c r="R3718">
        <v>0</v>
      </c>
      <c r="S3718">
        <v>0</v>
      </c>
      <c r="T3718">
        <v>12</v>
      </c>
      <c r="U3718">
        <v>17</v>
      </c>
    </row>
    <row r="3719" spans="1:21" x14ac:dyDescent="0.35">
      <c r="A3719" t="s">
        <v>21</v>
      </c>
      <c r="B3719" s="1">
        <v>45018</v>
      </c>
      <c r="C3719" t="s">
        <v>27</v>
      </c>
      <c r="D3719">
        <v>0</v>
      </c>
      <c r="E3719">
        <v>0</v>
      </c>
      <c r="F3719">
        <v>0</v>
      </c>
      <c r="G3719">
        <v>0</v>
      </c>
      <c r="H3719">
        <v>0</v>
      </c>
      <c r="I3719">
        <v>0</v>
      </c>
      <c r="J3719">
        <v>0</v>
      </c>
      <c r="K3719">
        <v>0</v>
      </c>
      <c r="L3719">
        <v>0</v>
      </c>
      <c r="M3719">
        <v>0</v>
      </c>
      <c r="N3719">
        <v>33352</v>
      </c>
      <c r="O3719">
        <v>86315</v>
      </c>
      <c r="P3719">
        <v>44553</v>
      </c>
      <c r="Q3719">
        <v>0</v>
      </c>
      <c r="R3719">
        <v>0</v>
      </c>
      <c r="S3719">
        <v>0</v>
      </c>
      <c r="T3719">
        <v>12</v>
      </c>
      <c r="U3719">
        <v>17</v>
      </c>
    </row>
    <row r="3720" spans="1:21" x14ac:dyDescent="0.35">
      <c r="A3720" t="s">
        <v>21</v>
      </c>
      <c r="B3720" s="1">
        <v>44303</v>
      </c>
      <c r="C3720" t="s">
        <v>30</v>
      </c>
      <c r="D3720">
        <v>23</v>
      </c>
      <c r="E3720">
        <v>2.9</v>
      </c>
      <c r="F3720">
        <v>0</v>
      </c>
      <c r="G3720">
        <v>7.9</v>
      </c>
      <c r="H3720">
        <v>0</v>
      </c>
      <c r="I3720">
        <v>0</v>
      </c>
      <c r="J3720">
        <v>0</v>
      </c>
      <c r="K3720">
        <v>0</v>
      </c>
      <c r="L3720">
        <v>0</v>
      </c>
      <c r="M3720">
        <v>0</v>
      </c>
      <c r="N3720">
        <v>39089</v>
      </c>
      <c r="O3720">
        <v>34683</v>
      </c>
      <c r="P3720">
        <v>0</v>
      </c>
      <c r="Q3720">
        <v>9</v>
      </c>
      <c r="R3720">
        <v>1</v>
      </c>
      <c r="S3720">
        <v>0</v>
      </c>
      <c r="T3720">
        <v>80</v>
      </c>
      <c r="U3720">
        <v>200</v>
      </c>
    </row>
    <row r="3721" spans="1:21" x14ac:dyDescent="0.35">
      <c r="A3721" t="s">
        <v>21</v>
      </c>
      <c r="B3721" s="1">
        <v>44930</v>
      </c>
      <c r="C3721" t="s">
        <v>25</v>
      </c>
      <c r="D3721">
        <v>0</v>
      </c>
      <c r="E3721">
        <v>0</v>
      </c>
      <c r="F3721">
        <v>0</v>
      </c>
      <c r="G3721">
        <v>0</v>
      </c>
      <c r="H3721">
        <v>0</v>
      </c>
      <c r="I3721">
        <v>0</v>
      </c>
      <c r="J3721">
        <v>0</v>
      </c>
      <c r="K3721">
        <v>0</v>
      </c>
      <c r="L3721">
        <v>0</v>
      </c>
      <c r="M3721">
        <v>0</v>
      </c>
      <c r="N3721">
        <v>76086</v>
      </c>
      <c r="O3721">
        <v>213847</v>
      </c>
      <c r="P3721">
        <v>161677</v>
      </c>
      <c r="Q3721">
        <v>0</v>
      </c>
      <c r="R3721">
        <v>0</v>
      </c>
      <c r="S3721">
        <v>0</v>
      </c>
      <c r="T3721">
        <v>18</v>
      </c>
      <c r="U3721">
        <v>29</v>
      </c>
    </row>
    <row r="3722" spans="1:21" x14ac:dyDescent="0.35">
      <c r="A3722" t="s">
        <v>21</v>
      </c>
      <c r="B3722" s="1">
        <v>44449</v>
      </c>
      <c r="C3722" t="s">
        <v>30</v>
      </c>
      <c r="D3722">
        <v>16.399999999999999</v>
      </c>
      <c r="E3722">
        <v>3.8</v>
      </c>
      <c r="F3722">
        <v>0</v>
      </c>
      <c r="G3722">
        <v>4.3</v>
      </c>
      <c r="H3722">
        <v>0</v>
      </c>
      <c r="I3722">
        <v>0</v>
      </c>
      <c r="J3722">
        <v>0</v>
      </c>
      <c r="K3722">
        <v>0</v>
      </c>
      <c r="L3722">
        <v>0</v>
      </c>
      <c r="M3722">
        <v>0</v>
      </c>
      <c r="N3722">
        <v>30481</v>
      </c>
      <c r="O3722">
        <v>52266</v>
      </c>
      <c r="P3722">
        <v>0</v>
      </c>
      <c r="Q3722">
        <v>5</v>
      </c>
      <c r="R3722">
        <v>2</v>
      </c>
      <c r="S3722">
        <v>0</v>
      </c>
      <c r="T3722">
        <v>80</v>
      </c>
      <c r="U3722">
        <v>200</v>
      </c>
    </row>
    <row r="3723" spans="1:21" x14ac:dyDescent="0.35">
      <c r="A3723" t="s">
        <v>28</v>
      </c>
      <c r="B3723" s="1">
        <v>44808</v>
      </c>
      <c r="C3723" t="s">
        <v>30</v>
      </c>
      <c r="D3723">
        <v>18.5</v>
      </c>
      <c r="E3723">
        <v>65.400000000000006</v>
      </c>
      <c r="F3723">
        <v>46</v>
      </c>
      <c r="G3723">
        <v>0.3</v>
      </c>
      <c r="H3723">
        <v>0.4</v>
      </c>
      <c r="I3723">
        <v>0</v>
      </c>
      <c r="J3723">
        <v>0</v>
      </c>
      <c r="K3723">
        <v>0</v>
      </c>
      <c r="L3723">
        <v>0</v>
      </c>
      <c r="M3723">
        <v>0</v>
      </c>
      <c r="N3723">
        <v>26990</v>
      </c>
      <c r="O3723">
        <v>13754</v>
      </c>
      <c r="P3723">
        <v>43462</v>
      </c>
      <c r="Q3723">
        <v>5</v>
      </c>
      <c r="R3723">
        <v>9</v>
      </c>
      <c r="S3723">
        <v>20</v>
      </c>
      <c r="T3723">
        <v>80</v>
      </c>
      <c r="U3723">
        <v>200</v>
      </c>
    </row>
    <row r="3724" spans="1:21" x14ac:dyDescent="0.35">
      <c r="A3724" t="s">
        <v>21</v>
      </c>
      <c r="B3724" s="1">
        <v>45157</v>
      </c>
      <c r="C3724" t="s">
        <v>29</v>
      </c>
      <c r="D3724">
        <v>0</v>
      </c>
      <c r="E3724">
        <v>0</v>
      </c>
      <c r="F3724">
        <v>0</v>
      </c>
      <c r="G3724">
        <v>0</v>
      </c>
      <c r="H3724">
        <v>0</v>
      </c>
      <c r="I3724">
        <v>0</v>
      </c>
      <c r="J3724">
        <v>0</v>
      </c>
      <c r="K3724">
        <v>0</v>
      </c>
      <c r="L3724">
        <v>0</v>
      </c>
      <c r="M3724">
        <v>0</v>
      </c>
      <c r="N3724">
        <v>107178</v>
      </c>
      <c r="O3724">
        <v>278399</v>
      </c>
      <c r="P3724">
        <v>347317</v>
      </c>
      <c r="Q3724">
        <v>0</v>
      </c>
      <c r="R3724">
        <v>0</v>
      </c>
      <c r="S3724">
        <v>0</v>
      </c>
      <c r="T3724">
        <v>30</v>
      </c>
      <c r="U3724">
        <v>49</v>
      </c>
    </row>
    <row r="3725" spans="1:21" x14ac:dyDescent="0.35">
      <c r="A3725" t="s">
        <v>28</v>
      </c>
      <c r="B3725" s="1">
        <v>44201</v>
      </c>
      <c r="C3725" t="s">
        <v>23</v>
      </c>
      <c r="D3725">
        <v>293.39999999999998</v>
      </c>
      <c r="E3725">
        <v>19.2</v>
      </c>
      <c r="F3725">
        <v>0</v>
      </c>
      <c r="G3725">
        <v>15.3</v>
      </c>
      <c r="H3725">
        <v>0</v>
      </c>
      <c r="I3725">
        <v>0</v>
      </c>
      <c r="J3725">
        <v>0</v>
      </c>
      <c r="K3725">
        <v>0</v>
      </c>
      <c r="L3725">
        <v>0</v>
      </c>
      <c r="M3725">
        <v>0</v>
      </c>
      <c r="N3725">
        <v>155412</v>
      </c>
      <c r="O3725">
        <v>166702</v>
      </c>
      <c r="P3725">
        <v>0</v>
      </c>
      <c r="Q3725">
        <v>456</v>
      </c>
      <c r="R3725">
        <v>32</v>
      </c>
      <c r="S3725">
        <v>0</v>
      </c>
      <c r="T3725">
        <v>50</v>
      </c>
      <c r="U3725">
        <v>64</v>
      </c>
    </row>
    <row r="3726" spans="1:21" x14ac:dyDescent="0.35">
      <c r="A3726" t="s">
        <v>28</v>
      </c>
      <c r="B3726" s="1">
        <v>45117</v>
      </c>
      <c r="C3726" t="s">
        <v>30</v>
      </c>
      <c r="D3726">
        <v>53.4</v>
      </c>
      <c r="E3726">
        <v>61.4</v>
      </c>
      <c r="F3726">
        <v>93.3</v>
      </c>
      <c r="G3726">
        <v>0.9</v>
      </c>
      <c r="H3726">
        <v>0.6</v>
      </c>
      <c r="I3726">
        <v>0</v>
      </c>
      <c r="J3726">
        <v>0</v>
      </c>
      <c r="K3726">
        <v>0</v>
      </c>
      <c r="L3726">
        <v>0</v>
      </c>
      <c r="M3726">
        <v>0</v>
      </c>
      <c r="N3726">
        <v>24344</v>
      </c>
      <c r="O3726">
        <v>11392</v>
      </c>
      <c r="P3726">
        <v>47144</v>
      </c>
      <c r="Q3726">
        <v>13</v>
      </c>
      <c r="R3726">
        <v>7</v>
      </c>
      <c r="S3726">
        <v>44</v>
      </c>
      <c r="T3726">
        <v>80</v>
      </c>
      <c r="U3726">
        <v>200</v>
      </c>
    </row>
    <row r="3727" spans="1:21" x14ac:dyDescent="0.35">
      <c r="A3727" t="s">
        <v>21</v>
      </c>
      <c r="B3727" s="1">
        <v>44464</v>
      </c>
      <c r="C3727" t="s">
        <v>27</v>
      </c>
      <c r="D3727">
        <v>0</v>
      </c>
      <c r="E3727">
        <v>0</v>
      </c>
      <c r="F3727">
        <v>0</v>
      </c>
      <c r="G3727">
        <v>0</v>
      </c>
      <c r="H3727">
        <v>0</v>
      </c>
      <c r="I3727">
        <v>0</v>
      </c>
      <c r="J3727">
        <v>0</v>
      </c>
      <c r="K3727">
        <v>0</v>
      </c>
      <c r="L3727">
        <v>0</v>
      </c>
      <c r="M3727">
        <v>0</v>
      </c>
      <c r="N3727">
        <v>69960</v>
      </c>
      <c r="O3727">
        <v>90234</v>
      </c>
      <c r="P3727">
        <v>0</v>
      </c>
      <c r="Q3727">
        <v>0</v>
      </c>
      <c r="R3727">
        <v>0</v>
      </c>
      <c r="S3727">
        <v>0</v>
      </c>
      <c r="T3727">
        <v>12</v>
      </c>
      <c r="U3727">
        <v>17</v>
      </c>
    </row>
    <row r="3728" spans="1:21" x14ac:dyDescent="0.35">
      <c r="A3728" t="s">
        <v>26</v>
      </c>
      <c r="B3728" s="1">
        <v>44295</v>
      </c>
      <c r="C3728" t="s">
        <v>22</v>
      </c>
      <c r="D3728">
        <v>17.899999999999999</v>
      </c>
      <c r="E3728">
        <v>3.6</v>
      </c>
      <c r="F3728">
        <v>0</v>
      </c>
      <c r="G3728">
        <v>5</v>
      </c>
      <c r="H3728">
        <v>0</v>
      </c>
      <c r="I3728">
        <v>24.9</v>
      </c>
      <c r="J3728">
        <v>2.8</v>
      </c>
      <c r="K3728">
        <v>0</v>
      </c>
      <c r="L3728">
        <v>8.8000000000000007</v>
      </c>
      <c r="M3728">
        <v>0</v>
      </c>
      <c r="N3728">
        <v>1059836</v>
      </c>
      <c r="O3728">
        <v>1462025</v>
      </c>
      <c r="P3728">
        <v>0</v>
      </c>
      <c r="Q3728">
        <v>190</v>
      </c>
      <c r="R3728">
        <v>53</v>
      </c>
      <c r="S3728">
        <v>0</v>
      </c>
      <c r="T3728">
        <v>999</v>
      </c>
      <c r="U3728">
        <v>999</v>
      </c>
    </row>
    <row r="3729" spans="1:21" x14ac:dyDescent="0.35">
      <c r="A3729" t="s">
        <v>21</v>
      </c>
      <c r="B3729" s="1">
        <v>44709</v>
      </c>
      <c r="C3729" t="s">
        <v>23</v>
      </c>
      <c r="D3729">
        <v>0</v>
      </c>
      <c r="E3729">
        <v>1.5</v>
      </c>
      <c r="F3729">
        <v>0</v>
      </c>
      <c r="G3729">
        <v>0</v>
      </c>
      <c r="H3729">
        <v>0</v>
      </c>
      <c r="I3729">
        <v>0</v>
      </c>
      <c r="J3729">
        <v>0</v>
      </c>
      <c r="K3729">
        <v>0</v>
      </c>
      <c r="L3729">
        <v>0</v>
      </c>
      <c r="M3729">
        <v>0</v>
      </c>
      <c r="N3729">
        <v>42974</v>
      </c>
      <c r="O3729">
        <v>132464</v>
      </c>
      <c r="P3729">
        <v>236190</v>
      </c>
      <c r="Q3729">
        <v>0</v>
      </c>
      <c r="R3729">
        <v>2</v>
      </c>
      <c r="S3729">
        <v>0</v>
      </c>
      <c r="T3729">
        <v>50</v>
      </c>
      <c r="U3729">
        <v>64</v>
      </c>
    </row>
    <row r="3730" spans="1:21" x14ac:dyDescent="0.35">
      <c r="A3730" t="s">
        <v>21</v>
      </c>
      <c r="B3730" s="1">
        <v>44975</v>
      </c>
      <c r="C3730" t="s">
        <v>24</v>
      </c>
      <c r="D3730">
        <v>0</v>
      </c>
      <c r="E3730">
        <v>0</v>
      </c>
      <c r="F3730">
        <v>0</v>
      </c>
      <c r="G3730">
        <v>0</v>
      </c>
      <c r="H3730">
        <v>0</v>
      </c>
      <c r="I3730">
        <v>0</v>
      </c>
      <c r="J3730">
        <v>0</v>
      </c>
      <c r="K3730">
        <v>0</v>
      </c>
      <c r="L3730">
        <v>0</v>
      </c>
      <c r="M3730">
        <v>0</v>
      </c>
      <c r="N3730">
        <v>91630</v>
      </c>
      <c r="O3730">
        <v>82117</v>
      </c>
      <c r="P3730">
        <v>21197</v>
      </c>
      <c r="Q3730">
        <v>0</v>
      </c>
      <c r="R3730">
        <v>0</v>
      </c>
      <c r="S3730">
        <v>0</v>
      </c>
      <c r="T3730">
        <v>5</v>
      </c>
      <c r="U3730">
        <v>11</v>
      </c>
    </row>
    <row r="3731" spans="1:21" x14ac:dyDescent="0.35">
      <c r="A3731" t="s">
        <v>26</v>
      </c>
      <c r="B3731" s="1">
        <v>45185</v>
      </c>
      <c r="C3731" t="s">
        <v>30</v>
      </c>
      <c r="D3731">
        <v>12.3</v>
      </c>
      <c r="E3731">
        <v>61.5</v>
      </c>
      <c r="F3731">
        <v>44.6</v>
      </c>
      <c r="G3731">
        <v>0.2</v>
      </c>
      <c r="H3731">
        <v>0.3</v>
      </c>
      <c r="I3731">
        <v>0</v>
      </c>
      <c r="J3731">
        <v>0</v>
      </c>
      <c r="K3731">
        <v>0</v>
      </c>
      <c r="L3731">
        <v>0</v>
      </c>
      <c r="M3731">
        <v>0</v>
      </c>
      <c r="N3731">
        <v>24446</v>
      </c>
      <c r="O3731">
        <v>11380</v>
      </c>
      <c r="P3731">
        <v>47134</v>
      </c>
      <c r="Q3731">
        <v>3</v>
      </c>
      <c r="R3731">
        <v>7</v>
      </c>
      <c r="S3731">
        <v>21</v>
      </c>
      <c r="T3731">
        <v>80</v>
      </c>
      <c r="U3731">
        <v>200</v>
      </c>
    </row>
    <row r="3732" spans="1:21" x14ac:dyDescent="0.35">
      <c r="A3732" t="s">
        <v>28</v>
      </c>
      <c r="B3732" s="1">
        <v>44338</v>
      </c>
      <c r="C3732" t="s">
        <v>29</v>
      </c>
      <c r="D3732">
        <v>144.80000000000001</v>
      </c>
      <c r="E3732">
        <v>8.1999999999999993</v>
      </c>
      <c r="F3732">
        <v>0</v>
      </c>
      <c r="G3732">
        <v>17.7</v>
      </c>
      <c r="H3732">
        <v>0</v>
      </c>
      <c r="I3732">
        <v>0</v>
      </c>
      <c r="J3732">
        <v>0</v>
      </c>
      <c r="K3732">
        <v>0</v>
      </c>
      <c r="L3732">
        <v>0</v>
      </c>
      <c r="M3732">
        <v>0</v>
      </c>
      <c r="N3732">
        <v>324620</v>
      </c>
      <c r="O3732">
        <v>366867</v>
      </c>
      <c r="P3732">
        <v>0</v>
      </c>
      <c r="Q3732">
        <v>470</v>
      </c>
      <c r="R3732">
        <v>30</v>
      </c>
      <c r="S3732">
        <v>0</v>
      </c>
      <c r="T3732">
        <v>30</v>
      </c>
      <c r="U3732">
        <v>49</v>
      </c>
    </row>
    <row r="3733" spans="1:21" x14ac:dyDescent="0.35">
      <c r="A3733" t="s">
        <v>26</v>
      </c>
      <c r="B3733" s="1">
        <v>44954</v>
      </c>
      <c r="C3733" t="s">
        <v>27</v>
      </c>
      <c r="D3733">
        <v>0</v>
      </c>
      <c r="E3733">
        <v>1.2</v>
      </c>
      <c r="F3733">
        <v>2.2000000000000002</v>
      </c>
      <c r="G3733">
        <v>0</v>
      </c>
      <c r="H3733">
        <v>0</v>
      </c>
      <c r="I3733">
        <v>0</v>
      </c>
      <c r="J3733">
        <v>0</v>
      </c>
      <c r="K3733">
        <v>0</v>
      </c>
      <c r="L3733">
        <v>0</v>
      </c>
      <c r="M3733">
        <v>0</v>
      </c>
      <c r="N3733">
        <v>33411</v>
      </c>
      <c r="O3733">
        <v>86292</v>
      </c>
      <c r="P3733">
        <v>44551</v>
      </c>
      <c r="Q3733">
        <v>0</v>
      </c>
      <c r="R3733">
        <v>1</v>
      </c>
      <c r="S3733">
        <v>1</v>
      </c>
      <c r="T3733">
        <v>12</v>
      </c>
      <c r="U3733">
        <v>17</v>
      </c>
    </row>
    <row r="3734" spans="1:21" x14ac:dyDescent="0.35">
      <c r="A3734" t="s">
        <v>21</v>
      </c>
      <c r="B3734" s="1">
        <v>44611</v>
      </c>
      <c r="C3734" t="s">
        <v>25</v>
      </c>
      <c r="D3734">
        <v>0</v>
      </c>
      <c r="E3734">
        <v>0</v>
      </c>
      <c r="F3734">
        <v>0</v>
      </c>
      <c r="G3734">
        <v>0</v>
      </c>
      <c r="H3734">
        <v>0</v>
      </c>
      <c r="I3734">
        <v>0</v>
      </c>
      <c r="J3734">
        <v>0</v>
      </c>
      <c r="K3734">
        <v>0</v>
      </c>
      <c r="L3734">
        <v>0</v>
      </c>
      <c r="M3734">
        <v>0</v>
      </c>
      <c r="N3734">
        <v>103609</v>
      </c>
      <c r="O3734">
        <v>221200</v>
      </c>
      <c r="P3734">
        <v>133301</v>
      </c>
      <c r="Q3734">
        <v>0</v>
      </c>
      <c r="R3734">
        <v>0</v>
      </c>
      <c r="S3734">
        <v>0</v>
      </c>
      <c r="T3734">
        <v>18</v>
      </c>
      <c r="U3734">
        <v>29</v>
      </c>
    </row>
    <row r="3735" spans="1:21" x14ac:dyDescent="0.35">
      <c r="A3735" t="s">
        <v>26</v>
      </c>
      <c r="B3735" s="1">
        <v>45192</v>
      </c>
      <c r="C3735" t="s">
        <v>27</v>
      </c>
      <c r="D3735">
        <v>0</v>
      </c>
      <c r="E3735">
        <v>0</v>
      </c>
      <c r="F3735">
        <v>0</v>
      </c>
      <c r="G3735">
        <v>0</v>
      </c>
      <c r="H3735">
        <v>0</v>
      </c>
      <c r="I3735">
        <v>0</v>
      </c>
      <c r="J3735">
        <v>0</v>
      </c>
      <c r="K3735">
        <v>0</v>
      </c>
      <c r="L3735">
        <v>0</v>
      </c>
      <c r="M3735">
        <v>0</v>
      </c>
      <c r="N3735">
        <v>31692</v>
      </c>
      <c r="O3735">
        <v>86574</v>
      </c>
      <c r="P3735">
        <v>44597</v>
      </c>
      <c r="Q3735">
        <v>0</v>
      </c>
      <c r="R3735">
        <v>0</v>
      </c>
      <c r="S3735">
        <v>0</v>
      </c>
      <c r="T3735">
        <v>12</v>
      </c>
      <c r="U3735">
        <v>17</v>
      </c>
    </row>
    <row r="3736" spans="1:21" x14ac:dyDescent="0.35">
      <c r="A3736" t="s">
        <v>21</v>
      </c>
      <c r="B3736" s="1">
        <v>45122</v>
      </c>
      <c r="C3736" t="s">
        <v>22</v>
      </c>
      <c r="D3736">
        <v>0.2</v>
      </c>
      <c r="E3736">
        <v>0</v>
      </c>
      <c r="F3736">
        <v>0</v>
      </c>
      <c r="G3736">
        <v>0</v>
      </c>
      <c r="H3736">
        <v>0</v>
      </c>
      <c r="I3736">
        <v>0.3</v>
      </c>
      <c r="J3736">
        <v>0</v>
      </c>
      <c r="K3736">
        <v>0</v>
      </c>
      <c r="L3736">
        <v>0</v>
      </c>
      <c r="M3736">
        <v>0</v>
      </c>
      <c r="N3736">
        <v>531292</v>
      </c>
      <c r="O3736">
        <v>860318</v>
      </c>
      <c r="P3736">
        <v>1040757</v>
      </c>
      <c r="Q3736">
        <v>1</v>
      </c>
      <c r="R3736">
        <v>0</v>
      </c>
      <c r="S3736">
        <v>0</v>
      </c>
      <c r="T3736">
        <v>999</v>
      </c>
      <c r="U3736">
        <v>999</v>
      </c>
    </row>
    <row r="3737" spans="1:21" x14ac:dyDescent="0.35">
      <c r="A3737" t="s">
        <v>26</v>
      </c>
      <c r="B3737" s="1">
        <v>45038</v>
      </c>
      <c r="C3737" t="s">
        <v>30</v>
      </c>
      <c r="D3737">
        <v>28.4</v>
      </c>
      <c r="E3737">
        <v>35.1</v>
      </c>
      <c r="F3737">
        <v>27.6</v>
      </c>
      <c r="G3737">
        <v>0.8</v>
      </c>
      <c r="H3737">
        <v>1</v>
      </c>
      <c r="I3737">
        <v>0</v>
      </c>
      <c r="J3737">
        <v>0</v>
      </c>
      <c r="K3737">
        <v>0</v>
      </c>
      <c r="L3737">
        <v>0</v>
      </c>
      <c r="M3737">
        <v>0</v>
      </c>
      <c r="N3737">
        <v>24605</v>
      </c>
      <c r="O3737">
        <v>11384</v>
      </c>
      <c r="P3737">
        <v>47127</v>
      </c>
      <c r="Q3737">
        <v>7</v>
      </c>
      <c r="R3737">
        <v>4</v>
      </c>
      <c r="S3737">
        <v>13</v>
      </c>
      <c r="T3737">
        <v>80</v>
      </c>
      <c r="U3737">
        <v>200</v>
      </c>
    </row>
    <row r="3738" spans="1:21" x14ac:dyDescent="0.35">
      <c r="A3738" t="s">
        <v>21</v>
      </c>
      <c r="B3738" s="1">
        <v>44747</v>
      </c>
      <c r="C3738" t="s">
        <v>30</v>
      </c>
      <c r="D3738">
        <v>0</v>
      </c>
      <c r="E3738">
        <v>0</v>
      </c>
      <c r="F3738">
        <v>2.2999999999999998</v>
      </c>
      <c r="G3738">
        <v>0</v>
      </c>
      <c r="H3738">
        <v>0</v>
      </c>
      <c r="I3738">
        <v>0</v>
      </c>
      <c r="J3738">
        <v>0</v>
      </c>
      <c r="K3738">
        <v>0</v>
      </c>
      <c r="L3738">
        <v>0</v>
      </c>
      <c r="M3738">
        <v>0</v>
      </c>
      <c r="N3738">
        <v>26811</v>
      </c>
      <c r="O3738">
        <v>13219</v>
      </c>
      <c r="P3738">
        <v>44353</v>
      </c>
      <c r="Q3738">
        <v>0</v>
      </c>
      <c r="R3738">
        <v>0</v>
      </c>
      <c r="S3738">
        <v>1</v>
      </c>
      <c r="T3738">
        <v>80</v>
      </c>
      <c r="U3738">
        <v>200</v>
      </c>
    </row>
    <row r="3739" spans="1:21" x14ac:dyDescent="0.35">
      <c r="A3739" t="s">
        <v>21</v>
      </c>
      <c r="B3739" s="1">
        <v>45164</v>
      </c>
      <c r="C3739" t="s">
        <v>24</v>
      </c>
      <c r="D3739">
        <v>0</v>
      </c>
      <c r="E3739">
        <v>0</v>
      </c>
      <c r="F3739">
        <v>0</v>
      </c>
      <c r="G3739">
        <v>0</v>
      </c>
      <c r="H3739">
        <v>0</v>
      </c>
      <c r="I3739">
        <v>0</v>
      </c>
      <c r="J3739">
        <v>0</v>
      </c>
      <c r="K3739">
        <v>0</v>
      </c>
      <c r="L3739">
        <v>0</v>
      </c>
      <c r="M3739">
        <v>0</v>
      </c>
      <c r="N3739">
        <v>89580</v>
      </c>
      <c r="O3739">
        <v>82670</v>
      </c>
      <c r="P3739">
        <v>21264</v>
      </c>
      <c r="Q3739">
        <v>0</v>
      </c>
      <c r="R3739">
        <v>0</v>
      </c>
      <c r="S3739">
        <v>0</v>
      </c>
      <c r="T3739">
        <v>5</v>
      </c>
      <c r="U3739">
        <v>11</v>
      </c>
    </row>
    <row r="3740" spans="1:21" x14ac:dyDescent="0.35">
      <c r="A3740" t="s">
        <v>21</v>
      </c>
      <c r="B3740" s="1">
        <v>44906</v>
      </c>
      <c r="C3740" t="s">
        <v>24</v>
      </c>
      <c r="D3740">
        <v>0</v>
      </c>
      <c r="E3740">
        <v>0</v>
      </c>
      <c r="F3740">
        <v>0</v>
      </c>
      <c r="G3740">
        <v>0</v>
      </c>
      <c r="H3740">
        <v>0</v>
      </c>
      <c r="I3740">
        <v>0</v>
      </c>
      <c r="J3740">
        <v>0</v>
      </c>
      <c r="K3740">
        <v>0</v>
      </c>
      <c r="L3740">
        <v>0</v>
      </c>
      <c r="M3740">
        <v>0</v>
      </c>
      <c r="N3740">
        <v>93466</v>
      </c>
      <c r="O3740">
        <v>80777</v>
      </c>
      <c r="P3740">
        <v>21043</v>
      </c>
      <c r="Q3740">
        <v>0</v>
      </c>
      <c r="R3740">
        <v>0</v>
      </c>
      <c r="S3740">
        <v>0</v>
      </c>
      <c r="T3740">
        <v>5</v>
      </c>
      <c r="U3740">
        <v>11</v>
      </c>
    </row>
    <row r="3741" spans="1:21" x14ac:dyDescent="0.35">
      <c r="A3741" t="s">
        <v>28</v>
      </c>
      <c r="B3741" s="1">
        <v>44295</v>
      </c>
      <c r="C3741" t="s">
        <v>31</v>
      </c>
      <c r="D3741">
        <v>109</v>
      </c>
      <c r="E3741">
        <v>43.2</v>
      </c>
      <c r="F3741">
        <v>0</v>
      </c>
      <c r="G3741">
        <v>2.5</v>
      </c>
      <c r="H3741">
        <v>0</v>
      </c>
      <c r="I3741">
        <v>0</v>
      </c>
      <c r="J3741">
        <v>0</v>
      </c>
      <c r="K3741">
        <v>0</v>
      </c>
      <c r="L3741">
        <v>0</v>
      </c>
      <c r="M3741">
        <v>0</v>
      </c>
      <c r="N3741">
        <v>65150</v>
      </c>
      <c r="O3741">
        <v>194427</v>
      </c>
      <c r="P3741">
        <v>0</v>
      </c>
      <c r="Q3741">
        <v>71</v>
      </c>
      <c r="R3741">
        <v>84</v>
      </c>
      <c r="S3741">
        <v>0</v>
      </c>
      <c r="T3741">
        <v>65</v>
      </c>
      <c r="U3741">
        <v>79</v>
      </c>
    </row>
    <row r="3742" spans="1:21" x14ac:dyDescent="0.35">
      <c r="A3742" t="s">
        <v>28</v>
      </c>
      <c r="B3742" s="1">
        <v>45268</v>
      </c>
      <c r="C3742" t="s">
        <v>23</v>
      </c>
      <c r="D3742">
        <v>80.099999999999994</v>
      </c>
      <c r="E3742">
        <v>26.2</v>
      </c>
      <c r="F3742">
        <v>40.1</v>
      </c>
      <c r="G3742">
        <v>3.1</v>
      </c>
      <c r="H3742">
        <v>2</v>
      </c>
      <c r="I3742">
        <v>0</v>
      </c>
      <c r="J3742">
        <v>0</v>
      </c>
      <c r="K3742">
        <v>0</v>
      </c>
      <c r="L3742">
        <v>0</v>
      </c>
      <c r="M3742">
        <v>0</v>
      </c>
      <c r="N3742">
        <v>32441</v>
      </c>
      <c r="O3742">
        <v>125727</v>
      </c>
      <c r="P3742">
        <v>246935</v>
      </c>
      <c r="Q3742">
        <v>26</v>
      </c>
      <c r="R3742">
        <v>33</v>
      </c>
      <c r="S3742">
        <v>99</v>
      </c>
      <c r="T3742">
        <v>50</v>
      </c>
      <c r="U3742">
        <v>64</v>
      </c>
    </row>
    <row r="3743" spans="1:21" x14ac:dyDescent="0.35">
      <c r="A3743" t="s">
        <v>21</v>
      </c>
      <c r="B3743" s="1">
        <v>44906</v>
      </c>
      <c r="C3743" t="s">
        <v>30</v>
      </c>
      <c r="D3743">
        <v>0</v>
      </c>
      <c r="E3743">
        <v>17.600000000000001</v>
      </c>
      <c r="F3743">
        <v>4.2</v>
      </c>
      <c r="G3743">
        <v>0</v>
      </c>
      <c r="H3743">
        <v>0</v>
      </c>
      <c r="I3743">
        <v>0</v>
      </c>
      <c r="J3743">
        <v>0</v>
      </c>
      <c r="K3743">
        <v>0</v>
      </c>
      <c r="L3743">
        <v>0</v>
      </c>
      <c r="M3743">
        <v>0</v>
      </c>
      <c r="N3743">
        <v>25162</v>
      </c>
      <c r="O3743">
        <v>11369</v>
      </c>
      <c r="P3743">
        <v>47090</v>
      </c>
      <c r="Q3743">
        <v>0</v>
      </c>
      <c r="R3743">
        <v>2</v>
      </c>
      <c r="S3743">
        <v>2</v>
      </c>
      <c r="T3743">
        <v>80</v>
      </c>
      <c r="U3743">
        <v>200</v>
      </c>
    </row>
    <row r="3744" spans="1:21" x14ac:dyDescent="0.35">
      <c r="A3744" t="s">
        <v>28</v>
      </c>
      <c r="B3744" s="1">
        <v>44457</v>
      </c>
      <c r="C3744" t="s">
        <v>29</v>
      </c>
      <c r="D3744">
        <v>250</v>
      </c>
      <c r="E3744">
        <v>79.3</v>
      </c>
      <c r="F3744">
        <v>0</v>
      </c>
      <c r="G3744">
        <v>3.2</v>
      </c>
      <c r="H3744">
        <v>0</v>
      </c>
      <c r="I3744">
        <v>0</v>
      </c>
      <c r="J3744">
        <v>0</v>
      </c>
      <c r="K3744">
        <v>0</v>
      </c>
      <c r="L3744">
        <v>0</v>
      </c>
      <c r="M3744">
        <v>0</v>
      </c>
      <c r="N3744">
        <v>227597</v>
      </c>
      <c r="O3744">
        <v>524734</v>
      </c>
      <c r="P3744">
        <v>0</v>
      </c>
      <c r="Q3744">
        <v>569</v>
      </c>
      <c r="R3744">
        <v>416</v>
      </c>
      <c r="S3744">
        <v>0</v>
      </c>
      <c r="T3744">
        <v>30</v>
      </c>
      <c r="U3744">
        <v>49</v>
      </c>
    </row>
    <row r="3745" spans="1:21" x14ac:dyDescent="0.35">
      <c r="A3745" t="s">
        <v>21</v>
      </c>
      <c r="B3745" s="1">
        <v>44373</v>
      </c>
      <c r="C3745" t="s">
        <v>23</v>
      </c>
      <c r="D3745">
        <v>1.8</v>
      </c>
      <c r="E3745">
        <v>0.3</v>
      </c>
      <c r="F3745">
        <v>0</v>
      </c>
      <c r="G3745">
        <v>6</v>
      </c>
      <c r="H3745">
        <v>0</v>
      </c>
      <c r="I3745">
        <v>0</v>
      </c>
      <c r="J3745">
        <v>0</v>
      </c>
      <c r="K3745">
        <v>0</v>
      </c>
      <c r="L3745">
        <v>0</v>
      </c>
      <c r="M3745">
        <v>0</v>
      </c>
      <c r="N3745">
        <v>111605</v>
      </c>
      <c r="O3745">
        <v>294901</v>
      </c>
      <c r="P3745">
        <v>0</v>
      </c>
      <c r="Q3745">
        <v>2</v>
      </c>
      <c r="R3745">
        <v>1</v>
      </c>
      <c r="S3745">
        <v>0</v>
      </c>
      <c r="T3745">
        <v>50</v>
      </c>
      <c r="U3745">
        <v>64</v>
      </c>
    </row>
    <row r="3746" spans="1:21" x14ac:dyDescent="0.35">
      <c r="A3746" t="s">
        <v>21</v>
      </c>
      <c r="B3746" s="1">
        <v>44464</v>
      </c>
      <c r="C3746" t="s">
        <v>25</v>
      </c>
      <c r="D3746">
        <v>0.6</v>
      </c>
      <c r="E3746">
        <v>0</v>
      </c>
      <c r="F3746">
        <v>0</v>
      </c>
      <c r="G3746">
        <v>0</v>
      </c>
      <c r="H3746">
        <v>0</v>
      </c>
      <c r="I3746">
        <v>0</v>
      </c>
      <c r="J3746">
        <v>0</v>
      </c>
      <c r="K3746">
        <v>0</v>
      </c>
      <c r="L3746">
        <v>0</v>
      </c>
      <c r="M3746">
        <v>0</v>
      </c>
      <c r="N3746">
        <v>178597</v>
      </c>
      <c r="O3746">
        <v>304724</v>
      </c>
      <c r="P3746">
        <v>0</v>
      </c>
      <c r="Q3746">
        <v>1</v>
      </c>
      <c r="R3746">
        <v>0</v>
      </c>
      <c r="S3746">
        <v>0</v>
      </c>
      <c r="T3746">
        <v>18</v>
      </c>
      <c r="U3746">
        <v>29</v>
      </c>
    </row>
    <row r="3747" spans="1:21" x14ac:dyDescent="0.35">
      <c r="A3747" t="s">
        <v>26</v>
      </c>
      <c r="B3747" s="1">
        <v>44808</v>
      </c>
      <c r="C3747" t="s">
        <v>23</v>
      </c>
      <c r="D3747">
        <v>8.9</v>
      </c>
      <c r="E3747">
        <v>5.0999999999999996</v>
      </c>
      <c r="F3747">
        <v>1.8</v>
      </c>
      <c r="G3747">
        <v>1.7</v>
      </c>
      <c r="H3747">
        <v>4.9000000000000004</v>
      </c>
      <c r="I3747">
        <v>0</v>
      </c>
      <c r="J3747">
        <v>0</v>
      </c>
      <c r="K3747">
        <v>0</v>
      </c>
      <c r="L3747">
        <v>0</v>
      </c>
      <c r="M3747">
        <v>0</v>
      </c>
      <c r="N3747">
        <v>44900</v>
      </c>
      <c r="O3747">
        <v>137887</v>
      </c>
      <c r="P3747">
        <v>228401</v>
      </c>
      <c r="Q3747">
        <v>4</v>
      </c>
      <c r="R3747">
        <v>7</v>
      </c>
      <c r="S3747">
        <v>4</v>
      </c>
      <c r="T3747">
        <v>50</v>
      </c>
      <c r="U3747">
        <v>64</v>
      </c>
    </row>
    <row r="3748" spans="1:21" x14ac:dyDescent="0.35">
      <c r="A3748" t="s">
        <v>26</v>
      </c>
      <c r="B3748" s="1">
        <v>44954</v>
      </c>
      <c r="C3748" t="s">
        <v>22</v>
      </c>
      <c r="D3748">
        <v>8.6999999999999993</v>
      </c>
      <c r="E3748">
        <v>4.0999999999999996</v>
      </c>
      <c r="F3748">
        <v>7.4</v>
      </c>
      <c r="G3748">
        <v>2.1</v>
      </c>
      <c r="H3748">
        <v>1.2</v>
      </c>
      <c r="I3748">
        <v>10.6</v>
      </c>
      <c r="J3748">
        <v>6.3</v>
      </c>
      <c r="K3748">
        <v>5.0999999999999996</v>
      </c>
      <c r="L3748">
        <v>1.7</v>
      </c>
      <c r="M3748">
        <v>2.1</v>
      </c>
      <c r="N3748">
        <v>549564</v>
      </c>
      <c r="O3748">
        <v>855718</v>
      </c>
      <c r="P3748">
        <v>1040296</v>
      </c>
      <c r="Q3748">
        <v>48</v>
      </c>
      <c r="R3748">
        <v>35</v>
      </c>
      <c r="S3748">
        <v>77</v>
      </c>
      <c r="T3748">
        <v>999</v>
      </c>
      <c r="U3748">
        <v>999</v>
      </c>
    </row>
    <row r="3749" spans="1:21" x14ac:dyDescent="0.35">
      <c r="A3749" t="s">
        <v>28</v>
      </c>
      <c r="B3749" s="1">
        <v>45027</v>
      </c>
      <c r="C3749" t="s">
        <v>24</v>
      </c>
      <c r="D3749">
        <v>19.100000000000001</v>
      </c>
      <c r="E3749">
        <v>9.6999999999999993</v>
      </c>
      <c r="F3749">
        <v>13.8</v>
      </c>
      <c r="G3749">
        <v>2</v>
      </c>
      <c r="H3749">
        <v>1.4</v>
      </c>
      <c r="I3749">
        <v>1.4</v>
      </c>
      <c r="J3749">
        <v>1.4</v>
      </c>
      <c r="K3749">
        <v>0</v>
      </c>
      <c r="L3749">
        <v>0</v>
      </c>
      <c r="M3749">
        <v>0</v>
      </c>
      <c r="N3749">
        <v>88776</v>
      </c>
      <c r="O3749">
        <v>82330</v>
      </c>
      <c r="P3749">
        <v>21744</v>
      </c>
      <c r="Q3749">
        <v>17</v>
      </c>
      <c r="R3749">
        <v>8</v>
      </c>
      <c r="S3749">
        <v>3</v>
      </c>
      <c r="T3749">
        <v>5</v>
      </c>
      <c r="U3749">
        <v>11</v>
      </c>
    </row>
    <row r="3750" spans="1:21" x14ac:dyDescent="0.35">
      <c r="A3750" t="s">
        <v>21</v>
      </c>
      <c r="B3750" s="1">
        <v>44492</v>
      </c>
      <c r="C3750" t="s">
        <v>25</v>
      </c>
      <c r="D3750">
        <v>0</v>
      </c>
      <c r="E3750">
        <v>0</v>
      </c>
      <c r="F3750">
        <v>0</v>
      </c>
      <c r="G3750">
        <v>0</v>
      </c>
      <c r="H3750">
        <v>0</v>
      </c>
      <c r="I3750">
        <v>0</v>
      </c>
      <c r="J3750">
        <v>0</v>
      </c>
      <c r="K3750">
        <v>0</v>
      </c>
      <c r="L3750">
        <v>0</v>
      </c>
      <c r="M3750">
        <v>0</v>
      </c>
      <c r="N3750">
        <v>167788</v>
      </c>
      <c r="O3750">
        <v>313263</v>
      </c>
      <c r="P3750">
        <v>5594</v>
      </c>
      <c r="Q3750">
        <v>0</v>
      </c>
      <c r="R3750">
        <v>0</v>
      </c>
      <c r="S3750">
        <v>0</v>
      </c>
      <c r="T3750">
        <v>18</v>
      </c>
      <c r="U3750">
        <v>29</v>
      </c>
    </row>
    <row r="3751" spans="1:21" x14ac:dyDescent="0.35">
      <c r="A3751" t="s">
        <v>21</v>
      </c>
      <c r="B3751" s="1">
        <v>44513</v>
      </c>
      <c r="C3751" t="s">
        <v>31</v>
      </c>
      <c r="D3751">
        <v>8.6999999999999993</v>
      </c>
      <c r="E3751">
        <v>5.5</v>
      </c>
      <c r="F3751">
        <v>1.8</v>
      </c>
      <c r="G3751">
        <v>1.6</v>
      </c>
      <c r="H3751">
        <v>4.8</v>
      </c>
      <c r="I3751">
        <v>4.8</v>
      </c>
      <c r="J3751">
        <v>4.8</v>
      </c>
      <c r="K3751">
        <v>0</v>
      </c>
      <c r="L3751">
        <v>0</v>
      </c>
      <c r="M3751">
        <v>0</v>
      </c>
      <c r="N3751">
        <v>57295</v>
      </c>
      <c r="O3751">
        <v>146087</v>
      </c>
      <c r="P3751">
        <v>56482</v>
      </c>
      <c r="Q3751">
        <v>5</v>
      </c>
      <c r="R3751">
        <v>8</v>
      </c>
      <c r="S3751">
        <v>1</v>
      </c>
      <c r="T3751">
        <v>65</v>
      </c>
      <c r="U3751">
        <v>79</v>
      </c>
    </row>
    <row r="3752" spans="1:21" x14ac:dyDescent="0.35">
      <c r="A3752" t="s">
        <v>28</v>
      </c>
      <c r="B3752" s="1">
        <v>45199</v>
      </c>
      <c r="C3752" t="s">
        <v>25</v>
      </c>
      <c r="D3752">
        <v>51</v>
      </c>
      <c r="E3752">
        <v>17.7</v>
      </c>
      <c r="F3752">
        <v>19.8</v>
      </c>
      <c r="G3752">
        <v>2.9</v>
      </c>
      <c r="H3752">
        <v>2.6</v>
      </c>
      <c r="I3752">
        <v>2.6</v>
      </c>
      <c r="J3752">
        <v>2.6</v>
      </c>
      <c r="K3752">
        <v>0</v>
      </c>
      <c r="L3752">
        <v>0</v>
      </c>
      <c r="M3752">
        <v>0</v>
      </c>
      <c r="N3752">
        <v>72503</v>
      </c>
      <c r="O3752">
        <v>214130</v>
      </c>
      <c r="P3752">
        <v>161728</v>
      </c>
      <c r="Q3752">
        <v>37</v>
      </c>
      <c r="R3752">
        <v>38</v>
      </c>
      <c r="S3752">
        <v>32</v>
      </c>
      <c r="T3752">
        <v>18</v>
      </c>
      <c r="U3752">
        <v>29</v>
      </c>
    </row>
    <row r="3753" spans="1:21" x14ac:dyDescent="0.35">
      <c r="A3753" t="s">
        <v>21</v>
      </c>
      <c r="B3753" s="1">
        <v>44464</v>
      </c>
      <c r="C3753" t="s">
        <v>30</v>
      </c>
      <c r="D3753">
        <v>19.399999999999999</v>
      </c>
      <c r="E3753">
        <v>1.9</v>
      </c>
      <c r="F3753">
        <v>0</v>
      </c>
      <c r="G3753">
        <v>10.199999999999999</v>
      </c>
      <c r="H3753">
        <v>0</v>
      </c>
      <c r="I3753">
        <v>0</v>
      </c>
      <c r="J3753">
        <v>0</v>
      </c>
      <c r="K3753">
        <v>0</v>
      </c>
      <c r="L3753">
        <v>0</v>
      </c>
      <c r="M3753">
        <v>0</v>
      </c>
      <c r="N3753">
        <v>30936</v>
      </c>
      <c r="O3753">
        <v>52848</v>
      </c>
      <c r="P3753">
        <v>0</v>
      </c>
      <c r="Q3753">
        <v>6</v>
      </c>
      <c r="R3753">
        <v>1</v>
      </c>
      <c r="S3753">
        <v>0</v>
      </c>
      <c r="T3753">
        <v>80</v>
      </c>
      <c r="U3753">
        <v>200</v>
      </c>
    </row>
    <row r="3754" spans="1:21" x14ac:dyDescent="0.35">
      <c r="A3754" t="s">
        <v>28</v>
      </c>
      <c r="B3754" s="1">
        <v>44485</v>
      </c>
      <c r="C3754" t="s">
        <v>30</v>
      </c>
      <c r="D3754">
        <v>33</v>
      </c>
      <c r="E3754">
        <v>40</v>
      </c>
      <c r="F3754">
        <v>0</v>
      </c>
      <c r="G3754">
        <v>0.8</v>
      </c>
      <c r="H3754">
        <v>0</v>
      </c>
      <c r="I3754">
        <v>0</v>
      </c>
      <c r="J3754">
        <v>0</v>
      </c>
      <c r="K3754">
        <v>0</v>
      </c>
      <c r="L3754">
        <v>0</v>
      </c>
      <c r="M3754">
        <v>0</v>
      </c>
      <c r="N3754">
        <v>30320</v>
      </c>
      <c r="O3754">
        <v>49996</v>
      </c>
      <c r="P3754">
        <v>0</v>
      </c>
      <c r="Q3754">
        <v>10</v>
      </c>
      <c r="R3754">
        <v>20</v>
      </c>
      <c r="S3754">
        <v>0</v>
      </c>
      <c r="T3754">
        <v>80</v>
      </c>
      <c r="U3754">
        <v>200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0C51E-A895-4F61-8BDD-CFEF1ECE2B80}">
  <dimension ref="A2:M248"/>
  <sheetViews>
    <sheetView zoomScale="85" zoomScaleNormal="156" workbookViewId="0">
      <selection activeCell="H9" sqref="H1:H1048576"/>
    </sheetView>
  </sheetViews>
  <sheetFormatPr defaultRowHeight="14.5" x14ac:dyDescent="0.35"/>
  <cols>
    <col min="1" max="1" width="26.26953125" bestFit="1" customWidth="1"/>
    <col min="2" max="2" width="16.08984375" bestFit="1" customWidth="1"/>
    <col min="3" max="3" width="6.90625" bestFit="1" customWidth="1"/>
    <col min="4" max="4" width="14.7265625" bestFit="1" customWidth="1"/>
    <col min="5" max="5" width="10.453125" bestFit="1" customWidth="1"/>
    <col min="6" max="6" width="4.26953125" bestFit="1" customWidth="1"/>
    <col min="7" max="7" width="3.7265625" bestFit="1" customWidth="1"/>
    <col min="8" max="10" width="4.1796875" bestFit="1" customWidth="1"/>
    <col min="11" max="11" width="3.90625" bestFit="1" customWidth="1"/>
    <col min="12" max="12" width="4.1796875" bestFit="1" customWidth="1"/>
    <col min="13" max="13" width="4.26953125" bestFit="1" customWidth="1"/>
    <col min="14" max="397" width="6.1796875" bestFit="1" customWidth="1"/>
    <col min="398" max="930" width="7.36328125" bestFit="1" customWidth="1"/>
    <col min="931" max="965" width="8.453125" bestFit="1" customWidth="1"/>
    <col min="966" max="966" width="10.453125" bestFit="1" customWidth="1"/>
    <col min="967" max="1062" width="6.81640625" bestFit="1" customWidth="1"/>
    <col min="1063" max="1089" width="7.81640625" bestFit="1" customWidth="1"/>
    <col min="1090" max="1090" width="10.81640625" bestFit="1" customWidth="1"/>
    <col min="1091" max="1091" width="23.36328125" bestFit="1" customWidth="1"/>
    <col min="1092" max="1092" width="21.1796875" bestFit="1" customWidth="1"/>
    <col min="1093" max="1093" width="23.36328125" bestFit="1" customWidth="1"/>
    <col min="1094" max="1094" width="21.1796875" bestFit="1" customWidth="1"/>
    <col min="1095" max="1095" width="23.36328125" bestFit="1" customWidth="1"/>
    <col min="1096" max="1096" width="21.1796875" bestFit="1" customWidth="1"/>
    <col min="1097" max="1097" width="23.36328125" bestFit="1" customWidth="1"/>
    <col min="1098" max="1098" width="21.1796875" bestFit="1" customWidth="1"/>
    <col min="1099" max="1099" width="23.36328125" bestFit="1" customWidth="1"/>
    <col min="1100" max="1100" width="21.1796875" bestFit="1" customWidth="1"/>
    <col min="1101" max="1101" width="23.36328125" bestFit="1" customWidth="1"/>
    <col min="1102" max="1102" width="21.1796875" bestFit="1" customWidth="1"/>
    <col min="1103" max="1103" width="23.36328125" bestFit="1" customWidth="1"/>
    <col min="1104" max="1104" width="21.1796875" bestFit="1" customWidth="1"/>
    <col min="1105" max="1105" width="23.36328125" bestFit="1" customWidth="1"/>
    <col min="1106" max="1106" width="21.1796875" bestFit="1" customWidth="1"/>
    <col min="1107" max="1107" width="23.36328125" bestFit="1" customWidth="1"/>
    <col min="1108" max="1108" width="21.1796875" bestFit="1" customWidth="1"/>
    <col min="1109" max="1109" width="23.36328125" bestFit="1" customWidth="1"/>
    <col min="1110" max="1110" width="21.1796875" bestFit="1" customWidth="1"/>
    <col min="1111" max="1111" width="23.36328125" bestFit="1" customWidth="1"/>
    <col min="1112" max="1112" width="21.1796875" bestFit="1" customWidth="1"/>
    <col min="1113" max="1113" width="23.36328125" bestFit="1" customWidth="1"/>
    <col min="1114" max="1114" width="21.1796875" bestFit="1" customWidth="1"/>
    <col min="1115" max="1115" width="23.36328125" bestFit="1" customWidth="1"/>
    <col min="1116" max="1116" width="21.1796875" bestFit="1" customWidth="1"/>
    <col min="1117" max="1117" width="23.36328125" bestFit="1" customWidth="1"/>
    <col min="1118" max="1118" width="21.1796875" bestFit="1" customWidth="1"/>
    <col min="1119" max="1119" width="23.36328125" bestFit="1" customWidth="1"/>
    <col min="1120" max="1120" width="21.1796875" bestFit="1" customWidth="1"/>
    <col min="1121" max="1121" width="23.36328125" bestFit="1" customWidth="1"/>
    <col min="1122" max="1122" width="21.1796875" bestFit="1" customWidth="1"/>
    <col min="1123" max="1123" width="23.36328125" bestFit="1" customWidth="1"/>
    <col min="1124" max="1124" width="21.1796875" bestFit="1" customWidth="1"/>
    <col min="1125" max="1125" width="23.36328125" bestFit="1" customWidth="1"/>
    <col min="1126" max="1126" width="21.1796875" bestFit="1" customWidth="1"/>
    <col min="1127" max="1127" width="23.36328125" bestFit="1" customWidth="1"/>
    <col min="1128" max="1128" width="21.1796875" bestFit="1" customWidth="1"/>
    <col min="1129" max="1129" width="23.36328125" bestFit="1" customWidth="1"/>
    <col min="1130" max="1130" width="21.1796875" bestFit="1" customWidth="1"/>
    <col min="1131" max="1131" width="23.36328125" bestFit="1" customWidth="1"/>
    <col min="1132" max="1132" width="21.1796875" bestFit="1" customWidth="1"/>
    <col min="1133" max="1133" width="23.36328125" bestFit="1" customWidth="1"/>
    <col min="1134" max="1134" width="21.1796875" bestFit="1" customWidth="1"/>
    <col min="1135" max="1135" width="23.36328125" bestFit="1" customWidth="1"/>
    <col min="1136" max="1136" width="21.1796875" bestFit="1" customWidth="1"/>
    <col min="1137" max="1137" width="23.36328125" bestFit="1" customWidth="1"/>
    <col min="1138" max="1138" width="21.1796875" bestFit="1" customWidth="1"/>
    <col min="1139" max="1139" width="23.36328125" bestFit="1" customWidth="1"/>
    <col min="1140" max="1140" width="21.1796875" bestFit="1" customWidth="1"/>
    <col min="1141" max="1141" width="23.36328125" bestFit="1" customWidth="1"/>
    <col min="1142" max="1142" width="21.1796875" bestFit="1" customWidth="1"/>
    <col min="1143" max="1143" width="23.36328125" bestFit="1" customWidth="1"/>
    <col min="1144" max="1144" width="21.1796875" bestFit="1" customWidth="1"/>
    <col min="1145" max="1145" width="23.36328125" bestFit="1" customWidth="1"/>
    <col min="1146" max="1146" width="21.1796875" bestFit="1" customWidth="1"/>
    <col min="1147" max="1147" width="23.36328125" bestFit="1" customWidth="1"/>
    <col min="1148" max="1148" width="21.1796875" bestFit="1" customWidth="1"/>
    <col min="1149" max="1149" width="23.36328125" bestFit="1" customWidth="1"/>
    <col min="1150" max="1150" width="21.1796875" bestFit="1" customWidth="1"/>
    <col min="1151" max="1151" width="23.36328125" bestFit="1" customWidth="1"/>
    <col min="1152" max="1152" width="21.1796875" bestFit="1" customWidth="1"/>
    <col min="1153" max="1153" width="23.36328125" bestFit="1" customWidth="1"/>
    <col min="1154" max="1154" width="21.1796875" bestFit="1" customWidth="1"/>
    <col min="1155" max="1155" width="23.36328125" bestFit="1" customWidth="1"/>
    <col min="1156" max="1156" width="21.1796875" bestFit="1" customWidth="1"/>
    <col min="1157" max="1157" width="23.36328125" bestFit="1" customWidth="1"/>
    <col min="1158" max="1158" width="21.1796875" bestFit="1" customWidth="1"/>
    <col min="1159" max="1159" width="23.36328125" bestFit="1" customWidth="1"/>
    <col min="1160" max="1160" width="21.1796875" bestFit="1" customWidth="1"/>
    <col min="1161" max="1161" width="23.36328125" bestFit="1" customWidth="1"/>
    <col min="1162" max="1162" width="21.1796875" bestFit="1" customWidth="1"/>
    <col min="1163" max="1163" width="23.36328125" bestFit="1" customWidth="1"/>
    <col min="1164" max="1164" width="21.1796875" bestFit="1" customWidth="1"/>
    <col min="1165" max="1165" width="23.36328125" bestFit="1" customWidth="1"/>
    <col min="1166" max="1166" width="21.1796875" bestFit="1" customWidth="1"/>
    <col min="1167" max="1167" width="23.36328125" bestFit="1" customWidth="1"/>
    <col min="1168" max="1168" width="21.1796875" bestFit="1" customWidth="1"/>
    <col min="1169" max="1169" width="23.36328125" bestFit="1" customWidth="1"/>
    <col min="1170" max="1170" width="21.1796875" bestFit="1" customWidth="1"/>
    <col min="1171" max="1171" width="23.36328125" bestFit="1" customWidth="1"/>
    <col min="1172" max="1172" width="21.1796875" bestFit="1" customWidth="1"/>
    <col min="1173" max="1173" width="23.36328125" bestFit="1" customWidth="1"/>
    <col min="1174" max="1174" width="21.1796875" bestFit="1" customWidth="1"/>
    <col min="1175" max="1175" width="23.36328125" bestFit="1" customWidth="1"/>
    <col min="1176" max="1176" width="21.1796875" bestFit="1" customWidth="1"/>
    <col min="1177" max="1177" width="23.36328125" bestFit="1" customWidth="1"/>
    <col min="1178" max="1178" width="21.1796875" bestFit="1" customWidth="1"/>
    <col min="1179" max="1179" width="23.36328125" bestFit="1" customWidth="1"/>
    <col min="1180" max="1180" width="21.1796875" bestFit="1" customWidth="1"/>
    <col min="1181" max="1181" width="23.36328125" bestFit="1" customWidth="1"/>
    <col min="1182" max="1182" width="21.1796875" bestFit="1" customWidth="1"/>
    <col min="1183" max="1183" width="23.36328125" bestFit="1" customWidth="1"/>
    <col min="1184" max="1184" width="21.1796875" bestFit="1" customWidth="1"/>
    <col min="1185" max="1185" width="23.36328125" bestFit="1" customWidth="1"/>
    <col min="1186" max="1186" width="21.1796875" bestFit="1" customWidth="1"/>
    <col min="1187" max="1187" width="23.36328125" bestFit="1" customWidth="1"/>
    <col min="1188" max="1188" width="21.1796875" bestFit="1" customWidth="1"/>
    <col min="1189" max="1189" width="23.36328125" bestFit="1" customWidth="1"/>
    <col min="1190" max="1190" width="21.1796875" bestFit="1" customWidth="1"/>
    <col min="1191" max="1191" width="23.36328125" bestFit="1" customWidth="1"/>
    <col min="1192" max="1192" width="21.1796875" bestFit="1" customWidth="1"/>
    <col min="1193" max="1193" width="23.36328125" bestFit="1" customWidth="1"/>
    <col min="1194" max="1194" width="21.1796875" bestFit="1" customWidth="1"/>
    <col min="1195" max="1195" width="23.36328125" bestFit="1" customWidth="1"/>
    <col min="1196" max="1196" width="21.1796875" bestFit="1" customWidth="1"/>
    <col min="1197" max="1197" width="23.36328125" bestFit="1" customWidth="1"/>
    <col min="1198" max="1198" width="21.1796875" bestFit="1" customWidth="1"/>
    <col min="1199" max="1199" width="23.36328125" bestFit="1" customWidth="1"/>
    <col min="1200" max="1200" width="21.1796875" bestFit="1" customWidth="1"/>
    <col min="1201" max="1201" width="23.36328125" bestFit="1" customWidth="1"/>
    <col min="1202" max="1202" width="21.1796875" bestFit="1" customWidth="1"/>
    <col min="1203" max="1203" width="23.36328125" bestFit="1" customWidth="1"/>
    <col min="1204" max="1204" width="21.1796875" bestFit="1" customWidth="1"/>
    <col min="1205" max="1205" width="23.36328125" bestFit="1" customWidth="1"/>
    <col min="1206" max="1206" width="21.1796875" bestFit="1" customWidth="1"/>
    <col min="1207" max="1207" width="23.36328125" bestFit="1" customWidth="1"/>
    <col min="1208" max="1208" width="21.1796875" bestFit="1" customWidth="1"/>
    <col min="1209" max="1209" width="23.36328125" bestFit="1" customWidth="1"/>
    <col min="1210" max="1210" width="21.1796875" bestFit="1" customWidth="1"/>
    <col min="1211" max="1211" width="23.36328125" bestFit="1" customWidth="1"/>
    <col min="1212" max="1212" width="21.1796875" bestFit="1" customWidth="1"/>
    <col min="1213" max="1213" width="23.36328125" bestFit="1" customWidth="1"/>
    <col min="1214" max="1214" width="21.1796875" bestFit="1" customWidth="1"/>
    <col min="1215" max="1215" width="23.36328125" bestFit="1" customWidth="1"/>
    <col min="1216" max="1216" width="21.1796875" bestFit="1" customWidth="1"/>
    <col min="1217" max="1217" width="23.36328125" bestFit="1" customWidth="1"/>
    <col min="1218" max="1218" width="21.1796875" bestFit="1" customWidth="1"/>
    <col min="1219" max="1219" width="23.36328125" bestFit="1" customWidth="1"/>
    <col min="1220" max="1220" width="21.1796875" bestFit="1" customWidth="1"/>
    <col min="1221" max="1221" width="23.36328125" bestFit="1" customWidth="1"/>
    <col min="1222" max="1222" width="21.1796875" bestFit="1" customWidth="1"/>
    <col min="1223" max="1223" width="23.36328125" bestFit="1" customWidth="1"/>
    <col min="1224" max="1224" width="21.1796875" bestFit="1" customWidth="1"/>
    <col min="1225" max="1225" width="23.36328125" bestFit="1" customWidth="1"/>
    <col min="1226" max="1226" width="21.1796875" bestFit="1" customWidth="1"/>
    <col min="1227" max="1227" width="23.36328125" bestFit="1" customWidth="1"/>
    <col min="1228" max="1228" width="21.1796875" bestFit="1" customWidth="1"/>
    <col min="1229" max="1229" width="23.36328125" bestFit="1" customWidth="1"/>
    <col min="1230" max="1230" width="21.1796875" bestFit="1" customWidth="1"/>
    <col min="1231" max="1231" width="23.36328125" bestFit="1" customWidth="1"/>
    <col min="1232" max="1232" width="21.1796875" bestFit="1" customWidth="1"/>
    <col min="1233" max="1233" width="23.36328125" bestFit="1" customWidth="1"/>
    <col min="1234" max="1234" width="21.1796875" bestFit="1" customWidth="1"/>
    <col min="1235" max="1235" width="23.36328125" bestFit="1" customWidth="1"/>
    <col min="1236" max="1236" width="21.1796875" bestFit="1" customWidth="1"/>
    <col min="1237" max="1237" width="23.36328125" bestFit="1" customWidth="1"/>
    <col min="1238" max="1238" width="21.1796875" bestFit="1" customWidth="1"/>
    <col min="1239" max="1239" width="23.36328125" bestFit="1" customWidth="1"/>
    <col min="1240" max="1240" width="21.1796875" bestFit="1" customWidth="1"/>
    <col min="1241" max="1241" width="23.36328125" bestFit="1" customWidth="1"/>
    <col min="1242" max="1242" width="21.1796875" bestFit="1" customWidth="1"/>
    <col min="1243" max="1243" width="23.36328125" bestFit="1" customWidth="1"/>
    <col min="1244" max="1244" width="21.1796875" bestFit="1" customWidth="1"/>
    <col min="1245" max="1245" width="23.36328125" bestFit="1" customWidth="1"/>
    <col min="1246" max="1246" width="21.1796875" bestFit="1" customWidth="1"/>
    <col min="1247" max="1247" width="23.36328125" bestFit="1" customWidth="1"/>
    <col min="1248" max="1248" width="21.1796875" bestFit="1" customWidth="1"/>
    <col min="1249" max="1249" width="23.36328125" bestFit="1" customWidth="1"/>
    <col min="1250" max="1250" width="21.1796875" bestFit="1" customWidth="1"/>
    <col min="1251" max="1251" width="23.36328125" bestFit="1" customWidth="1"/>
    <col min="1252" max="1252" width="21.1796875" bestFit="1" customWidth="1"/>
    <col min="1253" max="1253" width="23.36328125" bestFit="1" customWidth="1"/>
    <col min="1254" max="1254" width="21.1796875" bestFit="1" customWidth="1"/>
    <col min="1255" max="1255" width="23.36328125" bestFit="1" customWidth="1"/>
    <col min="1256" max="1256" width="21.1796875" bestFit="1" customWidth="1"/>
    <col min="1257" max="1257" width="23.36328125" bestFit="1" customWidth="1"/>
    <col min="1258" max="1258" width="21.1796875" bestFit="1" customWidth="1"/>
    <col min="1259" max="1259" width="23.36328125" bestFit="1" customWidth="1"/>
    <col min="1260" max="1260" width="21.1796875" bestFit="1" customWidth="1"/>
    <col min="1261" max="1261" width="23.36328125" bestFit="1" customWidth="1"/>
    <col min="1262" max="1262" width="21.1796875" bestFit="1" customWidth="1"/>
    <col min="1263" max="1263" width="23.36328125" bestFit="1" customWidth="1"/>
    <col min="1264" max="1264" width="21.1796875" bestFit="1" customWidth="1"/>
    <col min="1265" max="1265" width="23.36328125" bestFit="1" customWidth="1"/>
    <col min="1266" max="1266" width="21.1796875" bestFit="1" customWidth="1"/>
    <col min="1267" max="1267" width="23.36328125" bestFit="1" customWidth="1"/>
    <col min="1268" max="1268" width="21.1796875" bestFit="1" customWidth="1"/>
    <col min="1269" max="1269" width="23.36328125" bestFit="1" customWidth="1"/>
    <col min="1270" max="1270" width="21.1796875" bestFit="1" customWidth="1"/>
    <col min="1271" max="1271" width="23.36328125" bestFit="1" customWidth="1"/>
    <col min="1272" max="1272" width="21.1796875" bestFit="1" customWidth="1"/>
    <col min="1273" max="1273" width="23.36328125" bestFit="1" customWidth="1"/>
    <col min="1274" max="1274" width="21.1796875" bestFit="1" customWidth="1"/>
    <col min="1275" max="1275" width="23.36328125" bestFit="1" customWidth="1"/>
    <col min="1276" max="1276" width="21.1796875" bestFit="1" customWidth="1"/>
    <col min="1277" max="1277" width="23.36328125" bestFit="1" customWidth="1"/>
    <col min="1278" max="1278" width="21.1796875" bestFit="1" customWidth="1"/>
    <col min="1279" max="1279" width="23.36328125" bestFit="1" customWidth="1"/>
    <col min="1280" max="1280" width="21.1796875" bestFit="1" customWidth="1"/>
    <col min="1281" max="1281" width="23.36328125" bestFit="1" customWidth="1"/>
    <col min="1282" max="1282" width="21.1796875" bestFit="1" customWidth="1"/>
    <col min="1283" max="1283" width="23.36328125" bestFit="1" customWidth="1"/>
    <col min="1284" max="1284" width="21.1796875" bestFit="1" customWidth="1"/>
    <col min="1285" max="1285" width="23.36328125" bestFit="1" customWidth="1"/>
    <col min="1286" max="1286" width="21.1796875" bestFit="1" customWidth="1"/>
    <col min="1287" max="1287" width="23.36328125" bestFit="1" customWidth="1"/>
    <col min="1288" max="1288" width="21.1796875" bestFit="1" customWidth="1"/>
    <col min="1289" max="1289" width="23.36328125" bestFit="1" customWidth="1"/>
    <col min="1290" max="1290" width="21.1796875" bestFit="1" customWidth="1"/>
    <col min="1291" max="1291" width="23.36328125" bestFit="1" customWidth="1"/>
    <col min="1292" max="1292" width="21.1796875" bestFit="1" customWidth="1"/>
    <col min="1293" max="1293" width="23.36328125" bestFit="1" customWidth="1"/>
    <col min="1294" max="1294" width="21.1796875" bestFit="1" customWidth="1"/>
    <col min="1295" max="1295" width="23.36328125" bestFit="1" customWidth="1"/>
    <col min="1296" max="1296" width="21.1796875" bestFit="1" customWidth="1"/>
    <col min="1297" max="1297" width="23.36328125" bestFit="1" customWidth="1"/>
    <col min="1298" max="1298" width="21.1796875" bestFit="1" customWidth="1"/>
    <col min="1299" max="1299" width="23.36328125" bestFit="1" customWidth="1"/>
    <col min="1300" max="1300" width="21.1796875" bestFit="1" customWidth="1"/>
    <col min="1301" max="1301" width="23.36328125" bestFit="1" customWidth="1"/>
    <col min="1302" max="1302" width="21.1796875" bestFit="1" customWidth="1"/>
    <col min="1303" max="1303" width="23.36328125" bestFit="1" customWidth="1"/>
    <col min="1304" max="1304" width="21.1796875" bestFit="1" customWidth="1"/>
    <col min="1305" max="1305" width="23.36328125" bestFit="1" customWidth="1"/>
    <col min="1306" max="1306" width="21.1796875" bestFit="1" customWidth="1"/>
    <col min="1307" max="1307" width="23.36328125" bestFit="1" customWidth="1"/>
    <col min="1308" max="1308" width="21.1796875" bestFit="1" customWidth="1"/>
    <col min="1309" max="1309" width="23.36328125" bestFit="1" customWidth="1"/>
    <col min="1310" max="1310" width="21.1796875" bestFit="1" customWidth="1"/>
    <col min="1311" max="1311" width="23.36328125" bestFit="1" customWidth="1"/>
    <col min="1312" max="1312" width="21.1796875" bestFit="1" customWidth="1"/>
    <col min="1313" max="1313" width="23.36328125" bestFit="1" customWidth="1"/>
    <col min="1314" max="1314" width="21.1796875" bestFit="1" customWidth="1"/>
    <col min="1315" max="1315" width="23.36328125" bestFit="1" customWidth="1"/>
    <col min="1316" max="1316" width="21.1796875" bestFit="1" customWidth="1"/>
    <col min="1317" max="1317" width="23.36328125" bestFit="1" customWidth="1"/>
    <col min="1318" max="1318" width="21.1796875" bestFit="1" customWidth="1"/>
    <col min="1319" max="1319" width="23.36328125" bestFit="1" customWidth="1"/>
    <col min="1320" max="1320" width="21.1796875" bestFit="1" customWidth="1"/>
    <col min="1321" max="1321" width="23.36328125" bestFit="1" customWidth="1"/>
    <col min="1322" max="1322" width="21.1796875" bestFit="1" customWidth="1"/>
    <col min="1323" max="1323" width="23.36328125" bestFit="1" customWidth="1"/>
    <col min="1324" max="1324" width="21.1796875" bestFit="1" customWidth="1"/>
    <col min="1325" max="1325" width="23.36328125" bestFit="1" customWidth="1"/>
    <col min="1326" max="1326" width="21.1796875" bestFit="1" customWidth="1"/>
    <col min="1327" max="1327" width="23.36328125" bestFit="1" customWidth="1"/>
    <col min="1328" max="1328" width="21.1796875" bestFit="1" customWidth="1"/>
    <col min="1329" max="1329" width="23.36328125" bestFit="1" customWidth="1"/>
    <col min="1330" max="1330" width="21.1796875" bestFit="1" customWidth="1"/>
    <col min="1331" max="1331" width="23.36328125" bestFit="1" customWidth="1"/>
    <col min="1332" max="1332" width="21.1796875" bestFit="1" customWidth="1"/>
    <col min="1333" max="1333" width="23.36328125" bestFit="1" customWidth="1"/>
    <col min="1334" max="1334" width="21.1796875" bestFit="1" customWidth="1"/>
    <col min="1335" max="1335" width="23.36328125" bestFit="1" customWidth="1"/>
    <col min="1336" max="1336" width="21.1796875" bestFit="1" customWidth="1"/>
    <col min="1337" max="1337" width="23.36328125" bestFit="1" customWidth="1"/>
    <col min="1338" max="1338" width="21.1796875" bestFit="1" customWidth="1"/>
    <col min="1339" max="1339" width="23.36328125" bestFit="1" customWidth="1"/>
    <col min="1340" max="1340" width="21.1796875" bestFit="1" customWidth="1"/>
    <col min="1341" max="1341" width="23.36328125" bestFit="1" customWidth="1"/>
    <col min="1342" max="1342" width="21.1796875" bestFit="1" customWidth="1"/>
    <col min="1343" max="1343" width="23.36328125" bestFit="1" customWidth="1"/>
    <col min="1344" max="1344" width="21.1796875" bestFit="1" customWidth="1"/>
    <col min="1345" max="1345" width="23.36328125" bestFit="1" customWidth="1"/>
    <col min="1346" max="1346" width="21.1796875" bestFit="1" customWidth="1"/>
    <col min="1347" max="1347" width="23.36328125" bestFit="1" customWidth="1"/>
    <col min="1348" max="1348" width="21.1796875" bestFit="1" customWidth="1"/>
    <col min="1349" max="1349" width="23.36328125" bestFit="1" customWidth="1"/>
    <col min="1350" max="1350" width="21.1796875" bestFit="1" customWidth="1"/>
    <col min="1351" max="1351" width="23.36328125" bestFit="1" customWidth="1"/>
    <col min="1352" max="1352" width="21.1796875" bestFit="1" customWidth="1"/>
    <col min="1353" max="1353" width="23.36328125" bestFit="1" customWidth="1"/>
    <col min="1354" max="1354" width="21.1796875" bestFit="1" customWidth="1"/>
    <col min="1355" max="1355" width="23.36328125" bestFit="1" customWidth="1"/>
    <col min="1356" max="1356" width="21.1796875" bestFit="1" customWidth="1"/>
    <col min="1357" max="1357" width="23.36328125" bestFit="1" customWidth="1"/>
    <col min="1358" max="1358" width="21.1796875" bestFit="1" customWidth="1"/>
    <col min="1359" max="1359" width="23.36328125" bestFit="1" customWidth="1"/>
    <col min="1360" max="1360" width="21.1796875" bestFit="1" customWidth="1"/>
    <col min="1361" max="1361" width="23.36328125" bestFit="1" customWidth="1"/>
    <col min="1362" max="1362" width="21.1796875" bestFit="1" customWidth="1"/>
    <col min="1363" max="1363" width="23.36328125" bestFit="1" customWidth="1"/>
    <col min="1364" max="1364" width="21.1796875" bestFit="1" customWidth="1"/>
    <col min="1365" max="1365" width="23.36328125" bestFit="1" customWidth="1"/>
    <col min="1366" max="1366" width="21.1796875" bestFit="1" customWidth="1"/>
    <col min="1367" max="1367" width="23.36328125" bestFit="1" customWidth="1"/>
    <col min="1368" max="1368" width="21.1796875" bestFit="1" customWidth="1"/>
    <col min="1369" max="1369" width="23.36328125" bestFit="1" customWidth="1"/>
    <col min="1370" max="1370" width="21.1796875" bestFit="1" customWidth="1"/>
    <col min="1371" max="1371" width="23.36328125" bestFit="1" customWidth="1"/>
    <col min="1372" max="1372" width="21.1796875" bestFit="1" customWidth="1"/>
    <col min="1373" max="1373" width="23.36328125" bestFit="1" customWidth="1"/>
    <col min="1374" max="1374" width="21.1796875" bestFit="1" customWidth="1"/>
    <col min="1375" max="1375" width="23.36328125" bestFit="1" customWidth="1"/>
    <col min="1376" max="1376" width="21.1796875" bestFit="1" customWidth="1"/>
    <col min="1377" max="1377" width="23.36328125" bestFit="1" customWidth="1"/>
    <col min="1378" max="1378" width="21.1796875" bestFit="1" customWidth="1"/>
    <col min="1379" max="1379" width="23.36328125" bestFit="1" customWidth="1"/>
    <col min="1380" max="1380" width="21.1796875" bestFit="1" customWidth="1"/>
    <col min="1381" max="1381" width="23.36328125" bestFit="1" customWidth="1"/>
    <col min="1382" max="1382" width="21.1796875" bestFit="1" customWidth="1"/>
    <col min="1383" max="1383" width="23.36328125" bestFit="1" customWidth="1"/>
    <col min="1384" max="1384" width="21.1796875" bestFit="1" customWidth="1"/>
    <col min="1385" max="1385" width="23.36328125" bestFit="1" customWidth="1"/>
    <col min="1386" max="1386" width="21.1796875" bestFit="1" customWidth="1"/>
    <col min="1387" max="1387" width="23.36328125" bestFit="1" customWidth="1"/>
    <col min="1388" max="1388" width="21.1796875" bestFit="1" customWidth="1"/>
    <col min="1389" max="1389" width="23.36328125" bestFit="1" customWidth="1"/>
    <col min="1390" max="1390" width="21.1796875" bestFit="1" customWidth="1"/>
    <col min="1391" max="1391" width="23.36328125" bestFit="1" customWidth="1"/>
    <col min="1392" max="1392" width="21.1796875" bestFit="1" customWidth="1"/>
    <col min="1393" max="1393" width="23.36328125" bestFit="1" customWidth="1"/>
    <col min="1394" max="1394" width="21.1796875" bestFit="1" customWidth="1"/>
    <col min="1395" max="1395" width="23.36328125" bestFit="1" customWidth="1"/>
    <col min="1396" max="1396" width="21.1796875" bestFit="1" customWidth="1"/>
    <col min="1397" max="1397" width="23.36328125" bestFit="1" customWidth="1"/>
    <col min="1398" max="1398" width="21.1796875" bestFit="1" customWidth="1"/>
    <col min="1399" max="1399" width="23.36328125" bestFit="1" customWidth="1"/>
    <col min="1400" max="1400" width="21.1796875" bestFit="1" customWidth="1"/>
    <col min="1401" max="1401" width="23.36328125" bestFit="1" customWidth="1"/>
    <col min="1402" max="1402" width="21.1796875" bestFit="1" customWidth="1"/>
    <col min="1403" max="1403" width="23.36328125" bestFit="1" customWidth="1"/>
    <col min="1404" max="1404" width="21.1796875" bestFit="1" customWidth="1"/>
    <col min="1405" max="1405" width="23.36328125" bestFit="1" customWidth="1"/>
    <col min="1406" max="1406" width="21.1796875" bestFit="1" customWidth="1"/>
    <col min="1407" max="1407" width="23.36328125" bestFit="1" customWidth="1"/>
    <col min="1408" max="1408" width="21.1796875" bestFit="1" customWidth="1"/>
    <col min="1409" max="1409" width="23.36328125" bestFit="1" customWidth="1"/>
    <col min="1410" max="1410" width="21.1796875" bestFit="1" customWidth="1"/>
    <col min="1411" max="1411" width="23.36328125" bestFit="1" customWidth="1"/>
    <col min="1412" max="1412" width="21.1796875" bestFit="1" customWidth="1"/>
    <col min="1413" max="1413" width="23.36328125" bestFit="1" customWidth="1"/>
    <col min="1414" max="1414" width="21.1796875" bestFit="1" customWidth="1"/>
    <col min="1415" max="1415" width="23.36328125" bestFit="1" customWidth="1"/>
    <col min="1416" max="1416" width="21.1796875" bestFit="1" customWidth="1"/>
    <col min="1417" max="1417" width="23.36328125" bestFit="1" customWidth="1"/>
    <col min="1418" max="1418" width="21.1796875" bestFit="1" customWidth="1"/>
    <col min="1419" max="1419" width="23.36328125" bestFit="1" customWidth="1"/>
    <col min="1420" max="1420" width="21.1796875" bestFit="1" customWidth="1"/>
    <col min="1421" max="1421" width="23.36328125" bestFit="1" customWidth="1"/>
    <col min="1422" max="1422" width="21.1796875" bestFit="1" customWidth="1"/>
    <col min="1423" max="1423" width="23.36328125" bestFit="1" customWidth="1"/>
    <col min="1424" max="1424" width="21.1796875" bestFit="1" customWidth="1"/>
    <col min="1425" max="1425" width="23.36328125" bestFit="1" customWidth="1"/>
    <col min="1426" max="1426" width="21.1796875" bestFit="1" customWidth="1"/>
    <col min="1427" max="1427" width="23.36328125" bestFit="1" customWidth="1"/>
    <col min="1428" max="1428" width="21.1796875" bestFit="1" customWidth="1"/>
    <col min="1429" max="1429" width="23.36328125" bestFit="1" customWidth="1"/>
    <col min="1430" max="1430" width="21.1796875" bestFit="1" customWidth="1"/>
    <col min="1431" max="1431" width="23.36328125" bestFit="1" customWidth="1"/>
    <col min="1432" max="1432" width="21.1796875" bestFit="1" customWidth="1"/>
    <col min="1433" max="1433" width="23.36328125" bestFit="1" customWidth="1"/>
    <col min="1434" max="1434" width="21.1796875" bestFit="1" customWidth="1"/>
    <col min="1435" max="1435" width="23.36328125" bestFit="1" customWidth="1"/>
    <col min="1436" max="1436" width="21.1796875" bestFit="1" customWidth="1"/>
    <col min="1437" max="1437" width="23.36328125" bestFit="1" customWidth="1"/>
    <col min="1438" max="1438" width="21.1796875" bestFit="1" customWidth="1"/>
    <col min="1439" max="1439" width="23.36328125" bestFit="1" customWidth="1"/>
    <col min="1440" max="1440" width="21.1796875" bestFit="1" customWidth="1"/>
    <col min="1441" max="1441" width="23.36328125" bestFit="1" customWidth="1"/>
    <col min="1442" max="1442" width="21.1796875" bestFit="1" customWidth="1"/>
    <col min="1443" max="1443" width="23.36328125" bestFit="1" customWidth="1"/>
    <col min="1444" max="1444" width="21.1796875" bestFit="1" customWidth="1"/>
    <col min="1445" max="1445" width="23.36328125" bestFit="1" customWidth="1"/>
    <col min="1446" max="1446" width="21.1796875" bestFit="1" customWidth="1"/>
    <col min="1447" max="1447" width="23.36328125" bestFit="1" customWidth="1"/>
    <col min="1448" max="1448" width="21.1796875" bestFit="1" customWidth="1"/>
    <col min="1449" max="1449" width="23.36328125" bestFit="1" customWidth="1"/>
    <col min="1450" max="1450" width="21.1796875" bestFit="1" customWidth="1"/>
    <col min="1451" max="1451" width="23.36328125" bestFit="1" customWidth="1"/>
    <col min="1452" max="1452" width="21.1796875" bestFit="1" customWidth="1"/>
    <col min="1453" max="1453" width="23.36328125" bestFit="1" customWidth="1"/>
    <col min="1454" max="1454" width="21.1796875" bestFit="1" customWidth="1"/>
    <col min="1455" max="1455" width="23.36328125" bestFit="1" customWidth="1"/>
    <col min="1456" max="1456" width="21.1796875" bestFit="1" customWidth="1"/>
    <col min="1457" max="1457" width="23.36328125" bestFit="1" customWidth="1"/>
    <col min="1458" max="1458" width="21.1796875" bestFit="1" customWidth="1"/>
    <col min="1459" max="1459" width="23.36328125" bestFit="1" customWidth="1"/>
    <col min="1460" max="1460" width="21.1796875" bestFit="1" customWidth="1"/>
    <col min="1461" max="1461" width="23.36328125" bestFit="1" customWidth="1"/>
    <col min="1462" max="1462" width="21.1796875" bestFit="1" customWidth="1"/>
    <col min="1463" max="1463" width="23.36328125" bestFit="1" customWidth="1"/>
    <col min="1464" max="1464" width="21.1796875" bestFit="1" customWidth="1"/>
    <col min="1465" max="1465" width="23.36328125" bestFit="1" customWidth="1"/>
    <col min="1466" max="1466" width="21.1796875" bestFit="1" customWidth="1"/>
    <col min="1467" max="1467" width="23.36328125" bestFit="1" customWidth="1"/>
    <col min="1468" max="1468" width="21.1796875" bestFit="1" customWidth="1"/>
    <col min="1469" max="1469" width="23.36328125" bestFit="1" customWidth="1"/>
    <col min="1470" max="1470" width="21.1796875" bestFit="1" customWidth="1"/>
    <col min="1471" max="1471" width="23.36328125" bestFit="1" customWidth="1"/>
    <col min="1472" max="1472" width="21.1796875" bestFit="1" customWidth="1"/>
    <col min="1473" max="1473" width="23.36328125" bestFit="1" customWidth="1"/>
    <col min="1474" max="1474" width="21.1796875" bestFit="1" customWidth="1"/>
    <col min="1475" max="1475" width="23.36328125" bestFit="1" customWidth="1"/>
    <col min="1476" max="1476" width="21.1796875" bestFit="1" customWidth="1"/>
    <col min="1477" max="1477" width="23.36328125" bestFit="1" customWidth="1"/>
    <col min="1478" max="1478" width="21.1796875" bestFit="1" customWidth="1"/>
    <col min="1479" max="1479" width="23.36328125" bestFit="1" customWidth="1"/>
    <col min="1480" max="1480" width="21.1796875" bestFit="1" customWidth="1"/>
    <col min="1481" max="1481" width="23.36328125" bestFit="1" customWidth="1"/>
    <col min="1482" max="1482" width="21.1796875" bestFit="1" customWidth="1"/>
    <col min="1483" max="1483" width="23.36328125" bestFit="1" customWidth="1"/>
    <col min="1484" max="1484" width="21.1796875" bestFit="1" customWidth="1"/>
    <col min="1485" max="1485" width="23.36328125" bestFit="1" customWidth="1"/>
    <col min="1486" max="1486" width="21.1796875" bestFit="1" customWidth="1"/>
    <col min="1487" max="1487" width="23.36328125" bestFit="1" customWidth="1"/>
    <col min="1488" max="1488" width="21.1796875" bestFit="1" customWidth="1"/>
    <col min="1489" max="1489" width="23.36328125" bestFit="1" customWidth="1"/>
    <col min="1490" max="1490" width="21.1796875" bestFit="1" customWidth="1"/>
    <col min="1491" max="1491" width="23.36328125" bestFit="1" customWidth="1"/>
    <col min="1492" max="1492" width="21.1796875" bestFit="1" customWidth="1"/>
    <col min="1493" max="1493" width="23.36328125" bestFit="1" customWidth="1"/>
    <col min="1494" max="1494" width="21.1796875" bestFit="1" customWidth="1"/>
    <col min="1495" max="1495" width="23.36328125" bestFit="1" customWidth="1"/>
    <col min="1496" max="1496" width="21.1796875" bestFit="1" customWidth="1"/>
    <col min="1497" max="1497" width="23.36328125" bestFit="1" customWidth="1"/>
    <col min="1498" max="1498" width="21.1796875" bestFit="1" customWidth="1"/>
    <col min="1499" max="1499" width="23.36328125" bestFit="1" customWidth="1"/>
    <col min="1500" max="1500" width="21.1796875" bestFit="1" customWidth="1"/>
    <col min="1501" max="1501" width="23.36328125" bestFit="1" customWidth="1"/>
    <col min="1502" max="1502" width="21.1796875" bestFit="1" customWidth="1"/>
    <col min="1503" max="1503" width="23.36328125" bestFit="1" customWidth="1"/>
    <col min="1504" max="1504" width="21.1796875" bestFit="1" customWidth="1"/>
    <col min="1505" max="1505" width="23.36328125" bestFit="1" customWidth="1"/>
    <col min="1506" max="1506" width="21.1796875" bestFit="1" customWidth="1"/>
    <col min="1507" max="1507" width="23.36328125" bestFit="1" customWidth="1"/>
    <col min="1508" max="1508" width="21.1796875" bestFit="1" customWidth="1"/>
    <col min="1509" max="1509" width="23.36328125" bestFit="1" customWidth="1"/>
    <col min="1510" max="1510" width="21.1796875" bestFit="1" customWidth="1"/>
    <col min="1511" max="1511" width="23.36328125" bestFit="1" customWidth="1"/>
    <col min="1512" max="1512" width="21.1796875" bestFit="1" customWidth="1"/>
    <col min="1513" max="1513" width="23.36328125" bestFit="1" customWidth="1"/>
    <col min="1514" max="1514" width="21.1796875" bestFit="1" customWidth="1"/>
    <col min="1515" max="1515" width="23.36328125" bestFit="1" customWidth="1"/>
    <col min="1516" max="1516" width="21.1796875" bestFit="1" customWidth="1"/>
    <col min="1517" max="1517" width="23.36328125" bestFit="1" customWidth="1"/>
    <col min="1518" max="1518" width="21.1796875" bestFit="1" customWidth="1"/>
    <col min="1519" max="1519" width="23.36328125" bestFit="1" customWidth="1"/>
    <col min="1520" max="1520" width="21.1796875" bestFit="1" customWidth="1"/>
    <col min="1521" max="1521" width="23.36328125" bestFit="1" customWidth="1"/>
    <col min="1522" max="1522" width="21.1796875" bestFit="1" customWidth="1"/>
    <col min="1523" max="1523" width="23.36328125" bestFit="1" customWidth="1"/>
    <col min="1524" max="1524" width="21.1796875" bestFit="1" customWidth="1"/>
    <col min="1525" max="1525" width="23.36328125" bestFit="1" customWidth="1"/>
    <col min="1526" max="1526" width="21.1796875" bestFit="1" customWidth="1"/>
    <col min="1527" max="1527" width="23.36328125" bestFit="1" customWidth="1"/>
    <col min="1528" max="1528" width="21.1796875" bestFit="1" customWidth="1"/>
    <col min="1529" max="1529" width="23.36328125" bestFit="1" customWidth="1"/>
    <col min="1530" max="1530" width="21.1796875" bestFit="1" customWidth="1"/>
    <col min="1531" max="1531" width="23.36328125" bestFit="1" customWidth="1"/>
    <col min="1532" max="1532" width="21.1796875" bestFit="1" customWidth="1"/>
    <col min="1533" max="1533" width="23.36328125" bestFit="1" customWidth="1"/>
    <col min="1534" max="1534" width="21.1796875" bestFit="1" customWidth="1"/>
    <col min="1535" max="1535" width="23.36328125" bestFit="1" customWidth="1"/>
    <col min="1536" max="1536" width="21.1796875" bestFit="1" customWidth="1"/>
    <col min="1537" max="1537" width="23.36328125" bestFit="1" customWidth="1"/>
    <col min="1538" max="1538" width="21.1796875" bestFit="1" customWidth="1"/>
    <col min="1539" max="1539" width="23.36328125" bestFit="1" customWidth="1"/>
    <col min="1540" max="1540" width="21.1796875" bestFit="1" customWidth="1"/>
    <col min="1541" max="1541" width="23.36328125" bestFit="1" customWidth="1"/>
    <col min="1542" max="1542" width="21.1796875" bestFit="1" customWidth="1"/>
    <col min="1543" max="1543" width="23.36328125" bestFit="1" customWidth="1"/>
    <col min="1544" max="1544" width="21.1796875" bestFit="1" customWidth="1"/>
    <col min="1545" max="1545" width="23.36328125" bestFit="1" customWidth="1"/>
    <col min="1546" max="1546" width="21.1796875" bestFit="1" customWidth="1"/>
    <col min="1547" max="1547" width="23.36328125" bestFit="1" customWidth="1"/>
    <col min="1548" max="1548" width="21.1796875" bestFit="1" customWidth="1"/>
    <col min="1549" max="1549" width="23.36328125" bestFit="1" customWidth="1"/>
    <col min="1550" max="1550" width="21.1796875" bestFit="1" customWidth="1"/>
    <col min="1551" max="1551" width="23.36328125" bestFit="1" customWidth="1"/>
    <col min="1552" max="1552" width="21.1796875" bestFit="1" customWidth="1"/>
    <col min="1553" max="1553" width="23.36328125" bestFit="1" customWidth="1"/>
    <col min="1554" max="1554" width="21.1796875" bestFit="1" customWidth="1"/>
    <col min="1555" max="1555" width="23.36328125" bestFit="1" customWidth="1"/>
    <col min="1556" max="1556" width="21.1796875" bestFit="1" customWidth="1"/>
    <col min="1557" max="1557" width="23.36328125" bestFit="1" customWidth="1"/>
    <col min="1558" max="1558" width="21.1796875" bestFit="1" customWidth="1"/>
    <col min="1559" max="1559" width="23.36328125" bestFit="1" customWidth="1"/>
    <col min="1560" max="1560" width="21.1796875" bestFit="1" customWidth="1"/>
    <col min="1561" max="1561" width="23.36328125" bestFit="1" customWidth="1"/>
    <col min="1562" max="1562" width="21.1796875" bestFit="1" customWidth="1"/>
    <col min="1563" max="1563" width="23.36328125" bestFit="1" customWidth="1"/>
    <col min="1564" max="1564" width="21.1796875" bestFit="1" customWidth="1"/>
    <col min="1565" max="1565" width="23.36328125" bestFit="1" customWidth="1"/>
    <col min="1566" max="1566" width="21.1796875" bestFit="1" customWidth="1"/>
    <col min="1567" max="1567" width="23.36328125" bestFit="1" customWidth="1"/>
    <col min="1568" max="1568" width="21.1796875" bestFit="1" customWidth="1"/>
    <col min="1569" max="1569" width="23.36328125" bestFit="1" customWidth="1"/>
    <col min="1570" max="1570" width="21.1796875" bestFit="1" customWidth="1"/>
    <col min="1571" max="1571" width="23.36328125" bestFit="1" customWidth="1"/>
    <col min="1572" max="1572" width="21.1796875" bestFit="1" customWidth="1"/>
    <col min="1573" max="1573" width="23.36328125" bestFit="1" customWidth="1"/>
    <col min="1574" max="1574" width="21.1796875" bestFit="1" customWidth="1"/>
    <col min="1575" max="1575" width="23.36328125" bestFit="1" customWidth="1"/>
    <col min="1576" max="1576" width="21.1796875" bestFit="1" customWidth="1"/>
    <col min="1577" max="1577" width="23.36328125" bestFit="1" customWidth="1"/>
    <col min="1578" max="1578" width="21.1796875" bestFit="1" customWidth="1"/>
    <col min="1579" max="1579" width="23.36328125" bestFit="1" customWidth="1"/>
    <col min="1580" max="1580" width="21.1796875" bestFit="1" customWidth="1"/>
    <col min="1581" max="1581" width="23.36328125" bestFit="1" customWidth="1"/>
    <col min="1582" max="1582" width="21.1796875" bestFit="1" customWidth="1"/>
    <col min="1583" max="1583" width="23.36328125" bestFit="1" customWidth="1"/>
    <col min="1584" max="1584" width="21.1796875" bestFit="1" customWidth="1"/>
    <col min="1585" max="1585" width="23.36328125" bestFit="1" customWidth="1"/>
    <col min="1586" max="1586" width="21.1796875" bestFit="1" customWidth="1"/>
    <col min="1587" max="1587" width="23.36328125" bestFit="1" customWidth="1"/>
    <col min="1588" max="1588" width="21.1796875" bestFit="1" customWidth="1"/>
    <col min="1589" max="1589" width="23.36328125" bestFit="1" customWidth="1"/>
    <col min="1590" max="1590" width="21.1796875" bestFit="1" customWidth="1"/>
    <col min="1591" max="1591" width="23.36328125" bestFit="1" customWidth="1"/>
    <col min="1592" max="1592" width="21.1796875" bestFit="1" customWidth="1"/>
    <col min="1593" max="1593" width="23.36328125" bestFit="1" customWidth="1"/>
    <col min="1594" max="1594" width="21.1796875" bestFit="1" customWidth="1"/>
    <col min="1595" max="1595" width="23.36328125" bestFit="1" customWidth="1"/>
    <col min="1596" max="1596" width="21.1796875" bestFit="1" customWidth="1"/>
    <col min="1597" max="1597" width="23.36328125" bestFit="1" customWidth="1"/>
    <col min="1598" max="1598" width="21.1796875" bestFit="1" customWidth="1"/>
    <col min="1599" max="1599" width="23.36328125" bestFit="1" customWidth="1"/>
    <col min="1600" max="1600" width="21.1796875" bestFit="1" customWidth="1"/>
    <col min="1601" max="1601" width="23.36328125" bestFit="1" customWidth="1"/>
    <col min="1602" max="1602" width="21.1796875" bestFit="1" customWidth="1"/>
    <col min="1603" max="1603" width="23.36328125" bestFit="1" customWidth="1"/>
    <col min="1604" max="1604" width="21.1796875" bestFit="1" customWidth="1"/>
    <col min="1605" max="1605" width="23.36328125" bestFit="1" customWidth="1"/>
    <col min="1606" max="1606" width="21.1796875" bestFit="1" customWidth="1"/>
    <col min="1607" max="1607" width="23.36328125" bestFit="1" customWidth="1"/>
    <col min="1608" max="1608" width="21.1796875" bestFit="1" customWidth="1"/>
    <col min="1609" max="1609" width="23.36328125" bestFit="1" customWidth="1"/>
    <col min="1610" max="1610" width="21.1796875" bestFit="1" customWidth="1"/>
    <col min="1611" max="1611" width="23.36328125" bestFit="1" customWidth="1"/>
    <col min="1612" max="1612" width="21.1796875" bestFit="1" customWidth="1"/>
    <col min="1613" max="1613" width="23.36328125" bestFit="1" customWidth="1"/>
    <col min="1614" max="1614" width="21.1796875" bestFit="1" customWidth="1"/>
    <col min="1615" max="1615" width="23.36328125" bestFit="1" customWidth="1"/>
    <col min="1616" max="1616" width="21.1796875" bestFit="1" customWidth="1"/>
    <col min="1617" max="1617" width="23.36328125" bestFit="1" customWidth="1"/>
    <col min="1618" max="1618" width="21.1796875" bestFit="1" customWidth="1"/>
    <col min="1619" max="1619" width="23.36328125" bestFit="1" customWidth="1"/>
    <col min="1620" max="1620" width="21.1796875" bestFit="1" customWidth="1"/>
    <col min="1621" max="1621" width="23.36328125" bestFit="1" customWidth="1"/>
    <col min="1622" max="1622" width="21.1796875" bestFit="1" customWidth="1"/>
    <col min="1623" max="1623" width="23.36328125" bestFit="1" customWidth="1"/>
    <col min="1624" max="1624" width="21.1796875" bestFit="1" customWidth="1"/>
    <col min="1625" max="1625" width="23.36328125" bestFit="1" customWidth="1"/>
    <col min="1626" max="1626" width="21.1796875" bestFit="1" customWidth="1"/>
    <col min="1627" max="1627" width="23.36328125" bestFit="1" customWidth="1"/>
    <col min="1628" max="1628" width="21.1796875" bestFit="1" customWidth="1"/>
    <col min="1629" max="1629" width="23.36328125" bestFit="1" customWidth="1"/>
    <col min="1630" max="1630" width="21.1796875" bestFit="1" customWidth="1"/>
    <col min="1631" max="1631" width="23.36328125" bestFit="1" customWidth="1"/>
    <col min="1632" max="1632" width="21.1796875" bestFit="1" customWidth="1"/>
    <col min="1633" max="1633" width="23.36328125" bestFit="1" customWidth="1"/>
    <col min="1634" max="1634" width="21.1796875" bestFit="1" customWidth="1"/>
    <col min="1635" max="1635" width="23.36328125" bestFit="1" customWidth="1"/>
    <col min="1636" max="1636" width="21.1796875" bestFit="1" customWidth="1"/>
    <col min="1637" max="1637" width="23.36328125" bestFit="1" customWidth="1"/>
    <col min="1638" max="1638" width="21.1796875" bestFit="1" customWidth="1"/>
    <col min="1639" max="1639" width="23.36328125" bestFit="1" customWidth="1"/>
    <col min="1640" max="1640" width="21.1796875" bestFit="1" customWidth="1"/>
    <col min="1641" max="1641" width="23.36328125" bestFit="1" customWidth="1"/>
    <col min="1642" max="1642" width="21.1796875" bestFit="1" customWidth="1"/>
    <col min="1643" max="1643" width="23.36328125" bestFit="1" customWidth="1"/>
    <col min="1644" max="1644" width="21.1796875" bestFit="1" customWidth="1"/>
    <col min="1645" max="1645" width="23.36328125" bestFit="1" customWidth="1"/>
    <col min="1646" max="1646" width="21.1796875" bestFit="1" customWidth="1"/>
    <col min="1647" max="1647" width="23.36328125" bestFit="1" customWidth="1"/>
    <col min="1648" max="1648" width="21.1796875" bestFit="1" customWidth="1"/>
    <col min="1649" max="1649" width="23.36328125" bestFit="1" customWidth="1"/>
    <col min="1650" max="1650" width="21.1796875" bestFit="1" customWidth="1"/>
    <col min="1651" max="1651" width="23.36328125" bestFit="1" customWidth="1"/>
    <col min="1652" max="1652" width="21.1796875" bestFit="1" customWidth="1"/>
    <col min="1653" max="1653" width="23.36328125" bestFit="1" customWidth="1"/>
    <col min="1654" max="1654" width="21.1796875" bestFit="1" customWidth="1"/>
    <col min="1655" max="1655" width="23.36328125" bestFit="1" customWidth="1"/>
    <col min="1656" max="1656" width="21.1796875" bestFit="1" customWidth="1"/>
    <col min="1657" max="1657" width="23.36328125" bestFit="1" customWidth="1"/>
    <col min="1658" max="1658" width="21.1796875" bestFit="1" customWidth="1"/>
    <col min="1659" max="1659" width="23.36328125" bestFit="1" customWidth="1"/>
    <col min="1660" max="1660" width="21.1796875" bestFit="1" customWidth="1"/>
    <col min="1661" max="1661" width="23.36328125" bestFit="1" customWidth="1"/>
    <col min="1662" max="1662" width="21.1796875" bestFit="1" customWidth="1"/>
    <col min="1663" max="1663" width="23.36328125" bestFit="1" customWidth="1"/>
    <col min="1664" max="1664" width="21.1796875" bestFit="1" customWidth="1"/>
    <col min="1665" max="1665" width="23.36328125" bestFit="1" customWidth="1"/>
    <col min="1666" max="1666" width="21.1796875" bestFit="1" customWidth="1"/>
    <col min="1667" max="1667" width="23.36328125" bestFit="1" customWidth="1"/>
    <col min="1668" max="1668" width="21.1796875" bestFit="1" customWidth="1"/>
    <col min="1669" max="1669" width="23.36328125" bestFit="1" customWidth="1"/>
    <col min="1670" max="1670" width="21.1796875" bestFit="1" customWidth="1"/>
    <col min="1671" max="1671" width="23.36328125" bestFit="1" customWidth="1"/>
    <col min="1672" max="1672" width="21.1796875" bestFit="1" customWidth="1"/>
    <col min="1673" max="1673" width="23.36328125" bestFit="1" customWidth="1"/>
    <col min="1674" max="1674" width="21.1796875" bestFit="1" customWidth="1"/>
    <col min="1675" max="1675" width="23.36328125" bestFit="1" customWidth="1"/>
    <col min="1676" max="1676" width="21.1796875" bestFit="1" customWidth="1"/>
    <col min="1677" max="1677" width="23.36328125" bestFit="1" customWidth="1"/>
    <col min="1678" max="1678" width="21.1796875" bestFit="1" customWidth="1"/>
    <col min="1679" max="1679" width="23.36328125" bestFit="1" customWidth="1"/>
    <col min="1680" max="1680" width="21.1796875" bestFit="1" customWidth="1"/>
    <col min="1681" max="1681" width="23.36328125" bestFit="1" customWidth="1"/>
    <col min="1682" max="1682" width="21.1796875" bestFit="1" customWidth="1"/>
    <col min="1683" max="1683" width="23.36328125" bestFit="1" customWidth="1"/>
    <col min="1684" max="1684" width="21.1796875" bestFit="1" customWidth="1"/>
    <col min="1685" max="1685" width="23.36328125" bestFit="1" customWidth="1"/>
    <col min="1686" max="1686" width="21.1796875" bestFit="1" customWidth="1"/>
    <col min="1687" max="1687" width="23.36328125" bestFit="1" customWidth="1"/>
    <col min="1688" max="1688" width="21.1796875" bestFit="1" customWidth="1"/>
    <col min="1689" max="1689" width="23.36328125" bestFit="1" customWidth="1"/>
    <col min="1690" max="1690" width="21.1796875" bestFit="1" customWidth="1"/>
    <col min="1691" max="1691" width="23.36328125" bestFit="1" customWidth="1"/>
    <col min="1692" max="1692" width="21.1796875" bestFit="1" customWidth="1"/>
    <col min="1693" max="1693" width="23.36328125" bestFit="1" customWidth="1"/>
    <col min="1694" max="1694" width="21.1796875" bestFit="1" customWidth="1"/>
    <col min="1695" max="1695" width="23.36328125" bestFit="1" customWidth="1"/>
    <col min="1696" max="1696" width="21.1796875" bestFit="1" customWidth="1"/>
    <col min="1697" max="1697" width="23.36328125" bestFit="1" customWidth="1"/>
    <col min="1698" max="1698" width="21.1796875" bestFit="1" customWidth="1"/>
    <col min="1699" max="1699" width="23.36328125" bestFit="1" customWidth="1"/>
    <col min="1700" max="1700" width="21.1796875" bestFit="1" customWidth="1"/>
    <col min="1701" max="1701" width="23.36328125" bestFit="1" customWidth="1"/>
    <col min="1702" max="1702" width="21.1796875" bestFit="1" customWidth="1"/>
    <col min="1703" max="1703" width="23.36328125" bestFit="1" customWidth="1"/>
    <col min="1704" max="1704" width="21.1796875" bestFit="1" customWidth="1"/>
    <col min="1705" max="1705" width="23.36328125" bestFit="1" customWidth="1"/>
    <col min="1706" max="1706" width="21.1796875" bestFit="1" customWidth="1"/>
    <col min="1707" max="1707" width="23.36328125" bestFit="1" customWidth="1"/>
    <col min="1708" max="1708" width="21.1796875" bestFit="1" customWidth="1"/>
    <col min="1709" max="1709" width="23.36328125" bestFit="1" customWidth="1"/>
    <col min="1710" max="1710" width="21.1796875" bestFit="1" customWidth="1"/>
    <col min="1711" max="1711" width="23.36328125" bestFit="1" customWidth="1"/>
    <col min="1712" max="1712" width="21.1796875" bestFit="1" customWidth="1"/>
    <col min="1713" max="1713" width="23.36328125" bestFit="1" customWidth="1"/>
    <col min="1714" max="1714" width="21.1796875" bestFit="1" customWidth="1"/>
    <col min="1715" max="1715" width="23.36328125" bestFit="1" customWidth="1"/>
    <col min="1716" max="1716" width="21.1796875" bestFit="1" customWidth="1"/>
    <col min="1717" max="1717" width="23.36328125" bestFit="1" customWidth="1"/>
    <col min="1718" max="1718" width="21.1796875" bestFit="1" customWidth="1"/>
    <col min="1719" max="1719" width="23.36328125" bestFit="1" customWidth="1"/>
    <col min="1720" max="1720" width="21.1796875" bestFit="1" customWidth="1"/>
    <col min="1721" max="1721" width="23.36328125" bestFit="1" customWidth="1"/>
    <col min="1722" max="1722" width="21.1796875" bestFit="1" customWidth="1"/>
    <col min="1723" max="1723" width="23.36328125" bestFit="1" customWidth="1"/>
    <col min="1724" max="1724" width="21.1796875" bestFit="1" customWidth="1"/>
    <col min="1725" max="1725" width="23.36328125" bestFit="1" customWidth="1"/>
    <col min="1726" max="1726" width="21.1796875" bestFit="1" customWidth="1"/>
    <col min="1727" max="1727" width="23.36328125" bestFit="1" customWidth="1"/>
    <col min="1728" max="1728" width="21.1796875" bestFit="1" customWidth="1"/>
    <col min="1729" max="1729" width="23.36328125" bestFit="1" customWidth="1"/>
    <col min="1730" max="1730" width="21.1796875" bestFit="1" customWidth="1"/>
    <col min="1731" max="1731" width="23.36328125" bestFit="1" customWidth="1"/>
    <col min="1732" max="1732" width="21.1796875" bestFit="1" customWidth="1"/>
    <col min="1733" max="1733" width="23.36328125" bestFit="1" customWidth="1"/>
    <col min="1734" max="1734" width="21.1796875" bestFit="1" customWidth="1"/>
    <col min="1735" max="1735" width="23.36328125" bestFit="1" customWidth="1"/>
    <col min="1736" max="1736" width="21.1796875" bestFit="1" customWidth="1"/>
    <col min="1737" max="1737" width="23.36328125" bestFit="1" customWidth="1"/>
    <col min="1738" max="1738" width="21.1796875" bestFit="1" customWidth="1"/>
    <col min="1739" max="1739" width="23.36328125" bestFit="1" customWidth="1"/>
    <col min="1740" max="1740" width="21.1796875" bestFit="1" customWidth="1"/>
    <col min="1741" max="1741" width="23.36328125" bestFit="1" customWidth="1"/>
    <col min="1742" max="1742" width="21.1796875" bestFit="1" customWidth="1"/>
    <col min="1743" max="1743" width="23.36328125" bestFit="1" customWidth="1"/>
    <col min="1744" max="1744" width="21.1796875" bestFit="1" customWidth="1"/>
    <col min="1745" max="1745" width="23.36328125" bestFit="1" customWidth="1"/>
    <col min="1746" max="1746" width="21.1796875" bestFit="1" customWidth="1"/>
    <col min="1747" max="1747" width="23.36328125" bestFit="1" customWidth="1"/>
    <col min="1748" max="1748" width="21.1796875" bestFit="1" customWidth="1"/>
    <col min="1749" max="1749" width="23.36328125" bestFit="1" customWidth="1"/>
    <col min="1750" max="1750" width="21.1796875" bestFit="1" customWidth="1"/>
    <col min="1751" max="1751" width="23.36328125" bestFit="1" customWidth="1"/>
    <col min="1752" max="1752" width="21.1796875" bestFit="1" customWidth="1"/>
    <col min="1753" max="1753" width="23.36328125" bestFit="1" customWidth="1"/>
    <col min="1754" max="1754" width="21.1796875" bestFit="1" customWidth="1"/>
    <col min="1755" max="1755" width="23.36328125" bestFit="1" customWidth="1"/>
    <col min="1756" max="1756" width="21.1796875" bestFit="1" customWidth="1"/>
    <col min="1757" max="1757" width="23.36328125" bestFit="1" customWidth="1"/>
    <col min="1758" max="1758" width="21.1796875" bestFit="1" customWidth="1"/>
    <col min="1759" max="1759" width="23.36328125" bestFit="1" customWidth="1"/>
    <col min="1760" max="1760" width="21.1796875" bestFit="1" customWidth="1"/>
    <col min="1761" max="1761" width="23.36328125" bestFit="1" customWidth="1"/>
    <col min="1762" max="1762" width="21.1796875" bestFit="1" customWidth="1"/>
    <col min="1763" max="1763" width="23.36328125" bestFit="1" customWidth="1"/>
    <col min="1764" max="1764" width="21.1796875" bestFit="1" customWidth="1"/>
    <col min="1765" max="1765" width="23.36328125" bestFit="1" customWidth="1"/>
    <col min="1766" max="1766" width="21.1796875" bestFit="1" customWidth="1"/>
    <col min="1767" max="1767" width="23.36328125" bestFit="1" customWidth="1"/>
    <col min="1768" max="1768" width="21.1796875" bestFit="1" customWidth="1"/>
    <col min="1769" max="1769" width="23.36328125" bestFit="1" customWidth="1"/>
    <col min="1770" max="1770" width="21.1796875" bestFit="1" customWidth="1"/>
    <col min="1771" max="1771" width="23.36328125" bestFit="1" customWidth="1"/>
    <col min="1772" max="1772" width="21.1796875" bestFit="1" customWidth="1"/>
    <col min="1773" max="1773" width="23.36328125" bestFit="1" customWidth="1"/>
    <col min="1774" max="1774" width="21.1796875" bestFit="1" customWidth="1"/>
    <col min="1775" max="1775" width="23.36328125" bestFit="1" customWidth="1"/>
    <col min="1776" max="1776" width="21.1796875" bestFit="1" customWidth="1"/>
    <col min="1777" max="1777" width="23.36328125" bestFit="1" customWidth="1"/>
    <col min="1778" max="1778" width="21.1796875" bestFit="1" customWidth="1"/>
    <col min="1779" max="1779" width="23.36328125" bestFit="1" customWidth="1"/>
    <col min="1780" max="1780" width="21.1796875" bestFit="1" customWidth="1"/>
    <col min="1781" max="1781" width="23.36328125" bestFit="1" customWidth="1"/>
    <col min="1782" max="1782" width="21.1796875" bestFit="1" customWidth="1"/>
    <col min="1783" max="1783" width="23.36328125" bestFit="1" customWidth="1"/>
    <col min="1784" max="1784" width="21.1796875" bestFit="1" customWidth="1"/>
    <col min="1785" max="1785" width="23.36328125" bestFit="1" customWidth="1"/>
    <col min="1786" max="1786" width="21.1796875" bestFit="1" customWidth="1"/>
    <col min="1787" max="1787" width="23.36328125" bestFit="1" customWidth="1"/>
    <col min="1788" max="1788" width="21.1796875" bestFit="1" customWidth="1"/>
    <col min="1789" max="1789" width="23.36328125" bestFit="1" customWidth="1"/>
    <col min="1790" max="1790" width="21.1796875" bestFit="1" customWidth="1"/>
    <col min="1791" max="1791" width="23.36328125" bestFit="1" customWidth="1"/>
    <col min="1792" max="1792" width="21.1796875" bestFit="1" customWidth="1"/>
    <col min="1793" max="1793" width="23.36328125" bestFit="1" customWidth="1"/>
    <col min="1794" max="1794" width="21.1796875" bestFit="1" customWidth="1"/>
    <col min="1795" max="1795" width="23.36328125" bestFit="1" customWidth="1"/>
    <col min="1796" max="1796" width="21.1796875" bestFit="1" customWidth="1"/>
    <col min="1797" max="1797" width="23.36328125" bestFit="1" customWidth="1"/>
    <col min="1798" max="1798" width="21.1796875" bestFit="1" customWidth="1"/>
    <col min="1799" max="1799" width="23.36328125" bestFit="1" customWidth="1"/>
    <col min="1800" max="1800" width="21.1796875" bestFit="1" customWidth="1"/>
    <col min="1801" max="1801" width="23.36328125" bestFit="1" customWidth="1"/>
    <col min="1802" max="1802" width="21.1796875" bestFit="1" customWidth="1"/>
    <col min="1803" max="1803" width="23.36328125" bestFit="1" customWidth="1"/>
    <col min="1804" max="1804" width="21.1796875" bestFit="1" customWidth="1"/>
    <col min="1805" max="1805" width="23.36328125" bestFit="1" customWidth="1"/>
    <col min="1806" max="1806" width="21.1796875" bestFit="1" customWidth="1"/>
    <col min="1807" max="1807" width="23.36328125" bestFit="1" customWidth="1"/>
    <col min="1808" max="1808" width="21.1796875" bestFit="1" customWidth="1"/>
    <col min="1809" max="1809" width="23.36328125" bestFit="1" customWidth="1"/>
    <col min="1810" max="1810" width="21.1796875" bestFit="1" customWidth="1"/>
    <col min="1811" max="1811" width="23.36328125" bestFit="1" customWidth="1"/>
    <col min="1812" max="1812" width="21.1796875" bestFit="1" customWidth="1"/>
    <col min="1813" max="1813" width="23.36328125" bestFit="1" customWidth="1"/>
    <col min="1814" max="1814" width="21.1796875" bestFit="1" customWidth="1"/>
    <col min="1815" max="1815" width="23.36328125" bestFit="1" customWidth="1"/>
    <col min="1816" max="1816" width="21.1796875" bestFit="1" customWidth="1"/>
    <col min="1817" max="1817" width="23.36328125" bestFit="1" customWidth="1"/>
    <col min="1818" max="1818" width="21.1796875" bestFit="1" customWidth="1"/>
    <col min="1819" max="1819" width="23.36328125" bestFit="1" customWidth="1"/>
    <col min="1820" max="1820" width="21.1796875" bestFit="1" customWidth="1"/>
    <col min="1821" max="1821" width="23.36328125" bestFit="1" customWidth="1"/>
    <col min="1822" max="1822" width="21.1796875" bestFit="1" customWidth="1"/>
    <col min="1823" max="1823" width="23.36328125" bestFit="1" customWidth="1"/>
    <col min="1824" max="1824" width="21.1796875" bestFit="1" customWidth="1"/>
    <col min="1825" max="1825" width="23.36328125" bestFit="1" customWidth="1"/>
    <col min="1826" max="1826" width="21.1796875" bestFit="1" customWidth="1"/>
    <col min="1827" max="1827" width="23.36328125" bestFit="1" customWidth="1"/>
    <col min="1828" max="1828" width="21.1796875" bestFit="1" customWidth="1"/>
    <col min="1829" max="1829" width="23.36328125" bestFit="1" customWidth="1"/>
    <col min="1830" max="1830" width="21.1796875" bestFit="1" customWidth="1"/>
    <col min="1831" max="1831" width="23.36328125" bestFit="1" customWidth="1"/>
    <col min="1832" max="1832" width="21.1796875" bestFit="1" customWidth="1"/>
    <col min="1833" max="1833" width="23.36328125" bestFit="1" customWidth="1"/>
    <col min="1834" max="1834" width="21.1796875" bestFit="1" customWidth="1"/>
    <col min="1835" max="1835" width="23.36328125" bestFit="1" customWidth="1"/>
    <col min="1836" max="1836" width="21.1796875" bestFit="1" customWidth="1"/>
    <col min="1837" max="1837" width="23.36328125" bestFit="1" customWidth="1"/>
    <col min="1838" max="1838" width="21.1796875" bestFit="1" customWidth="1"/>
    <col min="1839" max="1839" width="23.36328125" bestFit="1" customWidth="1"/>
    <col min="1840" max="1840" width="21.1796875" bestFit="1" customWidth="1"/>
    <col min="1841" max="1841" width="23.36328125" bestFit="1" customWidth="1"/>
    <col min="1842" max="1842" width="21.1796875" bestFit="1" customWidth="1"/>
    <col min="1843" max="1843" width="23.36328125" bestFit="1" customWidth="1"/>
    <col min="1844" max="1844" width="21.1796875" bestFit="1" customWidth="1"/>
    <col min="1845" max="1845" width="23.36328125" bestFit="1" customWidth="1"/>
    <col min="1846" max="1846" width="21.1796875" bestFit="1" customWidth="1"/>
    <col min="1847" max="1847" width="23.36328125" bestFit="1" customWidth="1"/>
    <col min="1848" max="1848" width="21.1796875" bestFit="1" customWidth="1"/>
    <col min="1849" max="1849" width="23.36328125" bestFit="1" customWidth="1"/>
    <col min="1850" max="1850" width="21.1796875" bestFit="1" customWidth="1"/>
    <col min="1851" max="1851" width="23.36328125" bestFit="1" customWidth="1"/>
    <col min="1852" max="1852" width="21.1796875" bestFit="1" customWidth="1"/>
    <col min="1853" max="1853" width="23.36328125" bestFit="1" customWidth="1"/>
    <col min="1854" max="1854" width="21.1796875" bestFit="1" customWidth="1"/>
    <col min="1855" max="1855" width="23.36328125" bestFit="1" customWidth="1"/>
    <col min="1856" max="1856" width="21.1796875" bestFit="1" customWidth="1"/>
    <col min="1857" max="1857" width="23.36328125" bestFit="1" customWidth="1"/>
    <col min="1858" max="1858" width="21.1796875" bestFit="1" customWidth="1"/>
    <col min="1859" max="1859" width="23.36328125" bestFit="1" customWidth="1"/>
    <col min="1860" max="1860" width="21.1796875" bestFit="1" customWidth="1"/>
    <col min="1861" max="1861" width="23.36328125" bestFit="1" customWidth="1"/>
    <col min="1862" max="1862" width="21.1796875" bestFit="1" customWidth="1"/>
    <col min="1863" max="1863" width="23.36328125" bestFit="1" customWidth="1"/>
    <col min="1864" max="1864" width="21.1796875" bestFit="1" customWidth="1"/>
    <col min="1865" max="1865" width="23.36328125" bestFit="1" customWidth="1"/>
    <col min="1866" max="1866" width="21.1796875" bestFit="1" customWidth="1"/>
    <col min="1867" max="1867" width="23.36328125" bestFit="1" customWidth="1"/>
    <col min="1868" max="1868" width="21.1796875" bestFit="1" customWidth="1"/>
    <col min="1869" max="1869" width="23.36328125" bestFit="1" customWidth="1"/>
    <col min="1870" max="1870" width="21.1796875" bestFit="1" customWidth="1"/>
    <col min="1871" max="1871" width="23.36328125" bestFit="1" customWidth="1"/>
    <col min="1872" max="1872" width="21.1796875" bestFit="1" customWidth="1"/>
    <col min="1873" max="1873" width="23.36328125" bestFit="1" customWidth="1"/>
    <col min="1874" max="1874" width="21.1796875" bestFit="1" customWidth="1"/>
    <col min="1875" max="1875" width="23.36328125" bestFit="1" customWidth="1"/>
    <col min="1876" max="1876" width="21.1796875" bestFit="1" customWidth="1"/>
    <col min="1877" max="1877" width="23.36328125" bestFit="1" customWidth="1"/>
    <col min="1878" max="1878" width="21.1796875" bestFit="1" customWidth="1"/>
    <col min="1879" max="1879" width="23.36328125" bestFit="1" customWidth="1"/>
    <col min="1880" max="1880" width="21.1796875" bestFit="1" customWidth="1"/>
    <col min="1881" max="1881" width="23.36328125" bestFit="1" customWidth="1"/>
    <col min="1882" max="1882" width="21.1796875" bestFit="1" customWidth="1"/>
    <col min="1883" max="1883" width="23.36328125" bestFit="1" customWidth="1"/>
    <col min="1884" max="1884" width="21.1796875" bestFit="1" customWidth="1"/>
    <col min="1885" max="1885" width="23.36328125" bestFit="1" customWidth="1"/>
    <col min="1886" max="1886" width="21.1796875" bestFit="1" customWidth="1"/>
    <col min="1887" max="1887" width="23.36328125" bestFit="1" customWidth="1"/>
    <col min="1888" max="1888" width="21.1796875" bestFit="1" customWidth="1"/>
    <col min="1889" max="1889" width="23.36328125" bestFit="1" customWidth="1"/>
    <col min="1890" max="1890" width="21.1796875" bestFit="1" customWidth="1"/>
    <col min="1891" max="1891" width="23.36328125" bestFit="1" customWidth="1"/>
    <col min="1892" max="1892" width="21.1796875" bestFit="1" customWidth="1"/>
    <col min="1893" max="1893" width="23.36328125" bestFit="1" customWidth="1"/>
    <col min="1894" max="1894" width="21.1796875" bestFit="1" customWidth="1"/>
    <col min="1895" max="1895" width="23.36328125" bestFit="1" customWidth="1"/>
    <col min="1896" max="1896" width="21.1796875" bestFit="1" customWidth="1"/>
    <col min="1897" max="1897" width="23.36328125" bestFit="1" customWidth="1"/>
    <col min="1898" max="1898" width="21.1796875" bestFit="1" customWidth="1"/>
    <col min="1899" max="1899" width="23.36328125" bestFit="1" customWidth="1"/>
    <col min="1900" max="1900" width="21.1796875" bestFit="1" customWidth="1"/>
    <col min="1901" max="1901" width="23.36328125" bestFit="1" customWidth="1"/>
    <col min="1902" max="1902" width="21.1796875" bestFit="1" customWidth="1"/>
    <col min="1903" max="1903" width="23.36328125" bestFit="1" customWidth="1"/>
    <col min="1904" max="1904" width="21.1796875" bestFit="1" customWidth="1"/>
    <col min="1905" max="1905" width="23.36328125" bestFit="1" customWidth="1"/>
    <col min="1906" max="1906" width="21.1796875" bestFit="1" customWidth="1"/>
    <col min="1907" max="1907" width="23.36328125" bestFit="1" customWidth="1"/>
    <col min="1908" max="1908" width="21.1796875" bestFit="1" customWidth="1"/>
    <col min="1909" max="1909" width="23.36328125" bestFit="1" customWidth="1"/>
    <col min="1910" max="1910" width="21.1796875" bestFit="1" customWidth="1"/>
    <col min="1911" max="1911" width="23.36328125" bestFit="1" customWidth="1"/>
    <col min="1912" max="1912" width="21.1796875" bestFit="1" customWidth="1"/>
    <col min="1913" max="1913" width="23.36328125" bestFit="1" customWidth="1"/>
    <col min="1914" max="1914" width="21.1796875" bestFit="1" customWidth="1"/>
    <col min="1915" max="1915" width="23.36328125" bestFit="1" customWidth="1"/>
    <col min="1916" max="1916" width="21.1796875" bestFit="1" customWidth="1"/>
    <col min="1917" max="1917" width="23.36328125" bestFit="1" customWidth="1"/>
    <col min="1918" max="1918" width="21.1796875" bestFit="1" customWidth="1"/>
    <col min="1919" max="1919" width="23.36328125" bestFit="1" customWidth="1"/>
    <col min="1920" max="1920" width="21.1796875" bestFit="1" customWidth="1"/>
    <col min="1921" max="1921" width="23.36328125" bestFit="1" customWidth="1"/>
    <col min="1922" max="1922" width="21.1796875" bestFit="1" customWidth="1"/>
    <col min="1923" max="1923" width="23.36328125" bestFit="1" customWidth="1"/>
    <col min="1924" max="1924" width="21.1796875" bestFit="1" customWidth="1"/>
    <col min="1925" max="1925" width="23.36328125" bestFit="1" customWidth="1"/>
    <col min="1926" max="1926" width="21.1796875" bestFit="1" customWidth="1"/>
    <col min="1927" max="1927" width="23.36328125" bestFit="1" customWidth="1"/>
    <col min="1928" max="1928" width="21.1796875" bestFit="1" customWidth="1"/>
    <col min="1929" max="1929" width="23.36328125" bestFit="1" customWidth="1"/>
    <col min="1930" max="1930" width="21.1796875" bestFit="1" customWidth="1"/>
    <col min="1931" max="1931" width="23.36328125" bestFit="1" customWidth="1"/>
    <col min="1932" max="1932" width="21.1796875" bestFit="1" customWidth="1"/>
    <col min="1933" max="1933" width="23.36328125" bestFit="1" customWidth="1"/>
    <col min="1934" max="1934" width="21.1796875" bestFit="1" customWidth="1"/>
    <col min="1935" max="1935" width="23.36328125" bestFit="1" customWidth="1"/>
    <col min="1936" max="1936" width="21.1796875" bestFit="1" customWidth="1"/>
    <col min="1937" max="1937" width="23.36328125" bestFit="1" customWidth="1"/>
    <col min="1938" max="1938" width="21.1796875" bestFit="1" customWidth="1"/>
    <col min="1939" max="1939" width="23.36328125" bestFit="1" customWidth="1"/>
    <col min="1940" max="1940" width="21.1796875" bestFit="1" customWidth="1"/>
    <col min="1941" max="1941" width="23.36328125" bestFit="1" customWidth="1"/>
    <col min="1942" max="1942" width="21.1796875" bestFit="1" customWidth="1"/>
    <col min="1943" max="1943" width="23.36328125" bestFit="1" customWidth="1"/>
    <col min="1944" max="1944" width="21.1796875" bestFit="1" customWidth="1"/>
    <col min="1945" max="1945" width="23.36328125" bestFit="1" customWidth="1"/>
    <col min="1946" max="1946" width="21.1796875" bestFit="1" customWidth="1"/>
    <col min="1947" max="1947" width="23.36328125" bestFit="1" customWidth="1"/>
    <col min="1948" max="1948" width="21.1796875" bestFit="1" customWidth="1"/>
    <col min="1949" max="1949" width="23.36328125" bestFit="1" customWidth="1"/>
    <col min="1950" max="1950" width="21.1796875" bestFit="1" customWidth="1"/>
    <col min="1951" max="1951" width="23.36328125" bestFit="1" customWidth="1"/>
    <col min="1952" max="1952" width="21.1796875" bestFit="1" customWidth="1"/>
    <col min="1953" max="1953" width="23.36328125" bestFit="1" customWidth="1"/>
    <col min="1954" max="1954" width="21.1796875" bestFit="1" customWidth="1"/>
    <col min="1955" max="1955" width="23.36328125" bestFit="1" customWidth="1"/>
    <col min="1956" max="1956" width="21.1796875" bestFit="1" customWidth="1"/>
    <col min="1957" max="1957" width="23.36328125" bestFit="1" customWidth="1"/>
    <col min="1958" max="1958" width="21.1796875" bestFit="1" customWidth="1"/>
    <col min="1959" max="1959" width="23.36328125" bestFit="1" customWidth="1"/>
    <col min="1960" max="1960" width="21.1796875" bestFit="1" customWidth="1"/>
    <col min="1961" max="1961" width="23.36328125" bestFit="1" customWidth="1"/>
    <col min="1962" max="1962" width="21.1796875" bestFit="1" customWidth="1"/>
    <col min="1963" max="1963" width="23.36328125" bestFit="1" customWidth="1"/>
    <col min="1964" max="1964" width="21.1796875" bestFit="1" customWidth="1"/>
    <col min="1965" max="1965" width="23.36328125" bestFit="1" customWidth="1"/>
    <col min="1966" max="1966" width="21.1796875" bestFit="1" customWidth="1"/>
    <col min="1967" max="1967" width="23.36328125" bestFit="1" customWidth="1"/>
    <col min="1968" max="1968" width="21.1796875" bestFit="1" customWidth="1"/>
    <col min="1969" max="1969" width="23.36328125" bestFit="1" customWidth="1"/>
    <col min="1970" max="1970" width="21.1796875" bestFit="1" customWidth="1"/>
    <col min="1971" max="1971" width="23.36328125" bestFit="1" customWidth="1"/>
    <col min="1972" max="1972" width="21.1796875" bestFit="1" customWidth="1"/>
    <col min="1973" max="1973" width="23.36328125" bestFit="1" customWidth="1"/>
    <col min="1974" max="1974" width="21.1796875" bestFit="1" customWidth="1"/>
    <col min="1975" max="1975" width="23.36328125" bestFit="1" customWidth="1"/>
    <col min="1976" max="1976" width="21.1796875" bestFit="1" customWidth="1"/>
    <col min="1977" max="1977" width="23.36328125" bestFit="1" customWidth="1"/>
    <col min="1978" max="1978" width="21.1796875" bestFit="1" customWidth="1"/>
    <col min="1979" max="1979" width="23.36328125" bestFit="1" customWidth="1"/>
    <col min="1980" max="1980" width="21.1796875" bestFit="1" customWidth="1"/>
    <col min="1981" max="1981" width="23.36328125" bestFit="1" customWidth="1"/>
    <col min="1982" max="1982" width="21.1796875" bestFit="1" customWidth="1"/>
    <col min="1983" max="1983" width="23.36328125" bestFit="1" customWidth="1"/>
    <col min="1984" max="1984" width="21.1796875" bestFit="1" customWidth="1"/>
    <col min="1985" max="1985" width="23.36328125" bestFit="1" customWidth="1"/>
    <col min="1986" max="1986" width="21.1796875" bestFit="1" customWidth="1"/>
    <col min="1987" max="1987" width="23.36328125" bestFit="1" customWidth="1"/>
    <col min="1988" max="1988" width="21.1796875" bestFit="1" customWidth="1"/>
    <col min="1989" max="1989" width="23.36328125" bestFit="1" customWidth="1"/>
    <col min="1990" max="1990" width="21.1796875" bestFit="1" customWidth="1"/>
    <col min="1991" max="1991" width="23.36328125" bestFit="1" customWidth="1"/>
    <col min="1992" max="1992" width="21.1796875" bestFit="1" customWidth="1"/>
    <col min="1993" max="1993" width="23.36328125" bestFit="1" customWidth="1"/>
    <col min="1994" max="1994" width="21.1796875" bestFit="1" customWidth="1"/>
    <col min="1995" max="1995" width="23.36328125" bestFit="1" customWidth="1"/>
    <col min="1996" max="1996" width="21.1796875" bestFit="1" customWidth="1"/>
    <col min="1997" max="1997" width="23.36328125" bestFit="1" customWidth="1"/>
    <col min="1998" max="1998" width="21.1796875" bestFit="1" customWidth="1"/>
    <col min="1999" max="1999" width="23.36328125" bestFit="1" customWidth="1"/>
    <col min="2000" max="2000" width="21.1796875" bestFit="1" customWidth="1"/>
    <col min="2001" max="2001" width="23.36328125" bestFit="1" customWidth="1"/>
    <col min="2002" max="2002" width="21.1796875" bestFit="1" customWidth="1"/>
    <col min="2003" max="2003" width="23.36328125" bestFit="1" customWidth="1"/>
    <col min="2004" max="2004" width="21.1796875" bestFit="1" customWidth="1"/>
    <col min="2005" max="2005" width="23.36328125" bestFit="1" customWidth="1"/>
    <col min="2006" max="2006" width="21.1796875" bestFit="1" customWidth="1"/>
    <col min="2007" max="2007" width="23.36328125" bestFit="1" customWidth="1"/>
    <col min="2008" max="2008" width="21.1796875" bestFit="1" customWidth="1"/>
    <col min="2009" max="2009" width="23.36328125" bestFit="1" customWidth="1"/>
    <col min="2010" max="2010" width="21.1796875" bestFit="1" customWidth="1"/>
    <col min="2011" max="2011" width="23.36328125" bestFit="1" customWidth="1"/>
    <col min="2012" max="2012" width="21.1796875" bestFit="1" customWidth="1"/>
    <col min="2013" max="2013" width="23.36328125" bestFit="1" customWidth="1"/>
    <col min="2014" max="2014" width="21.1796875" bestFit="1" customWidth="1"/>
    <col min="2015" max="2015" width="23.36328125" bestFit="1" customWidth="1"/>
    <col min="2016" max="2016" width="21.1796875" bestFit="1" customWidth="1"/>
    <col min="2017" max="2017" width="23.36328125" bestFit="1" customWidth="1"/>
    <col min="2018" max="2018" width="21.1796875" bestFit="1" customWidth="1"/>
    <col min="2019" max="2019" width="23.36328125" bestFit="1" customWidth="1"/>
    <col min="2020" max="2020" width="21.1796875" bestFit="1" customWidth="1"/>
    <col min="2021" max="2021" width="23.36328125" bestFit="1" customWidth="1"/>
    <col min="2022" max="2022" width="21.1796875" bestFit="1" customWidth="1"/>
    <col min="2023" max="2023" width="23.36328125" bestFit="1" customWidth="1"/>
    <col min="2024" max="2024" width="21.1796875" bestFit="1" customWidth="1"/>
    <col min="2025" max="2025" width="23.36328125" bestFit="1" customWidth="1"/>
    <col min="2026" max="2026" width="21.1796875" bestFit="1" customWidth="1"/>
    <col min="2027" max="2027" width="23.36328125" bestFit="1" customWidth="1"/>
    <col min="2028" max="2028" width="21.1796875" bestFit="1" customWidth="1"/>
    <col min="2029" max="2029" width="23.36328125" bestFit="1" customWidth="1"/>
    <col min="2030" max="2030" width="21.1796875" bestFit="1" customWidth="1"/>
    <col min="2031" max="2031" width="23.36328125" bestFit="1" customWidth="1"/>
    <col min="2032" max="2032" width="21.1796875" bestFit="1" customWidth="1"/>
    <col min="2033" max="2033" width="23.36328125" bestFit="1" customWidth="1"/>
    <col min="2034" max="2034" width="21.1796875" bestFit="1" customWidth="1"/>
    <col min="2035" max="2035" width="23.36328125" bestFit="1" customWidth="1"/>
    <col min="2036" max="2036" width="21.1796875" bestFit="1" customWidth="1"/>
    <col min="2037" max="2037" width="23.36328125" bestFit="1" customWidth="1"/>
    <col min="2038" max="2038" width="21.1796875" bestFit="1" customWidth="1"/>
    <col min="2039" max="2039" width="23.36328125" bestFit="1" customWidth="1"/>
    <col min="2040" max="2040" width="21.1796875" bestFit="1" customWidth="1"/>
    <col min="2041" max="2041" width="23.36328125" bestFit="1" customWidth="1"/>
    <col min="2042" max="2042" width="21.1796875" bestFit="1" customWidth="1"/>
    <col min="2043" max="2043" width="23.36328125" bestFit="1" customWidth="1"/>
    <col min="2044" max="2044" width="21.1796875" bestFit="1" customWidth="1"/>
    <col min="2045" max="2045" width="23.36328125" bestFit="1" customWidth="1"/>
    <col min="2046" max="2046" width="21.1796875" bestFit="1" customWidth="1"/>
    <col min="2047" max="2047" width="23.36328125" bestFit="1" customWidth="1"/>
    <col min="2048" max="2048" width="21.1796875" bestFit="1" customWidth="1"/>
    <col min="2049" max="2049" width="23.36328125" bestFit="1" customWidth="1"/>
    <col min="2050" max="2050" width="21.1796875" bestFit="1" customWidth="1"/>
    <col min="2051" max="2051" width="23.36328125" bestFit="1" customWidth="1"/>
    <col min="2052" max="2052" width="21.1796875" bestFit="1" customWidth="1"/>
    <col min="2053" max="2053" width="23.36328125" bestFit="1" customWidth="1"/>
    <col min="2054" max="2054" width="21.1796875" bestFit="1" customWidth="1"/>
    <col min="2055" max="2055" width="23.36328125" bestFit="1" customWidth="1"/>
    <col min="2056" max="2056" width="21.1796875" bestFit="1" customWidth="1"/>
    <col min="2057" max="2057" width="23.36328125" bestFit="1" customWidth="1"/>
    <col min="2058" max="2058" width="21.1796875" bestFit="1" customWidth="1"/>
    <col min="2059" max="2059" width="23.36328125" bestFit="1" customWidth="1"/>
    <col min="2060" max="2060" width="21.1796875" bestFit="1" customWidth="1"/>
    <col min="2061" max="2061" width="23.36328125" bestFit="1" customWidth="1"/>
    <col min="2062" max="2062" width="21.1796875" bestFit="1" customWidth="1"/>
    <col min="2063" max="2063" width="23.36328125" bestFit="1" customWidth="1"/>
    <col min="2064" max="2064" width="21.1796875" bestFit="1" customWidth="1"/>
    <col min="2065" max="2065" width="23.36328125" bestFit="1" customWidth="1"/>
    <col min="2066" max="2066" width="21.1796875" bestFit="1" customWidth="1"/>
    <col min="2067" max="2067" width="23.36328125" bestFit="1" customWidth="1"/>
    <col min="2068" max="2068" width="21.1796875" bestFit="1" customWidth="1"/>
    <col min="2069" max="2069" width="23.36328125" bestFit="1" customWidth="1"/>
    <col min="2070" max="2070" width="21.1796875" bestFit="1" customWidth="1"/>
    <col min="2071" max="2071" width="23.36328125" bestFit="1" customWidth="1"/>
    <col min="2072" max="2072" width="21.1796875" bestFit="1" customWidth="1"/>
    <col min="2073" max="2073" width="23.36328125" bestFit="1" customWidth="1"/>
    <col min="2074" max="2074" width="21.1796875" bestFit="1" customWidth="1"/>
    <col min="2075" max="2075" width="23.36328125" bestFit="1" customWidth="1"/>
    <col min="2076" max="2076" width="21.1796875" bestFit="1" customWidth="1"/>
    <col min="2077" max="2077" width="23.36328125" bestFit="1" customWidth="1"/>
    <col min="2078" max="2078" width="21.1796875" bestFit="1" customWidth="1"/>
    <col min="2079" max="2079" width="23.36328125" bestFit="1" customWidth="1"/>
    <col min="2080" max="2080" width="21.1796875" bestFit="1" customWidth="1"/>
    <col min="2081" max="2081" width="23.36328125" bestFit="1" customWidth="1"/>
    <col min="2082" max="2082" width="21.1796875" bestFit="1" customWidth="1"/>
    <col min="2083" max="2083" width="23.36328125" bestFit="1" customWidth="1"/>
    <col min="2084" max="2084" width="21.1796875" bestFit="1" customWidth="1"/>
    <col min="2085" max="2085" width="23.36328125" bestFit="1" customWidth="1"/>
    <col min="2086" max="2086" width="21.1796875" bestFit="1" customWidth="1"/>
    <col min="2087" max="2087" width="23.36328125" bestFit="1" customWidth="1"/>
    <col min="2088" max="2088" width="21.1796875" bestFit="1" customWidth="1"/>
    <col min="2089" max="2089" width="23.36328125" bestFit="1" customWidth="1"/>
    <col min="2090" max="2090" width="21.1796875" bestFit="1" customWidth="1"/>
    <col min="2091" max="2091" width="23.36328125" bestFit="1" customWidth="1"/>
    <col min="2092" max="2092" width="21.1796875" bestFit="1" customWidth="1"/>
    <col min="2093" max="2093" width="23.36328125" bestFit="1" customWidth="1"/>
    <col min="2094" max="2094" width="21.1796875" bestFit="1" customWidth="1"/>
    <col min="2095" max="2095" width="23.36328125" bestFit="1" customWidth="1"/>
    <col min="2096" max="2096" width="21.1796875" bestFit="1" customWidth="1"/>
    <col min="2097" max="2097" width="23.36328125" bestFit="1" customWidth="1"/>
    <col min="2098" max="2098" width="21.1796875" bestFit="1" customWidth="1"/>
    <col min="2099" max="2099" width="23.36328125" bestFit="1" customWidth="1"/>
    <col min="2100" max="2100" width="21.1796875" bestFit="1" customWidth="1"/>
    <col min="2101" max="2101" width="23.36328125" bestFit="1" customWidth="1"/>
    <col min="2102" max="2102" width="21.1796875" bestFit="1" customWidth="1"/>
    <col min="2103" max="2103" width="23.36328125" bestFit="1" customWidth="1"/>
    <col min="2104" max="2104" width="21.1796875" bestFit="1" customWidth="1"/>
    <col min="2105" max="2105" width="23.36328125" bestFit="1" customWidth="1"/>
    <col min="2106" max="2106" width="21.1796875" bestFit="1" customWidth="1"/>
    <col min="2107" max="2107" width="23.36328125" bestFit="1" customWidth="1"/>
    <col min="2108" max="2108" width="21.1796875" bestFit="1" customWidth="1"/>
    <col min="2109" max="2109" width="23.36328125" bestFit="1" customWidth="1"/>
    <col min="2110" max="2110" width="21.1796875" bestFit="1" customWidth="1"/>
    <col min="2111" max="2111" width="23.36328125" bestFit="1" customWidth="1"/>
    <col min="2112" max="2112" width="21.1796875" bestFit="1" customWidth="1"/>
    <col min="2113" max="2113" width="23.36328125" bestFit="1" customWidth="1"/>
    <col min="2114" max="2114" width="21.1796875" bestFit="1" customWidth="1"/>
    <col min="2115" max="2115" width="23.36328125" bestFit="1" customWidth="1"/>
    <col min="2116" max="2116" width="21.1796875" bestFit="1" customWidth="1"/>
    <col min="2117" max="2117" width="23.36328125" bestFit="1" customWidth="1"/>
    <col min="2118" max="2118" width="21.1796875" bestFit="1" customWidth="1"/>
    <col min="2119" max="2119" width="23.36328125" bestFit="1" customWidth="1"/>
    <col min="2120" max="2120" width="21.1796875" bestFit="1" customWidth="1"/>
    <col min="2121" max="2121" width="23.36328125" bestFit="1" customWidth="1"/>
    <col min="2122" max="2122" width="21.1796875" bestFit="1" customWidth="1"/>
    <col min="2123" max="2123" width="23.36328125" bestFit="1" customWidth="1"/>
    <col min="2124" max="2124" width="21.1796875" bestFit="1" customWidth="1"/>
    <col min="2125" max="2125" width="23.36328125" bestFit="1" customWidth="1"/>
    <col min="2126" max="2126" width="21.1796875" bestFit="1" customWidth="1"/>
    <col min="2127" max="2127" width="23.36328125" bestFit="1" customWidth="1"/>
    <col min="2128" max="2128" width="21.1796875" bestFit="1" customWidth="1"/>
    <col min="2129" max="2129" width="23.36328125" bestFit="1" customWidth="1"/>
    <col min="2130" max="2130" width="21.1796875" bestFit="1" customWidth="1"/>
    <col min="2131" max="2131" width="23.36328125" bestFit="1" customWidth="1"/>
    <col min="2132" max="2132" width="21.1796875" bestFit="1" customWidth="1"/>
    <col min="2133" max="2133" width="23.36328125" bestFit="1" customWidth="1"/>
    <col min="2134" max="2134" width="21.1796875" bestFit="1" customWidth="1"/>
    <col min="2135" max="2135" width="23.36328125" bestFit="1" customWidth="1"/>
    <col min="2136" max="2136" width="21.1796875" bestFit="1" customWidth="1"/>
    <col min="2137" max="2137" width="23.36328125" bestFit="1" customWidth="1"/>
    <col min="2138" max="2138" width="21.1796875" bestFit="1" customWidth="1"/>
    <col min="2139" max="2139" width="23.36328125" bestFit="1" customWidth="1"/>
    <col min="2140" max="2140" width="21.1796875" bestFit="1" customWidth="1"/>
    <col min="2141" max="2141" width="23.36328125" bestFit="1" customWidth="1"/>
    <col min="2142" max="2142" width="21.1796875" bestFit="1" customWidth="1"/>
    <col min="2143" max="2143" width="23.36328125" bestFit="1" customWidth="1"/>
    <col min="2144" max="2144" width="21.1796875" bestFit="1" customWidth="1"/>
    <col min="2145" max="2145" width="23.36328125" bestFit="1" customWidth="1"/>
    <col min="2146" max="2146" width="21.1796875" bestFit="1" customWidth="1"/>
    <col min="2147" max="2147" width="23.36328125" bestFit="1" customWidth="1"/>
    <col min="2148" max="2148" width="21.1796875" bestFit="1" customWidth="1"/>
    <col min="2149" max="2149" width="23.36328125" bestFit="1" customWidth="1"/>
    <col min="2150" max="2150" width="21.1796875" bestFit="1" customWidth="1"/>
    <col min="2151" max="2151" width="23.36328125" bestFit="1" customWidth="1"/>
    <col min="2152" max="2152" width="21.1796875" bestFit="1" customWidth="1"/>
    <col min="2153" max="2153" width="23.36328125" bestFit="1" customWidth="1"/>
    <col min="2154" max="2154" width="21.1796875" bestFit="1" customWidth="1"/>
    <col min="2155" max="2155" width="23.36328125" bestFit="1" customWidth="1"/>
    <col min="2156" max="2156" width="21.1796875" bestFit="1" customWidth="1"/>
    <col min="2157" max="2157" width="23.36328125" bestFit="1" customWidth="1"/>
    <col min="2158" max="2158" width="21.1796875" bestFit="1" customWidth="1"/>
    <col min="2159" max="2159" width="23.36328125" bestFit="1" customWidth="1"/>
    <col min="2160" max="2160" width="21.1796875" bestFit="1" customWidth="1"/>
    <col min="2161" max="2161" width="23.36328125" bestFit="1" customWidth="1"/>
    <col min="2162" max="2162" width="21.1796875" bestFit="1" customWidth="1"/>
    <col min="2163" max="2163" width="23.36328125" bestFit="1" customWidth="1"/>
    <col min="2164" max="2164" width="21.1796875" bestFit="1" customWidth="1"/>
    <col min="2165" max="2165" width="23.36328125" bestFit="1" customWidth="1"/>
    <col min="2166" max="2166" width="21.1796875" bestFit="1" customWidth="1"/>
    <col min="2167" max="2167" width="23.36328125" bestFit="1" customWidth="1"/>
    <col min="2168" max="2168" width="21.1796875" bestFit="1" customWidth="1"/>
    <col min="2169" max="2169" width="23.36328125" bestFit="1" customWidth="1"/>
    <col min="2170" max="2170" width="21.1796875" bestFit="1" customWidth="1"/>
    <col min="2171" max="2171" width="23.36328125" bestFit="1" customWidth="1"/>
    <col min="2172" max="2172" width="21.1796875" bestFit="1" customWidth="1"/>
    <col min="2173" max="2173" width="23.36328125" bestFit="1" customWidth="1"/>
    <col min="2174" max="2174" width="21.1796875" bestFit="1" customWidth="1"/>
    <col min="2175" max="2175" width="23.36328125" bestFit="1" customWidth="1"/>
    <col min="2176" max="2176" width="21.1796875" bestFit="1" customWidth="1"/>
    <col min="2177" max="2177" width="23.36328125" bestFit="1" customWidth="1"/>
    <col min="2178" max="2178" width="21.1796875" bestFit="1" customWidth="1"/>
    <col min="2179" max="2179" width="23.36328125" bestFit="1" customWidth="1"/>
    <col min="2180" max="2180" width="21.1796875" bestFit="1" customWidth="1"/>
    <col min="2181" max="2181" width="23.36328125" bestFit="1" customWidth="1"/>
    <col min="2182" max="2182" width="21.1796875" bestFit="1" customWidth="1"/>
    <col min="2183" max="2183" width="23.36328125" bestFit="1" customWidth="1"/>
    <col min="2184" max="2184" width="21.1796875" bestFit="1" customWidth="1"/>
    <col min="2185" max="2185" width="23.36328125" bestFit="1" customWidth="1"/>
    <col min="2186" max="2186" width="21.1796875" bestFit="1" customWidth="1"/>
    <col min="2187" max="2187" width="23.36328125" bestFit="1" customWidth="1"/>
    <col min="2188" max="2188" width="21.1796875" bestFit="1" customWidth="1"/>
    <col min="2189" max="2189" width="23.36328125" bestFit="1" customWidth="1"/>
    <col min="2190" max="2190" width="21.1796875" bestFit="1" customWidth="1"/>
    <col min="2191" max="2191" width="23.36328125" bestFit="1" customWidth="1"/>
    <col min="2192" max="2192" width="21.1796875" bestFit="1" customWidth="1"/>
    <col min="2193" max="2193" width="23.36328125" bestFit="1" customWidth="1"/>
    <col min="2194" max="2194" width="21.1796875" bestFit="1" customWidth="1"/>
    <col min="2195" max="2195" width="23.36328125" bestFit="1" customWidth="1"/>
    <col min="2196" max="2196" width="21.1796875" bestFit="1" customWidth="1"/>
    <col min="2197" max="2197" width="23.36328125" bestFit="1" customWidth="1"/>
    <col min="2198" max="2198" width="21.1796875" bestFit="1" customWidth="1"/>
    <col min="2199" max="2199" width="23.36328125" bestFit="1" customWidth="1"/>
    <col min="2200" max="2200" width="21.1796875" bestFit="1" customWidth="1"/>
    <col min="2201" max="2201" width="23.36328125" bestFit="1" customWidth="1"/>
    <col min="2202" max="2202" width="21.1796875" bestFit="1" customWidth="1"/>
    <col min="2203" max="2203" width="23.36328125" bestFit="1" customWidth="1"/>
    <col min="2204" max="2204" width="21.1796875" bestFit="1" customWidth="1"/>
    <col min="2205" max="2205" width="23.36328125" bestFit="1" customWidth="1"/>
    <col min="2206" max="2206" width="21.1796875" bestFit="1" customWidth="1"/>
    <col min="2207" max="2207" width="23.36328125" bestFit="1" customWidth="1"/>
    <col min="2208" max="2208" width="21.1796875" bestFit="1" customWidth="1"/>
    <col min="2209" max="2209" width="23.36328125" bestFit="1" customWidth="1"/>
    <col min="2210" max="2210" width="21.1796875" bestFit="1" customWidth="1"/>
    <col min="2211" max="2211" width="23.36328125" bestFit="1" customWidth="1"/>
    <col min="2212" max="2212" width="21.1796875" bestFit="1" customWidth="1"/>
    <col min="2213" max="2213" width="23.36328125" bestFit="1" customWidth="1"/>
    <col min="2214" max="2214" width="21.1796875" bestFit="1" customWidth="1"/>
    <col min="2215" max="2215" width="23.36328125" bestFit="1" customWidth="1"/>
    <col min="2216" max="2216" width="21.1796875" bestFit="1" customWidth="1"/>
    <col min="2217" max="2217" width="23.36328125" bestFit="1" customWidth="1"/>
    <col min="2218" max="2218" width="21.1796875" bestFit="1" customWidth="1"/>
    <col min="2219" max="2219" width="23.36328125" bestFit="1" customWidth="1"/>
    <col min="2220" max="2220" width="21.1796875" bestFit="1" customWidth="1"/>
    <col min="2221" max="2221" width="23.36328125" bestFit="1" customWidth="1"/>
    <col min="2222" max="2222" width="21.1796875" bestFit="1" customWidth="1"/>
    <col min="2223" max="2223" width="23.36328125" bestFit="1" customWidth="1"/>
    <col min="2224" max="2224" width="21.1796875" bestFit="1" customWidth="1"/>
    <col min="2225" max="2225" width="23.36328125" bestFit="1" customWidth="1"/>
    <col min="2226" max="2226" width="21.1796875" bestFit="1" customWidth="1"/>
    <col min="2227" max="2227" width="23.36328125" bestFit="1" customWidth="1"/>
    <col min="2228" max="2228" width="21.1796875" bestFit="1" customWidth="1"/>
    <col min="2229" max="2229" width="23.36328125" bestFit="1" customWidth="1"/>
    <col min="2230" max="2230" width="21.1796875" bestFit="1" customWidth="1"/>
    <col min="2231" max="2231" width="23.36328125" bestFit="1" customWidth="1"/>
    <col min="2232" max="2232" width="21.1796875" bestFit="1" customWidth="1"/>
    <col min="2233" max="2233" width="23.36328125" bestFit="1" customWidth="1"/>
    <col min="2234" max="2234" width="21.1796875" bestFit="1" customWidth="1"/>
    <col min="2235" max="2235" width="23.36328125" bestFit="1" customWidth="1"/>
    <col min="2236" max="2236" width="21.1796875" bestFit="1" customWidth="1"/>
    <col min="2237" max="2237" width="23.36328125" bestFit="1" customWidth="1"/>
    <col min="2238" max="2238" width="21.1796875" bestFit="1" customWidth="1"/>
    <col min="2239" max="2239" width="23.36328125" bestFit="1" customWidth="1"/>
    <col min="2240" max="2240" width="21.1796875" bestFit="1" customWidth="1"/>
    <col min="2241" max="2241" width="23.36328125" bestFit="1" customWidth="1"/>
    <col min="2242" max="2242" width="21.1796875" bestFit="1" customWidth="1"/>
    <col min="2243" max="2243" width="23.36328125" bestFit="1" customWidth="1"/>
    <col min="2244" max="2244" width="21.1796875" bestFit="1" customWidth="1"/>
    <col min="2245" max="2245" width="23.36328125" bestFit="1" customWidth="1"/>
    <col min="2246" max="2246" width="21.1796875" bestFit="1" customWidth="1"/>
    <col min="2247" max="2247" width="23.36328125" bestFit="1" customWidth="1"/>
    <col min="2248" max="2248" width="21.1796875" bestFit="1" customWidth="1"/>
    <col min="2249" max="2249" width="23.36328125" bestFit="1" customWidth="1"/>
    <col min="2250" max="2250" width="21.1796875" bestFit="1" customWidth="1"/>
    <col min="2251" max="2251" width="23.36328125" bestFit="1" customWidth="1"/>
    <col min="2252" max="2252" width="21.1796875" bestFit="1" customWidth="1"/>
    <col min="2253" max="2253" width="23.36328125" bestFit="1" customWidth="1"/>
    <col min="2254" max="2254" width="21.1796875" bestFit="1" customWidth="1"/>
    <col min="2255" max="2255" width="23.36328125" bestFit="1" customWidth="1"/>
    <col min="2256" max="2256" width="21.1796875" bestFit="1" customWidth="1"/>
    <col min="2257" max="2257" width="23.36328125" bestFit="1" customWidth="1"/>
    <col min="2258" max="2258" width="21.1796875" bestFit="1" customWidth="1"/>
    <col min="2259" max="2259" width="23.36328125" bestFit="1" customWidth="1"/>
    <col min="2260" max="2260" width="21.1796875" bestFit="1" customWidth="1"/>
    <col min="2261" max="2261" width="23.36328125" bestFit="1" customWidth="1"/>
    <col min="2262" max="2262" width="21.1796875" bestFit="1" customWidth="1"/>
    <col min="2263" max="2263" width="23.36328125" bestFit="1" customWidth="1"/>
    <col min="2264" max="2264" width="21.1796875" bestFit="1" customWidth="1"/>
    <col min="2265" max="2265" width="23.36328125" bestFit="1" customWidth="1"/>
    <col min="2266" max="2266" width="21.1796875" bestFit="1" customWidth="1"/>
    <col min="2267" max="2267" width="23.36328125" bestFit="1" customWidth="1"/>
    <col min="2268" max="2268" width="21.1796875" bestFit="1" customWidth="1"/>
    <col min="2269" max="2269" width="23.36328125" bestFit="1" customWidth="1"/>
    <col min="2270" max="2270" width="21.1796875" bestFit="1" customWidth="1"/>
    <col min="2271" max="2271" width="23.36328125" bestFit="1" customWidth="1"/>
    <col min="2272" max="2272" width="21.1796875" bestFit="1" customWidth="1"/>
    <col min="2273" max="2273" width="23.36328125" bestFit="1" customWidth="1"/>
    <col min="2274" max="2274" width="21.1796875" bestFit="1" customWidth="1"/>
    <col min="2275" max="2275" width="23.36328125" bestFit="1" customWidth="1"/>
    <col min="2276" max="2276" width="21.1796875" bestFit="1" customWidth="1"/>
    <col min="2277" max="2277" width="23.36328125" bestFit="1" customWidth="1"/>
    <col min="2278" max="2278" width="21.1796875" bestFit="1" customWidth="1"/>
    <col min="2279" max="2279" width="23.36328125" bestFit="1" customWidth="1"/>
    <col min="2280" max="2280" width="21.1796875" bestFit="1" customWidth="1"/>
    <col min="2281" max="2281" width="23.36328125" bestFit="1" customWidth="1"/>
    <col min="2282" max="2282" width="21.1796875" bestFit="1" customWidth="1"/>
    <col min="2283" max="2283" width="23.36328125" bestFit="1" customWidth="1"/>
    <col min="2284" max="2284" width="21.1796875" bestFit="1" customWidth="1"/>
    <col min="2285" max="2285" width="23.36328125" bestFit="1" customWidth="1"/>
    <col min="2286" max="2286" width="21.1796875" bestFit="1" customWidth="1"/>
    <col min="2287" max="2287" width="23.36328125" bestFit="1" customWidth="1"/>
    <col min="2288" max="2288" width="21.1796875" bestFit="1" customWidth="1"/>
    <col min="2289" max="2289" width="23.36328125" bestFit="1" customWidth="1"/>
    <col min="2290" max="2290" width="21.1796875" bestFit="1" customWidth="1"/>
    <col min="2291" max="2291" width="23.36328125" bestFit="1" customWidth="1"/>
    <col min="2292" max="2292" width="21.1796875" bestFit="1" customWidth="1"/>
    <col min="2293" max="2293" width="23.36328125" bestFit="1" customWidth="1"/>
    <col min="2294" max="2294" width="21.1796875" bestFit="1" customWidth="1"/>
    <col min="2295" max="2295" width="23.36328125" bestFit="1" customWidth="1"/>
    <col min="2296" max="2296" width="21.1796875" bestFit="1" customWidth="1"/>
    <col min="2297" max="2297" width="23.36328125" bestFit="1" customWidth="1"/>
    <col min="2298" max="2298" width="21.1796875" bestFit="1" customWidth="1"/>
    <col min="2299" max="2299" width="23.36328125" bestFit="1" customWidth="1"/>
    <col min="2300" max="2300" width="21.1796875" bestFit="1" customWidth="1"/>
    <col min="2301" max="2301" width="23.36328125" bestFit="1" customWidth="1"/>
    <col min="2302" max="2302" width="21.1796875" bestFit="1" customWidth="1"/>
    <col min="2303" max="2303" width="23.36328125" bestFit="1" customWidth="1"/>
    <col min="2304" max="2304" width="21.1796875" bestFit="1" customWidth="1"/>
    <col min="2305" max="2305" width="23.36328125" bestFit="1" customWidth="1"/>
    <col min="2306" max="2306" width="21.1796875" bestFit="1" customWidth="1"/>
    <col min="2307" max="2307" width="23.36328125" bestFit="1" customWidth="1"/>
    <col min="2308" max="2308" width="21.1796875" bestFit="1" customWidth="1"/>
    <col min="2309" max="2309" width="23.36328125" bestFit="1" customWidth="1"/>
    <col min="2310" max="2310" width="21.1796875" bestFit="1" customWidth="1"/>
    <col min="2311" max="2311" width="23.36328125" bestFit="1" customWidth="1"/>
    <col min="2312" max="2312" width="21.1796875" bestFit="1" customWidth="1"/>
    <col min="2313" max="2313" width="23.36328125" bestFit="1" customWidth="1"/>
    <col min="2314" max="2314" width="21.1796875" bestFit="1" customWidth="1"/>
    <col min="2315" max="2315" width="23.36328125" bestFit="1" customWidth="1"/>
    <col min="2316" max="2316" width="21.1796875" bestFit="1" customWidth="1"/>
    <col min="2317" max="2317" width="23.36328125" bestFit="1" customWidth="1"/>
    <col min="2318" max="2318" width="21.1796875" bestFit="1" customWidth="1"/>
    <col min="2319" max="2319" width="23.36328125" bestFit="1" customWidth="1"/>
    <col min="2320" max="2320" width="21.1796875" bestFit="1" customWidth="1"/>
    <col min="2321" max="2321" width="23.36328125" bestFit="1" customWidth="1"/>
    <col min="2322" max="2322" width="21.1796875" bestFit="1" customWidth="1"/>
    <col min="2323" max="2323" width="23.36328125" bestFit="1" customWidth="1"/>
    <col min="2324" max="2324" width="21.1796875" bestFit="1" customWidth="1"/>
    <col min="2325" max="2325" width="23.36328125" bestFit="1" customWidth="1"/>
    <col min="2326" max="2326" width="21.1796875" bestFit="1" customWidth="1"/>
    <col min="2327" max="2327" width="23.36328125" bestFit="1" customWidth="1"/>
    <col min="2328" max="2328" width="21.1796875" bestFit="1" customWidth="1"/>
    <col min="2329" max="2329" width="23.36328125" bestFit="1" customWidth="1"/>
    <col min="2330" max="2330" width="21.1796875" bestFit="1" customWidth="1"/>
    <col min="2331" max="2331" width="23.36328125" bestFit="1" customWidth="1"/>
    <col min="2332" max="2332" width="21.1796875" bestFit="1" customWidth="1"/>
    <col min="2333" max="2333" width="23.36328125" bestFit="1" customWidth="1"/>
    <col min="2334" max="2334" width="21.1796875" bestFit="1" customWidth="1"/>
    <col min="2335" max="2335" width="23.36328125" bestFit="1" customWidth="1"/>
    <col min="2336" max="2336" width="21.1796875" bestFit="1" customWidth="1"/>
    <col min="2337" max="2337" width="23.36328125" bestFit="1" customWidth="1"/>
    <col min="2338" max="2338" width="21.1796875" bestFit="1" customWidth="1"/>
    <col min="2339" max="2339" width="23.36328125" bestFit="1" customWidth="1"/>
    <col min="2340" max="2340" width="21.1796875" bestFit="1" customWidth="1"/>
    <col min="2341" max="2341" width="23.36328125" bestFit="1" customWidth="1"/>
    <col min="2342" max="2342" width="21.1796875" bestFit="1" customWidth="1"/>
    <col min="2343" max="2343" width="23.36328125" bestFit="1" customWidth="1"/>
    <col min="2344" max="2344" width="21.1796875" bestFit="1" customWidth="1"/>
    <col min="2345" max="2345" width="23.36328125" bestFit="1" customWidth="1"/>
    <col min="2346" max="2346" width="21.1796875" bestFit="1" customWidth="1"/>
    <col min="2347" max="2347" width="23.36328125" bestFit="1" customWidth="1"/>
    <col min="2348" max="2348" width="21.1796875" bestFit="1" customWidth="1"/>
    <col min="2349" max="2349" width="23.36328125" bestFit="1" customWidth="1"/>
    <col min="2350" max="2350" width="21.1796875" bestFit="1" customWidth="1"/>
    <col min="2351" max="2351" width="23.36328125" bestFit="1" customWidth="1"/>
    <col min="2352" max="2352" width="21.1796875" bestFit="1" customWidth="1"/>
    <col min="2353" max="2353" width="23.36328125" bestFit="1" customWidth="1"/>
    <col min="2354" max="2354" width="21.1796875" bestFit="1" customWidth="1"/>
    <col min="2355" max="2355" width="23.36328125" bestFit="1" customWidth="1"/>
    <col min="2356" max="2356" width="21.1796875" bestFit="1" customWidth="1"/>
    <col min="2357" max="2357" width="23.36328125" bestFit="1" customWidth="1"/>
    <col min="2358" max="2358" width="21.1796875" bestFit="1" customWidth="1"/>
    <col min="2359" max="2359" width="23.36328125" bestFit="1" customWidth="1"/>
    <col min="2360" max="2360" width="21.1796875" bestFit="1" customWidth="1"/>
    <col min="2361" max="2361" width="23.36328125" bestFit="1" customWidth="1"/>
    <col min="2362" max="2362" width="21.1796875" bestFit="1" customWidth="1"/>
    <col min="2363" max="2363" width="23.36328125" bestFit="1" customWidth="1"/>
    <col min="2364" max="2364" width="21.1796875" bestFit="1" customWidth="1"/>
    <col min="2365" max="2365" width="23.36328125" bestFit="1" customWidth="1"/>
    <col min="2366" max="2366" width="21.1796875" bestFit="1" customWidth="1"/>
    <col min="2367" max="2367" width="23.36328125" bestFit="1" customWidth="1"/>
    <col min="2368" max="2368" width="21.1796875" bestFit="1" customWidth="1"/>
    <col min="2369" max="2369" width="23.36328125" bestFit="1" customWidth="1"/>
    <col min="2370" max="2370" width="21.1796875" bestFit="1" customWidth="1"/>
    <col min="2371" max="2371" width="23.36328125" bestFit="1" customWidth="1"/>
    <col min="2372" max="2372" width="21.1796875" bestFit="1" customWidth="1"/>
    <col min="2373" max="2373" width="23.36328125" bestFit="1" customWidth="1"/>
    <col min="2374" max="2374" width="21.1796875" bestFit="1" customWidth="1"/>
    <col min="2375" max="2375" width="23.36328125" bestFit="1" customWidth="1"/>
    <col min="2376" max="2376" width="21.1796875" bestFit="1" customWidth="1"/>
    <col min="2377" max="2377" width="23.36328125" bestFit="1" customWidth="1"/>
    <col min="2378" max="2378" width="21.1796875" bestFit="1" customWidth="1"/>
    <col min="2379" max="2379" width="23.36328125" bestFit="1" customWidth="1"/>
    <col min="2380" max="2380" width="21.1796875" bestFit="1" customWidth="1"/>
    <col min="2381" max="2381" width="23.36328125" bestFit="1" customWidth="1"/>
    <col min="2382" max="2382" width="21.1796875" bestFit="1" customWidth="1"/>
    <col min="2383" max="2383" width="23.36328125" bestFit="1" customWidth="1"/>
    <col min="2384" max="2384" width="21.1796875" bestFit="1" customWidth="1"/>
    <col min="2385" max="2385" width="23.36328125" bestFit="1" customWidth="1"/>
    <col min="2386" max="2386" width="21.1796875" bestFit="1" customWidth="1"/>
    <col min="2387" max="2387" width="23.36328125" bestFit="1" customWidth="1"/>
    <col min="2388" max="2388" width="21.1796875" bestFit="1" customWidth="1"/>
    <col min="2389" max="2389" width="23.36328125" bestFit="1" customWidth="1"/>
    <col min="2390" max="2390" width="21.1796875" bestFit="1" customWidth="1"/>
    <col min="2391" max="2391" width="23.36328125" bestFit="1" customWidth="1"/>
    <col min="2392" max="2392" width="21.1796875" bestFit="1" customWidth="1"/>
    <col min="2393" max="2393" width="23.36328125" bestFit="1" customWidth="1"/>
    <col min="2394" max="2394" width="21.1796875" bestFit="1" customWidth="1"/>
    <col min="2395" max="2395" width="23.36328125" bestFit="1" customWidth="1"/>
    <col min="2396" max="2396" width="21.1796875" bestFit="1" customWidth="1"/>
    <col min="2397" max="2397" width="23.36328125" bestFit="1" customWidth="1"/>
    <col min="2398" max="2398" width="21.1796875" bestFit="1" customWidth="1"/>
    <col min="2399" max="2399" width="23.36328125" bestFit="1" customWidth="1"/>
    <col min="2400" max="2400" width="21.1796875" bestFit="1" customWidth="1"/>
    <col min="2401" max="2401" width="23.36328125" bestFit="1" customWidth="1"/>
    <col min="2402" max="2402" width="21.1796875" bestFit="1" customWidth="1"/>
    <col min="2403" max="2403" width="23.36328125" bestFit="1" customWidth="1"/>
    <col min="2404" max="2404" width="21.1796875" bestFit="1" customWidth="1"/>
    <col min="2405" max="2405" width="23.36328125" bestFit="1" customWidth="1"/>
    <col min="2406" max="2406" width="21.1796875" bestFit="1" customWidth="1"/>
    <col min="2407" max="2407" width="23.36328125" bestFit="1" customWidth="1"/>
    <col min="2408" max="2408" width="21.1796875" bestFit="1" customWidth="1"/>
    <col min="2409" max="2409" width="23.36328125" bestFit="1" customWidth="1"/>
    <col min="2410" max="2410" width="21.1796875" bestFit="1" customWidth="1"/>
    <col min="2411" max="2411" width="23.36328125" bestFit="1" customWidth="1"/>
    <col min="2412" max="2412" width="21.1796875" bestFit="1" customWidth="1"/>
    <col min="2413" max="2413" width="23.36328125" bestFit="1" customWidth="1"/>
    <col min="2414" max="2414" width="21.1796875" bestFit="1" customWidth="1"/>
    <col min="2415" max="2415" width="23.36328125" bestFit="1" customWidth="1"/>
    <col min="2416" max="2416" width="21.1796875" bestFit="1" customWidth="1"/>
    <col min="2417" max="2417" width="23.36328125" bestFit="1" customWidth="1"/>
    <col min="2418" max="2418" width="21.1796875" bestFit="1" customWidth="1"/>
    <col min="2419" max="2419" width="23.36328125" bestFit="1" customWidth="1"/>
    <col min="2420" max="2420" width="21.1796875" bestFit="1" customWidth="1"/>
    <col min="2421" max="2421" width="23.36328125" bestFit="1" customWidth="1"/>
    <col min="2422" max="2422" width="21.1796875" bestFit="1" customWidth="1"/>
    <col min="2423" max="2423" width="23.36328125" bestFit="1" customWidth="1"/>
    <col min="2424" max="2424" width="21.1796875" bestFit="1" customWidth="1"/>
    <col min="2425" max="2425" width="23.36328125" bestFit="1" customWidth="1"/>
    <col min="2426" max="2426" width="21.1796875" bestFit="1" customWidth="1"/>
    <col min="2427" max="2427" width="23.36328125" bestFit="1" customWidth="1"/>
    <col min="2428" max="2428" width="21.1796875" bestFit="1" customWidth="1"/>
    <col min="2429" max="2429" width="23.36328125" bestFit="1" customWidth="1"/>
    <col min="2430" max="2430" width="21.1796875" bestFit="1" customWidth="1"/>
    <col min="2431" max="2431" width="23.36328125" bestFit="1" customWidth="1"/>
    <col min="2432" max="2432" width="21.1796875" bestFit="1" customWidth="1"/>
    <col min="2433" max="2433" width="23.36328125" bestFit="1" customWidth="1"/>
    <col min="2434" max="2434" width="21.1796875" bestFit="1" customWidth="1"/>
    <col min="2435" max="2435" width="23.36328125" bestFit="1" customWidth="1"/>
    <col min="2436" max="2436" width="21.1796875" bestFit="1" customWidth="1"/>
    <col min="2437" max="2437" width="23.36328125" bestFit="1" customWidth="1"/>
    <col min="2438" max="2438" width="21.1796875" bestFit="1" customWidth="1"/>
    <col min="2439" max="2439" width="23.36328125" bestFit="1" customWidth="1"/>
    <col min="2440" max="2440" width="21.1796875" bestFit="1" customWidth="1"/>
    <col min="2441" max="2441" width="23.36328125" bestFit="1" customWidth="1"/>
    <col min="2442" max="2442" width="21.1796875" bestFit="1" customWidth="1"/>
    <col min="2443" max="2443" width="23.36328125" bestFit="1" customWidth="1"/>
    <col min="2444" max="2444" width="21.1796875" bestFit="1" customWidth="1"/>
    <col min="2445" max="2445" width="23.36328125" bestFit="1" customWidth="1"/>
    <col min="2446" max="2446" width="21.1796875" bestFit="1" customWidth="1"/>
    <col min="2447" max="2447" width="23.36328125" bestFit="1" customWidth="1"/>
    <col min="2448" max="2448" width="21.1796875" bestFit="1" customWidth="1"/>
    <col min="2449" max="2449" width="23.36328125" bestFit="1" customWidth="1"/>
    <col min="2450" max="2450" width="21.1796875" bestFit="1" customWidth="1"/>
    <col min="2451" max="2451" width="23.36328125" bestFit="1" customWidth="1"/>
    <col min="2452" max="2452" width="21.1796875" bestFit="1" customWidth="1"/>
    <col min="2453" max="2453" width="23.36328125" bestFit="1" customWidth="1"/>
    <col min="2454" max="2454" width="21.1796875" bestFit="1" customWidth="1"/>
    <col min="2455" max="2455" width="23.36328125" bestFit="1" customWidth="1"/>
    <col min="2456" max="2456" width="21.1796875" bestFit="1" customWidth="1"/>
    <col min="2457" max="2457" width="23.36328125" bestFit="1" customWidth="1"/>
    <col min="2458" max="2458" width="21.1796875" bestFit="1" customWidth="1"/>
    <col min="2459" max="2459" width="23.36328125" bestFit="1" customWidth="1"/>
    <col min="2460" max="2460" width="21.1796875" bestFit="1" customWidth="1"/>
    <col min="2461" max="2461" width="23.36328125" bestFit="1" customWidth="1"/>
    <col min="2462" max="2462" width="21.1796875" bestFit="1" customWidth="1"/>
    <col min="2463" max="2463" width="23.36328125" bestFit="1" customWidth="1"/>
    <col min="2464" max="2464" width="21.1796875" bestFit="1" customWidth="1"/>
    <col min="2465" max="2465" width="23.36328125" bestFit="1" customWidth="1"/>
    <col min="2466" max="2466" width="21.1796875" bestFit="1" customWidth="1"/>
    <col min="2467" max="2467" width="23.36328125" bestFit="1" customWidth="1"/>
    <col min="2468" max="2468" width="21.1796875" bestFit="1" customWidth="1"/>
    <col min="2469" max="2469" width="23.36328125" bestFit="1" customWidth="1"/>
    <col min="2470" max="2470" width="21.1796875" bestFit="1" customWidth="1"/>
    <col min="2471" max="2471" width="23.36328125" bestFit="1" customWidth="1"/>
    <col min="2472" max="2472" width="21.1796875" bestFit="1" customWidth="1"/>
    <col min="2473" max="2473" width="23.36328125" bestFit="1" customWidth="1"/>
    <col min="2474" max="2474" width="21.1796875" bestFit="1" customWidth="1"/>
    <col min="2475" max="2475" width="23.36328125" bestFit="1" customWidth="1"/>
    <col min="2476" max="2476" width="21.1796875" bestFit="1" customWidth="1"/>
    <col min="2477" max="2477" width="23.36328125" bestFit="1" customWidth="1"/>
    <col min="2478" max="2478" width="21.1796875" bestFit="1" customWidth="1"/>
    <col min="2479" max="2479" width="23.36328125" bestFit="1" customWidth="1"/>
    <col min="2480" max="2480" width="21.1796875" bestFit="1" customWidth="1"/>
    <col min="2481" max="2481" width="23.36328125" bestFit="1" customWidth="1"/>
    <col min="2482" max="2482" width="21.1796875" bestFit="1" customWidth="1"/>
    <col min="2483" max="2483" width="23.36328125" bestFit="1" customWidth="1"/>
    <col min="2484" max="2484" width="21.1796875" bestFit="1" customWidth="1"/>
    <col min="2485" max="2485" width="23.36328125" bestFit="1" customWidth="1"/>
    <col min="2486" max="2486" width="21.1796875" bestFit="1" customWidth="1"/>
    <col min="2487" max="2487" width="23.36328125" bestFit="1" customWidth="1"/>
    <col min="2488" max="2488" width="21.1796875" bestFit="1" customWidth="1"/>
    <col min="2489" max="2489" width="23.36328125" bestFit="1" customWidth="1"/>
    <col min="2490" max="2490" width="21.1796875" bestFit="1" customWidth="1"/>
    <col min="2491" max="2491" width="23.36328125" bestFit="1" customWidth="1"/>
    <col min="2492" max="2492" width="21.1796875" bestFit="1" customWidth="1"/>
    <col min="2493" max="2493" width="23.36328125" bestFit="1" customWidth="1"/>
    <col min="2494" max="2494" width="21.1796875" bestFit="1" customWidth="1"/>
    <col min="2495" max="2495" width="23.36328125" bestFit="1" customWidth="1"/>
    <col min="2496" max="2496" width="21.1796875" bestFit="1" customWidth="1"/>
    <col min="2497" max="2497" width="23.36328125" bestFit="1" customWidth="1"/>
    <col min="2498" max="2498" width="21.1796875" bestFit="1" customWidth="1"/>
    <col min="2499" max="2499" width="23.36328125" bestFit="1" customWidth="1"/>
    <col min="2500" max="2500" width="21.1796875" bestFit="1" customWidth="1"/>
    <col min="2501" max="2501" width="23.36328125" bestFit="1" customWidth="1"/>
    <col min="2502" max="2502" width="21.1796875" bestFit="1" customWidth="1"/>
    <col min="2503" max="2503" width="23.36328125" bestFit="1" customWidth="1"/>
    <col min="2504" max="2504" width="21.1796875" bestFit="1" customWidth="1"/>
    <col min="2505" max="2505" width="23.36328125" bestFit="1" customWidth="1"/>
    <col min="2506" max="2506" width="21.1796875" bestFit="1" customWidth="1"/>
    <col min="2507" max="2507" width="23.36328125" bestFit="1" customWidth="1"/>
    <col min="2508" max="2508" width="21.1796875" bestFit="1" customWidth="1"/>
    <col min="2509" max="2509" width="23.36328125" bestFit="1" customWidth="1"/>
    <col min="2510" max="2510" width="21.1796875" bestFit="1" customWidth="1"/>
    <col min="2511" max="2511" width="23.36328125" bestFit="1" customWidth="1"/>
    <col min="2512" max="2512" width="21.1796875" bestFit="1" customWidth="1"/>
    <col min="2513" max="2513" width="23.36328125" bestFit="1" customWidth="1"/>
    <col min="2514" max="2514" width="21.1796875" bestFit="1" customWidth="1"/>
    <col min="2515" max="2515" width="23.36328125" bestFit="1" customWidth="1"/>
    <col min="2516" max="2516" width="21.1796875" bestFit="1" customWidth="1"/>
    <col min="2517" max="2517" width="23.36328125" bestFit="1" customWidth="1"/>
    <col min="2518" max="2518" width="21.1796875" bestFit="1" customWidth="1"/>
    <col min="2519" max="2519" width="23.36328125" bestFit="1" customWidth="1"/>
    <col min="2520" max="2520" width="21.1796875" bestFit="1" customWidth="1"/>
    <col min="2521" max="2521" width="23.36328125" bestFit="1" customWidth="1"/>
    <col min="2522" max="2522" width="21.1796875" bestFit="1" customWidth="1"/>
    <col min="2523" max="2523" width="23.36328125" bestFit="1" customWidth="1"/>
    <col min="2524" max="2524" width="21.1796875" bestFit="1" customWidth="1"/>
    <col min="2525" max="2525" width="23.36328125" bestFit="1" customWidth="1"/>
    <col min="2526" max="2526" width="21.1796875" bestFit="1" customWidth="1"/>
    <col min="2527" max="2527" width="23.36328125" bestFit="1" customWidth="1"/>
    <col min="2528" max="2528" width="21.1796875" bestFit="1" customWidth="1"/>
    <col min="2529" max="2529" width="23.36328125" bestFit="1" customWidth="1"/>
    <col min="2530" max="2530" width="21.1796875" bestFit="1" customWidth="1"/>
    <col min="2531" max="2531" width="23.36328125" bestFit="1" customWidth="1"/>
    <col min="2532" max="2532" width="21.1796875" bestFit="1" customWidth="1"/>
    <col min="2533" max="2533" width="23.36328125" bestFit="1" customWidth="1"/>
    <col min="2534" max="2534" width="21.1796875" bestFit="1" customWidth="1"/>
    <col min="2535" max="2535" width="23.36328125" bestFit="1" customWidth="1"/>
    <col min="2536" max="2536" width="21.1796875" bestFit="1" customWidth="1"/>
    <col min="2537" max="2537" width="23.36328125" bestFit="1" customWidth="1"/>
    <col min="2538" max="2538" width="21.1796875" bestFit="1" customWidth="1"/>
    <col min="2539" max="2539" width="23.36328125" bestFit="1" customWidth="1"/>
    <col min="2540" max="2540" width="21.1796875" bestFit="1" customWidth="1"/>
    <col min="2541" max="2541" width="23.36328125" bestFit="1" customWidth="1"/>
    <col min="2542" max="2542" width="21.1796875" bestFit="1" customWidth="1"/>
    <col min="2543" max="2543" width="23.36328125" bestFit="1" customWidth="1"/>
    <col min="2544" max="2544" width="21.1796875" bestFit="1" customWidth="1"/>
    <col min="2545" max="2545" width="23.36328125" bestFit="1" customWidth="1"/>
    <col min="2546" max="2546" width="21.1796875" bestFit="1" customWidth="1"/>
    <col min="2547" max="2547" width="23.36328125" bestFit="1" customWidth="1"/>
    <col min="2548" max="2548" width="21.1796875" bestFit="1" customWidth="1"/>
    <col min="2549" max="2549" width="23.36328125" bestFit="1" customWidth="1"/>
    <col min="2550" max="2550" width="21.1796875" bestFit="1" customWidth="1"/>
    <col min="2551" max="2551" width="23.36328125" bestFit="1" customWidth="1"/>
    <col min="2552" max="2552" width="21.1796875" bestFit="1" customWidth="1"/>
    <col min="2553" max="2553" width="23.36328125" bestFit="1" customWidth="1"/>
    <col min="2554" max="2554" width="21.1796875" bestFit="1" customWidth="1"/>
    <col min="2555" max="2555" width="23.36328125" bestFit="1" customWidth="1"/>
    <col min="2556" max="2556" width="21.1796875" bestFit="1" customWidth="1"/>
    <col min="2557" max="2557" width="23.36328125" bestFit="1" customWidth="1"/>
    <col min="2558" max="2558" width="21.1796875" bestFit="1" customWidth="1"/>
    <col min="2559" max="2559" width="23.36328125" bestFit="1" customWidth="1"/>
    <col min="2560" max="2560" width="21.1796875" bestFit="1" customWidth="1"/>
    <col min="2561" max="2561" width="23.36328125" bestFit="1" customWidth="1"/>
    <col min="2562" max="2562" width="21.1796875" bestFit="1" customWidth="1"/>
    <col min="2563" max="2563" width="23.36328125" bestFit="1" customWidth="1"/>
    <col min="2564" max="2564" width="21.1796875" bestFit="1" customWidth="1"/>
    <col min="2565" max="2565" width="23.36328125" bestFit="1" customWidth="1"/>
    <col min="2566" max="2566" width="21.1796875" bestFit="1" customWidth="1"/>
    <col min="2567" max="2567" width="23.36328125" bestFit="1" customWidth="1"/>
    <col min="2568" max="2568" width="21.1796875" bestFit="1" customWidth="1"/>
    <col min="2569" max="2569" width="23.36328125" bestFit="1" customWidth="1"/>
    <col min="2570" max="2570" width="21.1796875" bestFit="1" customWidth="1"/>
    <col min="2571" max="2571" width="23.36328125" bestFit="1" customWidth="1"/>
    <col min="2572" max="2572" width="21.1796875" bestFit="1" customWidth="1"/>
    <col min="2573" max="2573" width="23.36328125" bestFit="1" customWidth="1"/>
    <col min="2574" max="2574" width="21.1796875" bestFit="1" customWidth="1"/>
    <col min="2575" max="2575" width="23.36328125" bestFit="1" customWidth="1"/>
    <col min="2576" max="2576" width="26" bestFit="1" customWidth="1"/>
    <col min="2577" max="2577" width="28.08984375" bestFit="1" customWidth="1"/>
    <col min="2578" max="2578" width="21.1796875" bestFit="1" customWidth="1"/>
    <col min="2579" max="2579" width="23.36328125" bestFit="1" customWidth="1"/>
    <col min="2580" max="2580" width="21.1796875" bestFit="1" customWidth="1"/>
    <col min="2581" max="2581" width="23.36328125" bestFit="1" customWidth="1"/>
    <col min="2582" max="2582" width="21.1796875" bestFit="1" customWidth="1"/>
    <col min="2583" max="2583" width="23.36328125" bestFit="1" customWidth="1"/>
    <col min="2584" max="2584" width="21.1796875" bestFit="1" customWidth="1"/>
    <col min="2585" max="2585" width="23.36328125" bestFit="1" customWidth="1"/>
    <col min="2586" max="2586" width="25.36328125" bestFit="1" customWidth="1"/>
    <col min="2587" max="2587" width="27.453125" bestFit="1" customWidth="1"/>
    <col min="2588" max="2588" width="21.1796875" bestFit="1" customWidth="1"/>
    <col min="2589" max="2589" width="23.36328125" bestFit="1" customWidth="1"/>
    <col min="2590" max="2590" width="21.1796875" bestFit="1" customWidth="1"/>
    <col min="2591" max="2591" width="23.36328125" bestFit="1" customWidth="1"/>
    <col min="2592" max="2592" width="21.1796875" bestFit="1" customWidth="1"/>
    <col min="2593" max="2593" width="23.36328125" bestFit="1" customWidth="1"/>
    <col min="2594" max="2594" width="21.1796875" bestFit="1" customWidth="1"/>
    <col min="2595" max="2595" width="23.36328125" bestFit="1" customWidth="1"/>
    <col min="2596" max="2596" width="25.36328125" bestFit="1" customWidth="1"/>
    <col min="2597" max="2597" width="27.453125" bestFit="1" customWidth="1"/>
    <col min="2598" max="2598" width="21.1796875" bestFit="1" customWidth="1"/>
    <col min="2599" max="2599" width="23.36328125" bestFit="1" customWidth="1"/>
    <col min="2600" max="2600" width="25.36328125" bestFit="1" customWidth="1"/>
    <col min="2601" max="2601" width="27.453125" bestFit="1" customWidth="1"/>
    <col min="2602" max="2602" width="21.1796875" bestFit="1" customWidth="1"/>
    <col min="2603" max="2603" width="23.36328125" bestFit="1" customWidth="1"/>
    <col min="2604" max="2604" width="25.36328125" bestFit="1" customWidth="1"/>
    <col min="2605" max="2605" width="27.453125" bestFit="1" customWidth="1"/>
    <col min="2606" max="2606" width="21.1796875" bestFit="1" customWidth="1"/>
    <col min="2607" max="2607" width="23.36328125" bestFit="1" customWidth="1"/>
    <col min="2608" max="2608" width="25.36328125" bestFit="1" customWidth="1"/>
    <col min="2609" max="2609" width="27.453125" bestFit="1" customWidth="1"/>
    <col min="2610" max="2610" width="21.1796875" bestFit="1" customWidth="1"/>
    <col min="2611" max="2611" width="23.36328125" bestFit="1" customWidth="1"/>
    <col min="2612" max="2612" width="25.36328125" bestFit="1" customWidth="1"/>
    <col min="2613" max="2613" width="27.453125" bestFit="1" customWidth="1"/>
    <col min="2614" max="2614" width="21.1796875" bestFit="1" customWidth="1"/>
    <col min="2615" max="2615" width="23.36328125" bestFit="1" customWidth="1"/>
    <col min="2616" max="2616" width="21.1796875" bestFit="1" customWidth="1"/>
    <col min="2617" max="2617" width="23.36328125" bestFit="1" customWidth="1"/>
    <col min="2618" max="2618" width="21.1796875" bestFit="1" customWidth="1"/>
    <col min="2619" max="2619" width="23.36328125" bestFit="1" customWidth="1"/>
    <col min="2620" max="2620" width="21.1796875" bestFit="1" customWidth="1"/>
    <col min="2621" max="2621" width="23.36328125" bestFit="1" customWidth="1"/>
    <col min="2622" max="2622" width="25.36328125" bestFit="1" customWidth="1"/>
    <col min="2623" max="2623" width="27.453125" bestFit="1" customWidth="1"/>
    <col min="2624" max="2624" width="21.1796875" bestFit="1" customWidth="1"/>
    <col min="2625" max="2625" width="23.36328125" bestFit="1" customWidth="1"/>
    <col min="2626" max="2626" width="25.36328125" bestFit="1" customWidth="1"/>
    <col min="2627" max="2627" width="27.453125" bestFit="1" customWidth="1"/>
    <col min="2628" max="2628" width="21.1796875" bestFit="1" customWidth="1"/>
    <col min="2629" max="2629" width="23.36328125" bestFit="1" customWidth="1"/>
    <col min="2630" max="2630" width="25.36328125" bestFit="1" customWidth="1"/>
    <col min="2631" max="2631" width="27.453125" bestFit="1" customWidth="1"/>
    <col min="2632" max="2632" width="21.1796875" bestFit="1" customWidth="1"/>
    <col min="2633" max="2633" width="23.36328125" bestFit="1" customWidth="1"/>
    <col min="2634" max="2634" width="21.1796875" bestFit="1" customWidth="1"/>
    <col min="2635" max="2635" width="23.36328125" bestFit="1" customWidth="1"/>
    <col min="2636" max="2636" width="25.36328125" bestFit="1" customWidth="1"/>
    <col min="2637" max="2637" width="27.453125" bestFit="1" customWidth="1"/>
    <col min="2638" max="2638" width="21.1796875" bestFit="1" customWidth="1"/>
    <col min="2639" max="2639" width="23.36328125" bestFit="1" customWidth="1"/>
    <col min="2640" max="2640" width="23.81640625" bestFit="1" customWidth="1"/>
    <col min="2641" max="2641" width="25.81640625" bestFit="1" customWidth="1"/>
    <col min="2642" max="2642" width="21.1796875" bestFit="1" customWidth="1"/>
    <col min="2643" max="2643" width="23.36328125" bestFit="1" customWidth="1"/>
    <col min="2644" max="2644" width="21.1796875" bestFit="1" customWidth="1"/>
    <col min="2645" max="2645" width="23.36328125" bestFit="1" customWidth="1"/>
    <col min="2646" max="2646" width="21.1796875" bestFit="1" customWidth="1"/>
    <col min="2647" max="2647" width="23.36328125" bestFit="1" customWidth="1"/>
    <col min="2648" max="2648" width="21.1796875" bestFit="1" customWidth="1"/>
    <col min="2649" max="2649" width="23.36328125" bestFit="1" customWidth="1"/>
    <col min="2650" max="2650" width="21.1796875" bestFit="1" customWidth="1"/>
    <col min="2651" max="2651" width="23.36328125" bestFit="1" customWidth="1"/>
    <col min="2652" max="2652" width="25.36328125" bestFit="1" customWidth="1"/>
    <col min="2653" max="2653" width="27.453125" bestFit="1" customWidth="1"/>
    <col min="2654" max="2654" width="21.1796875" bestFit="1" customWidth="1"/>
    <col min="2655" max="2655" width="23.36328125" bestFit="1" customWidth="1"/>
    <col min="2656" max="2656" width="21.1796875" bestFit="1" customWidth="1"/>
    <col min="2657" max="2657" width="23.36328125" bestFit="1" customWidth="1"/>
    <col min="2658" max="2658" width="21.1796875" bestFit="1" customWidth="1"/>
    <col min="2659" max="2659" width="23.36328125" bestFit="1" customWidth="1"/>
    <col min="2660" max="2660" width="25.36328125" bestFit="1" customWidth="1"/>
    <col min="2661" max="2661" width="27.453125" bestFit="1" customWidth="1"/>
    <col min="2662" max="2662" width="21.1796875" bestFit="1" customWidth="1"/>
    <col min="2663" max="2663" width="23.36328125" bestFit="1" customWidth="1"/>
    <col min="2664" max="2664" width="21.1796875" bestFit="1" customWidth="1"/>
    <col min="2665" max="2665" width="23.36328125" bestFit="1" customWidth="1"/>
    <col min="2666" max="2666" width="25.36328125" bestFit="1" customWidth="1"/>
    <col min="2667" max="2667" width="27.453125" bestFit="1" customWidth="1"/>
    <col min="2668" max="2668" width="21.1796875" bestFit="1" customWidth="1"/>
    <col min="2669" max="2669" width="23.36328125" bestFit="1" customWidth="1"/>
    <col min="2670" max="2670" width="21.1796875" bestFit="1" customWidth="1"/>
    <col min="2671" max="2671" width="23.36328125" bestFit="1" customWidth="1"/>
    <col min="2672" max="2672" width="21.1796875" bestFit="1" customWidth="1"/>
    <col min="2673" max="2673" width="23.36328125" bestFit="1" customWidth="1"/>
    <col min="2674" max="2674" width="21.1796875" bestFit="1" customWidth="1"/>
    <col min="2675" max="2675" width="23.36328125" bestFit="1" customWidth="1"/>
    <col min="2676" max="2676" width="21.1796875" bestFit="1" customWidth="1"/>
    <col min="2677" max="2677" width="23.36328125" bestFit="1" customWidth="1"/>
    <col min="2678" max="2678" width="21.1796875" bestFit="1" customWidth="1"/>
    <col min="2679" max="2679" width="23.36328125" bestFit="1" customWidth="1"/>
    <col min="2680" max="2680" width="25.36328125" bestFit="1" customWidth="1"/>
    <col min="2681" max="2681" width="27.453125" bestFit="1" customWidth="1"/>
    <col min="2682" max="2682" width="21.1796875" bestFit="1" customWidth="1"/>
    <col min="2683" max="2683" width="23.36328125" bestFit="1" customWidth="1"/>
    <col min="2684" max="2684" width="21.1796875" bestFit="1" customWidth="1"/>
    <col min="2685" max="2685" width="23.36328125" bestFit="1" customWidth="1"/>
    <col min="2686" max="2686" width="21.1796875" bestFit="1" customWidth="1"/>
    <col min="2687" max="2687" width="23.36328125" bestFit="1" customWidth="1"/>
    <col min="2688" max="2688" width="25.36328125" bestFit="1" customWidth="1"/>
    <col min="2689" max="2689" width="27.453125" bestFit="1" customWidth="1"/>
    <col min="2690" max="2690" width="21.1796875" bestFit="1" customWidth="1"/>
    <col min="2691" max="2691" width="23.36328125" bestFit="1" customWidth="1"/>
    <col min="2692" max="2692" width="21.1796875" bestFit="1" customWidth="1"/>
    <col min="2693" max="2693" width="23.36328125" bestFit="1" customWidth="1"/>
    <col min="2694" max="2694" width="25.36328125" bestFit="1" customWidth="1"/>
    <col min="2695" max="2695" width="27.453125" bestFit="1" customWidth="1"/>
    <col min="2696" max="2696" width="21.1796875" bestFit="1" customWidth="1"/>
    <col min="2697" max="2697" width="23.36328125" bestFit="1" customWidth="1"/>
    <col min="2698" max="2698" width="21.1796875" bestFit="1" customWidth="1"/>
    <col min="2699" max="2699" width="23.36328125" bestFit="1" customWidth="1"/>
    <col min="2700" max="2700" width="21.1796875" bestFit="1" customWidth="1"/>
    <col min="2701" max="2701" width="23.36328125" bestFit="1" customWidth="1"/>
    <col min="2702" max="2702" width="21.1796875" bestFit="1" customWidth="1"/>
    <col min="2703" max="2703" width="23.36328125" bestFit="1" customWidth="1"/>
    <col min="2704" max="2704" width="21.1796875" bestFit="1" customWidth="1"/>
    <col min="2705" max="2705" width="23.36328125" bestFit="1" customWidth="1"/>
    <col min="2706" max="2706" width="25.36328125" bestFit="1" customWidth="1"/>
    <col min="2707" max="2707" width="27.453125" bestFit="1" customWidth="1"/>
    <col min="2708" max="2708" width="21.1796875" bestFit="1" customWidth="1"/>
    <col min="2709" max="2709" width="23.36328125" bestFit="1" customWidth="1"/>
    <col min="2710" max="2710" width="21.1796875" bestFit="1" customWidth="1"/>
    <col min="2711" max="2711" width="23.36328125" bestFit="1" customWidth="1"/>
    <col min="2712" max="2712" width="21.1796875" bestFit="1" customWidth="1"/>
    <col min="2713" max="2713" width="23.36328125" bestFit="1" customWidth="1"/>
    <col min="2714" max="2714" width="25.36328125" bestFit="1" customWidth="1"/>
    <col min="2715" max="2715" width="27.453125" bestFit="1" customWidth="1"/>
    <col min="2716" max="2716" width="21.1796875" bestFit="1" customWidth="1"/>
    <col min="2717" max="2717" width="23.36328125" bestFit="1" customWidth="1"/>
    <col min="2718" max="2718" width="23.81640625" bestFit="1" customWidth="1"/>
    <col min="2719" max="2719" width="25.81640625" bestFit="1" customWidth="1"/>
    <col min="2720" max="2720" width="21.1796875" bestFit="1" customWidth="1"/>
    <col min="2721" max="2721" width="23.36328125" bestFit="1" customWidth="1"/>
    <col min="2722" max="2722" width="21.1796875" bestFit="1" customWidth="1"/>
    <col min="2723" max="2723" width="23.36328125" bestFit="1" customWidth="1"/>
    <col min="2724" max="2724" width="21.1796875" bestFit="1" customWidth="1"/>
    <col min="2725" max="2725" width="23.36328125" bestFit="1" customWidth="1"/>
    <col min="2726" max="2726" width="25.36328125" bestFit="1" customWidth="1"/>
    <col min="2727" max="2727" width="27.453125" bestFit="1" customWidth="1"/>
    <col min="2728" max="2728" width="21.1796875" bestFit="1" customWidth="1"/>
    <col min="2729" max="2729" width="23.36328125" bestFit="1" customWidth="1"/>
    <col min="2730" max="2730" width="21.1796875" bestFit="1" customWidth="1"/>
    <col min="2731" max="2731" width="23.36328125" bestFit="1" customWidth="1"/>
    <col min="2732" max="2732" width="21.1796875" bestFit="1" customWidth="1"/>
    <col min="2733" max="2733" width="23.36328125" bestFit="1" customWidth="1"/>
    <col min="2734" max="2734" width="25.36328125" bestFit="1" customWidth="1"/>
    <col min="2735" max="2735" width="27.453125" bestFit="1" customWidth="1"/>
    <col min="2736" max="2736" width="21.1796875" bestFit="1" customWidth="1"/>
    <col min="2737" max="2737" width="23.36328125" bestFit="1" customWidth="1"/>
    <col min="2738" max="2738" width="21.1796875" bestFit="1" customWidth="1"/>
    <col min="2739" max="2739" width="23.36328125" bestFit="1" customWidth="1"/>
    <col min="2740" max="2740" width="21.1796875" bestFit="1" customWidth="1"/>
    <col min="2741" max="2741" width="23.36328125" bestFit="1" customWidth="1"/>
    <col min="2742" max="2742" width="25.36328125" bestFit="1" customWidth="1"/>
    <col min="2743" max="2743" width="27.453125" bestFit="1" customWidth="1"/>
    <col min="2744" max="2744" width="21.1796875" bestFit="1" customWidth="1"/>
    <col min="2745" max="2745" width="23.36328125" bestFit="1" customWidth="1"/>
    <col min="2746" max="2746" width="21.1796875" bestFit="1" customWidth="1"/>
    <col min="2747" max="2747" width="23.36328125" bestFit="1" customWidth="1"/>
    <col min="2748" max="2748" width="21.1796875" bestFit="1" customWidth="1"/>
    <col min="2749" max="2749" width="23.36328125" bestFit="1" customWidth="1"/>
    <col min="2750" max="2750" width="25.36328125" bestFit="1" customWidth="1"/>
    <col min="2751" max="2751" width="27.453125" bestFit="1" customWidth="1"/>
    <col min="2752" max="2752" width="21.1796875" bestFit="1" customWidth="1"/>
    <col min="2753" max="2753" width="23.36328125" bestFit="1" customWidth="1"/>
    <col min="2754" max="2754" width="21.1796875" bestFit="1" customWidth="1"/>
    <col min="2755" max="2755" width="23.36328125" bestFit="1" customWidth="1"/>
    <col min="2756" max="2756" width="21.1796875" bestFit="1" customWidth="1"/>
    <col min="2757" max="2757" width="23.36328125" bestFit="1" customWidth="1"/>
    <col min="2758" max="2758" width="25.36328125" bestFit="1" customWidth="1"/>
    <col min="2759" max="2759" width="27.453125" bestFit="1" customWidth="1"/>
    <col min="2760" max="2760" width="21.1796875" bestFit="1" customWidth="1"/>
    <col min="2761" max="2761" width="23.36328125" bestFit="1" customWidth="1"/>
    <col min="2762" max="2762" width="21.1796875" bestFit="1" customWidth="1"/>
    <col min="2763" max="2763" width="23.36328125" bestFit="1" customWidth="1"/>
    <col min="2764" max="2764" width="25.36328125" bestFit="1" customWidth="1"/>
    <col min="2765" max="2765" width="27.453125" bestFit="1" customWidth="1"/>
    <col min="2766" max="2766" width="21.1796875" bestFit="1" customWidth="1"/>
    <col min="2767" max="2767" width="23.36328125" bestFit="1" customWidth="1"/>
    <col min="2768" max="2768" width="25.36328125" bestFit="1" customWidth="1"/>
    <col min="2769" max="2769" width="27.453125" bestFit="1" customWidth="1"/>
    <col min="2770" max="2770" width="21.1796875" bestFit="1" customWidth="1"/>
    <col min="2771" max="2771" width="23.36328125" bestFit="1" customWidth="1"/>
    <col min="2772" max="2772" width="23.81640625" bestFit="1" customWidth="1"/>
    <col min="2773" max="2773" width="25.81640625" bestFit="1" customWidth="1"/>
    <col min="2774" max="2774" width="21.1796875" bestFit="1" customWidth="1"/>
    <col min="2775" max="2775" width="23.36328125" bestFit="1" customWidth="1"/>
    <col min="2776" max="2776" width="21.1796875" bestFit="1" customWidth="1"/>
    <col min="2777" max="2777" width="23.36328125" bestFit="1" customWidth="1"/>
    <col min="2778" max="2778" width="21.1796875" bestFit="1" customWidth="1"/>
    <col min="2779" max="2779" width="23.36328125" bestFit="1" customWidth="1"/>
    <col min="2780" max="2780" width="21.1796875" bestFit="1" customWidth="1"/>
    <col min="2781" max="2781" width="23.36328125" bestFit="1" customWidth="1"/>
    <col min="2782" max="2782" width="21.1796875" bestFit="1" customWidth="1"/>
    <col min="2783" max="2783" width="23.36328125" bestFit="1" customWidth="1"/>
    <col min="2784" max="2784" width="25.36328125" bestFit="1" customWidth="1"/>
    <col min="2785" max="2785" width="27.453125" bestFit="1" customWidth="1"/>
    <col min="2786" max="2786" width="21.1796875" bestFit="1" customWidth="1"/>
    <col min="2787" max="2787" width="23.36328125" bestFit="1" customWidth="1"/>
    <col min="2788" max="2788" width="21.1796875" bestFit="1" customWidth="1"/>
    <col min="2789" max="2789" width="23.36328125" bestFit="1" customWidth="1"/>
    <col min="2790" max="2790" width="21.1796875" bestFit="1" customWidth="1"/>
    <col min="2791" max="2791" width="23.36328125" bestFit="1" customWidth="1"/>
    <col min="2792" max="2792" width="25.36328125" bestFit="1" customWidth="1"/>
    <col min="2793" max="2793" width="27.453125" bestFit="1" customWidth="1"/>
    <col min="2794" max="2794" width="21.1796875" bestFit="1" customWidth="1"/>
    <col min="2795" max="2795" width="23.36328125" bestFit="1" customWidth="1"/>
    <col min="2796" max="2796" width="21.1796875" bestFit="1" customWidth="1"/>
    <col min="2797" max="2797" width="23.36328125" bestFit="1" customWidth="1"/>
    <col min="2798" max="2798" width="21.1796875" bestFit="1" customWidth="1"/>
    <col min="2799" max="2799" width="23.36328125" bestFit="1" customWidth="1"/>
    <col min="2800" max="2800" width="25.36328125" bestFit="1" customWidth="1"/>
    <col min="2801" max="2801" width="27.453125" bestFit="1" customWidth="1"/>
    <col min="2802" max="2802" width="21.1796875" bestFit="1" customWidth="1"/>
    <col min="2803" max="2803" width="23.36328125" bestFit="1" customWidth="1"/>
    <col min="2804" max="2804" width="21.1796875" bestFit="1" customWidth="1"/>
    <col min="2805" max="2805" width="23.36328125" bestFit="1" customWidth="1"/>
    <col min="2806" max="2806" width="25.36328125" bestFit="1" customWidth="1"/>
    <col min="2807" max="2807" width="27.453125" bestFit="1" customWidth="1"/>
    <col min="2808" max="2808" width="21.1796875" bestFit="1" customWidth="1"/>
    <col min="2809" max="2809" width="23.36328125" bestFit="1" customWidth="1"/>
    <col min="2810" max="2810" width="21.1796875" bestFit="1" customWidth="1"/>
    <col min="2811" max="2811" width="23.36328125" bestFit="1" customWidth="1"/>
    <col min="2812" max="2812" width="21.1796875" bestFit="1" customWidth="1"/>
    <col min="2813" max="2813" width="23.36328125" bestFit="1" customWidth="1"/>
    <col min="2814" max="2814" width="25.36328125" bestFit="1" customWidth="1"/>
    <col min="2815" max="2815" width="27.453125" bestFit="1" customWidth="1"/>
    <col min="2816" max="2816" width="21.1796875" bestFit="1" customWidth="1"/>
    <col min="2817" max="2817" width="23.36328125" bestFit="1" customWidth="1"/>
    <col min="2818" max="2818" width="21.1796875" bestFit="1" customWidth="1"/>
    <col min="2819" max="2819" width="23.36328125" bestFit="1" customWidth="1"/>
    <col min="2820" max="2820" width="25.36328125" bestFit="1" customWidth="1"/>
    <col min="2821" max="2821" width="27.453125" bestFit="1" customWidth="1"/>
    <col min="2822" max="2822" width="21.1796875" bestFit="1" customWidth="1"/>
    <col min="2823" max="2823" width="23.36328125" bestFit="1" customWidth="1"/>
    <col min="2824" max="2824" width="21.1796875" bestFit="1" customWidth="1"/>
    <col min="2825" max="2825" width="23.36328125" bestFit="1" customWidth="1"/>
    <col min="2826" max="2826" width="21.1796875" bestFit="1" customWidth="1"/>
    <col min="2827" max="2827" width="23.36328125" bestFit="1" customWidth="1"/>
    <col min="2828" max="2828" width="21.1796875" bestFit="1" customWidth="1"/>
    <col min="2829" max="2829" width="23.36328125" bestFit="1" customWidth="1"/>
    <col min="2830" max="2830" width="25.36328125" bestFit="1" customWidth="1"/>
    <col min="2831" max="2831" width="27.453125" bestFit="1" customWidth="1"/>
    <col min="2832" max="2832" width="21.1796875" bestFit="1" customWidth="1"/>
    <col min="2833" max="2833" width="23.36328125" bestFit="1" customWidth="1"/>
    <col min="2834" max="2834" width="21.1796875" bestFit="1" customWidth="1"/>
    <col min="2835" max="2835" width="23.36328125" bestFit="1" customWidth="1"/>
    <col min="2836" max="2836" width="23.81640625" bestFit="1" customWidth="1"/>
    <col min="2837" max="2837" width="25.81640625" bestFit="1" customWidth="1"/>
    <col min="2838" max="2838" width="21.1796875" bestFit="1" customWidth="1"/>
    <col min="2839" max="2839" width="23.36328125" bestFit="1" customWidth="1"/>
    <col min="2840" max="2840" width="21.1796875" bestFit="1" customWidth="1"/>
    <col min="2841" max="2841" width="23.36328125" bestFit="1" customWidth="1"/>
    <col min="2842" max="2842" width="21.1796875" bestFit="1" customWidth="1"/>
    <col min="2843" max="2843" width="23.36328125" bestFit="1" customWidth="1"/>
    <col min="2844" max="2844" width="21.1796875" bestFit="1" customWidth="1"/>
    <col min="2845" max="2845" width="23.36328125" bestFit="1" customWidth="1"/>
    <col min="2846" max="2846" width="21.1796875" bestFit="1" customWidth="1"/>
    <col min="2847" max="2847" width="23.36328125" bestFit="1" customWidth="1"/>
    <col min="2848" max="2848" width="21.1796875" bestFit="1" customWidth="1"/>
    <col min="2849" max="2849" width="23.36328125" bestFit="1" customWidth="1"/>
    <col min="2850" max="2850" width="25.36328125" bestFit="1" customWidth="1"/>
    <col min="2851" max="2851" width="27.453125" bestFit="1" customWidth="1"/>
    <col min="2852" max="2852" width="21.1796875" bestFit="1" customWidth="1"/>
    <col min="2853" max="2853" width="23.36328125" bestFit="1" customWidth="1"/>
    <col min="2854" max="2854" width="21.1796875" bestFit="1" customWidth="1"/>
    <col min="2855" max="2855" width="23.36328125" bestFit="1" customWidth="1"/>
    <col min="2856" max="2856" width="21.1796875" bestFit="1" customWidth="1"/>
    <col min="2857" max="2857" width="23.36328125" bestFit="1" customWidth="1"/>
    <col min="2858" max="2858" width="21.1796875" bestFit="1" customWidth="1"/>
    <col min="2859" max="2859" width="23.36328125" bestFit="1" customWidth="1"/>
    <col min="2860" max="2860" width="25.36328125" bestFit="1" customWidth="1"/>
    <col min="2861" max="2861" width="27.453125" bestFit="1" customWidth="1"/>
    <col min="2862" max="2862" width="21.1796875" bestFit="1" customWidth="1"/>
    <col min="2863" max="2863" width="23.36328125" bestFit="1" customWidth="1"/>
    <col min="2864" max="2864" width="25.36328125" bestFit="1" customWidth="1"/>
    <col min="2865" max="2865" width="27.453125" bestFit="1" customWidth="1"/>
    <col min="2866" max="2866" width="21.1796875" bestFit="1" customWidth="1"/>
    <col min="2867" max="2867" width="23.36328125" bestFit="1" customWidth="1"/>
    <col min="2868" max="2868" width="21.1796875" bestFit="1" customWidth="1"/>
    <col min="2869" max="2869" width="23.36328125" bestFit="1" customWidth="1"/>
    <col min="2870" max="2870" width="25.36328125" bestFit="1" customWidth="1"/>
    <col min="2871" max="2871" width="27.453125" bestFit="1" customWidth="1"/>
    <col min="2872" max="2872" width="21.1796875" bestFit="1" customWidth="1"/>
    <col min="2873" max="2873" width="23.36328125" bestFit="1" customWidth="1"/>
    <col min="2874" max="2874" width="21.1796875" bestFit="1" customWidth="1"/>
    <col min="2875" max="2875" width="23.36328125" bestFit="1" customWidth="1"/>
    <col min="2876" max="2876" width="25.36328125" bestFit="1" customWidth="1"/>
    <col min="2877" max="2877" width="27.453125" bestFit="1" customWidth="1"/>
    <col min="2878" max="2878" width="21.1796875" bestFit="1" customWidth="1"/>
    <col min="2879" max="2879" width="23.36328125" bestFit="1" customWidth="1"/>
    <col min="2880" max="2880" width="25.36328125" bestFit="1" customWidth="1"/>
    <col min="2881" max="2881" width="27.453125" bestFit="1" customWidth="1"/>
    <col min="2882" max="2882" width="21.1796875" bestFit="1" customWidth="1"/>
    <col min="2883" max="2883" width="23.36328125" bestFit="1" customWidth="1"/>
    <col min="2884" max="2884" width="21.1796875" bestFit="1" customWidth="1"/>
    <col min="2885" max="2885" width="23.36328125" bestFit="1" customWidth="1"/>
    <col min="2886" max="2886" width="21.1796875" bestFit="1" customWidth="1"/>
    <col min="2887" max="2887" width="23.36328125" bestFit="1" customWidth="1"/>
    <col min="2888" max="2888" width="25.36328125" bestFit="1" customWidth="1"/>
    <col min="2889" max="2889" width="27.453125" bestFit="1" customWidth="1"/>
    <col min="2890" max="2890" width="21.1796875" bestFit="1" customWidth="1"/>
    <col min="2891" max="2891" width="23.36328125" bestFit="1" customWidth="1"/>
    <col min="2892" max="2892" width="25.36328125" bestFit="1" customWidth="1"/>
    <col min="2893" max="2893" width="27.453125" bestFit="1" customWidth="1"/>
    <col min="2894" max="2894" width="21.1796875" bestFit="1" customWidth="1"/>
    <col min="2895" max="2895" width="23.36328125" bestFit="1" customWidth="1"/>
    <col min="2896" max="2896" width="25.36328125" bestFit="1" customWidth="1"/>
    <col min="2897" max="2897" width="27.453125" bestFit="1" customWidth="1"/>
    <col min="2898" max="2898" width="21.1796875" bestFit="1" customWidth="1"/>
    <col min="2899" max="2899" width="23.36328125" bestFit="1" customWidth="1"/>
    <col min="2900" max="2900" width="21.1796875" bestFit="1" customWidth="1"/>
    <col min="2901" max="2901" width="23.36328125" bestFit="1" customWidth="1"/>
    <col min="2902" max="2902" width="21.1796875" bestFit="1" customWidth="1"/>
    <col min="2903" max="2903" width="23.36328125" bestFit="1" customWidth="1"/>
    <col min="2904" max="2904" width="21.1796875" bestFit="1" customWidth="1"/>
    <col min="2905" max="2905" width="23.36328125" bestFit="1" customWidth="1"/>
    <col min="2906" max="2906" width="21.1796875" bestFit="1" customWidth="1"/>
    <col min="2907" max="2907" width="23.36328125" bestFit="1" customWidth="1"/>
    <col min="2908" max="2908" width="25.36328125" bestFit="1" customWidth="1"/>
    <col min="2909" max="2909" width="27.453125" bestFit="1" customWidth="1"/>
    <col min="2910" max="2910" width="21.1796875" bestFit="1" customWidth="1"/>
    <col min="2911" max="2911" width="23.36328125" bestFit="1" customWidth="1"/>
    <col min="2912" max="2912" width="21.1796875" bestFit="1" customWidth="1"/>
    <col min="2913" max="2913" width="23.36328125" bestFit="1" customWidth="1"/>
    <col min="2914" max="2914" width="21.1796875" bestFit="1" customWidth="1"/>
    <col min="2915" max="2915" width="23.36328125" bestFit="1" customWidth="1"/>
    <col min="2916" max="2916" width="25.36328125" bestFit="1" customWidth="1"/>
    <col min="2917" max="2917" width="27.453125" bestFit="1" customWidth="1"/>
    <col min="2918" max="2918" width="21.1796875" bestFit="1" customWidth="1"/>
    <col min="2919" max="2919" width="23.36328125" bestFit="1" customWidth="1"/>
    <col min="2920" max="2920" width="21.1796875" bestFit="1" customWidth="1"/>
    <col min="2921" max="2921" width="23.36328125" bestFit="1" customWidth="1"/>
    <col min="2922" max="2922" width="21.1796875" bestFit="1" customWidth="1"/>
    <col min="2923" max="2923" width="23.36328125" bestFit="1" customWidth="1"/>
    <col min="2924" max="2924" width="21.1796875" bestFit="1" customWidth="1"/>
    <col min="2925" max="2925" width="23.36328125" bestFit="1" customWidth="1"/>
    <col min="2926" max="2926" width="21.1796875" bestFit="1" customWidth="1"/>
    <col min="2927" max="2927" width="23.36328125" bestFit="1" customWidth="1"/>
    <col min="2928" max="2928" width="21.1796875" bestFit="1" customWidth="1"/>
    <col min="2929" max="2929" width="23.36328125" bestFit="1" customWidth="1"/>
    <col min="2930" max="2930" width="21.1796875" bestFit="1" customWidth="1"/>
    <col min="2931" max="2931" width="23.36328125" bestFit="1" customWidth="1"/>
    <col min="2932" max="2932" width="21.1796875" bestFit="1" customWidth="1"/>
    <col min="2933" max="2933" width="23.36328125" bestFit="1" customWidth="1"/>
    <col min="2934" max="2934" width="21.1796875" bestFit="1" customWidth="1"/>
    <col min="2935" max="2935" width="23.36328125" bestFit="1" customWidth="1"/>
    <col min="2936" max="2936" width="21.1796875" bestFit="1" customWidth="1"/>
    <col min="2937" max="2937" width="23.36328125" bestFit="1" customWidth="1"/>
    <col min="2938" max="2938" width="21.1796875" bestFit="1" customWidth="1"/>
    <col min="2939" max="2939" width="23.36328125" bestFit="1" customWidth="1"/>
    <col min="2940" max="2940" width="21.1796875" bestFit="1" customWidth="1"/>
    <col min="2941" max="2941" width="23.36328125" bestFit="1" customWidth="1"/>
    <col min="2942" max="2942" width="21.1796875" bestFit="1" customWidth="1"/>
    <col min="2943" max="2943" width="23.36328125" bestFit="1" customWidth="1"/>
    <col min="2944" max="2944" width="21.1796875" bestFit="1" customWidth="1"/>
    <col min="2945" max="2945" width="23.36328125" bestFit="1" customWidth="1"/>
    <col min="2946" max="2946" width="25.36328125" bestFit="1" customWidth="1"/>
    <col min="2947" max="2947" width="27.453125" bestFit="1" customWidth="1"/>
    <col min="2948" max="2948" width="21.1796875" bestFit="1" customWidth="1"/>
    <col min="2949" max="2949" width="23.36328125" bestFit="1" customWidth="1"/>
    <col min="2950" max="2950" width="21.1796875" bestFit="1" customWidth="1"/>
    <col min="2951" max="2951" width="23.36328125" bestFit="1" customWidth="1"/>
    <col min="2952" max="2952" width="25.36328125" bestFit="1" customWidth="1"/>
    <col min="2953" max="2953" width="27.453125" bestFit="1" customWidth="1"/>
    <col min="2954" max="2954" width="21.1796875" bestFit="1" customWidth="1"/>
    <col min="2955" max="2955" width="23.36328125" bestFit="1" customWidth="1"/>
    <col min="2956" max="2956" width="25.36328125" bestFit="1" customWidth="1"/>
    <col min="2957" max="2957" width="27.453125" bestFit="1" customWidth="1"/>
    <col min="2958" max="2958" width="21.1796875" bestFit="1" customWidth="1"/>
    <col min="2959" max="2959" width="23.36328125" bestFit="1" customWidth="1"/>
    <col min="2960" max="2960" width="25.36328125" bestFit="1" customWidth="1"/>
    <col min="2961" max="2961" width="27.453125" bestFit="1" customWidth="1"/>
    <col min="2962" max="2962" width="21.1796875" bestFit="1" customWidth="1"/>
    <col min="2963" max="2963" width="23.36328125" bestFit="1" customWidth="1"/>
    <col min="2964" max="2964" width="23.81640625" bestFit="1" customWidth="1"/>
    <col min="2965" max="2965" width="25.81640625" bestFit="1" customWidth="1"/>
    <col min="2966" max="2966" width="21.1796875" bestFit="1" customWidth="1"/>
    <col min="2967" max="2967" width="23.36328125" bestFit="1" customWidth="1"/>
    <col min="2968" max="2968" width="21.1796875" bestFit="1" customWidth="1"/>
    <col min="2969" max="2969" width="23.36328125" bestFit="1" customWidth="1"/>
    <col min="2970" max="2970" width="25.36328125" bestFit="1" customWidth="1"/>
    <col min="2971" max="2971" width="27.453125" bestFit="1" customWidth="1"/>
    <col min="2972" max="2972" width="21.1796875" bestFit="1" customWidth="1"/>
    <col min="2973" max="2973" width="23.36328125" bestFit="1" customWidth="1"/>
    <col min="2974" max="2974" width="21.1796875" bestFit="1" customWidth="1"/>
    <col min="2975" max="2975" width="23.36328125" bestFit="1" customWidth="1"/>
    <col min="2976" max="2976" width="21.1796875" bestFit="1" customWidth="1"/>
    <col min="2977" max="2977" width="23.36328125" bestFit="1" customWidth="1"/>
    <col min="2978" max="2978" width="25.36328125" bestFit="1" customWidth="1"/>
    <col min="2979" max="2979" width="27.453125" bestFit="1" customWidth="1"/>
    <col min="2980" max="2980" width="21.1796875" bestFit="1" customWidth="1"/>
    <col min="2981" max="2981" width="23.36328125" bestFit="1" customWidth="1"/>
    <col min="2982" max="2982" width="21.1796875" bestFit="1" customWidth="1"/>
    <col min="2983" max="2983" width="23.36328125" bestFit="1" customWidth="1"/>
    <col min="2984" max="2984" width="21.1796875" bestFit="1" customWidth="1"/>
    <col min="2985" max="2985" width="23.36328125" bestFit="1" customWidth="1"/>
    <col min="2986" max="2986" width="21.1796875" bestFit="1" customWidth="1"/>
    <col min="2987" max="2987" width="23.36328125" bestFit="1" customWidth="1"/>
    <col min="2988" max="2988" width="21.1796875" bestFit="1" customWidth="1"/>
    <col min="2989" max="2989" width="23.36328125" bestFit="1" customWidth="1"/>
    <col min="2990" max="2990" width="21.1796875" bestFit="1" customWidth="1"/>
    <col min="2991" max="2991" width="23.36328125" bestFit="1" customWidth="1"/>
    <col min="2992" max="2992" width="21.1796875" bestFit="1" customWidth="1"/>
    <col min="2993" max="2993" width="23.36328125" bestFit="1" customWidth="1"/>
    <col min="2994" max="2994" width="21.1796875" bestFit="1" customWidth="1"/>
    <col min="2995" max="2995" width="23.36328125" bestFit="1" customWidth="1"/>
    <col min="2996" max="2996" width="25.36328125" bestFit="1" customWidth="1"/>
    <col min="2997" max="2997" width="27.453125" bestFit="1" customWidth="1"/>
    <col min="2998" max="2998" width="21.1796875" bestFit="1" customWidth="1"/>
    <col min="2999" max="2999" width="23.36328125" bestFit="1" customWidth="1"/>
    <col min="3000" max="3000" width="21.1796875" bestFit="1" customWidth="1"/>
    <col min="3001" max="3001" width="23.36328125" bestFit="1" customWidth="1"/>
    <col min="3002" max="3002" width="25.36328125" bestFit="1" customWidth="1"/>
    <col min="3003" max="3003" width="27.453125" bestFit="1" customWidth="1"/>
    <col min="3004" max="3004" width="21.1796875" bestFit="1" customWidth="1"/>
    <col min="3005" max="3005" width="23.36328125" bestFit="1" customWidth="1"/>
    <col min="3006" max="3006" width="21.1796875" bestFit="1" customWidth="1"/>
    <col min="3007" max="3007" width="23.36328125" bestFit="1" customWidth="1"/>
    <col min="3008" max="3008" width="25.36328125" bestFit="1" customWidth="1"/>
    <col min="3009" max="3009" width="27.453125" bestFit="1" customWidth="1"/>
    <col min="3010" max="3010" width="21.1796875" bestFit="1" customWidth="1"/>
    <col min="3011" max="3011" width="23.36328125" bestFit="1" customWidth="1"/>
    <col min="3012" max="3012" width="21.1796875" bestFit="1" customWidth="1"/>
    <col min="3013" max="3013" width="23.36328125" bestFit="1" customWidth="1"/>
    <col min="3014" max="3014" width="21.1796875" bestFit="1" customWidth="1"/>
    <col min="3015" max="3015" width="23.36328125" bestFit="1" customWidth="1"/>
    <col min="3016" max="3016" width="25.36328125" bestFit="1" customWidth="1"/>
    <col min="3017" max="3017" width="27.453125" bestFit="1" customWidth="1"/>
    <col min="3018" max="3018" width="21.1796875" bestFit="1" customWidth="1"/>
    <col min="3019" max="3019" width="23.36328125" bestFit="1" customWidth="1"/>
    <col min="3020" max="3020" width="23.81640625" bestFit="1" customWidth="1"/>
    <col min="3021" max="3021" width="25.81640625" bestFit="1" customWidth="1"/>
    <col min="3022" max="3022" width="21.1796875" bestFit="1" customWidth="1"/>
    <col min="3023" max="3023" width="23.36328125" bestFit="1" customWidth="1"/>
    <col min="3024" max="3024" width="25.36328125" bestFit="1" customWidth="1"/>
    <col min="3025" max="3025" width="27.453125" bestFit="1" customWidth="1"/>
    <col min="3026" max="3026" width="21.1796875" bestFit="1" customWidth="1"/>
    <col min="3027" max="3027" width="23.36328125" bestFit="1" customWidth="1"/>
    <col min="3028" max="3028" width="21.1796875" bestFit="1" customWidth="1"/>
    <col min="3029" max="3029" width="23.36328125" bestFit="1" customWidth="1"/>
    <col min="3030" max="3030" width="25.36328125" bestFit="1" customWidth="1"/>
    <col min="3031" max="3031" width="27.453125" bestFit="1" customWidth="1"/>
    <col min="3032" max="3032" width="21.1796875" bestFit="1" customWidth="1"/>
    <col min="3033" max="3033" width="23.36328125" bestFit="1" customWidth="1"/>
    <col min="3034" max="3034" width="21.1796875" bestFit="1" customWidth="1"/>
    <col min="3035" max="3035" width="23.36328125" bestFit="1" customWidth="1"/>
    <col min="3036" max="3036" width="25.36328125" bestFit="1" customWidth="1"/>
    <col min="3037" max="3037" width="27.453125" bestFit="1" customWidth="1"/>
    <col min="3038" max="3038" width="21.1796875" bestFit="1" customWidth="1"/>
    <col min="3039" max="3039" width="23.36328125" bestFit="1" customWidth="1"/>
    <col min="3040" max="3040" width="21.1796875" bestFit="1" customWidth="1"/>
    <col min="3041" max="3041" width="23.36328125" bestFit="1" customWidth="1"/>
    <col min="3042" max="3042" width="21.1796875" bestFit="1" customWidth="1"/>
    <col min="3043" max="3043" width="23.36328125" bestFit="1" customWidth="1"/>
    <col min="3044" max="3044" width="25.36328125" bestFit="1" customWidth="1"/>
    <col min="3045" max="3045" width="27.453125" bestFit="1" customWidth="1"/>
    <col min="3046" max="3046" width="21.1796875" bestFit="1" customWidth="1"/>
    <col min="3047" max="3047" width="23.36328125" bestFit="1" customWidth="1"/>
    <col min="3048" max="3048" width="21.1796875" bestFit="1" customWidth="1"/>
    <col min="3049" max="3049" width="23.36328125" bestFit="1" customWidth="1"/>
    <col min="3050" max="3050" width="25.36328125" bestFit="1" customWidth="1"/>
    <col min="3051" max="3051" width="27.453125" bestFit="1" customWidth="1"/>
    <col min="3052" max="3052" width="21.1796875" bestFit="1" customWidth="1"/>
    <col min="3053" max="3053" width="23.36328125" bestFit="1" customWidth="1"/>
    <col min="3054" max="3054" width="25.36328125" bestFit="1" customWidth="1"/>
    <col min="3055" max="3055" width="27.453125" bestFit="1" customWidth="1"/>
    <col min="3056" max="3056" width="21.1796875" bestFit="1" customWidth="1"/>
    <col min="3057" max="3057" width="23.36328125" bestFit="1" customWidth="1"/>
    <col min="3058" max="3058" width="25.36328125" bestFit="1" customWidth="1"/>
    <col min="3059" max="3059" width="27.453125" bestFit="1" customWidth="1"/>
    <col min="3060" max="3060" width="21.1796875" bestFit="1" customWidth="1"/>
    <col min="3061" max="3061" width="23.36328125" bestFit="1" customWidth="1"/>
    <col min="3062" max="3062" width="21.1796875" bestFit="1" customWidth="1"/>
    <col min="3063" max="3063" width="23.36328125" bestFit="1" customWidth="1"/>
    <col min="3064" max="3064" width="25.36328125" bestFit="1" customWidth="1"/>
    <col min="3065" max="3065" width="27.453125" bestFit="1" customWidth="1"/>
    <col min="3066" max="3066" width="21.1796875" bestFit="1" customWidth="1"/>
    <col min="3067" max="3067" width="23.36328125" bestFit="1" customWidth="1"/>
    <col min="3068" max="3068" width="25.36328125" bestFit="1" customWidth="1"/>
    <col min="3069" max="3069" width="27.453125" bestFit="1" customWidth="1"/>
    <col min="3070" max="3070" width="21.1796875" bestFit="1" customWidth="1"/>
    <col min="3071" max="3071" width="23.36328125" bestFit="1" customWidth="1"/>
    <col min="3072" max="3072" width="25.36328125" bestFit="1" customWidth="1"/>
    <col min="3073" max="3073" width="27.453125" bestFit="1" customWidth="1"/>
    <col min="3074" max="3074" width="21.1796875" bestFit="1" customWidth="1"/>
    <col min="3075" max="3075" width="23.36328125" bestFit="1" customWidth="1"/>
    <col min="3076" max="3076" width="21.1796875" bestFit="1" customWidth="1"/>
    <col min="3077" max="3077" width="23.36328125" bestFit="1" customWidth="1"/>
    <col min="3078" max="3078" width="21.1796875" bestFit="1" customWidth="1"/>
    <col min="3079" max="3079" width="23.36328125" bestFit="1" customWidth="1"/>
    <col min="3080" max="3080" width="25.36328125" bestFit="1" customWidth="1"/>
    <col min="3081" max="3081" width="27.453125" bestFit="1" customWidth="1"/>
    <col min="3082" max="3082" width="21.1796875" bestFit="1" customWidth="1"/>
    <col min="3083" max="3083" width="23.36328125" bestFit="1" customWidth="1"/>
    <col min="3084" max="3084" width="21.1796875" bestFit="1" customWidth="1"/>
    <col min="3085" max="3085" width="23.36328125" bestFit="1" customWidth="1"/>
    <col min="3086" max="3086" width="21.1796875" bestFit="1" customWidth="1"/>
    <col min="3087" max="3087" width="23.36328125" bestFit="1" customWidth="1"/>
    <col min="3088" max="3088" width="21.1796875" bestFit="1" customWidth="1"/>
    <col min="3089" max="3089" width="23.36328125" bestFit="1" customWidth="1"/>
    <col min="3090" max="3090" width="21.1796875" bestFit="1" customWidth="1"/>
    <col min="3091" max="3091" width="23.36328125" bestFit="1" customWidth="1"/>
    <col min="3092" max="3092" width="21.1796875" bestFit="1" customWidth="1"/>
    <col min="3093" max="3093" width="23.36328125" bestFit="1" customWidth="1"/>
    <col min="3094" max="3094" width="25.36328125" bestFit="1" customWidth="1"/>
    <col min="3095" max="3095" width="27.453125" bestFit="1" customWidth="1"/>
    <col min="3096" max="3096" width="21.1796875" bestFit="1" customWidth="1"/>
    <col min="3097" max="3097" width="23.36328125" bestFit="1" customWidth="1"/>
    <col min="3098" max="3098" width="21.1796875" bestFit="1" customWidth="1"/>
    <col min="3099" max="3099" width="23.36328125" bestFit="1" customWidth="1"/>
    <col min="3100" max="3100" width="25.36328125" bestFit="1" customWidth="1"/>
    <col min="3101" max="3101" width="27.453125" bestFit="1" customWidth="1"/>
    <col min="3102" max="3102" width="21.1796875" bestFit="1" customWidth="1"/>
    <col min="3103" max="3103" width="23.36328125" bestFit="1" customWidth="1"/>
    <col min="3104" max="3104" width="25.36328125" bestFit="1" customWidth="1"/>
    <col min="3105" max="3105" width="27.453125" bestFit="1" customWidth="1"/>
    <col min="3106" max="3106" width="21.1796875" bestFit="1" customWidth="1"/>
    <col min="3107" max="3107" width="23.36328125" bestFit="1" customWidth="1"/>
    <col min="3108" max="3108" width="21.1796875" bestFit="1" customWidth="1"/>
    <col min="3109" max="3109" width="23.36328125" bestFit="1" customWidth="1"/>
    <col min="3110" max="3110" width="23.81640625" bestFit="1" customWidth="1"/>
    <col min="3111" max="3111" width="25.81640625" bestFit="1" customWidth="1"/>
    <col min="3112" max="3112" width="21.1796875" bestFit="1" customWidth="1"/>
    <col min="3113" max="3113" width="23.36328125" bestFit="1" customWidth="1"/>
    <col min="3114" max="3114" width="25.36328125" bestFit="1" customWidth="1"/>
    <col min="3115" max="3115" width="27.453125" bestFit="1" customWidth="1"/>
    <col min="3116" max="3116" width="21.1796875" bestFit="1" customWidth="1"/>
    <col min="3117" max="3117" width="23.36328125" bestFit="1" customWidth="1"/>
    <col min="3118" max="3118" width="21.1796875" bestFit="1" customWidth="1"/>
    <col min="3119" max="3119" width="23.36328125" bestFit="1" customWidth="1"/>
    <col min="3120" max="3120" width="21.1796875" bestFit="1" customWidth="1"/>
    <col min="3121" max="3121" width="23.36328125" bestFit="1" customWidth="1"/>
    <col min="3122" max="3122" width="25.36328125" bestFit="1" customWidth="1"/>
    <col min="3123" max="3123" width="27.453125" bestFit="1" customWidth="1"/>
    <col min="3124" max="3124" width="21.1796875" bestFit="1" customWidth="1"/>
    <col min="3125" max="3125" width="23.36328125" bestFit="1" customWidth="1"/>
    <col min="3126" max="3126" width="21.1796875" bestFit="1" customWidth="1"/>
    <col min="3127" max="3127" width="23.36328125" bestFit="1" customWidth="1"/>
    <col min="3128" max="3128" width="21.1796875" bestFit="1" customWidth="1"/>
    <col min="3129" max="3129" width="23.36328125" bestFit="1" customWidth="1"/>
    <col min="3130" max="3130" width="21.1796875" bestFit="1" customWidth="1"/>
    <col min="3131" max="3131" width="23.36328125" bestFit="1" customWidth="1"/>
    <col min="3132" max="3132" width="25.36328125" bestFit="1" customWidth="1"/>
    <col min="3133" max="3133" width="27.453125" bestFit="1" customWidth="1"/>
    <col min="3134" max="3134" width="21.1796875" bestFit="1" customWidth="1"/>
    <col min="3135" max="3135" width="23.36328125" bestFit="1" customWidth="1"/>
    <col min="3136" max="3136" width="21.1796875" bestFit="1" customWidth="1"/>
    <col min="3137" max="3137" width="23.36328125" bestFit="1" customWidth="1"/>
    <col min="3138" max="3138" width="21.1796875" bestFit="1" customWidth="1"/>
    <col min="3139" max="3139" width="23.36328125" bestFit="1" customWidth="1"/>
    <col min="3140" max="3140" width="25.36328125" bestFit="1" customWidth="1"/>
    <col min="3141" max="3141" width="27.453125" bestFit="1" customWidth="1"/>
    <col min="3142" max="3142" width="21.1796875" bestFit="1" customWidth="1"/>
    <col min="3143" max="3143" width="23.36328125" bestFit="1" customWidth="1"/>
    <col min="3144" max="3144" width="25.36328125" bestFit="1" customWidth="1"/>
    <col min="3145" max="3145" width="27.453125" bestFit="1" customWidth="1"/>
    <col min="3146" max="3146" width="21.1796875" bestFit="1" customWidth="1"/>
    <col min="3147" max="3147" width="23.36328125" bestFit="1" customWidth="1"/>
    <col min="3148" max="3148" width="25.36328125" bestFit="1" customWidth="1"/>
    <col min="3149" max="3149" width="27.453125" bestFit="1" customWidth="1"/>
    <col min="3150" max="3150" width="21.1796875" bestFit="1" customWidth="1"/>
    <col min="3151" max="3151" width="23.36328125" bestFit="1" customWidth="1"/>
    <col min="3152" max="3152" width="21.1796875" bestFit="1" customWidth="1"/>
    <col min="3153" max="3153" width="23.36328125" bestFit="1" customWidth="1"/>
    <col min="3154" max="3154" width="21.1796875" bestFit="1" customWidth="1"/>
    <col min="3155" max="3155" width="23.36328125" bestFit="1" customWidth="1"/>
    <col min="3156" max="3156" width="21.1796875" bestFit="1" customWidth="1"/>
    <col min="3157" max="3157" width="23.36328125" bestFit="1" customWidth="1"/>
    <col min="3158" max="3158" width="21.1796875" bestFit="1" customWidth="1"/>
    <col min="3159" max="3159" width="23.36328125" bestFit="1" customWidth="1"/>
    <col min="3160" max="3160" width="21.1796875" bestFit="1" customWidth="1"/>
    <col min="3161" max="3161" width="23.36328125" bestFit="1" customWidth="1"/>
    <col min="3162" max="3162" width="25.36328125" bestFit="1" customWidth="1"/>
    <col min="3163" max="3163" width="27.453125" bestFit="1" customWidth="1"/>
    <col min="3164" max="3164" width="21.1796875" bestFit="1" customWidth="1"/>
    <col min="3165" max="3165" width="23.36328125" bestFit="1" customWidth="1"/>
    <col min="3166" max="3166" width="21.1796875" bestFit="1" customWidth="1"/>
    <col min="3167" max="3167" width="23.36328125" bestFit="1" customWidth="1"/>
    <col min="3168" max="3168" width="21.1796875" bestFit="1" customWidth="1"/>
    <col min="3169" max="3169" width="23.36328125" bestFit="1" customWidth="1"/>
    <col min="3170" max="3170" width="21.1796875" bestFit="1" customWidth="1"/>
    <col min="3171" max="3171" width="23.36328125" bestFit="1" customWidth="1"/>
    <col min="3172" max="3172" width="21.1796875" bestFit="1" customWidth="1"/>
    <col min="3173" max="3173" width="23.36328125" bestFit="1" customWidth="1"/>
    <col min="3174" max="3174" width="21.1796875" bestFit="1" customWidth="1"/>
    <col min="3175" max="3175" width="23.36328125" bestFit="1" customWidth="1"/>
    <col min="3176" max="3176" width="23.81640625" bestFit="1" customWidth="1"/>
    <col min="3177" max="3177" width="25.81640625" bestFit="1" customWidth="1"/>
    <col min="3178" max="3178" width="21.1796875" bestFit="1" customWidth="1"/>
    <col min="3179" max="3179" width="23.36328125" bestFit="1" customWidth="1"/>
    <col min="3180" max="3180" width="21.1796875" bestFit="1" customWidth="1"/>
    <col min="3181" max="3181" width="23.36328125" bestFit="1" customWidth="1"/>
    <col min="3182" max="3182" width="25.36328125" bestFit="1" customWidth="1"/>
    <col min="3183" max="3183" width="27.453125" bestFit="1" customWidth="1"/>
    <col min="3184" max="3184" width="21.1796875" bestFit="1" customWidth="1"/>
    <col min="3185" max="3185" width="23.36328125" bestFit="1" customWidth="1"/>
    <col min="3186" max="3186" width="21.1796875" bestFit="1" customWidth="1"/>
    <col min="3187" max="3187" width="23.36328125" bestFit="1" customWidth="1"/>
    <col min="3188" max="3188" width="21.1796875" bestFit="1" customWidth="1"/>
    <col min="3189" max="3189" width="23.36328125" bestFit="1" customWidth="1"/>
    <col min="3190" max="3190" width="21.1796875" bestFit="1" customWidth="1"/>
    <col min="3191" max="3191" width="23.36328125" bestFit="1" customWidth="1"/>
    <col min="3192" max="3192" width="21.1796875" bestFit="1" customWidth="1"/>
    <col min="3193" max="3193" width="23.36328125" bestFit="1" customWidth="1"/>
    <col min="3194" max="3194" width="21.1796875" bestFit="1" customWidth="1"/>
    <col min="3195" max="3195" width="23.36328125" bestFit="1" customWidth="1"/>
    <col min="3196" max="3196" width="25.36328125" bestFit="1" customWidth="1"/>
    <col min="3197" max="3197" width="27.453125" bestFit="1" customWidth="1"/>
    <col min="3198" max="3198" width="21.1796875" bestFit="1" customWidth="1"/>
    <col min="3199" max="3199" width="23.36328125" bestFit="1" customWidth="1"/>
    <col min="3200" max="3200" width="21.1796875" bestFit="1" customWidth="1"/>
    <col min="3201" max="3201" width="23.36328125" bestFit="1" customWidth="1"/>
    <col min="3202" max="3202" width="25.36328125" bestFit="1" customWidth="1"/>
    <col min="3203" max="3203" width="27.453125" bestFit="1" customWidth="1"/>
    <col min="3204" max="3204" width="21.1796875" bestFit="1" customWidth="1"/>
    <col min="3205" max="3205" width="23.36328125" bestFit="1" customWidth="1"/>
    <col min="3206" max="3206" width="25.36328125" bestFit="1" customWidth="1"/>
    <col min="3207" max="3207" width="27.453125" bestFit="1" customWidth="1"/>
    <col min="3208" max="3208" width="21.1796875" bestFit="1" customWidth="1"/>
    <col min="3209" max="3209" width="23.36328125" bestFit="1" customWidth="1"/>
    <col min="3210" max="3210" width="21.1796875" bestFit="1" customWidth="1"/>
    <col min="3211" max="3211" width="23.36328125" bestFit="1" customWidth="1"/>
    <col min="3212" max="3212" width="21.1796875" bestFit="1" customWidth="1"/>
    <col min="3213" max="3213" width="23.36328125" bestFit="1" customWidth="1"/>
    <col min="3214" max="3214" width="25.36328125" bestFit="1" customWidth="1"/>
    <col min="3215" max="3215" width="27.453125" bestFit="1" customWidth="1"/>
    <col min="3216" max="3216" width="21.1796875" bestFit="1" customWidth="1"/>
    <col min="3217" max="3217" width="23.36328125" bestFit="1" customWidth="1"/>
    <col min="3218" max="3218" width="25.36328125" bestFit="1" customWidth="1"/>
    <col min="3219" max="3219" width="27.453125" bestFit="1" customWidth="1"/>
    <col min="3220" max="3220" width="21.1796875" bestFit="1" customWidth="1"/>
    <col min="3221" max="3221" width="23.36328125" bestFit="1" customWidth="1"/>
    <col min="3222" max="3222" width="21.1796875" bestFit="1" customWidth="1"/>
    <col min="3223" max="3223" width="23.36328125" bestFit="1" customWidth="1"/>
    <col min="3224" max="3224" width="21.1796875" bestFit="1" customWidth="1"/>
    <col min="3225" max="3225" width="23.36328125" bestFit="1" customWidth="1"/>
    <col min="3226" max="3226" width="21.1796875" bestFit="1" customWidth="1"/>
    <col min="3227" max="3227" width="23.36328125" bestFit="1" customWidth="1"/>
    <col min="3228" max="3228" width="25.36328125" bestFit="1" customWidth="1"/>
    <col min="3229" max="3229" width="27.453125" bestFit="1" customWidth="1"/>
    <col min="3230" max="3230" width="21.1796875" bestFit="1" customWidth="1"/>
    <col min="3231" max="3231" width="23.36328125" bestFit="1" customWidth="1"/>
    <col min="3232" max="3232" width="21.1796875" bestFit="1" customWidth="1"/>
    <col min="3233" max="3233" width="23.36328125" bestFit="1" customWidth="1"/>
    <col min="3234" max="3234" width="21.1796875" bestFit="1" customWidth="1"/>
    <col min="3235" max="3235" width="23.36328125" bestFit="1" customWidth="1"/>
    <col min="3236" max="3236" width="23.81640625" bestFit="1" customWidth="1"/>
    <col min="3237" max="3237" width="25.81640625" bestFit="1" customWidth="1"/>
    <col min="3238" max="3238" width="21.1796875" bestFit="1" customWidth="1"/>
    <col min="3239" max="3239" width="23.36328125" bestFit="1" customWidth="1"/>
    <col min="3240" max="3240" width="21.1796875" bestFit="1" customWidth="1"/>
    <col min="3241" max="3241" width="23.36328125" bestFit="1" customWidth="1"/>
    <col min="3242" max="3242" width="25.36328125" bestFit="1" customWidth="1"/>
    <col min="3243" max="3243" width="27.453125" bestFit="1" customWidth="1"/>
    <col min="3244" max="3244" width="21.1796875" bestFit="1" customWidth="1"/>
    <col min="3245" max="3245" width="23.36328125" bestFit="1" customWidth="1"/>
    <col min="3246" max="3246" width="21.1796875" bestFit="1" customWidth="1"/>
    <col min="3247" max="3247" width="23.36328125" bestFit="1" customWidth="1"/>
    <col min="3248" max="3248" width="25.36328125" bestFit="1" customWidth="1"/>
    <col min="3249" max="3249" width="27.453125" bestFit="1" customWidth="1"/>
    <col min="3250" max="3250" width="21.1796875" bestFit="1" customWidth="1"/>
    <col min="3251" max="3251" width="23.36328125" bestFit="1" customWidth="1"/>
    <col min="3252" max="3252" width="25.36328125" bestFit="1" customWidth="1"/>
    <col min="3253" max="3253" width="27.453125" bestFit="1" customWidth="1"/>
    <col min="3254" max="3254" width="21.1796875" bestFit="1" customWidth="1"/>
    <col min="3255" max="3255" width="23.36328125" bestFit="1" customWidth="1"/>
    <col min="3256" max="3256" width="25.36328125" bestFit="1" customWidth="1"/>
    <col min="3257" max="3257" width="27.453125" bestFit="1" customWidth="1"/>
    <col min="3258" max="3258" width="21.1796875" bestFit="1" customWidth="1"/>
    <col min="3259" max="3259" width="23.36328125" bestFit="1" customWidth="1"/>
    <col min="3260" max="3260" width="21.1796875" bestFit="1" customWidth="1"/>
    <col min="3261" max="3261" width="23.36328125" bestFit="1" customWidth="1"/>
    <col min="3262" max="3262" width="21.1796875" bestFit="1" customWidth="1"/>
    <col min="3263" max="3263" width="23.36328125" bestFit="1" customWidth="1"/>
    <col min="3264" max="3264" width="21.1796875" bestFit="1" customWidth="1"/>
    <col min="3265" max="3265" width="23.36328125" bestFit="1" customWidth="1"/>
    <col min="3266" max="3266" width="25.36328125" bestFit="1" customWidth="1"/>
    <col min="3267" max="3267" width="27.453125" bestFit="1" customWidth="1"/>
    <col min="3268" max="3268" width="21.1796875" bestFit="1" customWidth="1"/>
    <col min="3269" max="3269" width="23.36328125" bestFit="1" customWidth="1"/>
    <col min="3270" max="3270" width="23.81640625" bestFit="1" customWidth="1"/>
    <col min="3271" max="3271" width="25.81640625" bestFit="1" customWidth="1"/>
    <col min="3272" max="3272" width="21.1796875" bestFit="1" customWidth="1"/>
    <col min="3273" max="3273" width="23.36328125" bestFit="1" customWidth="1"/>
    <col min="3274" max="3274" width="25.36328125" bestFit="1" customWidth="1"/>
    <col min="3275" max="3275" width="27.453125" bestFit="1" customWidth="1"/>
    <col min="3276" max="3276" width="21.1796875" bestFit="1" customWidth="1"/>
    <col min="3277" max="3277" width="23.36328125" bestFit="1" customWidth="1"/>
    <col min="3278" max="3278" width="21.1796875" bestFit="1" customWidth="1"/>
    <col min="3279" max="3279" width="23.36328125" bestFit="1" customWidth="1"/>
    <col min="3280" max="3280" width="25.36328125" bestFit="1" customWidth="1"/>
    <col min="3281" max="3281" width="27.453125" bestFit="1" customWidth="1"/>
    <col min="3282" max="3282" width="21.1796875" bestFit="1" customWidth="1"/>
    <col min="3283" max="3283" width="23.36328125" bestFit="1" customWidth="1"/>
    <col min="3284" max="3284" width="21.1796875" bestFit="1" customWidth="1"/>
    <col min="3285" max="3285" width="23.36328125" bestFit="1" customWidth="1"/>
    <col min="3286" max="3286" width="25.36328125" bestFit="1" customWidth="1"/>
    <col min="3287" max="3287" width="27.453125" bestFit="1" customWidth="1"/>
    <col min="3288" max="3288" width="21.1796875" bestFit="1" customWidth="1"/>
    <col min="3289" max="3289" width="23.36328125" bestFit="1" customWidth="1"/>
    <col min="3290" max="3290" width="25.36328125" bestFit="1" customWidth="1"/>
    <col min="3291" max="3291" width="27.453125" bestFit="1" customWidth="1"/>
    <col min="3292" max="3292" width="21.1796875" bestFit="1" customWidth="1"/>
    <col min="3293" max="3293" width="23.36328125" bestFit="1" customWidth="1"/>
    <col min="3294" max="3294" width="25.36328125" bestFit="1" customWidth="1"/>
    <col min="3295" max="3295" width="27.453125" bestFit="1" customWidth="1"/>
    <col min="3296" max="3296" width="21.1796875" bestFit="1" customWidth="1"/>
    <col min="3297" max="3297" width="23.36328125" bestFit="1" customWidth="1"/>
    <col min="3298" max="3298" width="25.36328125" bestFit="1" customWidth="1"/>
    <col min="3299" max="3299" width="27.453125" bestFit="1" customWidth="1"/>
    <col min="3300" max="3300" width="21.1796875" bestFit="1" customWidth="1"/>
    <col min="3301" max="3301" width="23.36328125" bestFit="1" customWidth="1"/>
    <col min="3302" max="3302" width="25.36328125" bestFit="1" customWidth="1"/>
    <col min="3303" max="3303" width="27.453125" bestFit="1" customWidth="1"/>
    <col min="3304" max="3304" width="21.1796875" bestFit="1" customWidth="1"/>
    <col min="3305" max="3305" width="23.36328125" bestFit="1" customWidth="1"/>
    <col min="3306" max="3306" width="25.36328125" bestFit="1" customWidth="1"/>
    <col min="3307" max="3307" width="27.453125" bestFit="1" customWidth="1"/>
    <col min="3308" max="3308" width="21.1796875" bestFit="1" customWidth="1"/>
    <col min="3309" max="3309" width="23.36328125" bestFit="1" customWidth="1"/>
    <col min="3310" max="3310" width="21.1796875" bestFit="1" customWidth="1"/>
    <col min="3311" max="3311" width="23.36328125" bestFit="1" customWidth="1"/>
    <col min="3312" max="3312" width="23.81640625" bestFit="1" customWidth="1"/>
    <col min="3313" max="3313" width="25.81640625" bestFit="1" customWidth="1"/>
    <col min="3314" max="3314" width="21.1796875" bestFit="1" customWidth="1"/>
    <col min="3315" max="3315" width="23.36328125" bestFit="1" customWidth="1"/>
    <col min="3316" max="3316" width="25.36328125" bestFit="1" customWidth="1"/>
    <col min="3317" max="3317" width="27.453125" bestFit="1" customWidth="1"/>
    <col min="3318" max="3318" width="21.1796875" bestFit="1" customWidth="1"/>
    <col min="3319" max="3319" width="23.36328125" bestFit="1" customWidth="1"/>
    <col min="3320" max="3320" width="25.36328125" bestFit="1" customWidth="1"/>
    <col min="3321" max="3321" width="27.453125" bestFit="1" customWidth="1"/>
    <col min="3322" max="3322" width="21.1796875" bestFit="1" customWidth="1"/>
    <col min="3323" max="3323" width="23.36328125" bestFit="1" customWidth="1"/>
    <col min="3324" max="3324" width="21.1796875" bestFit="1" customWidth="1"/>
    <col min="3325" max="3325" width="23.36328125" bestFit="1" customWidth="1"/>
    <col min="3326" max="3326" width="21.1796875" bestFit="1" customWidth="1"/>
    <col min="3327" max="3327" width="23.36328125" bestFit="1" customWidth="1"/>
    <col min="3328" max="3328" width="21.1796875" bestFit="1" customWidth="1"/>
    <col min="3329" max="3329" width="23.36328125" bestFit="1" customWidth="1"/>
    <col min="3330" max="3330" width="25.36328125" bestFit="1" customWidth="1"/>
    <col min="3331" max="3331" width="27.453125" bestFit="1" customWidth="1"/>
    <col min="3332" max="3332" width="21.1796875" bestFit="1" customWidth="1"/>
    <col min="3333" max="3333" width="23.36328125" bestFit="1" customWidth="1"/>
    <col min="3334" max="3334" width="21.1796875" bestFit="1" customWidth="1"/>
    <col min="3335" max="3335" width="23.36328125" bestFit="1" customWidth="1"/>
    <col min="3336" max="3336" width="21.1796875" bestFit="1" customWidth="1"/>
    <col min="3337" max="3337" width="23.36328125" bestFit="1" customWidth="1"/>
    <col min="3338" max="3338" width="25.36328125" bestFit="1" customWidth="1"/>
    <col min="3339" max="3339" width="27.453125" bestFit="1" customWidth="1"/>
    <col min="3340" max="3340" width="21.1796875" bestFit="1" customWidth="1"/>
    <col min="3341" max="3341" width="23.36328125" bestFit="1" customWidth="1"/>
    <col min="3342" max="3342" width="25.36328125" bestFit="1" customWidth="1"/>
    <col min="3343" max="3343" width="27.453125" bestFit="1" customWidth="1"/>
    <col min="3344" max="3344" width="21.1796875" bestFit="1" customWidth="1"/>
    <col min="3345" max="3345" width="23.36328125" bestFit="1" customWidth="1"/>
    <col min="3346" max="3346" width="21.1796875" bestFit="1" customWidth="1"/>
    <col min="3347" max="3347" width="23.36328125" bestFit="1" customWidth="1"/>
    <col min="3348" max="3348" width="25.36328125" bestFit="1" customWidth="1"/>
    <col min="3349" max="3349" width="27.453125" bestFit="1" customWidth="1"/>
    <col min="3350" max="3350" width="21.1796875" bestFit="1" customWidth="1"/>
    <col min="3351" max="3351" width="23.36328125" bestFit="1" customWidth="1"/>
    <col min="3352" max="3352" width="25.36328125" bestFit="1" customWidth="1"/>
    <col min="3353" max="3353" width="27.453125" bestFit="1" customWidth="1"/>
    <col min="3354" max="3354" width="21.1796875" bestFit="1" customWidth="1"/>
    <col min="3355" max="3355" width="23.36328125" bestFit="1" customWidth="1"/>
    <col min="3356" max="3356" width="21.1796875" bestFit="1" customWidth="1"/>
    <col min="3357" max="3357" width="23.36328125" bestFit="1" customWidth="1"/>
    <col min="3358" max="3358" width="25.36328125" bestFit="1" customWidth="1"/>
    <col min="3359" max="3359" width="27.453125" bestFit="1" customWidth="1"/>
    <col min="3360" max="3360" width="21.1796875" bestFit="1" customWidth="1"/>
    <col min="3361" max="3361" width="23.36328125" bestFit="1" customWidth="1"/>
    <col min="3362" max="3362" width="21.1796875" bestFit="1" customWidth="1"/>
    <col min="3363" max="3363" width="23.36328125" bestFit="1" customWidth="1"/>
    <col min="3364" max="3364" width="21.1796875" bestFit="1" customWidth="1"/>
    <col min="3365" max="3365" width="23.36328125" bestFit="1" customWidth="1"/>
    <col min="3366" max="3366" width="21.1796875" bestFit="1" customWidth="1"/>
    <col min="3367" max="3367" width="23.36328125" bestFit="1" customWidth="1"/>
    <col min="3368" max="3368" width="21.1796875" bestFit="1" customWidth="1"/>
    <col min="3369" max="3369" width="23.36328125" bestFit="1" customWidth="1"/>
    <col min="3370" max="3370" width="21.1796875" bestFit="1" customWidth="1"/>
    <col min="3371" max="3371" width="23.36328125" bestFit="1" customWidth="1"/>
    <col min="3372" max="3372" width="25.36328125" bestFit="1" customWidth="1"/>
    <col min="3373" max="3373" width="27.453125" bestFit="1" customWidth="1"/>
    <col min="3374" max="3374" width="21.1796875" bestFit="1" customWidth="1"/>
    <col min="3375" max="3375" width="23.36328125" bestFit="1" customWidth="1"/>
    <col min="3376" max="3376" width="21.1796875" bestFit="1" customWidth="1"/>
    <col min="3377" max="3377" width="23.36328125" bestFit="1" customWidth="1"/>
    <col min="3378" max="3378" width="21.1796875" bestFit="1" customWidth="1"/>
    <col min="3379" max="3379" width="23.36328125" bestFit="1" customWidth="1"/>
    <col min="3380" max="3380" width="25.36328125" bestFit="1" customWidth="1"/>
    <col min="3381" max="3381" width="27.453125" bestFit="1" customWidth="1"/>
    <col min="3382" max="3382" width="21.1796875" bestFit="1" customWidth="1"/>
    <col min="3383" max="3383" width="23.36328125" bestFit="1" customWidth="1"/>
    <col min="3384" max="3384" width="25.36328125" bestFit="1" customWidth="1"/>
    <col min="3385" max="3385" width="27.453125" bestFit="1" customWidth="1"/>
    <col min="3386" max="3386" width="21.1796875" bestFit="1" customWidth="1"/>
    <col min="3387" max="3387" width="23.36328125" bestFit="1" customWidth="1"/>
    <col min="3388" max="3388" width="21.1796875" bestFit="1" customWidth="1"/>
    <col min="3389" max="3389" width="23.36328125" bestFit="1" customWidth="1"/>
    <col min="3390" max="3390" width="23.81640625" bestFit="1" customWidth="1"/>
    <col min="3391" max="3391" width="25.81640625" bestFit="1" customWidth="1"/>
    <col min="3392" max="3392" width="21.1796875" bestFit="1" customWidth="1"/>
    <col min="3393" max="3393" width="23.36328125" bestFit="1" customWidth="1"/>
    <col min="3394" max="3394" width="25.36328125" bestFit="1" customWidth="1"/>
    <col min="3395" max="3395" width="27.453125" bestFit="1" customWidth="1"/>
    <col min="3396" max="3396" width="21.1796875" bestFit="1" customWidth="1"/>
    <col min="3397" max="3397" width="23.36328125" bestFit="1" customWidth="1"/>
    <col min="3398" max="3398" width="21.1796875" bestFit="1" customWidth="1"/>
    <col min="3399" max="3399" width="23.36328125" bestFit="1" customWidth="1"/>
    <col min="3400" max="3400" width="21.1796875" bestFit="1" customWidth="1"/>
    <col min="3401" max="3401" width="23.36328125" bestFit="1" customWidth="1"/>
    <col min="3402" max="3402" width="21.1796875" bestFit="1" customWidth="1"/>
    <col min="3403" max="3403" width="23.36328125" bestFit="1" customWidth="1"/>
    <col min="3404" max="3404" width="25.36328125" bestFit="1" customWidth="1"/>
    <col min="3405" max="3405" width="27.453125" bestFit="1" customWidth="1"/>
    <col min="3406" max="3406" width="21.1796875" bestFit="1" customWidth="1"/>
    <col min="3407" max="3407" width="23.36328125" bestFit="1" customWidth="1"/>
    <col min="3408" max="3408" width="25.36328125" bestFit="1" customWidth="1"/>
    <col min="3409" max="3409" width="27.453125" bestFit="1" customWidth="1"/>
    <col min="3410" max="3410" width="21.1796875" bestFit="1" customWidth="1"/>
    <col min="3411" max="3411" width="23.36328125" bestFit="1" customWidth="1"/>
    <col min="3412" max="3412" width="21.1796875" bestFit="1" customWidth="1"/>
    <col min="3413" max="3413" width="23.36328125" bestFit="1" customWidth="1"/>
    <col min="3414" max="3414" width="25.36328125" bestFit="1" customWidth="1"/>
    <col min="3415" max="3415" width="27.453125" bestFit="1" customWidth="1"/>
    <col min="3416" max="3416" width="21.1796875" bestFit="1" customWidth="1"/>
    <col min="3417" max="3417" width="23.36328125" bestFit="1" customWidth="1"/>
    <col min="3418" max="3418" width="21.1796875" bestFit="1" customWidth="1"/>
    <col min="3419" max="3419" width="23.36328125" bestFit="1" customWidth="1"/>
    <col min="3420" max="3420" width="21.1796875" bestFit="1" customWidth="1"/>
    <col min="3421" max="3421" width="23.36328125" bestFit="1" customWidth="1"/>
    <col min="3422" max="3422" width="21.1796875" bestFit="1" customWidth="1"/>
    <col min="3423" max="3423" width="23.36328125" bestFit="1" customWidth="1"/>
    <col min="3424" max="3424" width="25.36328125" bestFit="1" customWidth="1"/>
    <col min="3425" max="3425" width="27.453125" bestFit="1" customWidth="1"/>
    <col min="3426" max="3426" width="21.1796875" bestFit="1" customWidth="1"/>
    <col min="3427" max="3427" width="23.36328125" bestFit="1" customWidth="1"/>
    <col min="3428" max="3428" width="21.1796875" bestFit="1" customWidth="1"/>
    <col min="3429" max="3429" width="23.36328125" bestFit="1" customWidth="1"/>
    <col min="3430" max="3430" width="25.36328125" bestFit="1" customWidth="1"/>
    <col min="3431" max="3431" width="27.453125" bestFit="1" customWidth="1"/>
    <col min="3432" max="3432" width="21.1796875" bestFit="1" customWidth="1"/>
    <col min="3433" max="3433" width="23.36328125" bestFit="1" customWidth="1"/>
    <col min="3434" max="3434" width="21.1796875" bestFit="1" customWidth="1"/>
    <col min="3435" max="3435" width="23.36328125" bestFit="1" customWidth="1"/>
    <col min="3436" max="3436" width="25.36328125" bestFit="1" customWidth="1"/>
    <col min="3437" max="3437" width="27.453125" bestFit="1" customWidth="1"/>
    <col min="3438" max="3438" width="21.1796875" bestFit="1" customWidth="1"/>
    <col min="3439" max="3439" width="23.36328125" bestFit="1" customWidth="1"/>
    <col min="3440" max="3440" width="25.36328125" bestFit="1" customWidth="1"/>
    <col min="3441" max="3441" width="27.453125" bestFit="1" customWidth="1"/>
    <col min="3442" max="3442" width="21.1796875" bestFit="1" customWidth="1"/>
    <col min="3443" max="3443" width="23.36328125" bestFit="1" customWidth="1"/>
    <col min="3444" max="3444" width="21.1796875" bestFit="1" customWidth="1"/>
    <col min="3445" max="3445" width="23.36328125" bestFit="1" customWidth="1"/>
    <col min="3446" max="3446" width="25.36328125" bestFit="1" customWidth="1"/>
    <col min="3447" max="3447" width="27.453125" bestFit="1" customWidth="1"/>
    <col min="3448" max="3448" width="21.1796875" bestFit="1" customWidth="1"/>
    <col min="3449" max="3449" width="23.36328125" bestFit="1" customWidth="1"/>
    <col min="3450" max="3450" width="21.1796875" bestFit="1" customWidth="1"/>
    <col min="3451" max="3451" width="23.36328125" bestFit="1" customWidth="1"/>
    <col min="3452" max="3452" width="25.36328125" bestFit="1" customWidth="1"/>
    <col min="3453" max="3453" width="27.453125" bestFit="1" customWidth="1"/>
    <col min="3454" max="3454" width="21.1796875" bestFit="1" customWidth="1"/>
    <col min="3455" max="3455" width="23.36328125" bestFit="1" customWidth="1"/>
    <col min="3456" max="3456" width="21.1796875" bestFit="1" customWidth="1"/>
    <col min="3457" max="3457" width="23.36328125" bestFit="1" customWidth="1"/>
    <col min="3458" max="3458" width="25.36328125" bestFit="1" customWidth="1"/>
    <col min="3459" max="3459" width="27.453125" bestFit="1" customWidth="1"/>
    <col min="3460" max="3460" width="21.1796875" bestFit="1" customWidth="1"/>
    <col min="3461" max="3461" width="23.36328125" bestFit="1" customWidth="1"/>
    <col min="3462" max="3462" width="21.1796875" bestFit="1" customWidth="1"/>
    <col min="3463" max="3463" width="23.36328125" bestFit="1" customWidth="1"/>
    <col min="3464" max="3464" width="25.36328125" bestFit="1" customWidth="1"/>
    <col min="3465" max="3465" width="27.453125" bestFit="1" customWidth="1"/>
    <col min="3466" max="3466" width="21.1796875" bestFit="1" customWidth="1"/>
    <col min="3467" max="3467" width="23.36328125" bestFit="1" customWidth="1"/>
    <col min="3468" max="3468" width="21.1796875" bestFit="1" customWidth="1"/>
    <col min="3469" max="3469" width="23.36328125" bestFit="1" customWidth="1"/>
    <col min="3470" max="3470" width="25.36328125" bestFit="1" customWidth="1"/>
    <col min="3471" max="3471" width="27.453125" bestFit="1" customWidth="1"/>
    <col min="3472" max="3472" width="21.1796875" bestFit="1" customWidth="1"/>
    <col min="3473" max="3473" width="23.36328125" bestFit="1" customWidth="1"/>
    <col min="3474" max="3474" width="21.1796875" bestFit="1" customWidth="1"/>
    <col min="3475" max="3475" width="23.36328125" bestFit="1" customWidth="1"/>
    <col min="3476" max="3476" width="21.1796875" bestFit="1" customWidth="1"/>
    <col min="3477" max="3477" width="23.36328125" bestFit="1" customWidth="1"/>
    <col min="3478" max="3478" width="25.36328125" bestFit="1" customWidth="1"/>
    <col min="3479" max="3479" width="27.453125" bestFit="1" customWidth="1"/>
    <col min="3480" max="3480" width="21.1796875" bestFit="1" customWidth="1"/>
    <col min="3481" max="3481" width="23.36328125" bestFit="1" customWidth="1"/>
    <col min="3482" max="3482" width="25.36328125" bestFit="1" customWidth="1"/>
    <col min="3483" max="3483" width="27.453125" bestFit="1" customWidth="1"/>
    <col min="3484" max="3484" width="21.1796875" bestFit="1" customWidth="1"/>
    <col min="3485" max="3485" width="23.36328125" bestFit="1" customWidth="1"/>
    <col min="3486" max="3486" width="25.36328125" bestFit="1" customWidth="1"/>
    <col min="3487" max="3487" width="27.453125" bestFit="1" customWidth="1"/>
    <col min="3488" max="3488" width="21.1796875" bestFit="1" customWidth="1"/>
    <col min="3489" max="3489" width="23.36328125" bestFit="1" customWidth="1"/>
    <col min="3490" max="3490" width="25.36328125" bestFit="1" customWidth="1"/>
    <col min="3491" max="3491" width="27.453125" bestFit="1" customWidth="1"/>
    <col min="3492" max="3492" width="21.1796875" bestFit="1" customWidth="1"/>
    <col min="3493" max="3493" width="23.36328125" bestFit="1" customWidth="1"/>
    <col min="3494" max="3494" width="21.1796875" bestFit="1" customWidth="1"/>
    <col min="3495" max="3495" width="23.36328125" bestFit="1" customWidth="1"/>
    <col min="3496" max="3496" width="21.1796875" bestFit="1" customWidth="1"/>
    <col min="3497" max="3497" width="23.36328125" bestFit="1" customWidth="1"/>
    <col min="3498" max="3498" width="25.36328125" bestFit="1" customWidth="1"/>
    <col min="3499" max="3499" width="27.453125" bestFit="1" customWidth="1"/>
    <col min="3500" max="3500" width="21.1796875" bestFit="1" customWidth="1"/>
    <col min="3501" max="3501" width="23.36328125" bestFit="1" customWidth="1"/>
    <col min="3502" max="3502" width="21.1796875" bestFit="1" customWidth="1"/>
    <col min="3503" max="3503" width="23.36328125" bestFit="1" customWidth="1"/>
    <col min="3504" max="3504" width="23.81640625" bestFit="1" customWidth="1"/>
    <col min="3505" max="3505" width="25.81640625" bestFit="1" customWidth="1"/>
    <col min="3506" max="3506" width="21.1796875" bestFit="1" customWidth="1"/>
    <col min="3507" max="3507" width="23.36328125" bestFit="1" customWidth="1"/>
    <col min="3508" max="3508" width="21.1796875" bestFit="1" customWidth="1"/>
    <col min="3509" max="3509" width="23.36328125" bestFit="1" customWidth="1"/>
    <col min="3510" max="3510" width="25.36328125" bestFit="1" customWidth="1"/>
    <col min="3511" max="3511" width="27.453125" bestFit="1" customWidth="1"/>
    <col min="3512" max="3512" width="21.1796875" bestFit="1" customWidth="1"/>
    <col min="3513" max="3513" width="23.36328125" bestFit="1" customWidth="1"/>
    <col min="3514" max="3514" width="21.1796875" bestFit="1" customWidth="1"/>
    <col min="3515" max="3515" width="23.36328125" bestFit="1" customWidth="1"/>
    <col min="3516" max="3516" width="25.36328125" bestFit="1" customWidth="1"/>
    <col min="3517" max="3517" width="27.453125" bestFit="1" customWidth="1"/>
    <col min="3518" max="3518" width="21.1796875" bestFit="1" customWidth="1"/>
    <col min="3519" max="3519" width="23.36328125" bestFit="1" customWidth="1"/>
    <col min="3520" max="3520" width="25.36328125" bestFit="1" customWidth="1"/>
    <col min="3521" max="3521" width="27.453125" bestFit="1" customWidth="1"/>
    <col min="3522" max="3522" width="21.1796875" bestFit="1" customWidth="1"/>
    <col min="3523" max="3523" width="23.36328125" bestFit="1" customWidth="1"/>
    <col min="3524" max="3524" width="25.36328125" bestFit="1" customWidth="1"/>
    <col min="3525" max="3525" width="27.453125" bestFit="1" customWidth="1"/>
    <col min="3526" max="3526" width="21.1796875" bestFit="1" customWidth="1"/>
    <col min="3527" max="3527" width="23.36328125" bestFit="1" customWidth="1"/>
    <col min="3528" max="3528" width="21.1796875" bestFit="1" customWidth="1"/>
    <col min="3529" max="3529" width="23.36328125" bestFit="1" customWidth="1"/>
    <col min="3530" max="3530" width="25.36328125" bestFit="1" customWidth="1"/>
    <col min="3531" max="3531" width="27.453125" bestFit="1" customWidth="1"/>
    <col min="3532" max="3532" width="21.1796875" bestFit="1" customWidth="1"/>
    <col min="3533" max="3533" width="23.36328125" bestFit="1" customWidth="1"/>
    <col min="3534" max="3534" width="21.1796875" bestFit="1" customWidth="1"/>
    <col min="3535" max="3535" width="23.36328125" bestFit="1" customWidth="1"/>
    <col min="3536" max="3536" width="21.1796875" bestFit="1" customWidth="1"/>
    <col min="3537" max="3537" width="23.36328125" bestFit="1" customWidth="1"/>
    <col min="3538" max="3538" width="21.1796875" bestFit="1" customWidth="1"/>
    <col min="3539" max="3539" width="23.36328125" bestFit="1" customWidth="1"/>
    <col min="3540" max="3540" width="23.81640625" bestFit="1" customWidth="1"/>
    <col min="3541" max="3541" width="25.81640625" bestFit="1" customWidth="1"/>
    <col min="3542" max="3542" width="21.1796875" bestFit="1" customWidth="1"/>
    <col min="3543" max="3543" width="23.36328125" bestFit="1" customWidth="1"/>
    <col min="3544" max="3544" width="25.36328125" bestFit="1" customWidth="1"/>
    <col min="3545" max="3545" width="27.453125" bestFit="1" customWidth="1"/>
    <col min="3546" max="3546" width="21.1796875" bestFit="1" customWidth="1"/>
    <col min="3547" max="3547" width="23.36328125" bestFit="1" customWidth="1"/>
    <col min="3548" max="3548" width="25.36328125" bestFit="1" customWidth="1"/>
    <col min="3549" max="3549" width="27.453125" bestFit="1" customWidth="1"/>
    <col min="3550" max="3550" width="21.1796875" bestFit="1" customWidth="1"/>
    <col min="3551" max="3551" width="23.36328125" bestFit="1" customWidth="1"/>
    <col min="3552" max="3552" width="21.1796875" bestFit="1" customWidth="1"/>
    <col min="3553" max="3553" width="23.36328125" bestFit="1" customWidth="1"/>
    <col min="3554" max="3554" width="25.36328125" bestFit="1" customWidth="1"/>
    <col min="3555" max="3555" width="27.453125" bestFit="1" customWidth="1"/>
    <col min="3556" max="3556" width="21.1796875" bestFit="1" customWidth="1"/>
    <col min="3557" max="3557" width="23.36328125" bestFit="1" customWidth="1"/>
    <col min="3558" max="3558" width="25.36328125" bestFit="1" customWidth="1"/>
    <col min="3559" max="3559" width="27.453125" bestFit="1" customWidth="1"/>
    <col min="3560" max="3560" width="21.1796875" bestFit="1" customWidth="1"/>
    <col min="3561" max="3561" width="23.36328125" bestFit="1" customWidth="1"/>
    <col min="3562" max="3562" width="23.81640625" bestFit="1" customWidth="1"/>
    <col min="3563" max="3563" width="25.81640625" bestFit="1" customWidth="1"/>
    <col min="3564" max="3564" width="21.1796875" bestFit="1" customWidth="1"/>
    <col min="3565" max="3565" width="23.36328125" bestFit="1" customWidth="1"/>
    <col min="3566" max="3566" width="25.36328125" bestFit="1" customWidth="1"/>
    <col min="3567" max="3567" width="27.453125" bestFit="1" customWidth="1"/>
    <col min="3568" max="3568" width="21.1796875" bestFit="1" customWidth="1"/>
    <col min="3569" max="3569" width="23.36328125" bestFit="1" customWidth="1"/>
    <col min="3570" max="3570" width="21.1796875" bestFit="1" customWidth="1"/>
    <col min="3571" max="3571" width="23.36328125" bestFit="1" customWidth="1"/>
    <col min="3572" max="3572" width="25.36328125" bestFit="1" customWidth="1"/>
    <col min="3573" max="3573" width="27.453125" bestFit="1" customWidth="1"/>
    <col min="3574" max="3574" width="21.1796875" bestFit="1" customWidth="1"/>
    <col min="3575" max="3575" width="23.36328125" bestFit="1" customWidth="1"/>
    <col min="3576" max="3576" width="21.1796875" bestFit="1" customWidth="1"/>
    <col min="3577" max="3577" width="23.36328125" bestFit="1" customWidth="1"/>
    <col min="3578" max="3578" width="25.36328125" bestFit="1" customWidth="1"/>
    <col min="3579" max="3579" width="27.453125" bestFit="1" customWidth="1"/>
    <col min="3580" max="3580" width="21.1796875" bestFit="1" customWidth="1"/>
    <col min="3581" max="3581" width="23.36328125" bestFit="1" customWidth="1"/>
    <col min="3582" max="3582" width="21.1796875" bestFit="1" customWidth="1"/>
    <col min="3583" max="3583" width="23.36328125" bestFit="1" customWidth="1"/>
    <col min="3584" max="3584" width="21.1796875" bestFit="1" customWidth="1"/>
    <col min="3585" max="3585" width="23.36328125" bestFit="1" customWidth="1"/>
    <col min="3586" max="3586" width="21.1796875" bestFit="1" customWidth="1"/>
    <col min="3587" max="3587" width="23.36328125" bestFit="1" customWidth="1"/>
    <col min="3588" max="3588" width="25.36328125" bestFit="1" customWidth="1"/>
    <col min="3589" max="3589" width="27.453125" bestFit="1" customWidth="1"/>
    <col min="3590" max="3590" width="21.1796875" bestFit="1" customWidth="1"/>
    <col min="3591" max="3591" width="23.36328125" bestFit="1" customWidth="1"/>
    <col min="3592" max="3592" width="25.36328125" bestFit="1" customWidth="1"/>
    <col min="3593" max="3593" width="27.453125" bestFit="1" customWidth="1"/>
    <col min="3594" max="3594" width="21.1796875" bestFit="1" customWidth="1"/>
    <col min="3595" max="3595" width="23.36328125" bestFit="1" customWidth="1"/>
    <col min="3596" max="3596" width="25.36328125" bestFit="1" customWidth="1"/>
    <col min="3597" max="3597" width="27.453125" bestFit="1" customWidth="1"/>
    <col min="3598" max="3598" width="21.1796875" bestFit="1" customWidth="1"/>
    <col min="3599" max="3599" width="23.36328125" bestFit="1" customWidth="1"/>
    <col min="3600" max="3600" width="25.36328125" bestFit="1" customWidth="1"/>
    <col min="3601" max="3601" width="27.453125" bestFit="1" customWidth="1"/>
    <col min="3602" max="3602" width="21.1796875" bestFit="1" customWidth="1"/>
    <col min="3603" max="3603" width="23.36328125" bestFit="1" customWidth="1"/>
    <col min="3604" max="3604" width="21.1796875" bestFit="1" customWidth="1"/>
    <col min="3605" max="3605" width="23.36328125" bestFit="1" customWidth="1"/>
    <col min="3606" max="3606" width="25.36328125" bestFit="1" customWidth="1"/>
    <col min="3607" max="3607" width="27.453125" bestFit="1" customWidth="1"/>
    <col min="3608" max="3608" width="21.1796875" bestFit="1" customWidth="1"/>
    <col min="3609" max="3609" width="23.36328125" bestFit="1" customWidth="1"/>
    <col min="3610" max="3610" width="25.36328125" bestFit="1" customWidth="1"/>
    <col min="3611" max="3611" width="27.453125" bestFit="1" customWidth="1"/>
    <col min="3612" max="3612" width="21.1796875" bestFit="1" customWidth="1"/>
    <col min="3613" max="3613" width="23.36328125" bestFit="1" customWidth="1"/>
    <col min="3614" max="3614" width="21.1796875" bestFit="1" customWidth="1"/>
    <col min="3615" max="3615" width="23.36328125" bestFit="1" customWidth="1"/>
    <col min="3616" max="3616" width="23.81640625" bestFit="1" customWidth="1"/>
    <col min="3617" max="3617" width="25.81640625" bestFit="1" customWidth="1"/>
    <col min="3618" max="3618" width="21.1796875" bestFit="1" customWidth="1"/>
    <col min="3619" max="3619" width="23.36328125" bestFit="1" customWidth="1"/>
    <col min="3620" max="3620" width="25.36328125" bestFit="1" customWidth="1"/>
    <col min="3621" max="3621" width="27.453125" bestFit="1" customWidth="1"/>
    <col min="3622" max="3622" width="21.1796875" bestFit="1" customWidth="1"/>
    <col min="3623" max="3623" width="23.36328125" bestFit="1" customWidth="1"/>
    <col min="3624" max="3624" width="25.36328125" bestFit="1" customWidth="1"/>
    <col min="3625" max="3625" width="27.453125" bestFit="1" customWidth="1"/>
    <col min="3626" max="3626" width="21.1796875" bestFit="1" customWidth="1"/>
    <col min="3627" max="3627" width="23.36328125" bestFit="1" customWidth="1"/>
    <col min="3628" max="3628" width="21.1796875" bestFit="1" customWidth="1"/>
    <col min="3629" max="3629" width="23.36328125" bestFit="1" customWidth="1"/>
    <col min="3630" max="3630" width="25.36328125" bestFit="1" customWidth="1"/>
    <col min="3631" max="3631" width="27.453125" bestFit="1" customWidth="1"/>
    <col min="3632" max="3632" width="21.1796875" bestFit="1" customWidth="1"/>
    <col min="3633" max="3633" width="23.36328125" bestFit="1" customWidth="1"/>
    <col min="3634" max="3634" width="21.1796875" bestFit="1" customWidth="1"/>
    <col min="3635" max="3635" width="23.36328125" bestFit="1" customWidth="1"/>
    <col min="3636" max="3636" width="25.36328125" bestFit="1" customWidth="1"/>
    <col min="3637" max="3637" width="27.453125" bestFit="1" customWidth="1"/>
    <col min="3638" max="3638" width="21.1796875" bestFit="1" customWidth="1"/>
    <col min="3639" max="3639" width="23.36328125" bestFit="1" customWidth="1"/>
    <col min="3640" max="3640" width="25.36328125" bestFit="1" customWidth="1"/>
    <col min="3641" max="3641" width="27.453125" bestFit="1" customWidth="1"/>
    <col min="3642" max="3642" width="21.1796875" bestFit="1" customWidth="1"/>
    <col min="3643" max="3643" width="23.36328125" bestFit="1" customWidth="1"/>
    <col min="3644" max="3644" width="21.1796875" bestFit="1" customWidth="1"/>
    <col min="3645" max="3645" width="23.36328125" bestFit="1" customWidth="1"/>
    <col min="3646" max="3646" width="21.1796875" bestFit="1" customWidth="1"/>
    <col min="3647" max="3647" width="23.36328125" bestFit="1" customWidth="1"/>
    <col min="3648" max="3648" width="21.1796875" bestFit="1" customWidth="1"/>
    <col min="3649" max="3649" width="23.36328125" bestFit="1" customWidth="1"/>
    <col min="3650" max="3650" width="25.36328125" bestFit="1" customWidth="1"/>
    <col min="3651" max="3651" width="27.453125" bestFit="1" customWidth="1"/>
    <col min="3652" max="3652" width="21.1796875" bestFit="1" customWidth="1"/>
    <col min="3653" max="3653" width="23.36328125" bestFit="1" customWidth="1"/>
    <col min="3654" max="3654" width="21.1796875" bestFit="1" customWidth="1"/>
    <col min="3655" max="3655" width="23.36328125" bestFit="1" customWidth="1"/>
    <col min="3656" max="3656" width="25.36328125" bestFit="1" customWidth="1"/>
    <col min="3657" max="3657" width="27.453125" bestFit="1" customWidth="1"/>
    <col min="3658" max="3658" width="21.1796875" bestFit="1" customWidth="1"/>
    <col min="3659" max="3659" width="23.36328125" bestFit="1" customWidth="1"/>
    <col min="3660" max="3660" width="25.36328125" bestFit="1" customWidth="1"/>
    <col min="3661" max="3661" width="27.453125" bestFit="1" customWidth="1"/>
    <col min="3662" max="3662" width="21.1796875" bestFit="1" customWidth="1"/>
    <col min="3663" max="3663" width="23.36328125" bestFit="1" customWidth="1"/>
    <col min="3664" max="3664" width="25.36328125" bestFit="1" customWidth="1"/>
    <col min="3665" max="3665" width="27.453125" bestFit="1" customWidth="1"/>
    <col min="3666" max="3666" width="21.1796875" bestFit="1" customWidth="1"/>
    <col min="3667" max="3667" width="23.36328125" bestFit="1" customWidth="1"/>
    <col min="3668" max="3668" width="21.1796875" bestFit="1" customWidth="1"/>
    <col min="3669" max="3669" width="23.36328125" bestFit="1" customWidth="1"/>
    <col min="3670" max="3670" width="25.36328125" bestFit="1" customWidth="1"/>
    <col min="3671" max="3671" width="27.453125" bestFit="1" customWidth="1"/>
    <col min="3672" max="3672" width="21.1796875" bestFit="1" customWidth="1"/>
    <col min="3673" max="3673" width="23.36328125" bestFit="1" customWidth="1"/>
    <col min="3674" max="3674" width="25.36328125" bestFit="1" customWidth="1"/>
    <col min="3675" max="3675" width="27.453125" bestFit="1" customWidth="1"/>
    <col min="3676" max="3676" width="21.1796875" bestFit="1" customWidth="1"/>
    <col min="3677" max="3677" width="23.36328125" bestFit="1" customWidth="1"/>
    <col min="3678" max="3678" width="25.36328125" bestFit="1" customWidth="1"/>
    <col min="3679" max="3679" width="27.453125" bestFit="1" customWidth="1"/>
    <col min="3680" max="3680" width="21.1796875" bestFit="1" customWidth="1"/>
    <col min="3681" max="3681" width="23.36328125" bestFit="1" customWidth="1"/>
    <col min="3682" max="3682" width="25.36328125" bestFit="1" customWidth="1"/>
    <col min="3683" max="3683" width="27.453125" bestFit="1" customWidth="1"/>
    <col min="3684" max="3684" width="21.1796875" bestFit="1" customWidth="1"/>
    <col min="3685" max="3685" width="23.36328125" bestFit="1" customWidth="1"/>
    <col min="3686" max="3686" width="21.1796875" bestFit="1" customWidth="1"/>
    <col min="3687" max="3687" width="23.36328125" bestFit="1" customWidth="1"/>
    <col min="3688" max="3688" width="23.81640625" bestFit="1" customWidth="1"/>
    <col min="3689" max="3689" width="25.81640625" bestFit="1" customWidth="1"/>
    <col min="3690" max="3690" width="21.1796875" bestFit="1" customWidth="1"/>
    <col min="3691" max="3691" width="23.36328125" bestFit="1" customWidth="1"/>
    <col min="3692" max="3692" width="25.36328125" bestFit="1" customWidth="1"/>
    <col min="3693" max="3693" width="27.453125" bestFit="1" customWidth="1"/>
    <col min="3694" max="3694" width="21.1796875" bestFit="1" customWidth="1"/>
    <col min="3695" max="3695" width="23.36328125" bestFit="1" customWidth="1"/>
    <col min="3696" max="3696" width="25.36328125" bestFit="1" customWidth="1"/>
    <col min="3697" max="3697" width="27.453125" bestFit="1" customWidth="1"/>
    <col min="3698" max="3698" width="21.1796875" bestFit="1" customWidth="1"/>
    <col min="3699" max="3699" width="23.36328125" bestFit="1" customWidth="1"/>
    <col min="3700" max="3700" width="25.36328125" bestFit="1" customWidth="1"/>
    <col min="3701" max="3701" width="27.453125" bestFit="1" customWidth="1"/>
    <col min="3702" max="3702" width="21.1796875" bestFit="1" customWidth="1"/>
    <col min="3703" max="3703" width="23.36328125" bestFit="1" customWidth="1"/>
    <col min="3704" max="3704" width="21.1796875" bestFit="1" customWidth="1"/>
    <col min="3705" max="3705" width="23.36328125" bestFit="1" customWidth="1"/>
    <col min="3706" max="3706" width="25.36328125" bestFit="1" customWidth="1"/>
    <col min="3707" max="3707" width="27.453125" bestFit="1" customWidth="1"/>
    <col min="3708" max="3708" width="21.1796875" bestFit="1" customWidth="1"/>
    <col min="3709" max="3709" width="23.36328125" bestFit="1" customWidth="1"/>
    <col min="3710" max="3710" width="21.1796875" bestFit="1" customWidth="1"/>
    <col min="3711" max="3711" width="23.36328125" bestFit="1" customWidth="1"/>
    <col min="3712" max="3712" width="25.36328125" bestFit="1" customWidth="1"/>
    <col min="3713" max="3713" width="27.453125" bestFit="1" customWidth="1"/>
    <col min="3714" max="3714" width="21.1796875" bestFit="1" customWidth="1"/>
    <col min="3715" max="3715" width="23.36328125" bestFit="1" customWidth="1"/>
    <col min="3716" max="3716" width="23.81640625" bestFit="1" customWidth="1"/>
    <col min="3717" max="3717" width="25.81640625" bestFit="1" customWidth="1"/>
    <col min="3718" max="3718" width="21.1796875" bestFit="1" customWidth="1"/>
    <col min="3719" max="3719" width="23.36328125" bestFit="1" customWidth="1"/>
    <col min="3720" max="3720" width="21.1796875" bestFit="1" customWidth="1"/>
    <col min="3721" max="3721" width="23.36328125" bestFit="1" customWidth="1"/>
    <col min="3722" max="3722" width="21.1796875" bestFit="1" customWidth="1"/>
    <col min="3723" max="3723" width="23.36328125" bestFit="1" customWidth="1"/>
    <col min="3724" max="3724" width="25.36328125" bestFit="1" customWidth="1"/>
    <col min="3725" max="3725" width="27.453125" bestFit="1" customWidth="1"/>
    <col min="3726" max="3726" width="21.1796875" bestFit="1" customWidth="1"/>
    <col min="3727" max="3727" width="23.36328125" bestFit="1" customWidth="1"/>
    <col min="3728" max="3728" width="25.36328125" bestFit="1" customWidth="1"/>
    <col min="3729" max="3729" width="27.453125" bestFit="1" customWidth="1"/>
    <col min="3730" max="3730" width="21.1796875" bestFit="1" customWidth="1"/>
    <col min="3731" max="3731" width="23.36328125" bestFit="1" customWidth="1"/>
    <col min="3732" max="3732" width="25.36328125" bestFit="1" customWidth="1"/>
    <col min="3733" max="3733" width="27.453125" bestFit="1" customWidth="1"/>
    <col min="3734" max="3734" width="21.1796875" bestFit="1" customWidth="1"/>
    <col min="3735" max="3735" width="23.36328125" bestFit="1" customWidth="1"/>
    <col min="3736" max="3736" width="25.36328125" bestFit="1" customWidth="1"/>
    <col min="3737" max="3737" width="27.453125" bestFit="1" customWidth="1"/>
    <col min="3738" max="3738" width="21.1796875" bestFit="1" customWidth="1"/>
    <col min="3739" max="3739" width="23.36328125" bestFit="1" customWidth="1"/>
    <col min="3740" max="3740" width="23.81640625" bestFit="1" customWidth="1"/>
    <col min="3741" max="3741" width="25.81640625" bestFit="1" customWidth="1"/>
    <col min="3742" max="3742" width="21.1796875" bestFit="1" customWidth="1"/>
    <col min="3743" max="3743" width="23.36328125" bestFit="1" customWidth="1"/>
    <col min="3744" max="3744" width="25.36328125" bestFit="1" customWidth="1"/>
    <col min="3745" max="3745" width="27.453125" bestFit="1" customWidth="1"/>
    <col min="3746" max="3746" width="21.1796875" bestFit="1" customWidth="1"/>
    <col min="3747" max="3747" width="23.36328125" bestFit="1" customWidth="1"/>
    <col min="3748" max="3748" width="25.36328125" bestFit="1" customWidth="1"/>
    <col min="3749" max="3749" width="27.453125" bestFit="1" customWidth="1"/>
    <col min="3750" max="3750" width="21.1796875" bestFit="1" customWidth="1"/>
    <col min="3751" max="3751" width="23.36328125" bestFit="1" customWidth="1"/>
    <col min="3752" max="3752" width="25.36328125" bestFit="1" customWidth="1"/>
    <col min="3753" max="3753" width="27.453125" bestFit="1" customWidth="1"/>
    <col min="3754" max="3754" width="21.1796875" bestFit="1" customWidth="1"/>
    <col min="3755" max="3755" width="23.36328125" bestFit="1" customWidth="1"/>
    <col min="3756" max="3756" width="25.36328125" bestFit="1" customWidth="1"/>
    <col min="3757" max="3757" width="27.453125" bestFit="1" customWidth="1"/>
    <col min="3758" max="3758" width="21.1796875" bestFit="1" customWidth="1"/>
    <col min="3759" max="3759" width="23.36328125" bestFit="1" customWidth="1"/>
    <col min="3760" max="3760" width="21.1796875" bestFit="1" customWidth="1"/>
    <col min="3761" max="3761" width="23.36328125" bestFit="1" customWidth="1"/>
    <col min="3762" max="3762" width="25.36328125" bestFit="1" customWidth="1"/>
    <col min="3763" max="3763" width="27.453125" bestFit="1" customWidth="1"/>
    <col min="3764" max="3764" width="21.1796875" bestFit="1" customWidth="1"/>
    <col min="3765" max="3765" width="23.36328125" bestFit="1" customWidth="1"/>
    <col min="3766" max="3766" width="25.36328125" bestFit="1" customWidth="1"/>
    <col min="3767" max="3767" width="27.453125" bestFit="1" customWidth="1"/>
    <col min="3768" max="3768" width="21.1796875" bestFit="1" customWidth="1"/>
    <col min="3769" max="3769" width="23.36328125" bestFit="1" customWidth="1"/>
    <col min="3770" max="3770" width="25.36328125" bestFit="1" customWidth="1"/>
    <col min="3771" max="3771" width="27.453125" bestFit="1" customWidth="1"/>
    <col min="3772" max="3772" width="21.1796875" bestFit="1" customWidth="1"/>
    <col min="3773" max="3773" width="23.36328125" bestFit="1" customWidth="1"/>
    <col min="3774" max="3774" width="23.81640625" bestFit="1" customWidth="1"/>
    <col min="3775" max="3775" width="25.81640625" bestFit="1" customWidth="1"/>
    <col min="3776" max="3776" width="21.1796875" bestFit="1" customWidth="1"/>
    <col min="3777" max="3777" width="23.36328125" bestFit="1" customWidth="1"/>
    <col min="3778" max="3778" width="25.36328125" bestFit="1" customWidth="1"/>
    <col min="3779" max="3779" width="27.453125" bestFit="1" customWidth="1"/>
    <col min="3780" max="3780" width="21.1796875" bestFit="1" customWidth="1"/>
    <col min="3781" max="3781" width="23.36328125" bestFit="1" customWidth="1"/>
    <col min="3782" max="3782" width="21.1796875" bestFit="1" customWidth="1"/>
    <col min="3783" max="3783" width="23.36328125" bestFit="1" customWidth="1"/>
    <col min="3784" max="3784" width="21.1796875" bestFit="1" customWidth="1"/>
    <col min="3785" max="3785" width="23.36328125" bestFit="1" customWidth="1"/>
    <col min="3786" max="3786" width="21.1796875" bestFit="1" customWidth="1"/>
    <col min="3787" max="3787" width="23.36328125" bestFit="1" customWidth="1"/>
    <col min="3788" max="3788" width="25.36328125" bestFit="1" customWidth="1"/>
    <col min="3789" max="3789" width="27.453125" bestFit="1" customWidth="1"/>
    <col min="3790" max="3790" width="21.1796875" bestFit="1" customWidth="1"/>
    <col min="3791" max="3791" width="23.36328125" bestFit="1" customWidth="1"/>
    <col min="3792" max="3792" width="25.36328125" bestFit="1" customWidth="1"/>
    <col min="3793" max="3793" width="27.453125" bestFit="1" customWidth="1"/>
    <col min="3794" max="3794" width="21.1796875" bestFit="1" customWidth="1"/>
    <col min="3795" max="3795" width="23.36328125" bestFit="1" customWidth="1"/>
    <col min="3796" max="3796" width="25.36328125" bestFit="1" customWidth="1"/>
    <col min="3797" max="3797" width="27.453125" bestFit="1" customWidth="1"/>
    <col min="3798" max="3798" width="21.1796875" bestFit="1" customWidth="1"/>
    <col min="3799" max="3799" width="23.36328125" bestFit="1" customWidth="1"/>
    <col min="3800" max="3800" width="25.36328125" bestFit="1" customWidth="1"/>
    <col min="3801" max="3801" width="27.453125" bestFit="1" customWidth="1"/>
    <col min="3802" max="3802" width="21.1796875" bestFit="1" customWidth="1"/>
    <col min="3803" max="3803" width="23.36328125" bestFit="1" customWidth="1"/>
    <col min="3804" max="3804" width="23.81640625" bestFit="1" customWidth="1"/>
    <col min="3805" max="3805" width="25.81640625" bestFit="1" customWidth="1"/>
    <col min="3806" max="3806" width="21.1796875" bestFit="1" customWidth="1"/>
    <col min="3807" max="3807" width="23.36328125" bestFit="1" customWidth="1"/>
    <col min="3808" max="3808" width="25.36328125" bestFit="1" customWidth="1"/>
    <col min="3809" max="3809" width="27.453125" bestFit="1" customWidth="1"/>
    <col min="3810" max="3810" width="21.1796875" bestFit="1" customWidth="1"/>
    <col min="3811" max="3811" width="23.36328125" bestFit="1" customWidth="1"/>
    <col min="3812" max="3812" width="25.36328125" bestFit="1" customWidth="1"/>
    <col min="3813" max="3813" width="27.453125" bestFit="1" customWidth="1"/>
    <col min="3814" max="3814" width="21.1796875" bestFit="1" customWidth="1"/>
    <col min="3815" max="3815" width="23.36328125" bestFit="1" customWidth="1"/>
    <col min="3816" max="3816" width="21.1796875" bestFit="1" customWidth="1"/>
    <col min="3817" max="3817" width="23.36328125" bestFit="1" customWidth="1"/>
    <col min="3818" max="3818" width="25.36328125" bestFit="1" customWidth="1"/>
    <col min="3819" max="3819" width="27.453125" bestFit="1" customWidth="1"/>
    <col min="3820" max="3820" width="21.1796875" bestFit="1" customWidth="1"/>
    <col min="3821" max="3821" width="23.36328125" bestFit="1" customWidth="1"/>
    <col min="3822" max="3822" width="21.1796875" bestFit="1" customWidth="1"/>
    <col min="3823" max="3823" width="23.36328125" bestFit="1" customWidth="1"/>
    <col min="3824" max="3824" width="25.36328125" bestFit="1" customWidth="1"/>
    <col min="3825" max="3825" width="27.453125" bestFit="1" customWidth="1"/>
    <col min="3826" max="3826" width="21.1796875" bestFit="1" customWidth="1"/>
    <col min="3827" max="3827" width="23.36328125" bestFit="1" customWidth="1"/>
    <col min="3828" max="3828" width="25.36328125" bestFit="1" customWidth="1"/>
    <col min="3829" max="3829" width="27.453125" bestFit="1" customWidth="1"/>
    <col min="3830" max="3830" width="21.1796875" bestFit="1" customWidth="1"/>
    <col min="3831" max="3831" width="23.36328125" bestFit="1" customWidth="1"/>
    <col min="3832" max="3832" width="21.1796875" bestFit="1" customWidth="1"/>
    <col min="3833" max="3833" width="23.36328125" bestFit="1" customWidth="1"/>
    <col min="3834" max="3834" width="25.36328125" bestFit="1" customWidth="1"/>
    <col min="3835" max="3835" width="27.453125" bestFit="1" customWidth="1"/>
    <col min="3836" max="3836" width="21.1796875" bestFit="1" customWidth="1"/>
    <col min="3837" max="3837" width="23.36328125" bestFit="1" customWidth="1"/>
    <col min="3838" max="3838" width="25.36328125" bestFit="1" customWidth="1"/>
    <col min="3839" max="3839" width="27.453125" bestFit="1" customWidth="1"/>
    <col min="3840" max="3840" width="21.1796875" bestFit="1" customWidth="1"/>
    <col min="3841" max="3841" width="23.36328125" bestFit="1" customWidth="1"/>
    <col min="3842" max="3842" width="21.1796875" bestFit="1" customWidth="1"/>
    <col min="3843" max="3843" width="23.36328125" bestFit="1" customWidth="1"/>
    <col min="3844" max="3844" width="21.1796875" bestFit="1" customWidth="1"/>
    <col min="3845" max="3845" width="23.36328125" bestFit="1" customWidth="1"/>
    <col min="3846" max="3846" width="25.36328125" bestFit="1" customWidth="1"/>
    <col min="3847" max="3847" width="27.453125" bestFit="1" customWidth="1"/>
    <col min="3848" max="3848" width="21.1796875" bestFit="1" customWidth="1"/>
    <col min="3849" max="3849" width="23.36328125" bestFit="1" customWidth="1"/>
    <col min="3850" max="3850" width="25.36328125" bestFit="1" customWidth="1"/>
    <col min="3851" max="3851" width="27.453125" bestFit="1" customWidth="1"/>
    <col min="3852" max="3852" width="21.1796875" bestFit="1" customWidth="1"/>
    <col min="3853" max="3853" width="23.36328125" bestFit="1" customWidth="1"/>
    <col min="3854" max="3854" width="23.81640625" bestFit="1" customWidth="1"/>
    <col min="3855" max="3855" width="25.81640625" bestFit="1" customWidth="1"/>
    <col min="3856" max="3856" width="21.1796875" bestFit="1" customWidth="1"/>
    <col min="3857" max="3857" width="23.36328125" bestFit="1" customWidth="1"/>
    <col min="3858" max="3858" width="25.36328125" bestFit="1" customWidth="1"/>
    <col min="3859" max="3859" width="27.453125" bestFit="1" customWidth="1"/>
    <col min="3860" max="3860" width="21.1796875" bestFit="1" customWidth="1"/>
    <col min="3861" max="3861" width="23.36328125" bestFit="1" customWidth="1"/>
    <col min="3862" max="3862" width="25.36328125" bestFit="1" customWidth="1"/>
    <col min="3863" max="3863" width="27.453125" bestFit="1" customWidth="1"/>
    <col min="3864" max="3864" width="21.1796875" bestFit="1" customWidth="1"/>
    <col min="3865" max="3865" width="23.36328125" bestFit="1" customWidth="1"/>
    <col min="3866" max="3866" width="25.36328125" bestFit="1" customWidth="1"/>
    <col min="3867" max="3867" width="27.453125" bestFit="1" customWidth="1"/>
    <col min="3868" max="3868" width="21.1796875" bestFit="1" customWidth="1"/>
    <col min="3869" max="3869" width="23.36328125" bestFit="1" customWidth="1"/>
    <col min="3870" max="3870" width="25.36328125" bestFit="1" customWidth="1"/>
    <col min="3871" max="3871" width="27.453125" bestFit="1" customWidth="1"/>
    <col min="3872" max="3872" width="21.1796875" bestFit="1" customWidth="1"/>
    <col min="3873" max="3873" width="23.36328125" bestFit="1" customWidth="1"/>
    <col min="3874" max="3874" width="25.36328125" bestFit="1" customWidth="1"/>
    <col min="3875" max="3875" width="27.453125" bestFit="1" customWidth="1"/>
    <col min="3876" max="3876" width="21.1796875" bestFit="1" customWidth="1"/>
    <col min="3877" max="3877" width="23.36328125" bestFit="1" customWidth="1"/>
    <col min="3878" max="3878" width="25.36328125" bestFit="1" customWidth="1"/>
    <col min="3879" max="3879" width="27.453125" bestFit="1" customWidth="1"/>
    <col min="3880" max="3880" width="21.1796875" bestFit="1" customWidth="1"/>
    <col min="3881" max="3881" width="23.36328125" bestFit="1" customWidth="1"/>
    <col min="3882" max="3882" width="25.36328125" bestFit="1" customWidth="1"/>
    <col min="3883" max="3883" width="27.453125" bestFit="1" customWidth="1"/>
    <col min="3884" max="3884" width="21.1796875" bestFit="1" customWidth="1"/>
    <col min="3885" max="3885" width="23.36328125" bestFit="1" customWidth="1"/>
    <col min="3886" max="3886" width="21.1796875" bestFit="1" customWidth="1"/>
    <col min="3887" max="3887" width="23.36328125" bestFit="1" customWidth="1"/>
    <col min="3888" max="3888" width="25.36328125" bestFit="1" customWidth="1"/>
    <col min="3889" max="3889" width="27.453125" bestFit="1" customWidth="1"/>
    <col min="3890" max="3890" width="21.1796875" bestFit="1" customWidth="1"/>
    <col min="3891" max="3891" width="23.36328125" bestFit="1" customWidth="1"/>
    <col min="3892" max="3892" width="21.1796875" bestFit="1" customWidth="1"/>
    <col min="3893" max="3893" width="23.36328125" bestFit="1" customWidth="1"/>
    <col min="3894" max="3894" width="23.81640625" bestFit="1" customWidth="1"/>
    <col min="3895" max="3895" width="25.81640625" bestFit="1" customWidth="1"/>
    <col min="3896" max="3896" width="21.1796875" bestFit="1" customWidth="1"/>
    <col min="3897" max="3897" width="23.36328125" bestFit="1" customWidth="1"/>
    <col min="3898" max="3898" width="21.1796875" bestFit="1" customWidth="1"/>
    <col min="3899" max="3899" width="23.36328125" bestFit="1" customWidth="1"/>
    <col min="3900" max="3900" width="21.1796875" bestFit="1" customWidth="1"/>
    <col min="3901" max="3901" width="23.36328125" bestFit="1" customWidth="1"/>
    <col min="3902" max="3902" width="25.36328125" bestFit="1" customWidth="1"/>
    <col min="3903" max="3903" width="27.453125" bestFit="1" customWidth="1"/>
    <col min="3904" max="3904" width="21.1796875" bestFit="1" customWidth="1"/>
    <col min="3905" max="3905" width="23.36328125" bestFit="1" customWidth="1"/>
    <col min="3906" max="3906" width="21.1796875" bestFit="1" customWidth="1"/>
    <col min="3907" max="3907" width="23.36328125" bestFit="1" customWidth="1"/>
    <col min="3908" max="3908" width="25.36328125" bestFit="1" customWidth="1"/>
    <col min="3909" max="3909" width="27.453125" bestFit="1" customWidth="1"/>
    <col min="3910" max="3910" width="21.1796875" bestFit="1" customWidth="1"/>
    <col min="3911" max="3911" width="23.36328125" bestFit="1" customWidth="1"/>
    <col min="3912" max="3912" width="25.36328125" bestFit="1" customWidth="1"/>
    <col min="3913" max="3913" width="27.453125" bestFit="1" customWidth="1"/>
    <col min="3914" max="3914" width="21.1796875" bestFit="1" customWidth="1"/>
    <col min="3915" max="3915" width="23.36328125" bestFit="1" customWidth="1"/>
    <col min="3916" max="3916" width="25.36328125" bestFit="1" customWidth="1"/>
    <col min="3917" max="3917" width="27.453125" bestFit="1" customWidth="1"/>
    <col min="3918" max="3918" width="21.1796875" bestFit="1" customWidth="1"/>
    <col min="3919" max="3919" width="23.36328125" bestFit="1" customWidth="1"/>
    <col min="3920" max="3920" width="25.36328125" bestFit="1" customWidth="1"/>
    <col min="3921" max="3921" width="27.453125" bestFit="1" customWidth="1"/>
    <col min="3922" max="3922" width="21.1796875" bestFit="1" customWidth="1"/>
    <col min="3923" max="3923" width="23.36328125" bestFit="1" customWidth="1"/>
    <col min="3924" max="3924" width="21.1796875" bestFit="1" customWidth="1"/>
    <col min="3925" max="3925" width="23.36328125" bestFit="1" customWidth="1"/>
    <col min="3926" max="3926" width="21.1796875" bestFit="1" customWidth="1"/>
    <col min="3927" max="3927" width="23.36328125" bestFit="1" customWidth="1"/>
    <col min="3928" max="3928" width="21.1796875" bestFit="1" customWidth="1"/>
    <col min="3929" max="3929" width="23.36328125" bestFit="1" customWidth="1"/>
    <col min="3930" max="3930" width="25.36328125" bestFit="1" customWidth="1"/>
    <col min="3931" max="3931" width="27.453125" bestFit="1" customWidth="1"/>
    <col min="3932" max="3932" width="21.1796875" bestFit="1" customWidth="1"/>
    <col min="3933" max="3933" width="23.36328125" bestFit="1" customWidth="1"/>
    <col min="3934" max="3934" width="21.1796875" bestFit="1" customWidth="1"/>
    <col min="3935" max="3935" width="23.36328125" bestFit="1" customWidth="1"/>
    <col min="3936" max="3936" width="23.81640625" bestFit="1" customWidth="1"/>
    <col min="3937" max="3937" width="25.81640625" bestFit="1" customWidth="1"/>
    <col min="3938" max="3938" width="21.1796875" bestFit="1" customWidth="1"/>
    <col min="3939" max="3939" width="23.36328125" bestFit="1" customWidth="1"/>
    <col min="3940" max="3940" width="25.36328125" bestFit="1" customWidth="1"/>
    <col min="3941" max="3941" width="27.453125" bestFit="1" customWidth="1"/>
    <col min="3942" max="3942" width="21.1796875" bestFit="1" customWidth="1"/>
    <col min="3943" max="3943" width="23.36328125" bestFit="1" customWidth="1"/>
    <col min="3944" max="3944" width="25.36328125" bestFit="1" customWidth="1"/>
    <col min="3945" max="3945" width="27.453125" bestFit="1" customWidth="1"/>
    <col min="3946" max="3946" width="21.1796875" bestFit="1" customWidth="1"/>
    <col min="3947" max="3947" width="23.36328125" bestFit="1" customWidth="1"/>
    <col min="3948" max="3948" width="21.1796875" bestFit="1" customWidth="1"/>
    <col min="3949" max="3949" width="23.36328125" bestFit="1" customWidth="1"/>
    <col min="3950" max="3950" width="21.1796875" bestFit="1" customWidth="1"/>
    <col min="3951" max="3951" width="23.36328125" bestFit="1" customWidth="1"/>
    <col min="3952" max="3952" width="21.1796875" bestFit="1" customWidth="1"/>
    <col min="3953" max="3953" width="23.36328125" bestFit="1" customWidth="1"/>
    <col min="3954" max="3954" width="25.36328125" bestFit="1" customWidth="1"/>
    <col min="3955" max="3955" width="27.453125" bestFit="1" customWidth="1"/>
    <col min="3956" max="3956" width="21.1796875" bestFit="1" customWidth="1"/>
    <col min="3957" max="3957" width="23.36328125" bestFit="1" customWidth="1"/>
    <col min="3958" max="3958" width="25.36328125" bestFit="1" customWidth="1"/>
    <col min="3959" max="3959" width="27.453125" bestFit="1" customWidth="1"/>
    <col min="3960" max="3960" width="21.1796875" bestFit="1" customWidth="1"/>
    <col min="3961" max="3961" width="23.36328125" bestFit="1" customWidth="1"/>
    <col min="3962" max="3962" width="25.36328125" bestFit="1" customWidth="1"/>
    <col min="3963" max="3963" width="27.453125" bestFit="1" customWidth="1"/>
    <col min="3964" max="3964" width="21.1796875" bestFit="1" customWidth="1"/>
    <col min="3965" max="3965" width="23.36328125" bestFit="1" customWidth="1"/>
    <col min="3966" max="3966" width="21.1796875" bestFit="1" customWidth="1"/>
    <col min="3967" max="3967" width="23.36328125" bestFit="1" customWidth="1"/>
    <col min="3968" max="3968" width="21.1796875" bestFit="1" customWidth="1"/>
    <col min="3969" max="3969" width="23.36328125" bestFit="1" customWidth="1"/>
    <col min="3970" max="3970" width="25.36328125" bestFit="1" customWidth="1"/>
    <col min="3971" max="3971" width="27.453125" bestFit="1" customWidth="1"/>
    <col min="3972" max="3972" width="21.1796875" bestFit="1" customWidth="1"/>
    <col min="3973" max="3973" width="23.36328125" bestFit="1" customWidth="1"/>
    <col min="3974" max="3974" width="25.36328125" bestFit="1" customWidth="1"/>
    <col min="3975" max="3975" width="27.453125" bestFit="1" customWidth="1"/>
    <col min="3976" max="3976" width="21.1796875" bestFit="1" customWidth="1"/>
    <col min="3977" max="3977" width="23.36328125" bestFit="1" customWidth="1"/>
    <col min="3978" max="3978" width="21.1796875" bestFit="1" customWidth="1"/>
    <col min="3979" max="3979" width="23.36328125" bestFit="1" customWidth="1"/>
    <col min="3980" max="3980" width="23.81640625" bestFit="1" customWidth="1"/>
    <col min="3981" max="3981" width="25.81640625" bestFit="1" customWidth="1"/>
    <col min="3982" max="3982" width="21.1796875" bestFit="1" customWidth="1"/>
    <col min="3983" max="3983" width="23.36328125" bestFit="1" customWidth="1"/>
    <col min="3984" max="3984" width="21.1796875" bestFit="1" customWidth="1"/>
    <col min="3985" max="3985" width="23.36328125" bestFit="1" customWidth="1"/>
    <col min="3986" max="3986" width="25.36328125" bestFit="1" customWidth="1"/>
    <col min="3987" max="3987" width="27.453125" bestFit="1" customWidth="1"/>
    <col min="3988" max="3988" width="21.1796875" bestFit="1" customWidth="1"/>
    <col min="3989" max="3989" width="23.36328125" bestFit="1" customWidth="1"/>
    <col min="3990" max="3990" width="25.36328125" bestFit="1" customWidth="1"/>
    <col min="3991" max="3991" width="27.453125" bestFit="1" customWidth="1"/>
    <col min="3992" max="3992" width="21.1796875" bestFit="1" customWidth="1"/>
    <col min="3993" max="3993" width="23.36328125" bestFit="1" customWidth="1"/>
    <col min="3994" max="3994" width="25.36328125" bestFit="1" customWidth="1"/>
    <col min="3995" max="3995" width="27.453125" bestFit="1" customWidth="1"/>
    <col min="3996" max="3996" width="21.1796875" bestFit="1" customWidth="1"/>
    <col min="3997" max="3997" width="23.36328125" bestFit="1" customWidth="1"/>
    <col min="3998" max="3998" width="25.36328125" bestFit="1" customWidth="1"/>
    <col min="3999" max="3999" width="27.453125" bestFit="1" customWidth="1"/>
    <col min="4000" max="4000" width="21.1796875" bestFit="1" customWidth="1"/>
    <col min="4001" max="4001" width="23.36328125" bestFit="1" customWidth="1"/>
    <col min="4002" max="4002" width="25.36328125" bestFit="1" customWidth="1"/>
    <col min="4003" max="4003" width="27.453125" bestFit="1" customWidth="1"/>
    <col min="4004" max="4004" width="21.1796875" bestFit="1" customWidth="1"/>
    <col min="4005" max="4005" width="23.36328125" bestFit="1" customWidth="1"/>
    <col min="4006" max="4006" width="21.1796875" bestFit="1" customWidth="1"/>
    <col min="4007" max="4007" width="23.36328125" bestFit="1" customWidth="1"/>
    <col min="4008" max="4008" width="25.36328125" bestFit="1" customWidth="1"/>
    <col min="4009" max="4009" width="27.453125" bestFit="1" customWidth="1"/>
    <col min="4010" max="4010" width="21.1796875" bestFit="1" customWidth="1"/>
    <col min="4011" max="4011" width="23.36328125" bestFit="1" customWidth="1"/>
    <col min="4012" max="4012" width="25.36328125" bestFit="1" customWidth="1"/>
    <col min="4013" max="4013" width="27.453125" bestFit="1" customWidth="1"/>
    <col min="4014" max="4014" width="21.1796875" bestFit="1" customWidth="1"/>
    <col min="4015" max="4015" width="23.36328125" bestFit="1" customWidth="1"/>
    <col min="4016" max="4016" width="25.36328125" bestFit="1" customWidth="1"/>
    <col min="4017" max="4017" width="27.453125" bestFit="1" customWidth="1"/>
    <col min="4018" max="4018" width="21.1796875" bestFit="1" customWidth="1"/>
    <col min="4019" max="4019" width="23.36328125" bestFit="1" customWidth="1"/>
    <col min="4020" max="4020" width="25.36328125" bestFit="1" customWidth="1"/>
    <col min="4021" max="4021" width="27.453125" bestFit="1" customWidth="1"/>
    <col min="4022" max="4022" width="21.1796875" bestFit="1" customWidth="1"/>
    <col min="4023" max="4023" width="23.36328125" bestFit="1" customWidth="1"/>
    <col min="4024" max="4024" width="25.36328125" bestFit="1" customWidth="1"/>
    <col min="4025" max="4025" width="27.453125" bestFit="1" customWidth="1"/>
    <col min="4026" max="4026" width="21.1796875" bestFit="1" customWidth="1"/>
    <col min="4027" max="4027" width="23.36328125" bestFit="1" customWidth="1"/>
    <col min="4028" max="4028" width="23.81640625" bestFit="1" customWidth="1"/>
    <col min="4029" max="4029" width="25.81640625" bestFit="1" customWidth="1"/>
    <col min="4030" max="4030" width="21.1796875" bestFit="1" customWidth="1"/>
    <col min="4031" max="4031" width="23.36328125" bestFit="1" customWidth="1"/>
    <col min="4032" max="4032" width="21.1796875" bestFit="1" customWidth="1"/>
    <col min="4033" max="4033" width="23.36328125" bestFit="1" customWidth="1"/>
    <col min="4034" max="4034" width="25.36328125" bestFit="1" customWidth="1"/>
    <col min="4035" max="4035" width="27.453125" bestFit="1" customWidth="1"/>
    <col min="4036" max="4036" width="21.1796875" bestFit="1" customWidth="1"/>
    <col min="4037" max="4037" width="23.36328125" bestFit="1" customWidth="1"/>
    <col min="4038" max="4038" width="25.36328125" bestFit="1" customWidth="1"/>
    <col min="4039" max="4039" width="27.453125" bestFit="1" customWidth="1"/>
    <col min="4040" max="4040" width="21.1796875" bestFit="1" customWidth="1"/>
    <col min="4041" max="4041" width="23.36328125" bestFit="1" customWidth="1"/>
    <col min="4042" max="4042" width="25.36328125" bestFit="1" customWidth="1"/>
    <col min="4043" max="4043" width="27.453125" bestFit="1" customWidth="1"/>
    <col min="4044" max="4044" width="21.1796875" bestFit="1" customWidth="1"/>
    <col min="4045" max="4045" width="23.36328125" bestFit="1" customWidth="1"/>
    <col min="4046" max="4046" width="25.36328125" bestFit="1" customWidth="1"/>
    <col min="4047" max="4047" width="27.453125" bestFit="1" customWidth="1"/>
    <col min="4048" max="4048" width="21.1796875" bestFit="1" customWidth="1"/>
    <col min="4049" max="4049" width="23.36328125" bestFit="1" customWidth="1"/>
    <col min="4050" max="4050" width="21.1796875" bestFit="1" customWidth="1"/>
    <col min="4051" max="4051" width="23.36328125" bestFit="1" customWidth="1"/>
    <col min="4052" max="4052" width="25.36328125" bestFit="1" customWidth="1"/>
    <col min="4053" max="4053" width="27.453125" bestFit="1" customWidth="1"/>
    <col min="4054" max="4054" width="21.1796875" bestFit="1" customWidth="1"/>
    <col min="4055" max="4055" width="23.36328125" bestFit="1" customWidth="1"/>
    <col min="4056" max="4056" width="25.36328125" bestFit="1" customWidth="1"/>
    <col min="4057" max="4057" width="27.453125" bestFit="1" customWidth="1"/>
    <col min="4058" max="4058" width="21.1796875" bestFit="1" customWidth="1"/>
    <col min="4059" max="4059" width="23.36328125" bestFit="1" customWidth="1"/>
    <col min="4060" max="4060" width="25.36328125" bestFit="1" customWidth="1"/>
    <col min="4061" max="4061" width="27.453125" bestFit="1" customWidth="1"/>
    <col min="4062" max="4062" width="21.1796875" bestFit="1" customWidth="1"/>
    <col min="4063" max="4063" width="23.36328125" bestFit="1" customWidth="1"/>
    <col min="4064" max="4064" width="25.36328125" bestFit="1" customWidth="1"/>
    <col min="4065" max="4065" width="27.453125" bestFit="1" customWidth="1"/>
    <col min="4066" max="4066" width="21.1796875" bestFit="1" customWidth="1"/>
    <col min="4067" max="4067" width="23.36328125" bestFit="1" customWidth="1"/>
    <col min="4068" max="4068" width="25.36328125" bestFit="1" customWidth="1"/>
    <col min="4069" max="4069" width="27.453125" bestFit="1" customWidth="1"/>
    <col min="4070" max="4070" width="21.1796875" bestFit="1" customWidth="1"/>
    <col min="4071" max="4071" width="23.36328125" bestFit="1" customWidth="1"/>
    <col min="4072" max="4072" width="21.1796875" bestFit="1" customWidth="1"/>
    <col min="4073" max="4073" width="23.36328125" bestFit="1" customWidth="1"/>
    <col min="4074" max="4074" width="25.36328125" bestFit="1" customWidth="1"/>
    <col min="4075" max="4075" width="27.453125" bestFit="1" customWidth="1"/>
    <col min="4076" max="4076" width="21.1796875" bestFit="1" customWidth="1"/>
    <col min="4077" max="4077" width="23.36328125" bestFit="1" customWidth="1"/>
    <col min="4078" max="4078" width="25.36328125" bestFit="1" customWidth="1"/>
    <col min="4079" max="4079" width="27.453125" bestFit="1" customWidth="1"/>
    <col min="4080" max="4080" width="21.1796875" bestFit="1" customWidth="1"/>
    <col min="4081" max="4081" width="23.36328125" bestFit="1" customWidth="1"/>
    <col min="4082" max="4082" width="25.36328125" bestFit="1" customWidth="1"/>
    <col min="4083" max="4083" width="27.453125" bestFit="1" customWidth="1"/>
    <col min="4084" max="4084" width="21.1796875" bestFit="1" customWidth="1"/>
    <col min="4085" max="4085" width="23.36328125" bestFit="1" customWidth="1"/>
    <col min="4086" max="4086" width="21.1796875" bestFit="1" customWidth="1"/>
    <col min="4087" max="4087" width="23.36328125" bestFit="1" customWidth="1"/>
    <col min="4088" max="4088" width="25.36328125" bestFit="1" customWidth="1"/>
    <col min="4089" max="4089" width="27.453125" bestFit="1" customWidth="1"/>
    <col min="4090" max="4090" width="21.1796875" bestFit="1" customWidth="1"/>
    <col min="4091" max="4091" width="23.36328125" bestFit="1" customWidth="1"/>
    <col min="4092" max="4092" width="21.1796875" bestFit="1" customWidth="1"/>
    <col min="4093" max="4093" width="23.36328125" bestFit="1" customWidth="1"/>
    <col min="4094" max="4094" width="21.1796875" bestFit="1" customWidth="1"/>
    <col min="4095" max="4095" width="23.36328125" bestFit="1" customWidth="1"/>
    <col min="4096" max="4096" width="25.36328125" bestFit="1" customWidth="1"/>
    <col min="4097" max="4097" width="27.453125" bestFit="1" customWidth="1"/>
    <col min="4098" max="4098" width="21.1796875" bestFit="1" customWidth="1"/>
    <col min="4099" max="4099" width="23.36328125" bestFit="1" customWidth="1"/>
    <col min="4100" max="4100" width="25.36328125" bestFit="1" customWidth="1"/>
    <col min="4101" max="4101" width="27.453125" bestFit="1" customWidth="1"/>
    <col min="4102" max="4102" width="21.1796875" bestFit="1" customWidth="1"/>
    <col min="4103" max="4103" width="23.36328125" bestFit="1" customWidth="1"/>
    <col min="4104" max="4104" width="21.1796875" bestFit="1" customWidth="1"/>
    <col min="4105" max="4105" width="23.36328125" bestFit="1" customWidth="1"/>
    <col min="4106" max="4106" width="21.1796875" bestFit="1" customWidth="1"/>
    <col min="4107" max="4107" width="23.36328125" bestFit="1" customWidth="1"/>
    <col min="4108" max="4108" width="25.36328125" bestFit="1" customWidth="1"/>
    <col min="4109" max="4109" width="27.453125" bestFit="1" customWidth="1"/>
    <col min="4110" max="4110" width="21.1796875" bestFit="1" customWidth="1"/>
    <col min="4111" max="4111" width="23.36328125" bestFit="1" customWidth="1"/>
    <col min="4112" max="4112" width="25.36328125" bestFit="1" customWidth="1"/>
    <col min="4113" max="4113" width="27.453125" bestFit="1" customWidth="1"/>
    <col min="4114" max="4114" width="21.1796875" bestFit="1" customWidth="1"/>
    <col min="4115" max="4115" width="23.36328125" bestFit="1" customWidth="1"/>
    <col min="4116" max="4116" width="25.36328125" bestFit="1" customWidth="1"/>
    <col min="4117" max="4117" width="27.453125" bestFit="1" customWidth="1"/>
    <col min="4118" max="4118" width="21.1796875" bestFit="1" customWidth="1"/>
    <col min="4119" max="4119" width="23.36328125" bestFit="1" customWidth="1"/>
    <col min="4120" max="4120" width="23.81640625" bestFit="1" customWidth="1"/>
    <col min="4121" max="4121" width="25.81640625" bestFit="1" customWidth="1"/>
    <col min="4122" max="4122" width="21.1796875" bestFit="1" customWidth="1"/>
    <col min="4123" max="4123" width="23.36328125" bestFit="1" customWidth="1"/>
    <col min="4124" max="4124" width="25.36328125" bestFit="1" customWidth="1"/>
    <col min="4125" max="4125" width="27.453125" bestFit="1" customWidth="1"/>
    <col min="4126" max="4126" width="21.1796875" bestFit="1" customWidth="1"/>
    <col min="4127" max="4127" width="23.36328125" bestFit="1" customWidth="1"/>
    <col min="4128" max="4128" width="25.36328125" bestFit="1" customWidth="1"/>
    <col min="4129" max="4129" width="27.453125" bestFit="1" customWidth="1"/>
    <col min="4130" max="4130" width="21.1796875" bestFit="1" customWidth="1"/>
    <col min="4131" max="4131" width="23.36328125" bestFit="1" customWidth="1"/>
    <col min="4132" max="4132" width="25.36328125" bestFit="1" customWidth="1"/>
    <col min="4133" max="4133" width="27.453125" bestFit="1" customWidth="1"/>
    <col min="4134" max="4134" width="21.1796875" bestFit="1" customWidth="1"/>
    <col min="4135" max="4135" width="23.36328125" bestFit="1" customWidth="1"/>
    <col min="4136" max="4136" width="25.36328125" bestFit="1" customWidth="1"/>
    <col min="4137" max="4137" width="27.453125" bestFit="1" customWidth="1"/>
    <col min="4138" max="4138" width="21.1796875" bestFit="1" customWidth="1"/>
    <col min="4139" max="4139" width="23.36328125" bestFit="1" customWidth="1"/>
    <col min="4140" max="4140" width="21.1796875" bestFit="1" customWidth="1"/>
    <col min="4141" max="4141" width="23.36328125" bestFit="1" customWidth="1"/>
    <col min="4142" max="4142" width="23.81640625" bestFit="1" customWidth="1"/>
    <col min="4143" max="4143" width="25.81640625" bestFit="1" customWidth="1"/>
    <col min="4144" max="4144" width="21.1796875" bestFit="1" customWidth="1"/>
    <col min="4145" max="4145" width="23.36328125" bestFit="1" customWidth="1"/>
    <col min="4146" max="4146" width="25.36328125" bestFit="1" customWidth="1"/>
    <col min="4147" max="4147" width="27.453125" bestFit="1" customWidth="1"/>
    <col min="4148" max="4148" width="21.1796875" bestFit="1" customWidth="1"/>
    <col min="4149" max="4149" width="23.36328125" bestFit="1" customWidth="1"/>
    <col min="4150" max="4150" width="21.1796875" bestFit="1" customWidth="1"/>
    <col min="4151" max="4151" width="23.36328125" bestFit="1" customWidth="1"/>
    <col min="4152" max="4152" width="21.1796875" bestFit="1" customWidth="1"/>
    <col min="4153" max="4153" width="23.36328125" bestFit="1" customWidth="1"/>
    <col min="4154" max="4154" width="25.36328125" bestFit="1" customWidth="1"/>
    <col min="4155" max="4155" width="27.453125" bestFit="1" customWidth="1"/>
    <col min="4156" max="4156" width="21.1796875" bestFit="1" customWidth="1"/>
    <col min="4157" max="4157" width="23.36328125" bestFit="1" customWidth="1"/>
    <col min="4158" max="4158" width="25.36328125" bestFit="1" customWidth="1"/>
    <col min="4159" max="4159" width="27.453125" bestFit="1" customWidth="1"/>
    <col min="4160" max="4160" width="21.1796875" bestFit="1" customWidth="1"/>
    <col min="4161" max="4161" width="23.36328125" bestFit="1" customWidth="1"/>
    <col min="4162" max="4162" width="21.1796875" bestFit="1" customWidth="1"/>
    <col min="4163" max="4163" width="23.36328125" bestFit="1" customWidth="1"/>
    <col min="4164" max="4164" width="21.1796875" bestFit="1" customWidth="1"/>
    <col min="4165" max="4165" width="23.36328125" bestFit="1" customWidth="1"/>
    <col min="4166" max="4166" width="21.1796875" bestFit="1" customWidth="1"/>
    <col min="4167" max="4167" width="23.36328125" bestFit="1" customWidth="1"/>
    <col min="4168" max="4168" width="21.1796875" bestFit="1" customWidth="1"/>
    <col min="4169" max="4169" width="23.36328125" bestFit="1" customWidth="1"/>
    <col min="4170" max="4170" width="21.1796875" bestFit="1" customWidth="1"/>
    <col min="4171" max="4171" width="23.36328125" bestFit="1" customWidth="1"/>
    <col min="4172" max="4172" width="21.1796875" bestFit="1" customWidth="1"/>
    <col min="4173" max="4173" width="23.36328125" bestFit="1" customWidth="1"/>
    <col min="4174" max="4174" width="21.1796875" bestFit="1" customWidth="1"/>
    <col min="4175" max="4175" width="23.36328125" bestFit="1" customWidth="1"/>
    <col min="4176" max="4176" width="25.36328125" bestFit="1" customWidth="1"/>
    <col min="4177" max="4177" width="27.453125" bestFit="1" customWidth="1"/>
    <col min="4178" max="4178" width="21.1796875" bestFit="1" customWidth="1"/>
    <col min="4179" max="4179" width="23.36328125" bestFit="1" customWidth="1"/>
    <col min="4180" max="4180" width="21.1796875" bestFit="1" customWidth="1"/>
    <col min="4181" max="4181" width="23.36328125" bestFit="1" customWidth="1"/>
    <col min="4182" max="4182" width="21.1796875" bestFit="1" customWidth="1"/>
    <col min="4183" max="4183" width="23.36328125" bestFit="1" customWidth="1"/>
    <col min="4184" max="4184" width="25.36328125" bestFit="1" customWidth="1"/>
    <col min="4185" max="4185" width="27.453125" bestFit="1" customWidth="1"/>
    <col min="4186" max="4186" width="21.1796875" bestFit="1" customWidth="1"/>
    <col min="4187" max="4187" width="23.36328125" bestFit="1" customWidth="1"/>
    <col min="4188" max="4188" width="25.36328125" bestFit="1" customWidth="1"/>
    <col min="4189" max="4189" width="27.453125" bestFit="1" customWidth="1"/>
    <col min="4190" max="4190" width="21.1796875" bestFit="1" customWidth="1"/>
    <col min="4191" max="4191" width="23.36328125" bestFit="1" customWidth="1"/>
    <col min="4192" max="4192" width="21.1796875" bestFit="1" customWidth="1"/>
    <col min="4193" max="4193" width="23.36328125" bestFit="1" customWidth="1"/>
    <col min="4194" max="4194" width="23.81640625" bestFit="1" customWidth="1"/>
    <col min="4195" max="4195" width="25.81640625" bestFit="1" customWidth="1"/>
    <col min="4196" max="4196" width="21.1796875" bestFit="1" customWidth="1"/>
    <col min="4197" max="4197" width="23.36328125" bestFit="1" customWidth="1"/>
    <col min="4198" max="4198" width="25.36328125" bestFit="1" customWidth="1"/>
    <col min="4199" max="4199" width="27.453125" bestFit="1" customWidth="1"/>
    <col min="4200" max="4200" width="21.1796875" bestFit="1" customWidth="1"/>
    <col min="4201" max="4201" width="23.36328125" bestFit="1" customWidth="1"/>
    <col min="4202" max="4202" width="25.36328125" bestFit="1" customWidth="1"/>
    <col min="4203" max="4203" width="27.453125" bestFit="1" customWidth="1"/>
    <col min="4204" max="4204" width="21.1796875" bestFit="1" customWidth="1"/>
    <col min="4205" max="4205" width="23.36328125" bestFit="1" customWidth="1"/>
    <col min="4206" max="4206" width="23.81640625" bestFit="1" customWidth="1"/>
    <col min="4207" max="4207" width="25.81640625" bestFit="1" customWidth="1"/>
    <col min="4208" max="4208" width="21.1796875" bestFit="1" customWidth="1"/>
    <col min="4209" max="4209" width="23.36328125" bestFit="1" customWidth="1"/>
    <col min="4210" max="4210" width="25.36328125" bestFit="1" customWidth="1"/>
    <col min="4211" max="4211" width="27.453125" bestFit="1" customWidth="1"/>
    <col min="4212" max="4212" width="21.1796875" bestFit="1" customWidth="1"/>
    <col min="4213" max="4213" width="23.36328125" bestFit="1" customWidth="1"/>
    <col min="4214" max="4214" width="25.36328125" bestFit="1" customWidth="1"/>
    <col min="4215" max="4215" width="27.453125" bestFit="1" customWidth="1"/>
    <col min="4216" max="4216" width="21.1796875" bestFit="1" customWidth="1"/>
    <col min="4217" max="4217" width="23.36328125" bestFit="1" customWidth="1"/>
    <col min="4218" max="4218" width="25.36328125" bestFit="1" customWidth="1"/>
    <col min="4219" max="4219" width="27.453125" bestFit="1" customWidth="1"/>
    <col min="4220" max="4220" width="21.1796875" bestFit="1" customWidth="1"/>
    <col min="4221" max="4221" width="23.36328125" bestFit="1" customWidth="1"/>
    <col min="4222" max="4222" width="25.36328125" bestFit="1" customWidth="1"/>
    <col min="4223" max="4223" width="27.453125" bestFit="1" customWidth="1"/>
    <col min="4224" max="4224" width="21.1796875" bestFit="1" customWidth="1"/>
    <col min="4225" max="4225" width="23.36328125" bestFit="1" customWidth="1"/>
    <col min="4226" max="4226" width="21.1796875" bestFit="1" customWidth="1"/>
    <col min="4227" max="4227" width="23.36328125" bestFit="1" customWidth="1"/>
    <col min="4228" max="4228" width="23.81640625" bestFit="1" customWidth="1"/>
    <col min="4229" max="4229" width="25.81640625" bestFit="1" customWidth="1"/>
    <col min="4230" max="4230" width="21.1796875" bestFit="1" customWidth="1"/>
    <col min="4231" max="4231" width="23.36328125" bestFit="1" customWidth="1"/>
    <col min="4232" max="4232" width="25.36328125" bestFit="1" customWidth="1"/>
    <col min="4233" max="4233" width="27.453125" bestFit="1" customWidth="1"/>
    <col min="4234" max="4234" width="21.1796875" bestFit="1" customWidth="1"/>
    <col min="4235" max="4235" width="23.36328125" bestFit="1" customWidth="1"/>
    <col min="4236" max="4236" width="25.36328125" bestFit="1" customWidth="1"/>
    <col min="4237" max="4237" width="27.453125" bestFit="1" customWidth="1"/>
    <col min="4238" max="4238" width="21.1796875" bestFit="1" customWidth="1"/>
    <col min="4239" max="4239" width="23.36328125" bestFit="1" customWidth="1"/>
    <col min="4240" max="4240" width="21.1796875" bestFit="1" customWidth="1"/>
    <col min="4241" max="4241" width="23.36328125" bestFit="1" customWidth="1"/>
    <col min="4242" max="4242" width="25.36328125" bestFit="1" customWidth="1"/>
    <col min="4243" max="4243" width="27.453125" bestFit="1" customWidth="1"/>
    <col min="4244" max="4244" width="21.1796875" bestFit="1" customWidth="1"/>
    <col min="4245" max="4245" width="23.36328125" bestFit="1" customWidth="1"/>
    <col min="4246" max="4246" width="21.1796875" bestFit="1" customWidth="1"/>
    <col min="4247" max="4247" width="23.36328125" bestFit="1" customWidth="1"/>
    <col min="4248" max="4248" width="25.36328125" bestFit="1" customWidth="1"/>
    <col min="4249" max="4249" width="27.453125" bestFit="1" customWidth="1"/>
    <col min="4250" max="4250" width="21.1796875" bestFit="1" customWidth="1"/>
    <col min="4251" max="4251" width="23.36328125" bestFit="1" customWidth="1"/>
    <col min="4252" max="4252" width="25.36328125" bestFit="1" customWidth="1"/>
    <col min="4253" max="4253" width="27.453125" bestFit="1" customWidth="1"/>
    <col min="4254" max="4254" width="21.1796875" bestFit="1" customWidth="1"/>
    <col min="4255" max="4255" width="23.36328125" bestFit="1" customWidth="1"/>
    <col min="4256" max="4256" width="25.36328125" bestFit="1" customWidth="1"/>
    <col min="4257" max="4257" width="27.453125" bestFit="1" customWidth="1"/>
    <col min="4258" max="4258" width="21.1796875" bestFit="1" customWidth="1"/>
    <col min="4259" max="4259" width="23.36328125" bestFit="1" customWidth="1"/>
    <col min="4260" max="4260" width="21.1796875" bestFit="1" customWidth="1"/>
    <col min="4261" max="4261" width="23.36328125" bestFit="1" customWidth="1"/>
    <col min="4262" max="4262" width="21.1796875" bestFit="1" customWidth="1"/>
    <col min="4263" max="4263" width="23.36328125" bestFit="1" customWidth="1"/>
    <col min="4264" max="4264" width="21.1796875" bestFit="1" customWidth="1"/>
    <col min="4265" max="4265" width="23.36328125" bestFit="1" customWidth="1"/>
    <col min="4266" max="4266" width="25.36328125" bestFit="1" customWidth="1"/>
    <col min="4267" max="4267" width="27.453125" bestFit="1" customWidth="1"/>
    <col min="4268" max="4268" width="21.1796875" bestFit="1" customWidth="1"/>
    <col min="4269" max="4269" width="23.36328125" bestFit="1" customWidth="1"/>
    <col min="4270" max="4270" width="21.1796875" bestFit="1" customWidth="1"/>
    <col min="4271" max="4271" width="23.36328125" bestFit="1" customWidth="1"/>
    <col min="4272" max="4272" width="25.36328125" bestFit="1" customWidth="1"/>
    <col min="4273" max="4273" width="27.453125" bestFit="1" customWidth="1"/>
    <col min="4274" max="4274" width="21.1796875" bestFit="1" customWidth="1"/>
    <col min="4275" max="4275" width="23.36328125" bestFit="1" customWidth="1"/>
    <col min="4276" max="4276" width="25.36328125" bestFit="1" customWidth="1"/>
    <col min="4277" max="4277" width="27.453125" bestFit="1" customWidth="1"/>
    <col min="4278" max="4278" width="21.1796875" bestFit="1" customWidth="1"/>
    <col min="4279" max="4279" width="23.36328125" bestFit="1" customWidth="1"/>
    <col min="4280" max="4280" width="23.81640625" bestFit="1" customWidth="1"/>
    <col min="4281" max="4281" width="25.81640625" bestFit="1" customWidth="1"/>
    <col min="4282" max="4282" width="21.1796875" bestFit="1" customWidth="1"/>
    <col min="4283" max="4283" width="23.36328125" bestFit="1" customWidth="1"/>
    <col min="4284" max="4284" width="25.36328125" bestFit="1" customWidth="1"/>
    <col min="4285" max="4285" width="27.453125" bestFit="1" customWidth="1"/>
    <col min="4286" max="4286" width="21.1796875" bestFit="1" customWidth="1"/>
    <col min="4287" max="4287" width="23.36328125" bestFit="1" customWidth="1"/>
    <col min="4288" max="4288" width="25.36328125" bestFit="1" customWidth="1"/>
    <col min="4289" max="4289" width="27.453125" bestFit="1" customWidth="1"/>
    <col min="4290" max="4290" width="21.1796875" bestFit="1" customWidth="1"/>
    <col min="4291" max="4291" width="23.36328125" bestFit="1" customWidth="1"/>
    <col min="4292" max="4292" width="25.36328125" bestFit="1" customWidth="1"/>
    <col min="4293" max="4293" width="27.453125" bestFit="1" customWidth="1"/>
    <col min="4294" max="4294" width="21.1796875" bestFit="1" customWidth="1"/>
    <col min="4295" max="4295" width="23.36328125" bestFit="1" customWidth="1"/>
    <col min="4296" max="4296" width="21.1796875" bestFit="1" customWidth="1"/>
    <col min="4297" max="4297" width="23.36328125" bestFit="1" customWidth="1"/>
    <col min="4298" max="4298" width="25.36328125" bestFit="1" customWidth="1"/>
    <col min="4299" max="4299" width="27.453125" bestFit="1" customWidth="1"/>
    <col min="4300" max="4300" width="21.1796875" bestFit="1" customWidth="1"/>
    <col min="4301" max="4301" width="23.36328125" bestFit="1" customWidth="1"/>
    <col min="4302" max="4302" width="25.36328125" bestFit="1" customWidth="1"/>
    <col min="4303" max="4303" width="27.453125" bestFit="1" customWidth="1"/>
    <col min="4304" max="4304" width="21.1796875" bestFit="1" customWidth="1"/>
    <col min="4305" max="4305" width="23.36328125" bestFit="1" customWidth="1"/>
    <col min="4306" max="4306" width="25.36328125" bestFit="1" customWidth="1"/>
    <col min="4307" max="4307" width="27.453125" bestFit="1" customWidth="1"/>
    <col min="4308" max="4308" width="21.1796875" bestFit="1" customWidth="1"/>
    <col min="4309" max="4309" width="23.36328125" bestFit="1" customWidth="1"/>
    <col min="4310" max="4310" width="25.36328125" bestFit="1" customWidth="1"/>
    <col min="4311" max="4311" width="27.453125" bestFit="1" customWidth="1"/>
    <col min="4312" max="4312" width="21.1796875" bestFit="1" customWidth="1"/>
    <col min="4313" max="4313" width="23.36328125" bestFit="1" customWidth="1"/>
    <col min="4314" max="4314" width="21.1796875" bestFit="1" customWidth="1"/>
    <col min="4315" max="4315" width="23.36328125" bestFit="1" customWidth="1"/>
    <col min="4316" max="4316" width="25.36328125" bestFit="1" customWidth="1"/>
    <col min="4317" max="4317" width="27.453125" bestFit="1" customWidth="1"/>
    <col min="4318" max="4318" width="21.1796875" bestFit="1" customWidth="1"/>
    <col min="4319" max="4319" width="23.36328125" bestFit="1" customWidth="1"/>
    <col min="4320" max="4320" width="25.36328125" bestFit="1" customWidth="1"/>
    <col min="4321" max="4321" width="27.453125" bestFit="1" customWidth="1"/>
    <col min="4322" max="4322" width="21.1796875" bestFit="1" customWidth="1"/>
    <col min="4323" max="4323" width="23.36328125" bestFit="1" customWidth="1"/>
    <col min="4324" max="4324" width="21.1796875" bestFit="1" customWidth="1"/>
    <col min="4325" max="4325" width="23.36328125" bestFit="1" customWidth="1"/>
    <col min="4326" max="4326" width="25.36328125" bestFit="1" customWidth="1"/>
    <col min="4327" max="4327" width="27.453125" bestFit="1" customWidth="1"/>
    <col min="4328" max="4328" width="21.1796875" bestFit="1" customWidth="1"/>
    <col min="4329" max="4329" width="23.36328125" bestFit="1" customWidth="1"/>
    <col min="4330" max="4330" width="23.81640625" bestFit="1" customWidth="1"/>
    <col min="4331" max="4331" width="25.81640625" bestFit="1" customWidth="1"/>
    <col min="4332" max="4332" width="21.1796875" bestFit="1" customWidth="1"/>
    <col min="4333" max="4333" width="23.36328125" bestFit="1" customWidth="1"/>
    <col min="4334" max="4334" width="25.36328125" bestFit="1" customWidth="1"/>
    <col min="4335" max="4335" width="27.453125" bestFit="1" customWidth="1"/>
    <col min="4336" max="4336" width="21.1796875" bestFit="1" customWidth="1"/>
    <col min="4337" max="4337" width="23.36328125" bestFit="1" customWidth="1"/>
    <col min="4338" max="4338" width="25.36328125" bestFit="1" customWidth="1"/>
    <col min="4339" max="4339" width="27.453125" bestFit="1" customWidth="1"/>
    <col min="4340" max="4340" width="21.1796875" bestFit="1" customWidth="1"/>
    <col min="4341" max="4341" width="23.36328125" bestFit="1" customWidth="1"/>
    <col min="4342" max="4342" width="21.1796875" bestFit="1" customWidth="1"/>
    <col min="4343" max="4343" width="23.36328125" bestFit="1" customWidth="1"/>
    <col min="4344" max="4344" width="21.1796875" bestFit="1" customWidth="1"/>
    <col min="4345" max="4345" width="23.36328125" bestFit="1" customWidth="1"/>
    <col min="4346" max="4346" width="25.36328125" bestFit="1" customWidth="1"/>
    <col min="4347" max="4347" width="27.453125" bestFit="1" customWidth="1"/>
    <col min="4348" max="4348" width="21.1796875" bestFit="1" customWidth="1"/>
    <col min="4349" max="4349" width="23.36328125" bestFit="1" customWidth="1"/>
    <col min="4350" max="4350" width="25.36328125" bestFit="1" customWidth="1"/>
    <col min="4351" max="4351" width="27.453125" bestFit="1" customWidth="1"/>
    <col min="4352" max="4352" width="21.1796875" bestFit="1" customWidth="1"/>
    <col min="4353" max="4353" width="23.36328125" bestFit="1" customWidth="1"/>
    <col min="4354" max="4354" width="25.36328125" bestFit="1" customWidth="1"/>
    <col min="4355" max="4355" width="27.453125" bestFit="1" customWidth="1"/>
    <col min="4356" max="4356" width="21.1796875" bestFit="1" customWidth="1"/>
    <col min="4357" max="4357" width="23.36328125" bestFit="1" customWidth="1"/>
    <col min="4358" max="4358" width="25.36328125" bestFit="1" customWidth="1"/>
    <col min="4359" max="4359" width="27.453125" bestFit="1" customWidth="1"/>
    <col min="4360" max="4360" width="21.1796875" bestFit="1" customWidth="1"/>
    <col min="4361" max="4361" width="23.36328125" bestFit="1" customWidth="1"/>
    <col min="4362" max="4362" width="25.36328125" bestFit="1" customWidth="1"/>
    <col min="4363" max="4363" width="27.453125" bestFit="1" customWidth="1"/>
    <col min="4364" max="4364" width="21.1796875" bestFit="1" customWidth="1"/>
    <col min="4365" max="4365" width="23.36328125" bestFit="1" customWidth="1"/>
    <col min="4366" max="4366" width="25.36328125" bestFit="1" customWidth="1"/>
    <col min="4367" max="4367" width="27.453125" bestFit="1" customWidth="1"/>
    <col min="4368" max="4368" width="21.1796875" bestFit="1" customWidth="1"/>
    <col min="4369" max="4369" width="23.36328125" bestFit="1" customWidth="1"/>
    <col min="4370" max="4370" width="21.1796875" bestFit="1" customWidth="1"/>
    <col min="4371" max="4371" width="23.36328125" bestFit="1" customWidth="1"/>
    <col min="4372" max="4372" width="25.36328125" bestFit="1" customWidth="1"/>
    <col min="4373" max="4373" width="27.453125" bestFit="1" customWidth="1"/>
    <col min="4374" max="4374" width="21.1796875" bestFit="1" customWidth="1"/>
    <col min="4375" max="4375" width="23.36328125" bestFit="1" customWidth="1"/>
    <col min="4376" max="4376" width="25.36328125" bestFit="1" customWidth="1"/>
    <col min="4377" max="4377" width="27.453125" bestFit="1" customWidth="1"/>
    <col min="4378" max="4378" width="21.1796875" bestFit="1" customWidth="1"/>
    <col min="4379" max="4379" width="23.36328125" bestFit="1" customWidth="1"/>
    <col min="4380" max="4380" width="21.1796875" bestFit="1" customWidth="1"/>
    <col min="4381" max="4381" width="23.36328125" bestFit="1" customWidth="1"/>
    <col min="4382" max="4382" width="25.36328125" bestFit="1" customWidth="1"/>
    <col min="4383" max="4383" width="27.453125" bestFit="1" customWidth="1"/>
    <col min="4384" max="4384" width="21.1796875" bestFit="1" customWidth="1"/>
    <col min="4385" max="4385" width="23.36328125" bestFit="1" customWidth="1"/>
    <col min="4386" max="4386" width="21.1796875" bestFit="1" customWidth="1"/>
    <col min="4387" max="4387" width="23.36328125" bestFit="1" customWidth="1"/>
    <col min="4388" max="4388" width="21.1796875" bestFit="1" customWidth="1"/>
    <col min="4389" max="4389" width="23.36328125" bestFit="1" customWidth="1"/>
    <col min="4390" max="4390" width="21.1796875" bestFit="1" customWidth="1"/>
    <col min="4391" max="4391" width="23.36328125" bestFit="1" customWidth="1"/>
    <col min="4392" max="4392" width="25.36328125" bestFit="1" customWidth="1"/>
    <col min="4393" max="4393" width="27.453125" bestFit="1" customWidth="1"/>
    <col min="4394" max="4394" width="21.1796875" bestFit="1" customWidth="1"/>
    <col min="4395" max="4395" width="23.36328125" bestFit="1" customWidth="1"/>
    <col min="4396" max="4396" width="21.1796875" bestFit="1" customWidth="1"/>
    <col min="4397" max="4397" width="23.36328125" bestFit="1" customWidth="1"/>
    <col min="4398" max="4398" width="25.36328125" bestFit="1" customWidth="1"/>
    <col min="4399" max="4399" width="27.453125" bestFit="1" customWidth="1"/>
    <col min="4400" max="4400" width="21.1796875" bestFit="1" customWidth="1"/>
    <col min="4401" max="4401" width="23.36328125" bestFit="1" customWidth="1"/>
    <col min="4402" max="4402" width="25.36328125" bestFit="1" customWidth="1"/>
    <col min="4403" max="4403" width="27.453125" bestFit="1" customWidth="1"/>
    <col min="4404" max="4404" width="21.1796875" bestFit="1" customWidth="1"/>
    <col min="4405" max="4405" width="23.36328125" bestFit="1" customWidth="1"/>
    <col min="4406" max="4406" width="21.1796875" bestFit="1" customWidth="1"/>
    <col min="4407" max="4407" width="23.36328125" bestFit="1" customWidth="1"/>
    <col min="4408" max="4408" width="25.36328125" bestFit="1" customWidth="1"/>
    <col min="4409" max="4409" width="27.453125" bestFit="1" customWidth="1"/>
    <col min="4410" max="4410" width="21.1796875" bestFit="1" customWidth="1"/>
    <col min="4411" max="4411" width="23.36328125" bestFit="1" customWidth="1"/>
    <col min="4412" max="4412" width="25.36328125" bestFit="1" customWidth="1"/>
    <col min="4413" max="4413" width="27.453125" bestFit="1" customWidth="1"/>
    <col min="4414" max="4414" width="21.1796875" bestFit="1" customWidth="1"/>
    <col min="4415" max="4415" width="23.36328125" bestFit="1" customWidth="1"/>
    <col min="4416" max="4416" width="25.36328125" bestFit="1" customWidth="1"/>
    <col min="4417" max="4417" width="27.453125" bestFit="1" customWidth="1"/>
    <col min="4418" max="4418" width="21.1796875" bestFit="1" customWidth="1"/>
    <col min="4419" max="4419" width="23.36328125" bestFit="1" customWidth="1"/>
    <col min="4420" max="4420" width="21.1796875" bestFit="1" customWidth="1"/>
    <col min="4421" max="4421" width="23.36328125" bestFit="1" customWidth="1"/>
    <col min="4422" max="4422" width="25.36328125" bestFit="1" customWidth="1"/>
    <col min="4423" max="4423" width="27.453125" bestFit="1" customWidth="1"/>
    <col min="4424" max="4424" width="21.1796875" bestFit="1" customWidth="1"/>
    <col min="4425" max="4425" width="23.36328125" bestFit="1" customWidth="1"/>
    <col min="4426" max="4426" width="21.1796875" bestFit="1" customWidth="1"/>
    <col min="4427" max="4427" width="23.36328125" bestFit="1" customWidth="1"/>
    <col min="4428" max="4428" width="25.36328125" bestFit="1" customWidth="1"/>
    <col min="4429" max="4429" width="27.453125" bestFit="1" customWidth="1"/>
    <col min="4430" max="4430" width="21.1796875" bestFit="1" customWidth="1"/>
    <col min="4431" max="4431" width="23.36328125" bestFit="1" customWidth="1"/>
    <col min="4432" max="4432" width="25.36328125" bestFit="1" customWidth="1"/>
    <col min="4433" max="4433" width="27.453125" bestFit="1" customWidth="1"/>
    <col min="4434" max="4434" width="21.1796875" bestFit="1" customWidth="1"/>
    <col min="4435" max="4435" width="23.36328125" bestFit="1" customWidth="1"/>
    <col min="4436" max="4436" width="25.36328125" bestFit="1" customWidth="1"/>
    <col min="4437" max="4437" width="27.453125" bestFit="1" customWidth="1"/>
    <col min="4438" max="4438" width="21.1796875" bestFit="1" customWidth="1"/>
    <col min="4439" max="4439" width="23.36328125" bestFit="1" customWidth="1"/>
    <col min="4440" max="4440" width="23.81640625" bestFit="1" customWidth="1"/>
    <col min="4441" max="4441" width="25.81640625" bestFit="1" customWidth="1"/>
    <col min="4442" max="4442" width="21.1796875" bestFit="1" customWidth="1"/>
    <col min="4443" max="4443" width="23.36328125" bestFit="1" customWidth="1"/>
    <col min="4444" max="4444" width="25.36328125" bestFit="1" customWidth="1"/>
    <col min="4445" max="4445" width="27.453125" bestFit="1" customWidth="1"/>
    <col min="4446" max="4446" width="21.1796875" bestFit="1" customWidth="1"/>
    <col min="4447" max="4447" width="23.36328125" bestFit="1" customWidth="1"/>
    <col min="4448" max="4448" width="21.1796875" bestFit="1" customWidth="1"/>
    <col min="4449" max="4449" width="23.36328125" bestFit="1" customWidth="1"/>
    <col min="4450" max="4450" width="25.36328125" bestFit="1" customWidth="1"/>
    <col min="4451" max="4451" width="27.453125" bestFit="1" customWidth="1"/>
    <col min="4452" max="4452" width="21.1796875" bestFit="1" customWidth="1"/>
    <col min="4453" max="4453" width="23.36328125" bestFit="1" customWidth="1"/>
    <col min="4454" max="4454" width="25.36328125" bestFit="1" customWidth="1"/>
    <col min="4455" max="4455" width="27.453125" bestFit="1" customWidth="1"/>
    <col min="4456" max="4456" width="21.1796875" bestFit="1" customWidth="1"/>
    <col min="4457" max="4457" width="23.36328125" bestFit="1" customWidth="1"/>
    <col min="4458" max="4458" width="25.36328125" bestFit="1" customWidth="1"/>
    <col min="4459" max="4459" width="27.453125" bestFit="1" customWidth="1"/>
    <col min="4460" max="4460" width="21.1796875" bestFit="1" customWidth="1"/>
    <col min="4461" max="4461" width="23.36328125" bestFit="1" customWidth="1"/>
    <col min="4462" max="4462" width="25.36328125" bestFit="1" customWidth="1"/>
    <col min="4463" max="4463" width="27.453125" bestFit="1" customWidth="1"/>
    <col min="4464" max="4464" width="21.1796875" bestFit="1" customWidth="1"/>
    <col min="4465" max="4465" width="23.36328125" bestFit="1" customWidth="1"/>
    <col min="4466" max="4466" width="25.36328125" bestFit="1" customWidth="1"/>
    <col min="4467" max="4467" width="27.453125" bestFit="1" customWidth="1"/>
    <col min="4468" max="4468" width="21.1796875" bestFit="1" customWidth="1"/>
    <col min="4469" max="4469" width="23.36328125" bestFit="1" customWidth="1"/>
    <col min="4470" max="4470" width="21.1796875" bestFit="1" customWidth="1"/>
    <col min="4471" max="4471" width="23.36328125" bestFit="1" customWidth="1"/>
    <col min="4472" max="4472" width="25.36328125" bestFit="1" customWidth="1"/>
    <col min="4473" max="4473" width="27.453125" bestFit="1" customWidth="1"/>
    <col min="4474" max="4474" width="21.1796875" bestFit="1" customWidth="1"/>
    <col min="4475" max="4475" width="23.36328125" bestFit="1" customWidth="1"/>
    <col min="4476" max="4476" width="25.36328125" bestFit="1" customWidth="1"/>
    <col min="4477" max="4477" width="27.453125" bestFit="1" customWidth="1"/>
    <col min="4478" max="4478" width="21.1796875" bestFit="1" customWidth="1"/>
    <col min="4479" max="4479" width="23.36328125" bestFit="1" customWidth="1"/>
    <col min="4480" max="4480" width="21.1796875" bestFit="1" customWidth="1"/>
    <col min="4481" max="4481" width="23.36328125" bestFit="1" customWidth="1"/>
    <col min="4482" max="4482" width="25.36328125" bestFit="1" customWidth="1"/>
    <col min="4483" max="4483" width="27.453125" bestFit="1" customWidth="1"/>
    <col min="4484" max="4484" width="21.1796875" bestFit="1" customWidth="1"/>
    <col min="4485" max="4485" width="23.36328125" bestFit="1" customWidth="1"/>
    <col min="4486" max="4486" width="25.36328125" bestFit="1" customWidth="1"/>
    <col min="4487" max="4487" width="27.453125" bestFit="1" customWidth="1"/>
    <col min="4488" max="4488" width="21.1796875" bestFit="1" customWidth="1"/>
    <col min="4489" max="4489" width="23.36328125" bestFit="1" customWidth="1"/>
    <col min="4490" max="4490" width="25.36328125" bestFit="1" customWidth="1"/>
    <col min="4491" max="4491" width="27.453125" bestFit="1" customWidth="1"/>
    <col min="4492" max="4492" width="21.1796875" bestFit="1" customWidth="1"/>
    <col min="4493" max="4493" width="23.36328125" bestFit="1" customWidth="1"/>
    <col min="4494" max="4494" width="25.36328125" bestFit="1" customWidth="1"/>
    <col min="4495" max="4495" width="27.453125" bestFit="1" customWidth="1"/>
    <col min="4496" max="4496" width="21.1796875" bestFit="1" customWidth="1"/>
    <col min="4497" max="4497" width="23.36328125" bestFit="1" customWidth="1"/>
    <col min="4498" max="4498" width="25.36328125" bestFit="1" customWidth="1"/>
    <col min="4499" max="4499" width="27.453125" bestFit="1" customWidth="1"/>
    <col min="4500" max="4500" width="21.1796875" bestFit="1" customWidth="1"/>
    <col min="4501" max="4501" width="23.36328125" bestFit="1" customWidth="1"/>
    <col min="4502" max="4502" width="21.1796875" bestFit="1" customWidth="1"/>
    <col min="4503" max="4503" width="23.36328125" bestFit="1" customWidth="1"/>
    <col min="4504" max="4504" width="25.36328125" bestFit="1" customWidth="1"/>
    <col min="4505" max="4505" width="27.453125" bestFit="1" customWidth="1"/>
    <col min="4506" max="4506" width="21.1796875" bestFit="1" customWidth="1"/>
    <col min="4507" max="4507" width="23.36328125" bestFit="1" customWidth="1"/>
    <col min="4508" max="4508" width="25.36328125" bestFit="1" customWidth="1"/>
    <col min="4509" max="4509" width="27.453125" bestFit="1" customWidth="1"/>
    <col min="4510" max="4510" width="21.1796875" bestFit="1" customWidth="1"/>
    <col min="4511" max="4511" width="23.36328125" bestFit="1" customWidth="1"/>
    <col min="4512" max="4512" width="25.36328125" bestFit="1" customWidth="1"/>
    <col min="4513" max="4513" width="27.453125" bestFit="1" customWidth="1"/>
    <col min="4514" max="4514" width="21.1796875" bestFit="1" customWidth="1"/>
    <col min="4515" max="4515" width="23.36328125" bestFit="1" customWidth="1"/>
    <col min="4516" max="4516" width="25.36328125" bestFit="1" customWidth="1"/>
    <col min="4517" max="4517" width="27.453125" bestFit="1" customWidth="1"/>
    <col min="4518" max="4518" width="21.1796875" bestFit="1" customWidth="1"/>
    <col min="4519" max="4519" width="23.36328125" bestFit="1" customWidth="1"/>
    <col min="4520" max="4520" width="21.1796875" bestFit="1" customWidth="1"/>
    <col min="4521" max="4521" width="23.36328125" bestFit="1" customWidth="1"/>
    <col min="4522" max="4522" width="25.36328125" bestFit="1" customWidth="1"/>
    <col min="4523" max="4523" width="27.453125" bestFit="1" customWidth="1"/>
    <col min="4524" max="4524" width="21.1796875" bestFit="1" customWidth="1"/>
    <col min="4525" max="4525" width="23.36328125" bestFit="1" customWidth="1"/>
    <col min="4526" max="4526" width="25.36328125" bestFit="1" customWidth="1"/>
    <col min="4527" max="4527" width="27.453125" bestFit="1" customWidth="1"/>
    <col min="4528" max="4528" width="21.1796875" bestFit="1" customWidth="1"/>
    <col min="4529" max="4529" width="23.36328125" bestFit="1" customWidth="1"/>
    <col min="4530" max="4530" width="21.1796875" bestFit="1" customWidth="1"/>
    <col min="4531" max="4531" width="23.36328125" bestFit="1" customWidth="1"/>
    <col min="4532" max="4532" width="25.36328125" bestFit="1" customWidth="1"/>
    <col min="4533" max="4533" width="27.453125" bestFit="1" customWidth="1"/>
    <col min="4534" max="4534" width="21.1796875" bestFit="1" customWidth="1"/>
    <col min="4535" max="4535" width="23.36328125" bestFit="1" customWidth="1"/>
    <col min="4536" max="4536" width="25.36328125" bestFit="1" customWidth="1"/>
    <col min="4537" max="4537" width="27.453125" bestFit="1" customWidth="1"/>
    <col min="4538" max="4538" width="21.1796875" bestFit="1" customWidth="1"/>
    <col min="4539" max="4539" width="23.36328125" bestFit="1" customWidth="1"/>
    <col min="4540" max="4540" width="25.36328125" bestFit="1" customWidth="1"/>
    <col min="4541" max="4541" width="27.453125" bestFit="1" customWidth="1"/>
    <col min="4542" max="4542" width="21.1796875" bestFit="1" customWidth="1"/>
    <col min="4543" max="4543" width="23.36328125" bestFit="1" customWidth="1"/>
    <col min="4544" max="4544" width="25.36328125" bestFit="1" customWidth="1"/>
    <col min="4545" max="4545" width="27.453125" bestFit="1" customWidth="1"/>
    <col min="4546" max="4546" width="21.1796875" bestFit="1" customWidth="1"/>
    <col min="4547" max="4547" width="23.36328125" bestFit="1" customWidth="1"/>
    <col min="4548" max="4548" width="25.36328125" bestFit="1" customWidth="1"/>
    <col min="4549" max="4549" width="27.453125" bestFit="1" customWidth="1"/>
    <col min="4550" max="4550" width="21.1796875" bestFit="1" customWidth="1"/>
    <col min="4551" max="4551" width="23.36328125" bestFit="1" customWidth="1"/>
    <col min="4552" max="4552" width="25.36328125" bestFit="1" customWidth="1"/>
    <col min="4553" max="4553" width="27.453125" bestFit="1" customWidth="1"/>
    <col min="4554" max="4554" width="21.1796875" bestFit="1" customWidth="1"/>
    <col min="4555" max="4555" width="23.36328125" bestFit="1" customWidth="1"/>
    <col min="4556" max="4556" width="25.36328125" bestFit="1" customWidth="1"/>
    <col min="4557" max="4557" width="27.453125" bestFit="1" customWidth="1"/>
    <col min="4558" max="4558" width="21.1796875" bestFit="1" customWidth="1"/>
    <col min="4559" max="4559" width="23.36328125" bestFit="1" customWidth="1"/>
    <col min="4560" max="4560" width="25.36328125" bestFit="1" customWidth="1"/>
    <col min="4561" max="4561" width="27.453125" bestFit="1" customWidth="1"/>
    <col min="4562" max="4562" width="21.1796875" bestFit="1" customWidth="1"/>
    <col min="4563" max="4563" width="23.36328125" bestFit="1" customWidth="1"/>
    <col min="4564" max="4564" width="25.36328125" bestFit="1" customWidth="1"/>
    <col min="4565" max="4565" width="27.453125" bestFit="1" customWidth="1"/>
    <col min="4566" max="4566" width="21.1796875" bestFit="1" customWidth="1"/>
    <col min="4567" max="4567" width="23.36328125" bestFit="1" customWidth="1"/>
    <col min="4568" max="4568" width="25.36328125" bestFit="1" customWidth="1"/>
    <col min="4569" max="4569" width="27.453125" bestFit="1" customWidth="1"/>
    <col min="4570" max="4570" width="21.1796875" bestFit="1" customWidth="1"/>
    <col min="4571" max="4571" width="23.36328125" bestFit="1" customWidth="1"/>
    <col min="4572" max="4572" width="23.81640625" bestFit="1" customWidth="1"/>
    <col min="4573" max="4573" width="25.81640625" bestFit="1" customWidth="1"/>
    <col min="4574" max="4574" width="21.1796875" bestFit="1" customWidth="1"/>
    <col min="4575" max="4575" width="23.36328125" bestFit="1" customWidth="1"/>
    <col min="4576" max="4576" width="21.1796875" bestFit="1" customWidth="1"/>
    <col min="4577" max="4577" width="23.36328125" bestFit="1" customWidth="1"/>
    <col min="4578" max="4578" width="25.36328125" bestFit="1" customWidth="1"/>
    <col min="4579" max="4579" width="27.453125" bestFit="1" customWidth="1"/>
    <col min="4580" max="4580" width="21.1796875" bestFit="1" customWidth="1"/>
    <col min="4581" max="4581" width="23.36328125" bestFit="1" customWidth="1"/>
    <col min="4582" max="4582" width="25.36328125" bestFit="1" customWidth="1"/>
    <col min="4583" max="4583" width="27.453125" bestFit="1" customWidth="1"/>
    <col min="4584" max="4584" width="21.1796875" bestFit="1" customWidth="1"/>
    <col min="4585" max="4585" width="23.36328125" bestFit="1" customWidth="1"/>
    <col min="4586" max="4586" width="25.36328125" bestFit="1" customWidth="1"/>
    <col min="4587" max="4587" width="27.453125" bestFit="1" customWidth="1"/>
    <col min="4588" max="4588" width="21.1796875" bestFit="1" customWidth="1"/>
    <col min="4589" max="4589" width="23.36328125" bestFit="1" customWidth="1"/>
    <col min="4590" max="4590" width="21.1796875" bestFit="1" customWidth="1"/>
    <col min="4591" max="4591" width="23.36328125" bestFit="1" customWidth="1"/>
    <col min="4592" max="4592" width="25.36328125" bestFit="1" customWidth="1"/>
    <col min="4593" max="4593" width="27.453125" bestFit="1" customWidth="1"/>
    <col min="4594" max="4594" width="21.1796875" bestFit="1" customWidth="1"/>
    <col min="4595" max="4595" width="23.36328125" bestFit="1" customWidth="1"/>
    <col min="4596" max="4596" width="21.1796875" bestFit="1" customWidth="1"/>
    <col min="4597" max="4597" width="23.36328125" bestFit="1" customWidth="1"/>
    <col min="4598" max="4598" width="25.36328125" bestFit="1" customWidth="1"/>
    <col min="4599" max="4599" width="27.453125" bestFit="1" customWidth="1"/>
    <col min="4600" max="4600" width="21.1796875" bestFit="1" customWidth="1"/>
    <col min="4601" max="4601" width="23.36328125" bestFit="1" customWidth="1"/>
    <col min="4602" max="4602" width="23.81640625" bestFit="1" customWidth="1"/>
    <col min="4603" max="4603" width="25.81640625" bestFit="1" customWidth="1"/>
    <col min="4604" max="4604" width="21.1796875" bestFit="1" customWidth="1"/>
    <col min="4605" max="4605" width="23.36328125" bestFit="1" customWidth="1"/>
    <col min="4606" max="4606" width="25.36328125" bestFit="1" customWidth="1"/>
    <col min="4607" max="4607" width="27.453125" bestFit="1" customWidth="1"/>
    <col min="4608" max="4608" width="21.1796875" bestFit="1" customWidth="1"/>
    <col min="4609" max="4609" width="23.36328125" bestFit="1" customWidth="1"/>
    <col min="4610" max="4610" width="21.1796875" bestFit="1" customWidth="1"/>
    <col min="4611" max="4611" width="23.36328125" bestFit="1" customWidth="1"/>
    <col min="4612" max="4612" width="21.1796875" bestFit="1" customWidth="1"/>
    <col min="4613" max="4613" width="23.36328125" bestFit="1" customWidth="1"/>
    <col min="4614" max="4614" width="21.1796875" bestFit="1" customWidth="1"/>
    <col min="4615" max="4615" width="23.36328125" bestFit="1" customWidth="1"/>
    <col min="4616" max="4616" width="21.1796875" bestFit="1" customWidth="1"/>
    <col min="4617" max="4617" width="23.36328125" bestFit="1" customWidth="1"/>
    <col min="4618" max="4618" width="21.1796875" bestFit="1" customWidth="1"/>
    <col min="4619" max="4619" width="23.36328125" bestFit="1" customWidth="1"/>
    <col min="4620" max="4620" width="21.1796875" bestFit="1" customWidth="1"/>
    <col min="4621" max="4621" width="23.36328125" bestFit="1" customWidth="1"/>
    <col min="4622" max="4622" width="21.1796875" bestFit="1" customWidth="1"/>
    <col min="4623" max="4623" width="23.36328125" bestFit="1" customWidth="1"/>
    <col min="4624" max="4624" width="21.1796875" bestFit="1" customWidth="1"/>
    <col min="4625" max="4625" width="23.36328125" bestFit="1" customWidth="1"/>
    <col min="4626" max="4626" width="21.1796875" bestFit="1" customWidth="1"/>
    <col min="4627" max="4627" width="23.36328125" bestFit="1" customWidth="1"/>
    <col min="4628" max="4628" width="25.36328125" bestFit="1" customWidth="1"/>
    <col min="4629" max="4629" width="27.453125" bestFit="1" customWidth="1"/>
    <col min="4630" max="4630" width="21.1796875" bestFit="1" customWidth="1"/>
    <col min="4631" max="4631" width="23.36328125" bestFit="1" customWidth="1"/>
    <col min="4632" max="4632" width="25.36328125" bestFit="1" customWidth="1"/>
    <col min="4633" max="4633" width="27.453125" bestFit="1" customWidth="1"/>
    <col min="4634" max="4634" width="21.1796875" bestFit="1" customWidth="1"/>
    <col min="4635" max="4635" width="23.36328125" bestFit="1" customWidth="1"/>
    <col min="4636" max="4636" width="21.1796875" bestFit="1" customWidth="1"/>
    <col min="4637" max="4637" width="23.36328125" bestFit="1" customWidth="1"/>
    <col min="4638" max="4638" width="25.36328125" bestFit="1" customWidth="1"/>
    <col min="4639" max="4639" width="27.453125" bestFit="1" customWidth="1"/>
    <col min="4640" max="4640" width="21.1796875" bestFit="1" customWidth="1"/>
    <col min="4641" max="4641" width="23.36328125" bestFit="1" customWidth="1"/>
    <col min="4642" max="4642" width="25.36328125" bestFit="1" customWidth="1"/>
    <col min="4643" max="4643" width="27.453125" bestFit="1" customWidth="1"/>
    <col min="4644" max="4644" width="21.1796875" bestFit="1" customWidth="1"/>
    <col min="4645" max="4645" width="23.36328125" bestFit="1" customWidth="1"/>
    <col min="4646" max="4646" width="21.1796875" bestFit="1" customWidth="1"/>
    <col min="4647" max="4647" width="23.36328125" bestFit="1" customWidth="1"/>
    <col min="4648" max="4648" width="25.36328125" bestFit="1" customWidth="1"/>
    <col min="4649" max="4649" width="27.453125" bestFit="1" customWidth="1"/>
    <col min="4650" max="4650" width="21.1796875" bestFit="1" customWidth="1"/>
    <col min="4651" max="4651" width="23.36328125" bestFit="1" customWidth="1"/>
    <col min="4652" max="4652" width="25.36328125" bestFit="1" customWidth="1"/>
    <col min="4653" max="4653" width="27.453125" bestFit="1" customWidth="1"/>
    <col min="4654" max="4654" width="21.1796875" bestFit="1" customWidth="1"/>
    <col min="4655" max="4655" width="23.36328125" bestFit="1" customWidth="1"/>
    <col min="4656" max="4656" width="21.1796875" bestFit="1" customWidth="1"/>
    <col min="4657" max="4657" width="23.36328125" bestFit="1" customWidth="1"/>
    <col min="4658" max="4658" width="25.36328125" bestFit="1" customWidth="1"/>
    <col min="4659" max="4659" width="27.453125" bestFit="1" customWidth="1"/>
    <col min="4660" max="4660" width="21.1796875" bestFit="1" customWidth="1"/>
    <col min="4661" max="4661" width="23.36328125" bestFit="1" customWidth="1"/>
    <col min="4662" max="4662" width="25.36328125" bestFit="1" customWidth="1"/>
    <col min="4663" max="4663" width="27.453125" bestFit="1" customWidth="1"/>
    <col min="4664" max="4664" width="21.1796875" bestFit="1" customWidth="1"/>
    <col min="4665" max="4665" width="23.36328125" bestFit="1" customWidth="1"/>
    <col min="4666" max="4666" width="25.36328125" bestFit="1" customWidth="1"/>
    <col min="4667" max="4667" width="27.453125" bestFit="1" customWidth="1"/>
    <col min="4668" max="4668" width="21.1796875" bestFit="1" customWidth="1"/>
    <col min="4669" max="4669" width="23.36328125" bestFit="1" customWidth="1"/>
    <col min="4670" max="4670" width="21.1796875" bestFit="1" customWidth="1"/>
    <col min="4671" max="4671" width="23.36328125" bestFit="1" customWidth="1"/>
    <col min="4672" max="4672" width="25.36328125" bestFit="1" customWidth="1"/>
    <col min="4673" max="4673" width="27.453125" bestFit="1" customWidth="1"/>
    <col min="4674" max="4674" width="21.1796875" bestFit="1" customWidth="1"/>
    <col min="4675" max="4675" width="23.36328125" bestFit="1" customWidth="1"/>
    <col min="4676" max="4676" width="25.36328125" bestFit="1" customWidth="1"/>
    <col min="4677" max="4677" width="27.453125" bestFit="1" customWidth="1"/>
    <col min="4678" max="4678" width="21.1796875" bestFit="1" customWidth="1"/>
    <col min="4679" max="4679" width="23.36328125" bestFit="1" customWidth="1"/>
    <col min="4680" max="4680" width="25.36328125" bestFit="1" customWidth="1"/>
    <col min="4681" max="4681" width="27.453125" bestFit="1" customWidth="1"/>
    <col min="4682" max="4682" width="21.1796875" bestFit="1" customWidth="1"/>
    <col min="4683" max="4683" width="23.36328125" bestFit="1" customWidth="1"/>
    <col min="4684" max="4684" width="21.1796875" bestFit="1" customWidth="1"/>
    <col min="4685" max="4685" width="23.36328125" bestFit="1" customWidth="1"/>
    <col min="4686" max="4686" width="21.1796875" bestFit="1" customWidth="1"/>
    <col min="4687" max="4687" width="23.36328125" bestFit="1" customWidth="1"/>
    <col min="4688" max="4688" width="25.36328125" bestFit="1" customWidth="1"/>
    <col min="4689" max="4689" width="27.453125" bestFit="1" customWidth="1"/>
    <col min="4690" max="4690" width="21.1796875" bestFit="1" customWidth="1"/>
    <col min="4691" max="4691" width="23.36328125" bestFit="1" customWidth="1"/>
    <col min="4692" max="4692" width="21.1796875" bestFit="1" customWidth="1"/>
    <col min="4693" max="4693" width="23.36328125" bestFit="1" customWidth="1"/>
    <col min="4694" max="4694" width="25.36328125" bestFit="1" customWidth="1"/>
    <col min="4695" max="4695" width="27.453125" bestFit="1" customWidth="1"/>
    <col min="4696" max="4696" width="21.1796875" bestFit="1" customWidth="1"/>
    <col min="4697" max="4697" width="23.36328125" bestFit="1" customWidth="1"/>
    <col min="4698" max="4698" width="25.36328125" bestFit="1" customWidth="1"/>
    <col min="4699" max="4699" width="27.453125" bestFit="1" customWidth="1"/>
    <col min="4700" max="4700" width="21.1796875" bestFit="1" customWidth="1"/>
    <col min="4701" max="4701" width="23.36328125" bestFit="1" customWidth="1"/>
    <col min="4702" max="4702" width="21.1796875" bestFit="1" customWidth="1"/>
    <col min="4703" max="4703" width="23.36328125" bestFit="1" customWidth="1"/>
    <col min="4704" max="4704" width="21.1796875" bestFit="1" customWidth="1"/>
    <col min="4705" max="4705" width="23.36328125" bestFit="1" customWidth="1"/>
    <col min="4706" max="4706" width="25.36328125" bestFit="1" customWidth="1"/>
    <col min="4707" max="4707" width="27.453125" bestFit="1" customWidth="1"/>
    <col min="4708" max="4708" width="21.1796875" bestFit="1" customWidth="1"/>
    <col min="4709" max="4709" width="23.36328125" bestFit="1" customWidth="1"/>
    <col min="4710" max="4710" width="25.36328125" bestFit="1" customWidth="1"/>
    <col min="4711" max="4711" width="27.453125" bestFit="1" customWidth="1"/>
    <col min="4712" max="4712" width="21.1796875" bestFit="1" customWidth="1"/>
    <col min="4713" max="4713" width="23.36328125" bestFit="1" customWidth="1"/>
    <col min="4714" max="4714" width="25.36328125" bestFit="1" customWidth="1"/>
    <col min="4715" max="4715" width="27.453125" bestFit="1" customWidth="1"/>
    <col min="4716" max="4716" width="21.1796875" bestFit="1" customWidth="1"/>
    <col min="4717" max="4717" width="23.36328125" bestFit="1" customWidth="1"/>
    <col min="4718" max="4718" width="25.36328125" bestFit="1" customWidth="1"/>
    <col min="4719" max="4719" width="27.453125" bestFit="1" customWidth="1"/>
    <col min="4720" max="4720" width="21.1796875" bestFit="1" customWidth="1"/>
    <col min="4721" max="4721" width="23.36328125" bestFit="1" customWidth="1"/>
    <col min="4722" max="4722" width="23.81640625" bestFit="1" customWidth="1"/>
    <col min="4723" max="4723" width="25.81640625" bestFit="1" customWidth="1"/>
    <col min="4724" max="4724" width="21.1796875" bestFit="1" customWidth="1"/>
    <col min="4725" max="4725" width="23.36328125" bestFit="1" customWidth="1"/>
    <col min="4726" max="4726" width="21.1796875" bestFit="1" customWidth="1"/>
    <col min="4727" max="4727" width="23.36328125" bestFit="1" customWidth="1"/>
    <col min="4728" max="4728" width="25.36328125" bestFit="1" customWidth="1"/>
    <col min="4729" max="4729" width="27.453125" bestFit="1" customWidth="1"/>
    <col min="4730" max="4730" width="21.1796875" bestFit="1" customWidth="1"/>
    <col min="4731" max="4731" width="23.36328125" bestFit="1" customWidth="1"/>
    <col min="4732" max="4732" width="21.1796875" bestFit="1" customWidth="1"/>
    <col min="4733" max="4733" width="23.36328125" bestFit="1" customWidth="1"/>
    <col min="4734" max="4734" width="25.36328125" bestFit="1" customWidth="1"/>
    <col min="4735" max="4735" width="27.453125" bestFit="1" customWidth="1"/>
    <col min="4736" max="4736" width="21.1796875" bestFit="1" customWidth="1"/>
    <col min="4737" max="4737" width="23.36328125" bestFit="1" customWidth="1"/>
    <col min="4738" max="4738" width="21.1796875" bestFit="1" customWidth="1"/>
    <col min="4739" max="4739" width="23.36328125" bestFit="1" customWidth="1"/>
    <col min="4740" max="4740" width="25.36328125" bestFit="1" customWidth="1"/>
    <col min="4741" max="4741" width="27.453125" bestFit="1" customWidth="1"/>
    <col min="4742" max="4742" width="21.1796875" bestFit="1" customWidth="1"/>
    <col min="4743" max="4743" width="23.36328125" bestFit="1" customWidth="1"/>
    <col min="4744" max="4744" width="25.36328125" bestFit="1" customWidth="1"/>
    <col min="4745" max="4745" width="27.453125" bestFit="1" customWidth="1"/>
    <col min="4746" max="4746" width="21.1796875" bestFit="1" customWidth="1"/>
    <col min="4747" max="4747" width="23.36328125" bestFit="1" customWidth="1"/>
    <col min="4748" max="4748" width="25.36328125" bestFit="1" customWidth="1"/>
    <col min="4749" max="4749" width="27.453125" bestFit="1" customWidth="1"/>
    <col min="4750" max="4750" width="21.1796875" bestFit="1" customWidth="1"/>
    <col min="4751" max="4751" width="23.36328125" bestFit="1" customWidth="1"/>
    <col min="4752" max="4752" width="25.36328125" bestFit="1" customWidth="1"/>
    <col min="4753" max="4753" width="27.453125" bestFit="1" customWidth="1"/>
    <col min="4754" max="4754" width="21.1796875" bestFit="1" customWidth="1"/>
    <col min="4755" max="4755" width="23.36328125" bestFit="1" customWidth="1"/>
    <col min="4756" max="4756" width="25.36328125" bestFit="1" customWidth="1"/>
    <col min="4757" max="4757" width="27.453125" bestFit="1" customWidth="1"/>
    <col min="4758" max="4758" width="21.1796875" bestFit="1" customWidth="1"/>
    <col min="4759" max="4759" width="23.36328125" bestFit="1" customWidth="1"/>
    <col min="4760" max="4760" width="25.36328125" bestFit="1" customWidth="1"/>
    <col min="4761" max="4761" width="27.453125" bestFit="1" customWidth="1"/>
    <col min="4762" max="4762" width="21.1796875" bestFit="1" customWidth="1"/>
    <col min="4763" max="4763" width="23.36328125" bestFit="1" customWidth="1"/>
    <col min="4764" max="4764" width="25.36328125" bestFit="1" customWidth="1"/>
    <col min="4765" max="4765" width="27.453125" bestFit="1" customWidth="1"/>
    <col min="4766" max="4766" width="21.1796875" bestFit="1" customWidth="1"/>
    <col min="4767" max="4767" width="23.36328125" bestFit="1" customWidth="1"/>
    <col min="4768" max="4768" width="25.36328125" bestFit="1" customWidth="1"/>
    <col min="4769" max="4769" width="27.453125" bestFit="1" customWidth="1"/>
    <col min="4770" max="4770" width="21.1796875" bestFit="1" customWidth="1"/>
    <col min="4771" max="4771" width="23.36328125" bestFit="1" customWidth="1"/>
    <col min="4772" max="4772" width="25.36328125" bestFit="1" customWidth="1"/>
    <col min="4773" max="4773" width="27.453125" bestFit="1" customWidth="1"/>
    <col min="4774" max="4774" width="21.1796875" bestFit="1" customWidth="1"/>
    <col min="4775" max="4775" width="23.36328125" bestFit="1" customWidth="1"/>
    <col min="4776" max="4776" width="25.36328125" bestFit="1" customWidth="1"/>
    <col min="4777" max="4777" width="27.453125" bestFit="1" customWidth="1"/>
    <col min="4778" max="4778" width="21.1796875" bestFit="1" customWidth="1"/>
    <col min="4779" max="4779" width="23.36328125" bestFit="1" customWidth="1"/>
    <col min="4780" max="4780" width="25.36328125" bestFit="1" customWidth="1"/>
    <col min="4781" max="4781" width="27.453125" bestFit="1" customWidth="1"/>
    <col min="4782" max="4782" width="21.1796875" bestFit="1" customWidth="1"/>
    <col min="4783" max="4783" width="23.36328125" bestFit="1" customWidth="1"/>
    <col min="4784" max="4784" width="21.1796875" bestFit="1" customWidth="1"/>
    <col min="4785" max="4785" width="23.36328125" bestFit="1" customWidth="1"/>
    <col min="4786" max="4786" width="25.36328125" bestFit="1" customWidth="1"/>
    <col min="4787" max="4787" width="27.453125" bestFit="1" customWidth="1"/>
    <col min="4788" max="4788" width="21.1796875" bestFit="1" customWidth="1"/>
    <col min="4789" max="4789" width="23.36328125" bestFit="1" customWidth="1"/>
    <col min="4790" max="4790" width="23.81640625" bestFit="1" customWidth="1"/>
    <col min="4791" max="4791" width="25.81640625" bestFit="1" customWidth="1"/>
    <col min="4792" max="4792" width="21.1796875" bestFit="1" customWidth="1"/>
    <col min="4793" max="4793" width="23.36328125" bestFit="1" customWidth="1"/>
    <col min="4794" max="4794" width="21.1796875" bestFit="1" customWidth="1"/>
    <col min="4795" max="4795" width="23.36328125" bestFit="1" customWidth="1"/>
    <col min="4796" max="4796" width="21.1796875" bestFit="1" customWidth="1"/>
    <col min="4797" max="4797" width="23.36328125" bestFit="1" customWidth="1"/>
    <col min="4798" max="4798" width="25.36328125" bestFit="1" customWidth="1"/>
    <col min="4799" max="4799" width="27.453125" bestFit="1" customWidth="1"/>
    <col min="4800" max="4800" width="21.1796875" bestFit="1" customWidth="1"/>
    <col min="4801" max="4801" width="23.36328125" bestFit="1" customWidth="1"/>
    <col min="4802" max="4802" width="25.36328125" bestFit="1" customWidth="1"/>
    <col min="4803" max="4803" width="27.453125" bestFit="1" customWidth="1"/>
    <col min="4804" max="4804" width="21.1796875" bestFit="1" customWidth="1"/>
    <col min="4805" max="4805" width="23.36328125" bestFit="1" customWidth="1"/>
    <col min="4806" max="4806" width="25.36328125" bestFit="1" customWidth="1"/>
    <col min="4807" max="4807" width="27.453125" bestFit="1" customWidth="1"/>
    <col min="4808" max="4808" width="21.1796875" bestFit="1" customWidth="1"/>
    <col min="4809" max="4809" width="23.36328125" bestFit="1" customWidth="1"/>
    <col min="4810" max="4810" width="25.36328125" bestFit="1" customWidth="1"/>
    <col min="4811" max="4811" width="27.453125" bestFit="1" customWidth="1"/>
    <col min="4812" max="4812" width="21.1796875" bestFit="1" customWidth="1"/>
    <col min="4813" max="4813" width="23.36328125" bestFit="1" customWidth="1"/>
    <col min="4814" max="4814" width="25.36328125" bestFit="1" customWidth="1"/>
    <col min="4815" max="4815" width="27.453125" bestFit="1" customWidth="1"/>
    <col min="4816" max="4816" width="21.1796875" bestFit="1" customWidth="1"/>
    <col min="4817" max="4817" width="23.36328125" bestFit="1" customWidth="1"/>
    <col min="4818" max="4818" width="21.1796875" bestFit="1" customWidth="1"/>
    <col min="4819" max="4819" width="23.36328125" bestFit="1" customWidth="1"/>
    <col min="4820" max="4820" width="25.36328125" bestFit="1" customWidth="1"/>
    <col min="4821" max="4821" width="27.453125" bestFit="1" customWidth="1"/>
    <col min="4822" max="4822" width="21.1796875" bestFit="1" customWidth="1"/>
    <col min="4823" max="4823" width="23.36328125" bestFit="1" customWidth="1"/>
    <col min="4824" max="4824" width="21.1796875" bestFit="1" customWidth="1"/>
    <col min="4825" max="4825" width="23.36328125" bestFit="1" customWidth="1"/>
    <col min="4826" max="4826" width="21.1796875" bestFit="1" customWidth="1"/>
    <col min="4827" max="4827" width="23.36328125" bestFit="1" customWidth="1"/>
    <col min="4828" max="4828" width="23.81640625" bestFit="1" customWidth="1"/>
    <col min="4829" max="4829" width="25.81640625" bestFit="1" customWidth="1"/>
    <col min="4830" max="4830" width="21.1796875" bestFit="1" customWidth="1"/>
    <col min="4831" max="4831" width="23.36328125" bestFit="1" customWidth="1"/>
    <col min="4832" max="4832" width="25.36328125" bestFit="1" customWidth="1"/>
    <col min="4833" max="4833" width="27.453125" bestFit="1" customWidth="1"/>
    <col min="4834" max="4834" width="21.1796875" bestFit="1" customWidth="1"/>
    <col min="4835" max="4835" width="23.36328125" bestFit="1" customWidth="1"/>
    <col min="4836" max="4836" width="25.36328125" bestFit="1" customWidth="1"/>
    <col min="4837" max="4837" width="27.453125" bestFit="1" customWidth="1"/>
    <col min="4838" max="4838" width="21.1796875" bestFit="1" customWidth="1"/>
    <col min="4839" max="4839" width="23.36328125" bestFit="1" customWidth="1"/>
    <col min="4840" max="4840" width="25.36328125" bestFit="1" customWidth="1"/>
    <col min="4841" max="4841" width="27.453125" bestFit="1" customWidth="1"/>
    <col min="4842" max="4842" width="21.1796875" bestFit="1" customWidth="1"/>
    <col min="4843" max="4843" width="23.36328125" bestFit="1" customWidth="1"/>
    <col min="4844" max="4844" width="23.81640625" bestFit="1" customWidth="1"/>
    <col min="4845" max="4845" width="25.81640625" bestFit="1" customWidth="1"/>
    <col min="4846" max="4846" width="21.1796875" bestFit="1" customWidth="1"/>
    <col min="4847" max="4847" width="23.36328125" bestFit="1" customWidth="1"/>
    <col min="4848" max="4848" width="25.36328125" bestFit="1" customWidth="1"/>
    <col min="4849" max="4849" width="27.453125" bestFit="1" customWidth="1"/>
    <col min="4850" max="4850" width="21.1796875" bestFit="1" customWidth="1"/>
    <col min="4851" max="4851" width="23.36328125" bestFit="1" customWidth="1"/>
    <col min="4852" max="4852" width="25.36328125" bestFit="1" customWidth="1"/>
    <col min="4853" max="4853" width="27.453125" bestFit="1" customWidth="1"/>
    <col min="4854" max="4854" width="21.1796875" bestFit="1" customWidth="1"/>
    <col min="4855" max="4855" width="23.36328125" bestFit="1" customWidth="1"/>
    <col min="4856" max="4856" width="25.36328125" bestFit="1" customWidth="1"/>
    <col min="4857" max="4857" width="27.453125" bestFit="1" customWidth="1"/>
    <col min="4858" max="4858" width="21.1796875" bestFit="1" customWidth="1"/>
    <col min="4859" max="4859" width="23.36328125" bestFit="1" customWidth="1"/>
    <col min="4860" max="4860" width="25.36328125" bestFit="1" customWidth="1"/>
    <col min="4861" max="4861" width="27.453125" bestFit="1" customWidth="1"/>
    <col min="4862" max="4862" width="21.1796875" bestFit="1" customWidth="1"/>
    <col min="4863" max="4863" width="23.36328125" bestFit="1" customWidth="1"/>
    <col min="4864" max="4864" width="25.36328125" bestFit="1" customWidth="1"/>
    <col min="4865" max="4865" width="27.453125" bestFit="1" customWidth="1"/>
    <col min="4866" max="4866" width="21.1796875" bestFit="1" customWidth="1"/>
    <col min="4867" max="4867" width="23.36328125" bestFit="1" customWidth="1"/>
    <col min="4868" max="4868" width="25.36328125" bestFit="1" customWidth="1"/>
    <col min="4869" max="4869" width="27.453125" bestFit="1" customWidth="1"/>
    <col min="4870" max="4870" width="21.1796875" bestFit="1" customWidth="1"/>
    <col min="4871" max="4871" width="23.36328125" bestFit="1" customWidth="1"/>
    <col min="4872" max="4872" width="25.36328125" bestFit="1" customWidth="1"/>
    <col min="4873" max="4873" width="27.453125" bestFit="1" customWidth="1"/>
    <col min="4874" max="4874" width="21.1796875" bestFit="1" customWidth="1"/>
    <col min="4875" max="4875" width="23.36328125" bestFit="1" customWidth="1"/>
    <col min="4876" max="4876" width="25.36328125" bestFit="1" customWidth="1"/>
    <col min="4877" max="4877" width="27.453125" bestFit="1" customWidth="1"/>
    <col min="4878" max="4878" width="21.1796875" bestFit="1" customWidth="1"/>
    <col min="4879" max="4879" width="23.36328125" bestFit="1" customWidth="1"/>
    <col min="4880" max="4880" width="25.36328125" bestFit="1" customWidth="1"/>
    <col min="4881" max="4881" width="27.453125" bestFit="1" customWidth="1"/>
    <col min="4882" max="4882" width="21.1796875" bestFit="1" customWidth="1"/>
    <col min="4883" max="4883" width="23.36328125" bestFit="1" customWidth="1"/>
    <col min="4884" max="4884" width="25.36328125" bestFit="1" customWidth="1"/>
    <col min="4885" max="4885" width="27.453125" bestFit="1" customWidth="1"/>
    <col min="4886" max="4886" width="21.1796875" bestFit="1" customWidth="1"/>
    <col min="4887" max="4887" width="23.36328125" bestFit="1" customWidth="1"/>
    <col min="4888" max="4888" width="25.36328125" bestFit="1" customWidth="1"/>
    <col min="4889" max="4889" width="27.453125" bestFit="1" customWidth="1"/>
    <col min="4890" max="4890" width="21.1796875" bestFit="1" customWidth="1"/>
    <col min="4891" max="4891" width="23.36328125" bestFit="1" customWidth="1"/>
    <col min="4892" max="4892" width="25.36328125" bestFit="1" customWidth="1"/>
    <col min="4893" max="4893" width="27.453125" bestFit="1" customWidth="1"/>
    <col min="4894" max="4894" width="21.1796875" bestFit="1" customWidth="1"/>
    <col min="4895" max="4895" width="23.36328125" bestFit="1" customWidth="1"/>
    <col min="4896" max="4896" width="25.36328125" bestFit="1" customWidth="1"/>
    <col min="4897" max="4897" width="27.453125" bestFit="1" customWidth="1"/>
    <col min="4898" max="4898" width="21.1796875" bestFit="1" customWidth="1"/>
    <col min="4899" max="4899" width="23.36328125" bestFit="1" customWidth="1"/>
    <col min="4900" max="4900" width="21.1796875" bestFit="1" customWidth="1"/>
    <col min="4901" max="4901" width="23.36328125" bestFit="1" customWidth="1"/>
    <col min="4902" max="4902" width="25.36328125" bestFit="1" customWidth="1"/>
    <col min="4903" max="4903" width="27.453125" bestFit="1" customWidth="1"/>
    <col min="4904" max="4904" width="21.1796875" bestFit="1" customWidth="1"/>
    <col min="4905" max="4905" width="23.36328125" bestFit="1" customWidth="1"/>
    <col min="4906" max="4906" width="23.81640625" bestFit="1" customWidth="1"/>
    <col min="4907" max="4907" width="25.81640625" bestFit="1" customWidth="1"/>
    <col min="4908" max="4908" width="21.1796875" bestFit="1" customWidth="1"/>
    <col min="4909" max="4909" width="23.36328125" bestFit="1" customWidth="1"/>
    <col min="4910" max="4910" width="25.36328125" bestFit="1" customWidth="1"/>
    <col min="4911" max="4911" width="27.453125" bestFit="1" customWidth="1"/>
    <col min="4912" max="4912" width="21.1796875" bestFit="1" customWidth="1"/>
    <col min="4913" max="4913" width="23.36328125" bestFit="1" customWidth="1"/>
    <col min="4914" max="4914" width="21.1796875" bestFit="1" customWidth="1"/>
    <col min="4915" max="4915" width="23.36328125" bestFit="1" customWidth="1"/>
    <col min="4916" max="4916" width="25.36328125" bestFit="1" customWidth="1"/>
    <col min="4917" max="4917" width="27.453125" bestFit="1" customWidth="1"/>
    <col min="4918" max="4918" width="21.1796875" bestFit="1" customWidth="1"/>
    <col min="4919" max="4919" width="23.36328125" bestFit="1" customWidth="1"/>
    <col min="4920" max="4920" width="25.36328125" bestFit="1" customWidth="1"/>
    <col min="4921" max="4921" width="27.453125" bestFit="1" customWidth="1"/>
    <col min="4922" max="4922" width="21.1796875" bestFit="1" customWidth="1"/>
    <col min="4923" max="4923" width="23.36328125" bestFit="1" customWidth="1"/>
    <col min="4924" max="4924" width="25.36328125" bestFit="1" customWidth="1"/>
    <col min="4925" max="4925" width="27.453125" bestFit="1" customWidth="1"/>
    <col min="4926" max="4926" width="21.1796875" bestFit="1" customWidth="1"/>
    <col min="4927" max="4927" width="23.36328125" bestFit="1" customWidth="1"/>
    <col min="4928" max="4928" width="21.1796875" bestFit="1" customWidth="1"/>
    <col min="4929" max="4929" width="23.36328125" bestFit="1" customWidth="1"/>
    <col min="4930" max="4930" width="25.36328125" bestFit="1" customWidth="1"/>
    <col min="4931" max="4931" width="27.453125" bestFit="1" customWidth="1"/>
    <col min="4932" max="4932" width="21.1796875" bestFit="1" customWidth="1"/>
    <col min="4933" max="4933" width="23.36328125" bestFit="1" customWidth="1"/>
    <col min="4934" max="4934" width="25.36328125" bestFit="1" customWidth="1"/>
    <col min="4935" max="4935" width="27.453125" bestFit="1" customWidth="1"/>
    <col min="4936" max="4936" width="21.1796875" bestFit="1" customWidth="1"/>
    <col min="4937" max="4937" width="23.36328125" bestFit="1" customWidth="1"/>
    <col min="4938" max="4938" width="21.1796875" bestFit="1" customWidth="1"/>
    <col min="4939" max="4939" width="23.36328125" bestFit="1" customWidth="1"/>
    <col min="4940" max="4940" width="25.36328125" bestFit="1" customWidth="1"/>
    <col min="4941" max="4941" width="27.453125" bestFit="1" customWidth="1"/>
    <col min="4942" max="4942" width="21.1796875" bestFit="1" customWidth="1"/>
    <col min="4943" max="4943" width="23.36328125" bestFit="1" customWidth="1"/>
    <col min="4944" max="4944" width="21.1796875" bestFit="1" customWidth="1"/>
    <col min="4945" max="4945" width="23.36328125" bestFit="1" customWidth="1"/>
    <col min="4946" max="4946" width="25.36328125" bestFit="1" customWidth="1"/>
    <col min="4947" max="4947" width="27.453125" bestFit="1" customWidth="1"/>
    <col min="4948" max="4948" width="21.1796875" bestFit="1" customWidth="1"/>
    <col min="4949" max="4949" width="23.36328125" bestFit="1" customWidth="1"/>
    <col min="4950" max="4950" width="25.36328125" bestFit="1" customWidth="1"/>
    <col min="4951" max="4951" width="27.453125" bestFit="1" customWidth="1"/>
    <col min="4952" max="4952" width="21.1796875" bestFit="1" customWidth="1"/>
    <col min="4953" max="4953" width="23.36328125" bestFit="1" customWidth="1"/>
    <col min="4954" max="4954" width="25.36328125" bestFit="1" customWidth="1"/>
    <col min="4955" max="4955" width="27.453125" bestFit="1" customWidth="1"/>
    <col min="4956" max="4956" width="21.1796875" bestFit="1" customWidth="1"/>
    <col min="4957" max="4957" width="23.36328125" bestFit="1" customWidth="1"/>
    <col min="4958" max="4958" width="21.1796875" bestFit="1" customWidth="1"/>
    <col min="4959" max="4959" width="23.36328125" bestFit="1" customWidth="1"/>
    <col min="4960" max="4960" width="21.1796875" bestFit="1" customWidth="1"/>
    <col min="4961" max="4961" width="23.36328125" bestFit="1" customWidth="1"/>
    <col min="4962" max="4962" width="25.36328125" bestFit="1" customWidth="1"/>
    <col min="4963" max="4963" width="27.453125" bestFit="1" customWidth="1"/>
    <col min="4964" max="4964" width="21.1796875" bestFit="1" customWidth="1"/>
    <col min="4965" max="4965" width="23.36328125" bestFit="1" customWidth="1"/>
    <col min="4966" max="4966" width="25.36328125" bestFit="1" customWidth="1"/>
    <col min="4967" max="4967" width="27.453125" bestFit="1" customWidth="1"/>
    <col min="4968" max="4968" width="21.1796875" bestFit="1" customWidth="1"/>
    <col min="4969" max="4969" width="23.36328125" bestFit="1" customWidth="1"/>
    <col min="4970" max="4970" width="21.1796875" bestFit="1" customWidth="1"/>
    <col min="4971" max="4971" width="23.36328125" bestFit="1" customWidth="1"/>
    <col min="4972" max="4972" width="25.36328125" bestFit="1" customWidth="1"/>
    <col min="4973" max="4973" width="27.453125" bestFit="1" customWidth="1"/>
    <col min="4974" max="4974" width="21.1796875" bestFit="1" customWidth="1"/>
    <col min="4975" max="4975" width="23.36328125" bestFit="1" customWidth="1"/>
    <col min="4976" max="4976" width="21.1796875" bestFit="1" customWidth="1"/>
    <col min="4977" max="4977" width="23.36328125" bestFit="1" customWidth="1"/>
    <col min="4978" max="4978" width="25.36328125" bestFit="1" customWidth="1"/>
    <col min="4979" max="4979" width="27.453125" bestFit="1" customWidth="1"/>
    <col min="4980" max="4980" width="21.1796875" bestFit="1" customWidth="1"/>
    <col min="4981" max="4981" width="23.36328125" bestFit="1" customWidth="1"/>
    <col min="4982" max="4982" width="25.36328125" bestFit="1" customWidth="1"/>
    <col min="4983" max="4983" width="27.453125" bestFit="1" customWidth="1"/>
    <col min="4984" max="4984" width="21.1796875" bestFit="1" customWidth="1"/>
    <col min="4985" max="4985" width="23.36328125" bestFit="1" customWidth="1"/>
    <col min="4986" max="4986" width="25.36328125" bestFit="1" customWidth="1"/>
    <col min="4987" max="4987" width="27.453125" bestFit="1" customWidth="1"/>
    <col min="4988" max="4988" width="21.1796875" bestFit="1" customWidth="1"/>
    <col min="4989" max="4989" width="23.36328125" bestFit="1" customWidth="1"/>
    <col min="4990" max="4990" width="25.36328125" bestFit="1" customWidth="1"/>
    <col min="4991" max="4991" width="27.453125" bestFit="1" customWidth="1"/>
    <col min="4992" max="4992" width="21.1796875" bestFit="1" customWidth="1"/>
    <col min="4993" max="4993" width="23.36328125" bestFit="1" customWidth="1"/>
    <col min="4994" max="4994" width="21.1796875" bestFit="1" customWidth="1"/>
    <col min="4995" max="4995" width="23.36328125" bestFit="1" customWidth="1"/>
    <col min="4996" max="4996" width="25.36328125" bestFit="1" customWidth="1"/>
    <col min="4997" max="4997" width="27.453125" bestFit="1" customWidth="1"/>
    <col min="4998" max="4998" width="21.1796875" bestFit="1" customWidth="1"/>
    <col min="4999" max="4999" width="23.36328125" bestFit="1" customWidth="1"/>
    <col min="5000" max="5000" width="21.1796875" bestFit="1" customWidth="1"/>
    <col min="5001" max="5001" width="23.36328125" bestFit="1" customWidth="1"/>
    <col min="5002" max="5002" width="21.1796875" bestFit="1" customWidth="1"/>
    <col min="5003" max="5003" width="23.36328125" bestFit="1" customWidth="1"/>
    <col min="5004" max="5004" width="21.1796875" bestFit="1" customWidth="1"/>
    <col min="5005" max="5005" width="23.36328125" bestFit="1" customWidth="1"/>
    <col min="5006" max="5006" width="21.1796875" bestFit="1" customWidth="1"/>
    <col min="5007" max="5007" width="23.36328125" bestFit="1" customWidth="1"/>
    <col min="5008" max="5008" width="21.1796875" bestFit="1" customWidth="1"/>
    <col min="5009" max="5009" width="23.36328125" bestFit="1" customWidth="1"/>
    <col min="5010" max="5010" width="21.1796875" bestFit="1" customWidth="1"/>
    <col min="5011" max="5011" width="23.36328125" bestFit="1" customWidth="1"/>
    <col min="5012" max="5012" width="25.36328125" bestFit="1" customWidth="1"/>
    <col min="5013" max="5013" width="27.453125" bestFit="1" customWidth="1"/>
    <col min="5014" max="5014" width="21.1796875" bestFit="1" customWidth="1"/>
    <col min="5015" max="5015" width="23.36328125" bestFit="1" customWidth="1"/>
    <col min="5016" max="5016" width="25.36328125" bestFit="1" customWidth="1"/>
    <col min="5017" max="5017" width="27.453125" bestFit="1" customWidth="1"/>
    <col min="5018" max="5018" width="21.1796875" bestFit="1" customWidth="1"/>
    <col min="5019" max="5019" width="23.36328125" bestFit="1" customWidth="1"/>
    <col min="5020" max="5020" width="25.36328125" bestFit="1" customWidth="1"/>
    <col min="5021" max="5021" width="27.453125" bestFit="1" customWidth="1"/>
    <col min="5022" max="5022" width="21.1796875" bestFit="1" customWidth="1"/>
    <col min="5023" max="5023" width="23.36328125" bestFit="1" customWidth="1"/>
    <col min="5024" max="5024" width="25.36328125" bestFit="1" customWidth="1"/>
    <col min="5025" max="5025" width="27.453125" bestFit="1" customWidth="1"/>
    <col min="5026" max="5026" width="21.1796875" bestFit="1" customWidth="1"/>
    <col min="5027" max="5027" width="23.36328125" bestFit="1" customWidth="1"/>
    <col min="5028" max="5028" width="25.36328125" bestFit="1" customWidth="1"/>
    <col min="5029" max="5029" width="27.453125" bestFit="1" customWidth="1"/>
    <col min="5030" max="5030" width="21.1796875" bestFit="1" customWidth="1"/>
    <col min="5031" max="5031" width="23.36328125" bestFit="1" customWidth="1"/>
    <col min="5032" max="5032" width="21.1796875" bestFit="1" customWidth="1"/>
    <col min="5033" max="5033" width="23.36328125" bestFit="1" customWidth="1"/>
    <col min="5034" max="5034" width="25.36328125" bestFit="1" customWidth="1"/>
    <col min="5035" max="5035" width="27.453125" bestFit="1" customWidth="1"/>
    <col min="5036" max="5036" width="21.1796875" bestFit="1" customWidth="1"/>
    <col min="5037" max="5037" width="23.36328125" bestFit="1" customWidth="1"/>
    <col min="5038" max="5038" width="25.36328125" bestFit="1" customWidth="1"/>
    <col min="5039" max="5039" width="27.453125" bestFit="1" customWidth="1"/>
    <col min="5040" max="5040" width="21.1796875" bestFit="1" customWidth="1"/>
    <col min="5041" max="5041" width="23.36328125" bestFit="1" customWidth="1"/>
    <col min="5042" max="5042" width="21.1796875" bestFit="1" customWidth="1"/>
    <col min="5043" max="5043" width="23.36328125" bestFit="1" customWidth="1"/>
    <col min="5044" max="5044" width="25.36328125" bestFit="1" customWidth="1"/>
    <col min="5045" max="5045" width="27.453125" bestFit="1" customWidth="1"/>
    <col min="5046" max="5046" width="21.1796875" bestFit="1" customWidth="1"/>
    <col min="5047" max="5047" width="23.36328125" bestFit="1" customWidth="1"/>
    <col min="5048" max="5048" width="25.36328125" bestFit="1" customWidth="1"/>
    <col min="5049" max="5049" width="27.453125" bestFit="1" customWidth="1"/>
    <col min="5050" max="5050" width="21.1796875" bestFit="1" customWidth="1"/>
    <col min="5051" max="5051" width="23.36328125" bestFit="1" customWidth="1"/>
    <col min="5052" max="5052" width="25.36328125" bestFit="1" customWidth="1"/>
    <col min="5053" max="5053" width="27.453125" bestFit="1" customWidth="1"/>
    <col min="5054" max="5054" width="21.1796875" bestFit="1" customWidth="1"/>
    <col min="5055" max="5055" width="23.36328125" bestFit="1" customWidth="1"/>
    <col min="5056" max="5056" width="25.36328125" bestFit="1" customWidth="1"/>
    <col min="5057" max="5057" width="27.453125" bestFit="1" customWidth="1"/>
    <col min="5058" max="5058" width="21.1796875" bestFit="1" customWidth="1"/>
    <col min="5059" max="5059" width="23.36328125" bestFit="1" customWidth="1"/>
    <col min="5060" max="5060" width="25.36328125" bestFit="1" customWidth="1"/>
    <col min="5061" max="5061" width="27.453125" bestFit="1" customWidth="1"/>
    <col min="5062" max="5062" width="21.1796875" bestFit="1" customWidth="1"/>
    <col min="5063" max="5063" width="23.36328125" bestFit="1" customWidth="1"/>
    <col min="5064" max="5064" width="25.36328125" bestFit="1" customWidth="1"/>
    <col min="5065" max="5065" width="27.453125" bestFit="1" customWidth="1"/>
    <col min="5066" max="5066" width="21.1796875" bestFit="1" customWidth="1"/>
    <col min="5067" max="5067" width="23.36328125" bestFit="1" customWidth="1"/>
    <col min="5068" max="5068" width="25.36328125" bestFit="1" customWidth="1"/>
    <col min="5069" max="5069" width="27.453125" bestFit="1" customWidth="1"/>
    <col min="5070" max="5070" width="21.1796875" bestFit="1" customWidth="1"/>
    <col min="5071" max="5071" width="23.36328125" bestFit="1" customWidth="1"/>
    <col min="5072" max="5072" width="25.36328125" bestFit="1" customWidth="1"/>
    <col min="5073" max="5073" width="27.453125" bestFit="1" customWidth="1"/>
    <col min="5074" max="5074" width="21.1796875" bestFit="1" customWidth="1"/>
    <col min="5075" max="5075" width="23.36328125" bestFit="1" customWidth="1"/>
    <col min="5076" max="5076" width="21.1796875" bestFit="1" customWidth="1"/>
    <col min="5077" max="5077" width="23.36328125" bestFit="1" customWidth="1"/>
    <col min="5078" max="5078" width="25.36328125" bestFit="1" customWidth="1"/>
    <col min="5079" max="5079" width="27.453125" bestFit="1" customWidth="1"/>
    <col min="5080" max="5080" width="21.1796875" bestFit="1" customWidth="1"/>
    <col min="5081" max="5081" width="23.36328125" bestFit="1" customWidth="1"/>
    <col min="5082" max="5082" width="25.36328125" bestFit="1" customWidth="1"/>
    <col min="5083" max="5083" width="27.453125" bestFit="1" customWidth="1"/>
    <col min="5084" max="5084" width="21.1796875" bestFit="1" customWidth="1"/>
    <col min="5085" max="5085" width="23.36328125" bestFit="1" customWidth="1"/>
    <col min="5086" max="5086" width="25.36328125" bestFit="1" customWidth="1"/>
    <col min="5087" max="5087" width="27.453125" bestFit="1" customWidth="1"/>
    <col min="5088" max="5088" width="21.1796875" bestFit="1" customWidth="1"/>
    <col min="5089" max="5089" width="23.36328125" bestFit="1" customWidth="1"/>
    <col min="5090" max="5090" width="25.36328125" bestFit="1" customWidth="1"/>
    <col min="5091" max="5091" width="27.453125" bestFit="1" customWidth="1"/>
    <col min="5092" max="5092" width="21.1796875" bestFit="1" customWidth="1"/>
    <col min="5093" max="5093" width="23.36328125" bestFit="1" customWidth="1"/>
    <col min="5094" max="5094" width="25.36328125" bestFit="1" customWidth="1"/>
    <col min="5095" max="5095" width="27.453125" bestFit="1" customWidth="1"/>
    <col min="5096" max="5096" width="21.1796875" bestFit="1" customWidth="1"/>
    <col min="5097" max="5097" width="23.36328125" bestFit="1" customWidth="1"/>
    <col min="5098" max="5098" width="21.1796875" bestFit="1" customWidth="1"/>
    <col min="5099" max="5099" width="23.36328125" bestFit="1" customWidth="1"/>
    <col min="5100" max="5100" width="25.36328125" bestFit="1" customWidth="1"/>
    <col min="5101" max="5101" width="27.453125" bestFit="1" customWidth="1"/>
    <col min="5102" max="5102" width="21.1796875" bestFit="1" customWidth="1"/>
    <col min="5103" max="5103" width="23.36328125" bestFit="1" customWidth="1"/>
    <col min="5104" max="5104" width="23.81640625" bestFit="1" customWidth="1"/>
    <col min="5105" max="5105" width="25.81640625" bestFit="1" customWidth="1"/>
    <col min="5106" max="5106" width="21.1796875" bestFit="1" customWidth="1"/>
    <col min="5107" max="5107" width="23.36328125" bestFit="1" customWidth="1"/>
    <col min="5108" max="5108" width="21.1796875" bestFit="1" customWidth="1"/>
    <col min="5109" max="5109" width="23.36328125" bestFit="1" customWidth="1"/>
    <col min="5110" max="5110" width="25.36328125" bestFit="1" customWidth="1"/>
    <col min="5111" max="5111" width="27.453125" bestFit="1" customWidth="1"/>
    <col min="5112" max="5112" width="21.1796875" bestFit="1" customWidth="1"/>
    <col min="5113" max="5113" width="23.36328125" bestFit="1" customWidth="1"/>
    <col min="5114" max="5114" width="25.36328125" bestFit="1" customWidth="1"/>
    <col min="5115" max="5115" width="27.453125" bestFit="1" customWidth="1"/>
    <col min="5116" max="5116" width="21.1796875" bestFit="1" customWidth="1"/>
    <col min="5117" max="5117" width="23.36328125" bestFit="1" customWidth="1"/>
    <col min="5118" max="5118" width="23.81640625" bestFit="1" customWidth="1"/>
    <col min="5119" max="5119" width="25.81640625" bestFit="1" customWidth="1"/>
    <col min="5120" max="5120" width="21.1796875" bestFit="1" customWidth="1"/>
    <col min="5121" max="5121" width="23.36328125" bestFit="1" customWidth="1"/>
    <col min="5122" max="5122" width="25.36328125" bestFit="1" customWidth="1"/>
    <col min="5123" max="5123" width="27.453125" bestFit="1" customWidth="1"/>
    <col min="5124" max="5124" width="21.1796875" bestFit="1" customWidth="1"/>
    <col min="5125" max="5125" width="23.36328125" bestFit="1" customWidth="1"/>
    <col min="5126" max="5126" width="21.1796875" bestFit="1" customWidth="1"/>
    <col min="5127" max="5127" width="23.36328125" bestFit="1" customWidth="1"/>
    <col min="5128" max="5128" width="21.1796875" bestFit="1" customWidth="1"/>
    <col min="5129" max="5129" width="23.36328125" bestFit="1" customWidth="1"/>
    <col min="5130" max="5130" width="21.1796875" bestFit="1" customWidth="1"/>
    <col min="5131" max="5131" width="23.36328125" bestFit="1" customWidth="1"/>
    <col min="5132" max="5132" width="25.36328125" bestFit="1" customWidth="1"/>
    <col min="5133" max="5133" width="27.453125" bestFit="1" customWidth="1"/>
    <col min="5134" max="5134" width="21.1796875" bestFit="1" customWidth="1"/>
    <col min="5135" max="5135" width="23.36328125" bestFit="1" customWidth="1"/>
    <col min="5136" max="5136" width="25.36328125" bestFit="1" customWidth="1"/>
    <col min="5137" max="5137" width="27.453125" bestFit="1" customWidth="1"/>
    <col min="5138" max="5138" width="21.1796875" bestFit="1" customWidth="1"/>
    <col min="5139" max="5139" width="23.36328125" bestFit="1" customWidth="1"/>
    <col min="5140" max="5140" width="25.36328125" bestFit="1" customWidth="1"/>
    <col min="5141" max="5141" width="27.453125" bestFit="1" customWidth="1"/>
    <col min="5142" max="5142" width="21.1796875" bestFit="1" customWidth="1"/>
    <col min="5143" max="5143" width="23.36328125" bestFit="1" customWidth="1"/>
    <col min="5144" max="5144" width="21.1796875" bestFit="1" customWidth="1"/>
    <col min="5145" max="5145" width="23.36328125" bestFit="1" customWidth="1"/>
    <col min="5146" max="5146" width="25.36328125" bestFit="1" customWidth="1"/>
    <col min="5147" max="5147" width="27.453125" bestFit="1" customWidth="1"/>
    <col min="5148" max="5148" width="21.1796875" bestFit="1" customWidth="1"/>
    <col min="5149" max="5149" width="23.36328125" bestFit="1" customWidth="1"/>
    <col min="5150" max="5150" width="25.36328125" bestFit="1" customWidth="1"/>
    <col min="5151" max="5151" width="27.453125" bestFit="1" customWidth="1"/>
    <col min="5152" max="5152" width="21.1796875" bestFit="1" customWidth="1"/>
    <col min="5153" max="5153" width="23.36328125" bestFit="1" customWidth="1"/>
    <col min="5154" max="5154" width="25.36328125" bestFit="1" customWidth="1"/>
    <col min="5155" max="5155" width="27.453125" bestFit="1" customWidth="1"/>
    <col min="5156" max="5156" width="21.1796875" bestFit="1" customWidth="1"/>
    <col min="5157" max="5157" width="23.36328125" bestFit="1" customWidth="1"/>
    <col min="5158" max="5158" width="25.36328125" bestFit="1" customWidth="1"/>
    <col min="5159" max="5159" width="27.453125" bestFit="1" customWidth="1"/>
    <col min="5160" max="5160" width="21.1796875" bestFit="1" customWidth="1"/>
    <col min="5161" max="5161" width="23.36328125" bestFit="1" customWidth="1"/>
    <col min="5162" max="5162" width="25.36328125" bestFit="1" customWidth="1"/>
    <col min="5163" max="5163" width="27.453125" bestFit="1" customWidth="1"/>
    <col min="5164" max="5164" width="21.1796875" bestFit="1" customWidth="1"/>
    <col min="5165" max="5165" width="23.36328125" bestFit="1" customWidth="1"/>
    <col min="5166" max="5166" width="25.36328125" bestFit="1" customWidth="1"/>
    <col min="5167" max="5167" width="27.453125" bestFit="1" customWidth="1"/>
    <col min="5168" max="5168" width="21.1796875" bestFit="1" customWidth="1"/>
    <col min="5169" max="5169" width="23.36328125" bestFit="1" customWidth="1"/>
    <col min="5170" max="5170" width="25.36328125" bestFit="1" customWidth="1"/>
    <col min="5171" max="5171" width="27.453125" bestFit="1" customWidth="1"/>
    <col min="5172" max="5172" width="21.1796875" bestFit="1" customWidth="1"/>
    <col min="5173" max="5173" width="23.36328125" bestFit="1" customWidth="1"/>
    <col min="5174" max="5174" width="24.81640625" bestFit="1" customWidth="1"/>
    <col min="5175" max="5175" width="26.90625" bestFit="1" customWidth="1"/>
    <col min="5176" max="5176" width="21.1796875" bestFit="1" customWidth="1"/>
    <col min="5177" max="5177" width="23.36328125" bestFit="1" customWidth="1"/>
    <col min="5178" max="5178" width="26.453125" bestFit="1" customWidth="1"/>
    <col min="5179" max="5179" width="28.54296875" bestFit="1" customWidth="1"/>
    <col min="5180" max="5180" width="21.1796875" bestFit="1" customWidth="1"/>
    <col min="5181" max="5181" width="23.36328125" bestFit="1" customWidth="1"/>
    <col min="5182" max="5182" width="21.1796875" bestFit="1" customWidth="1"/>
    <col min="5183" max="5183" width="23.36328125" bestFit="1" customWidth="1"/>
    <col min="5184" max="5184" width="26.453125" bestFit="1" customWidth="1"/>
    <col min="5185" max="5185" width="28.54296875" bestFit="1" customWidth="1"/>
    <col min="5186" max="5186" width="21.1796875" bestFit="1" customWidth="1"/>
    <col min="5187" max="5187" width="23.36328125" bestFit="1" customWidth="1"/>
    <col min="5188" max="5188" width="26.453125" bestFit="1" customWidth="1"/>
    <col min="5189" max="5189" width="28.54296875" bestFit="1" customWidth="1"/>
    <col min="5190" max="5190" width="21.1796875" bestFit="1" customWidth="1"/>
    <col min="5191" max="5191" width="23.36328125" bestFit="1" customWidth="1"/>
    <col min="5192" max="5192" width="26.453125" bestFit="1" customWidth="1"/>
    <col min="5193" max="5193" width="28.54296875" bestFit="1" customWidth="1"/>
    <col min="5194" max="5194" width="21.1796875" bestFit="1" customWidth="1"/>
    <col min="5195" max="5195" width="23.36328125" bestFit="1" customWidth="1"/>
    <col min="5196" max="5196" width="21.1796875" bestFit="1" customWidth="1"/>
    <col min="5197" max="5197" width="23.36328125" bestFit="1" customWidth="1"/>
    <col min="5198" max="5198" width="21.1796875" bestFit="1" customWidth="1"/>
    <col min="5199" max="5199" width="23.36328125" bestFit="1" customWidth="1"/>
    <col min="5200" max="5200" width="26.453125" bestFit="1" customWidth="1"/>
    <col min="5201" max="5201" width="28.54296875" bestFit="1" customWidth="1"/>
    <col min="5202" max="5202" width="21.1796875" bestFit="1" customWidth="1"/>
    <col min="5203" max="5203" width="23.36328125" bestFit="1" customWidth="1"/>
    <col min="5204" max="5204" width="26.453125" bestFit="1" customWidth="1"/>
    <col min="5205" max="5205" width="28.54296875" bestFit="1" customWidth="1"/>
    <col min="5206" max="5206" width="21.1796875" bestFit="1" customWidth="1"/>
    <col min="5207" max="5207" width="23.36328125" bestFit="1" customWidth="1"/>
    <col min="5208" max="5208" width="26.453125" bestFit="1" customWidth="1"/>
    <col min="5209" max="5209" width="28.54296875" bestFit="1" customWidth="1"/>
    <col min="5210" max="5210" width="21.1796875" bestFit="1" customWidth="1"/>
    <col min="5211" max="5211" width="23.36328125" bestFit="1" customWidth="1"/>
    <col min="5212" max="5212" width="26.453125" bestFit="1" customWidth="1"/>
    <col min="5213" max="5213" width="28.54296875" bestFit="1" customWidth="1"/>
    <col min="5214" max="5214" width="21.1796875" bestFit="1" customWidth="1"/>
    <col min="5215" max="5215" width="23.36328125" bestFit="1" customWidth="1"/>
    <col min="5216" max="5216" width="21.1796875" bestFit="1" customWidth="1"/>
    <col min="5217" max="5217" width="23.36328125" bestFit="1" customWidth="1"/>
    <col min="5218" max="5218" width="21.1796875" bestFit="1" customWidth="1"/>
    <col min="5219" max="5219" width="23.36328125" bestFit="1" customWidth="1"/>
    <col min="5220" max="5220" width="21.1796875" bestFit="1" customWidth="1"/>
    <col min="5221" max="5221" width="23.36328125" bestFit="1" customWidth="1"/>
    <col min="5222" max="5222" width="26.453125" bestFit="1" customWidth="1"/>
    <col min="5223" max="5223" width="28.54296875" bestFit="1" customWidth="1"/>
    <col min="5224" max="5224" width="21.1796875" bestFit="1" customWidth="1"/>
    <col min="5225" max="5225" width="23.36328125" bestFit="1" customWidth="1"/>
    <col min="5226" max="5226" width="26.453125" bestFit="1" customWidth="1"/>
    <col min="5227" max="5227" width="28.54296875" bestFit="1" customWidth="1"/>
    <col min="5228" max="5228" width="21.1796875" bestFit="1" customWidth="1"/>
    <col min="5229" max="5229" width="23.36328125" bestFit="1" customWidth="1"/>
    <col min="5230" max="5230" width="26.453125" bestFit="1" customWidth="1"/>
    <col min="5231" max="5231" width="28.54296875" bestFit="1" customWidth="1"/>
    <col min="5232" max="5232" width="21.1796875" bestFit="1" customWidth="1"/>
    <col min="5233" max="5233" width="23.36328125" bestFit="1" customWidth="1"/>
    <col min="5234" max="5234" width="21.1796875" bestFit="1" customWidth="1"/>
    <col min="5235" max="5235" width="23.36328125" bestFit="1" customWidth="1"/>
    <col min="5236" max="5236" width="26.453125" bestFit="1" customWidth="1"/>
    <col min="5237" max="5237" width="28.54296875" bestFit="1" customWidth="1"/>
    <col min="5238" max="5238" width="21.1796875" bestFit="1" customWidth="1"/>
    <col min="5239" max="5239" width="23.36328125" bestFit="1" customWidth="1"/>
    <col min="5240" max="5240" width="26.453125" bestFit="1" customWidth="1"/>
    <col min="5241" max="5241" width="28.54296875" bestFit="1" customWidth="1"/>
    <col min="5242" max="5242" width="21.1796875" bestFit="1" customWidth="1"/>
    <col min="5243" max="5243" width="23.36328125" bestFit="1" customWidth="1"/>
    <col min="5244" max="5244" width="26.453125" bestFit="1" customWidth="1"/>
    <col min="5245" max="5245" width="28.54296875" bestFit="1" customWidth="1"/>
    <col min="5246" max="5246" width="21.1796875" bestFit="1" customWidth="1"/>
    <col min="5247" max="5247" width="23.36328125" bestFit="1" customWidth="1"/>
    <col min="5248" max="5248" width="26.453125" bestFit="1" customWidth="1"/>
    <col min="5249" max="5249" width="28.54296875" bestFit="1" customWidth="1"/>
    <col min="5250" max="5250" width="21.1796875" bestFit="1" customWidth="1"/>
    <col min="5251" max="5251" width="23.36328125" bestFit="1" customWidth="1"/>
    <col min="5252" max="5252" width="21.1796875" bestFit="1" customWidth="1"/>
    <col min="5253" max="5253" width="23.36328125" bestFit="1" customWidth="1"/>
    <col min="5254" max="5254" width="26.453125" bestFit="1" customWidth="1"/>
    <col min="5255" max="5255" width="28.54296875" bestFit="1" customWidth="1"/>
    <col min="5256" max="5256" width="21.1796875" bestFit="1" customWidth="1"/>
    <col min="5257" max="5257" width="23.36328125" bestFit="1" customWidth="1"/>
    <col min="5258" max="5258" width="26.453125" bestFit="1" customWidth="1"/>
    <col min="5259" max="5259" width="28.54296875" bestFit="1" customWidth="1"/>
    <col min="5260" max="5260" width="21.1796875" bestFit="1" customWidth="1"/>
    <col min="5261" max="5261" width="23.36328125" bestFit="1" customWidth="1"/>
    <col min="5262" max="5262" width="24.81640625" bestFit="1" customWidth="1"/>
    <col min="5263" max="5263" width="26.90625" bestFit="1" customWidth="1"/>
    <col min="5264" max="5264" width="21.1796875" bestFit="1" customWidth="1"/>
    <col min="5265" max="5265" width="23.36328125" bestFit="1" customWidth="1"/>
    <col min="5266" max="5266" width="26.453125" bestFit="1" customWidth="1"/>
    <col min="5267" max="5267" width="28.54296875" bestFit="1" customWidth="1"/>
    <col min="5268" max="5268" width="21.1796875" bestFit="1" customWidth="1"/>
    <col min="5269" max="5269" width="23.36328125" bestFit="1" customWidth="1"/>
    <col min="5270" max="5270" width="21.1796875" bestFit="1" customWidth="1"/>
    <col min="5271" max="5271" width="23.36328125" bestFit="1" customWidth="1"/>
    <col min="5272" max="5272" width="26.453125" bestFit="1" customWidth="1"/>
    <col min="5273" max="5273" width="28.54296875" bestFit="1" customWidth="1"/>
    <col min="5274" max="5274" width="21.1796875" bestFit="1" customWidth="1"/>
    <col min="5275" max="5275" width="23.36328125" bestFit="1" customWidth="1"/>
    <col min="5276" max="5276" width="26.453125" bestFit="1" customWidth="1"/>
    <col min="5277" max="5277" width="28.54296875" bestFit="1" customWidth="1"/>
    <col min="5278" max="5278" width="21.1796875" bestFit="1" customWidth="1"/>
    <col min="5279" max="5279" width="23.36328125" bestFit="1" customWidth="1"/>
    <col min="5280" max="5280" width="24.81640625" bestFit="1" customWidth="1"/>
    <col min="5281" max="5281" width="26.90625" bestFit="1" customWidth="1"/>
    <col min="5282" max="5282" width="21.1796875" bestFit="1" customWidth="1"/>
    <col min="5283" max="5283" width="23.36328125" bestFit="1" customWidth="1"/>
    <col min="5284" max="5284" width="26.453125" bestFit="1" customWidth="1"/>
    <col min="5285" max="5285" width="28.54296875" bestFit="1" customWidth="1"/>
    <col min="5286" max="5286" width="21.1796875" bestFit="1" customWidth="1"/>
    <col min="5287" max="5287" width="23.36328125" bestFit="1" customWidth="1"/>
    <col min="5288" max="5288" width="26.453125" bestFit="1" customWidth="1"/>
    <col min="5289" max="5289" width="28.54296875" bestFit="1" customWidth="1"/>
    <col min="5290" max="5290" width="21.1796875" bestFit="1" customWidth="1"/>
    <col min="5291" max="5291" width="23.36328125" bestFit="1" customWidth="1"/>
    <col min="5292" max="5292" width="26.453125" bestFit="1" customWidth="1"/>
    <col min="5293" max="5293" width="28.54296875" bestFit="1" customWidth="1"/>
    <col min="5294" max="5294" width="21.1796875" bestFit="1" customWidth="1"/>
    <col min="5295" max="5295" width="23.36328125" bestFit="1" customWidth="1"/>
    <col min="5296" max="5296" width="26.453125" bestFit="1" customWidth="1"/>
    <col min="5297" max="5297" width="28.54296875" bestFit="1" customWidth="1"/>
    <col min="5298" max="5298" width="21.1796875" bestFit="1" customWidth="1"/>
    <col min="5299" max="5299" width="23.36328125" bestFit="1" customWidth="1"/>
    <col min="5300" max="5300" width="26.453125" bestFit="1" customWidth="1"/>
    <col min="5301" max="5301" width="28.54296875" bestFit="1" customWidth="1"/>
    <col min="5302" max="5302" width="21.1796875" bestFit="1" customWidth="1"/>
    <col min="5303" max="5303" width="23.36328125" bestFit="1" customWidth="1"/>
    <col min="5304" max="5304" width="26.453125" bestFit="1" customWidth="1"/>
    <col min="5305" max="5305" width="28.54296875" bestFit="1" customWidth="1"/>
    <col min="5306" max="5306" width="21.1796875" bestFit="1" customWidth="1"/>
    <col min="5307" max="5307" width="23.36328125" bestFit="1" customWidth="1"/>
    <col min="5308" max="5308" width="26.453125" bestFit="1" customWidth="1"/>
    <col min="5309" max="5309" width="28.54296875" bestFit="1" customWidth="1"/>
    <col min="5310" max="5310" width="21.1796875" bestFit="1" customWidth="1"/>
    <col min="5311" max="5311" width="23.36328125" bestFit="1" customWidth="1"/>
    <col min="5312" max="5312" width="26.453125" bestFit="1" customWidth="1"/>
    <col min="5313" max="5313" width="28.54296875" bestFit="1" customWidth="1"/>
    <col min="5314" max="5314" width="21.1796875" bestFit="1" customWidth="1"/>
    <col min="5315" max="5315" width="23.36328125" bestFit="1" customWidth="1"/>
    <col min="5316" max="5316" width="26.453125" bestFit="1" customWidth="1"/>
    <col min="5317" max="5317" width="28.54296875" bestFit="1" customWidth="1"/>
    <col min="5318" max="5318" width="21.1796875" bestFit="1" customWidth="1"/>
    <col min="5319" max="5319" width="23.36328125" bestFit="1" customWidth="1"/>
    <col min="5320" max="5320" width="26.453125" bestFit="1" customWidth="1"/>
    <col min="5321" max="5321" width="28.54296875" bestFit="1" customWidth="1"/>
    <col min="5322" max="5322" width="21.1796875" bestFit="1" customWidth="1"/>
    <col min="5323" max="5323" width="23.36328125" bestFit="1" customWidth="1"/>
    <col min="5324" max="5324" width="26.453125" bestFit="1" customWidth="1"/>
    <col min="5325" max="5325" width="28.54296875" bestFit="1" customWidth="1"/>
    <col min="5326" max="5326" width="21.1796875" bestFit="1" customWidth="1"/>
    <col min="5327" max="5327" width="23.36328125" bestFit="1" customWidth="1"/>
    <col min="5328" max="5328" width="21.1796875" bestFit="1" customWidth="1"/>
    <col min="5329" max="5329" width="23.36328125" bestFit="1" customWidth="1"/>
    <col min="5330" max="5330" width="24.81640625" bestFit="1" customWidth="1"/>
    <col min="5331" max="5331" width="26.90625" bestFit="1" customWidth="1"/>
    <col min="5332" max="5332" width="21.1796875" bestFit="1" customWidth="1"/>
    <col min="5333" max="5333" width="23.36328125" bestFit="1" customWidth="1"/>
    <col min="5334" max="5334" width="21.1796875" bestFit="1" customWidth="1"/>
    <col min="5335" max="5335" width="23.36328125" bestFit="1" customWidth="1"/>
    <col min="5336" max="5336" width="26.453125" bestFit="1" customWidth="1"/>
    <col min="5337" max="5337" width="28.54296875" bestFit="1" customWidth="1"/>
    <col min="5338" max="5338" width="21.1796875" bestFit="1" customWidth="1"/>
    <col min="5339" max="5339" width="23.36328125" bestFit="1" customWidth="1"/>
    <col min="5340" max="5340" width="21.1796875" bestFit="1" customWidth="1"/>
    <col min="5341" max="5341" width="23.36328125" bestFit="1" customWidth="1"/>
    <col min="5342" max="5342" width="26.453125" bestFit="1" customWidth="1"/>
    <col min="5343" max="5343" width="28.54296875" bestFit="1" customWidth="1"/>
    <col min="5344" max="5344" width="21.1796875" bestFit="1" customWidth="1"/>
    <col min="5345" max="5345" width="23.36328125" bestFit="1" customWidth="1"/>
    <col min="5346" max="5346" width="21.1796875" bestFit="1" customWidth="1"/>
    <col min="5347" max="5347" width="23.36328125" bestFit="1" customWidth="1"/>
    <col min="5348" max="5348" width="26.453125" bestFit="1" customWidth="1"/>
    <col min="5349" max="5349" width="28.54296875" bestFit="1" customWidth="1"/>
    <col min="5350" max="5350" width="21.1796875" bestFit="1" customWidth="1"/>
    <col min="5351" max="5351" width="23.36328125" bestFit="1" customWidth="1"/>
    <col min="5352" max="5352" width="26.453125" bestFit="1" customWidth="1"/>
    <col min="5353" max="5353" width="28.54296875" bestFit="1" customWidth="1"/>
    <col min="5354" max="5354" width="21.1796875" bestFit="1" customWidth="1"/>
    <col min="5355" max="5355" width="23.36328125" bestFit="1" customWidth="1"/>
    <col min="5356" max="5356" width="26.453125" bestFit="1" customWidth="1"/>
    <col min="5357" max="5357" width="28.54296875" bestFit="1" customWidth="1"/>
    <col min="5358" max="5358" width="21.1796875" bestFit="1" customWidth="1"/>
    <col min="5359" max="5359" width="23.36328125" bestFit="1" customWidth="1"/>
    <col min="5360" max="5360" width="26.453125" bestFit="1" customWidth="1"/>
    <col min="5361" max="5361" width="28.54296875" bestFit="1" customWidth="1"/>
    <col min="5362" max="5362" width="21.1796875" bestFit="1" customWidth="1"/>
    <col min="5363" max="5363" width="23.36328125" bestFit="1" customWidth="1"/>
    <col min="5364" max="5364" width="24.81640625" bestFit="1" customWidth="1"/>
    <col min="5365" max="5365" width="26.90625" bestFit="1" customWidth="1"/>
    <col min="5366" max="5366" width="21.1796875" bestFit="1" customWidth="1"/>
    <col min="5367" max="5367" width="23.36328125" bestFit="1" customWidth="1"/>
    <col min="5368" max="5368" width="26.453125" bestFit="1" customWidth="1"/>
    <col min="5369" max="5369" width="28.54296875" bestFit="1" customWidth="1"/>
    <col min="5370" max="5370" width="21.1796875" bestFit="1" customWidth="1"/>
    <col min="5371" max="5371" width="23.36328125" bestFit="1" customWidth="1"/>
    <col min="5372" max="5372" width="26.453125" bestFit="1" customWidth="1"/>
    <col min="5373" max="5373" width="28.54296875" bestFit="1" customWidth="1"/>
    <col min="5374" max="5374" width="21.1796875" bestFit="1" customWidth="1"/>
    <col min="5375" max="5375" width="23.36328125" bestFit="1" customWidth="1"/>
    <col min="5376" max="5376" width="21.1796875" bestFit="1" customWidth="1"/>
    <col min="5377" max="5377" width="23.36328125" bestFit="1" customWidth="1"/>
    <col min="5378" max="5378" width="21.1796875" bestFit="1" customWidth="1"/>
    <col min="5379" max="5379" width="23.36328125" bestFit="1" customWidth="1"/>
    <col min="5380" max="5380" width="26.453125" bestFit="1" customWidth="1"/>
    <col min="5381" max="5381" width="28.54296875" bestFit="1" customWidth="1"/>
    <col min="5382" max="5382" width="21.1796875" bestFit="1" customWidth="1"/>
    <col min="5383" max="5383" width="23.36328125" bestFit="1" customWidth="1"/>
    <col min="5384" max="5384" width="26.453125" bestFit="1" customWidth="1"/>
    <col min="5385" max="5385" width="28.54296875" bestFit="1" customWidth="1"/>
    <col min="5386" max="5386" width="21.1796875" bestFit="1" customWidth="1"/>
    <col min="5387" max="5387" width="23.36328125" bestFit="1" customWidth="1"/>
    <col min="5388" max="5388" width="24.81640625" bestFit="1" customWidth="1"/>
    <col min="5389" max="5389" width="26.90625" bestFit="1" customWidth="1"/>
    <col min="5390" max="5390" width="21.1796875" bestFit="1" customWidth="1"/>
    <col min="5391" max="5391" width="23.36328125" bestFit="1" customWidth="1"/>
    <col min="5392" max="5392" width="26.453125" bestFit="1" customWidth="1"/>
    <col min="5393" max="5393" width="28.54296875" bestFit="1" customWidth="1"/>
    <col min="5394" max="5394" width="21.1796875" bestFit="1" customWidth="1"/>
    <col min="5395" max="5395" width="23.36328125" bestFit="1" customWidth="1"/>
    <col min="5396" max="5396" width="26.453125" bestFit="1" customWidth="1"/>
    <col min="5397" max="5397" width="28.54296875" bestFit="1" customWidth="1"/>
    <col min="5398" max="5398" width="21.1796875" bestFit="1" customWidth="1"/>
    <col min="5399" max="5399" width="23.36328125" bestFit="1" customWidth="1"/>
    <col min="5400" max="5400" width="26.453125" bestFit="1" customWidth="1"/>
    <col min="5401" max="5401" width="28.54296875" bestFit="1" customWidth="1"/>
    <col min="5402" max="5402" width="21.1796875" bestFit="1" customWidth="1"/>
    <col min="5403" max="5403" width="23.36328125" bestFit="1" customWidth="1"/>
    <col min="5404" max="5404" width="26.453125" bestFit="1" customWidth="1"/>
    <col min="5405" max="5405" width="28.54296875" bestFit="1" customWidth="1"/>
    <col min="5406" max="5406" width="21.1796875" bestFit="1" customWidth="1"/>
    <col min="5407" max="5407" width="23.36328125" bestFit="1" customWidth="1"/>
    <col min="5408" max="5408" width="26.453125" bestFit="1" customWidth="1"/>
    <col min="5409" max="5409" width="28.54296875" bestFit="1" customWidth="1"/>
    <col min="5410" max="5410" width="21.1796875" bestFit="1" customWidth="1"/>
    <col min="5411" max="5411" width="23.36328125" bestFit="1" customWidth="1"/>
    <col min="5412" max="5412" width="26.453125" bestFit="1" customWidth="1"/>
    <col min="5413" max="5413" width="28.54296875" bestFit="1" customWidth="1"/>
    <col min="5414" max="5414" width="21.1796875" bestFit="1" customWidth="1"/>
    <col min="5415" max="5415" width="23.36328125" bestFit="1" customWidth="1"/>
    <col min="5416" max="5416" width="26.453125" bestFit="1" customWidth="1"/>
    <col min="5417" max="5417" width="28.54296875" bestFit="1" customWidth="1"/>
    <col min="5418" max="5418" width="21.1796875" bestFit="1" customWidth="1"/>
    <col min="5419" max="5419" width="23.36328125" bestFit="1" customWidth="1"/>
    <col min="5420" max="5420" width="21.1796875" bestFit="1" customWidth="1"/>
    <col min="5421" max="5421" width="23.36328125" bestFit="1" customWidth="1"/>
    <col min="5422" max="5422" width="26.453125" bestFit="1" customWidth="1"/>
    <col min="5423" max="5423" width="28.54296875" bestFit="1" customWidth="1"/>
    <col min="5424" max="5424" width="21.1796875" bestFit="1" customWidth="1"/>
    <col min="5425" max="5425" width="23.36328125" bestFit="1" customWidth="1"/>
    <col min="5426" max="5426" width="26.453125" bestFit="1" customWidth="1"/>
    <col min="5427" max="5427" width="28.54296875" bestFit="1" customWidth="1"/>
    <col min="5428" max="5428" width="21.1796875" bestFit="1" customWidth="1"/>
    <col min="5429" max="5429" width="23.36328125" bestFit="1" customWidth="1"/>
    <col min="5430" max="5430" width="26.453125" bestFit="1" customWidth="1"/>
    <col min="5431" max="5431" width="28.54296875" bestFit="1" customWidth="1"/>
    <col min="5432" max="5432" width="21.1796875" bestFit="1" customWidth="1"/>
    <col min="5433" max="5433" width="23.36328125" bestFit="1" customWidth="1"/>
    <col min="5434" max="5434" width="26.453125" bestFit="1" customWidth="1"/>
    <col min="5435" max="5435" width="28.54296875" bestFit="1" customWidth="1"/>
    <col min="5436" max="5436" width="21.1796875" bestFit="1" customWidth="1"/>
    <col min="5437" max="5437" width="23.36328125" bestFit="1" customWidth="1"/>
    <col min="5438" max="5438" width="24.81640625" bestFit="1" customWidth="1"/>
    <col min="5439" max="5439" width="26.90625" bestFit="1" customWidth="1"/>
    <col min="5440" max="5440" width="21.1796875" bestFit="1" customWidth="1"/>
    <col min="5441" max="5441" width="23.36328125" bestFit="1" customWidth="1"/>
    <col min="5442" max="5442" width="26.453125" bestFit="1" customWidth="1"/>
    <col min="5443" max="5443" width="28.54296875" bestFit="1" customWidth="1"/>
    <col min="5444" max="5444" width="21.1796875" bestFit="1" customWidth="1"/>
    <col min="5445" max="5445" width="23.36328125" bestFit="1" customWidth="1"/>
    <col min="5446" max="5446" width="26.453125" bestFit="1" customWidth="1"/>
    <col min="5447" max="5447" width="28.54296875" bestFit="1" customWidth="1"/>
    <col min="5448" max="5448" width="21.1796875" bestFit="1" customWidth="1"/>
    <col min="5449" max="5449" width="23.36328125" bestFit="1" customWidth="1"/>
    <col min="5450" max="5450" width="26.453125" bestFit="1" customWidth="1"/>
    <col min="5451" max="5451" width="28.54296875" bestFit="1" customWidth="1"/>
    <col min="5452" max="5452" width="21.1796875" bestFit="1" customWidth="1"/>
    <col min="5453" max="5453" width="23.36328125" bestFit="1" customWidth="1"/>
    <col min="5454" max="5454" width="26.453125" bestFit="1" customWidth="1"/>
    <col min="5455" max="5455" width="28.54296875" bestFit="1" customWidth="1"/>
    <col min="5456" max="5456" width="21.1796875" bestFit="1" customWidth="1"/>
    <col min="5457" max="5457" width="23.36328125" bestFit="1" customWidth="1"/>
    <col min="5458" max="5458" width="26.453125" bestFit="1" customWidth="1"/>
    <col min="5459" max="5459" width="28.54296875" bestFit="1" customWidth="1"/>
    <col min="5460" max="5460" width="21.1796875" bestFit="1" customWidth="1"/>
    <col min="5461" max="5461" width="23.36328125" bestFit="1" customWidth="1"/>
    <col min="5462" max="5462" width="24.81640625" bestFit="1" customWidth="1"/>
    <col min="5463" max="5463" width="26.90625" bestFit="1" customWidth="1"/>
    <col min="5464" max="5464" width="21.1796875" bestFit="1" customWidth="1"/>
    <col min="5465" max="5465" width="23.36328125" bestFit="1" customWidth="1"/>
    <col min="5466" max="5466" width="21.1796875" bestFit="1" customWidth="1"/>
    <col min="5467" max="5467" width="23.36328125" bestFit="1" customWidth="1"/>
    <col min="5468" max="5468" width="21.1796875" bestFit="1" customWidth="1"/>
    <col min="5469" max="5469" width="23.36328125" bestFit="1" customWidth="1"/>
    <col min="5470" max="5470" width="26.453125" bestFit="1" customWidth="1"/>
    <col min="5471" max="5471" width="28.54296875" bestFit="1" customWidth="1"/>
    <col min="5472" max="5472" width="21.1796875" bestFit="1" customWidth="1"/>
    <col min="5473" max="5473" width="23.36328125" bestFit="1" customWidth="1"/>
    <col min="5474" max="5474" width="26.453125" bestFit="1" customWidth="1"/>
    <col min="5475" max="5475" width="28.54296875" bestFit="1" customWidth="1"/>
    <col min="5476" max="5476" width="21.1796875" bestFit="1" customWidth="1"/>
    <col min="5477" max="5477" width="23.36328125" bestFit="1" customWidth="1"/>
    <col min="5478" max="5478" width="26.453125" bestFit="1" customWidth="1"/>
    <col min="5479" max="5479" width="28.54296875" bestFit="1" customWidth="1"/>
    <col min="5480" max="5480" width="21.1796875" bestFit="1" customWidth="1"/>
    <col min="5481" max="5481" width="23.36328125" bestFit="1" customWidth="1"/>
    <col min="5482" max="5482" width="26.453125" bestFit="1" customWidth="1"/>
    <col min="5483" max="5483" width="28.54296875" bestFit="1" customWidth="1"/>
    <col min="5484" max="5484" width="21.1796875" bestFit="1" customWidth="1"/>
    <col min="5485" max="5485" width="23.36328125" bestFit="1" customWidth="1"/>
    <col min="5486" max="5486" width="26.453125" bestFit="1" customWidth="1"/>
    <col min="5487" max="5487" width="28.54296875" bestFit="1" customWidth="1"/>
    <col min="5488" max="5488" width="21.1796875" bestFit="1" customWidth="1"/>
    <col min="5489" max="5489" width="23.36328125" bestFit="1" customWidth="1"/>
    <col min="5490" max="5490" width="26.453125" bestFit="1" customWidth="1"/>
    <col min="5491" max="5491" width="28.54296875" bestFit="1" customWidth="1"/>
    <col min="5492" max="5492" width="21.1796875" bestFit="1" customWidth="1"/>
    <col min="5493" max="5493" width="23.36328125" bestFit="1" customWidth="1"/>
    <col min="5494" max="5494" width="26.453125" bestFit="1" customWidth="1"/>
    <col min="5495" max="5495" width="28.54296875" bestFit="1" customWidth="1"/>
    <col min="5496" max="5496" width="21.1796875" bestFit="1" customWidth="1"/>
    <col min="5497" max="5497" width="23.36328125" bestFit="1" customWidth="1"/>
    <col min="5498" max="5498" width="26.453125" bestFit="1" customWidth="1"/>
    <col min="5499" max="5499" width="28.54296875" bestFit="1" customWidth="1"/>
    <col min="5500" max="5500" width="21.1796875" bestFit="1" customWidth="1"/>
    <col min="5501" max="5501" width="23.36328125" bestFit="1" customWidth="1"/>
    <col min="5502" max="5502" width="26.453125" bestFit="1" customWidth="1"/>
    <col min="5503" max="5503" width="28.54296875" bestFit="1" customWidth="1"/>
    <col min="5504" max="5504" width="21.1796875" bestFit="1" customWidth="1"/>
    <col min="5505" max="5505" width="23.36328125" bestFit="1" customWidth="1"/>
    <col min="5506" max="5506" width="26.453125" bestFit="1" customWidth="1"/>
    <col min="5507" max="5507" width="28.54296875" bestFit="1" customWidth="1"/>
    <col min="5508" max="5508" width="21.1796875" bestFit="1" customWidth="1"/>
    <col min="5509" max="5509" width="23.36328125" bestFit="1" customWidth="1"/>
    <col min="5510" max="5510" width="21.1796875" bestFit="1" customWidth="1"/>
    <col min="5511" max="5511" width="23.36328125" bestFit="1" customWidth="1"/>
    <col min="5512" max="5512" width="26.453125" bestFit="1" customWidth="1"/>
    <col min="5513" max="5513" width="28.54296875" bestFit="1" customWidth="1"/>
    <col min="5514" max="5514" width="21.1796875" bestFit="1" customWidth="1"/>
    <col min="5515" max="5515" width="23.36328125" bestFit="1" customWidth="1"/>
    <col min="5516" max="5516" width="26.453125" bestFit="1" customWidth="1"/>
    <col min="5517" max="5517" width="28.54296875" bestFit="1" customWidth="1"/>
    <col min="5518" max="5518" width="21.1796875" bestFit="1" customWidth="1"/>
    <col min="5519" max="5519" width="23.36328125" bestFit="1" customWidth="1"/>
    <col min="5520" max="5520" width="26.453125" bestFit="1" customWidth="1"/>
    <col min="5521" max="5521" width="28.54296875" bestFit="1" customWidth="1"/>
    <col min="5522" max="5522" width="21.1796875" bestFit="1" customWidth="1"/>
    <col min="5523" max="5523" width="23.36328125" bestFit="1" customWidth="1"/>
    <col min="5524" max="5524" width="26.453125" bestFit="1" customWidth="1"/>
    <col min="5525" max="5525" width="28.54296875" bestFit="1" customWidth="1"/>
    <col min="5526" max="5526" width="21.1796875" bestFit="1" customWidth="1"/>
    <col min="5527" max="5527" width="23.36328125" bestFit="1" customWidth="1"/>
    <col min="5528" max="5528" width="26.453125" bestFit="1" customWidth="1"/>
    <col min="5529" max="5529" width="28.54296875" bestFit="1" customWidth="1"/>
    <col min="5530" max="5530" width="21.1796875" bestFit="1" customWidth="1"/>
    <col min="5531" max="5531" width="23.36328125" bestFit="1" customWidth="1"/>
    <col min="5532" max="5532" width="26.453125" bestFit="1" customWidth="1"/>
    <col min="5533" max="5533" width="28.54296875" bestFit="1" customWidth="1"/>
    <col min="5534" max="5534" width="21.1796875" bestFit="1" customWidth="1"/>
    <col min="5535" max="5535" width="23.36328125" bestFit="1" customWidth="1"/>
    <col min="5536" max="5536" width="26.453125" bestFit="1" customWidth="1"/>
    <col min="5537" max="5537" width="28.54296875" bestFit="1" customWidth="1"/>
    <col min="5538" max="5538" width="21.1796875" bestFit="1" customWidth="1"/>
    <col min="5539" max="5539" width="23.36328125" bestFit="1" customWidth="1"/>
    <col min="5540" max="5540" width="26.453125" bestFit="1" customWidth="1"/>
    <col min="5541" max="5541" width="28.54296875" bestFit="1" customWidth="1"/>
    <col min="5542" max="5542" width="21.1796875" bestFit="1" customWidth="1"/>
    <col min="5543" max="5543" width="23.36328125" bestFit="1" customWidth="1"/>
    <col min="5544" max="5544" width="26.453125" bestFit="1" customWidth="1"/>
    <col min="5545" max="5545" width="28.54296875" bestFit="1" customWidth="1"/>
    <col min="5546" max="5546" width="21.1796875" bestFit="1" customWidth="1"/>
    <col min="5547" max="5547" width="23.36328125" bestFit="1" customWidth="1"/>
    <col min="5548" max="5548" width="26.453125" bestFit="1" customWidth="1"/>
    <col min="5549" max="5549" width="28.54296875" bestFit="1" customWidth="1"/>
    <col min="5550" max="5550" width="21.1796875" bestFit="1" customWidth="1"/>
    <col min="5551" max="5551" width="23.36328125" bestFit="1" customWidth="1"/>
    <col min="5552" max="5552" width="21.1796875" bestFit="1" customWidth="1"/>
    <col min="5553" max="5553" width="23.36328125" bestFit="1" customWidth="1"/>
    <col min="5554" max="5554" width="21.1796875" bestFit="1" customWidth="1"/>
    <col min="5555" max="5555" width="23.36328125" bestFit="1" customWidth="1"/>
    <col min="5556" max="5556" width="26.453125" bestFit="1" customWidth="1"/>
    <col min="5557" max="5557" width="28.54296875" bestFit="1" customWidth="1"/>
    <col min="5558" max="5558" width="21.1796875" bestFit="1" customWidth="1"/>
    <col min="5559" max="5559" width="23.36328125" bestFit="1" customWidth="1"/>
    <col min="5560" max="5560" width="26.453125" bestFit="1" customWidth="1"/>
    <col min="5561" max="5561" width="28.54296875" bestFit="1" customWidth="1"/>
    <col min="5562" max="5562" width="21.1796875" bestFit="1" customWidth="1"/>
    <col min="5563" max="5563" width="23.36328125" bestFit="1" customWidth="1"/>
    <col min="5564" max="5564" width="21.1796875" bestFit="1" customWidth="1"/>
    <col min="5565" max="5565" width="23.36328125" bestFit="1" customWidth="1"/>
    <col min="5566" max="5566" width="26.453125" bestFit="1" customWidth="1"/>
    <col min="5567" max="5567" width="28.54296875" bestFit="1" customWidth="1"/>
    <col min="5568" max="5568" width="21.1796875" bestFit="1" customWidth="1"/>
    <col min="5569" max="5569" width="23.36328125" bestFit="1" customWidth="1"/>
    <col min="5570" max="5570" width="21.1796875" bestFit="1" customWidth="1"/>
    <col min="5571" max="5571" width="23.36328125" bestFit="1" customWidth="1"/>
    <col min="5572" max="5572" width="26.453125" bestFit="1" customWidth="1"/>
    <col min="5573" max="5573" width="28.54296875" bestFit="1" customWidth="1"/>
    <col min="5574" max="5574" width="21.1796875" bestFit="1" customWidth="1"/>
    <col min="5575" max="5575" width="23.36328125" bestFit="1" customWidth="1"/>
    <col min="5576" max="5576" width="24.81640625" bestFit="1" customWidth="1"/>
    <col min="5577" max="5577" width="26.90625" bestFit="1" customWidth="1"/>
    <col min="5578" max="5578" width="21.1796875" bestFit="1" customWidth="1"/>
    <col min="5579" max="5579" width="23.36328125" bestFit="1" customWidth="1"/>
    <col min="5580" max="5580" width="26.453125" bestFit="1" customWidth="1"/>
    <col min="5581" max="5581" width="28.54296875" bestFit="1" customWidth="1"/>
    <col min="5582" max="5582" width="21.1796875" bestFit="1" customWidth="1"/>
    <col min="5583" max="5583" width="23.36328125" bestFit="1" customWidth="1"/>
    <col min="5584" max="5584" width="26.453125" bestFit="1" customWidth="1"/>
    <col min="5585" max="5585" width="28.54296875" bestFit="1" customWidth="1"/>
    <col min="5586" max="5586" width="21.1796875" bestFit="1" customWidth="1"/>
    <col min="5587" max="5587" width="23.36328125" bestFit="1" customWidth="1"/>
    <col min="5588" max="5588" width="26.453125" bestFit="1" customWidth="1"/>
    <col min="5589" max="5589" width="28.54296875" bestFit="1" customWidth="1"/>
    <col min="5590" max="5590" width="21.1796875" bestFit="1" customWidth="1"/>
    <col min="5591" max="5591" width="23.36328125" bestFit="1" customWidth="1"/>
    <col min="5592" max="5592" width="26.453125" bestFit="1" customWidth="1"/>
    <col min="5593" max="5593" width="28.54296875" bestFit="1" customWidth="1"/>
    <col min="5594" max="5594" width="21.1796875" bestFit="1" customWidth="1"/>
    <col min="5595" max="5595" width="23.36328125" bestFit="1" customWidth="1"/>
    <col min="5596" max="5596" width="21.1796875" bestFit="1" customWidth="1"/>
    <col min="5597" max="5597" width="23.36328125" bestFit="1" customWidth="1"/>
    <col min="5598" max="5598" width="26.453125" bestFit="1" customWidth="1"/>
    <col min="5599" max="5599" width="28.54296875" bestFit="1" customWidth="1"/>
    <col min="5600" max="5600" width="21.1796875" bestFit="1" customWidth="1"/>
    <col min="5601" max="5601" width="23.36328125" bestFit="1" customWidth="1"/>
    <col min="5602" max="5602" width="26.453125" bestFit="1" customWidth="1"/>
    <col min="5603" max="5603" width="28.54296875" bestFit="1" customWidth="1"/>
    <col min="5604" max="5604" width="21.1796875" bestFit="1" customWidth="1"/>
    <col min="5605" max="5605" width="23.36328125" bestFit="1" customWidth="1"/>
    <col min="5606" max="5606" width="26.453125" bestFit="1" customWidth="1"/>
    <col min="5607" max="5607" width="28.54296875" bestFit="1" customWidth="1"/>
    <col min="5608" max="5608" width="21.1796875" bestFit="1" customWidth="1"/>
    <col min="5609" max="5609" width="23.36328125" bestFit="1" customWidth="1"/>
    <col min="5610" max="5610" width="26.453125" bestFit="1" customWidth="1"/>
    <col min="5611" max="5611" width="28.54296875" bestFit="1" customWidth="1"/>
    <col min="5612" max="5612" width="21.1796875" bestFit="1" customWidth="1"/>
    <col min="5613" max="5613" width="23.36328125" bestFit="1" customWidth="1"/>
    <col min="5614" max="5614" width="26.453125" bestFit="1" customWidth="1"/>
    <col min="5615" max="5615" width="28.54296875" bestFit="1" customWidth="1"/>
    <col min="5616" max="5616" width="21.1796875" bestFit="1" customWidth="1"/>
    <col min="5617" max="5617" width="23.36328125" bestFit="1" customWidth="1"/>
    <col min="5618" max="5618" width="26.453125" bestFit="1" customWidth="1"/>
    <col min="5619" max="5619" width="28.54296875" bestFit="1" customWidth="1"/>
    <col min="5620" max="5620" width="21.1796875" bestFit="1" customWidth="1"/>
    <col min="5621" max="5621" width="23.36328125" bestFit="1" customWidth="1"/>
    <col min="5622" max="5622" width="21.1796875" bestFit="1" customWidth="1"/>
    <col min="5623" max="5623" width="23.36328125" bestFit="1" customWidth="1"/>
    <col min="5624" max="5624" width="24.81640625" bestFit="1" customWidth="1"/>
    <col min="5625" max="5625" width="26.90625" bestFit="1" customWidth="1"/>
    <col min="5626" max="5626" width="21.1796875" bestFit="1" customWidth="1"/>
    <col min="5627" max="5627" width="23.36328125" bestFit="1" customWidth="1"/>
    <col min="5628" max="5628" width="26.453125" bestFit="1" customWidth="1"/>
    <col min="5629" max="5629" width="28.54296875" bestFit="1" customWidth="1"/>
    <col min="5630" max="5630" width="21.1796875" bestFit="1" customWidth="1"/>
    <col min="5631" max="5631" width="23.36328125" bestFit="1" customWidth="1"/>
    <col min="5632" max="5632" width="26.453125" bestFit="1" customWidth="1"/>
    <col min="5633" max="5633" width="28.54296875" bestFit="1" customWidth="1"/>
    <col min="5634" max="5634" width="21.1796875" bestFit="1" customWidth="1"/>
    <col min="5635" max="5635" width="23.36328125" bestFit="1" customWidth="1"/>
    <col min="5636" max="5636" width="26.453125" bestFit="1" customWidth="1"/>
    <col min="5637" max="5637" width="28.54296875" bestFit="1" customWidth="1"/>
    <col min="5638" max="5638" width="21.1796875" bestFit="1" customWidth="1"/>
    <col min="5639" max="5639" width="23.36328125" bestFit="1" customWidth="1"/>
    <col min="5640" max="5640" width="26.453125" bestFit="1" customWidth="1"/>
    <col min="5641" max="5641" width="28.54296875" bestFit="1" customWidth="1"/>
    <col min="5642" max="5642" width="21.1796875" bestFit="1" customWidth="1"/>
    <col min="5643" max="5643" width="23.36328125" bestFit="1" customWidth="1"/>
    <col min="5644" max="5644" width="26.453125" bestFit="1" customWidth="1"/>
    <col min="5645" max="5645" width="28.54296875" bestFit="1" customWidth="1"/>
    <col min="5646" max="5646" width="21.1796875" bestFit="1" customWidth="1"/>
    <col min="5647" max="5647" width="23.36328125" bestFit="1" customWidth="1"/>
    <col min="5648" max="5648" width="21.1796875" bestFit="1" customWidth="1"/>
    <col min="5649" max="5649" width="23.36328125" bestFit="1" customWidth="1"/>
    <col min="5650" max="5650" width="26.453125" bestFit="1" customWidth="1"/>
    <col min="5651" max="5651" width="28.54296875" bestFit="1" customWidth="1"/>
    <col min="5652" max="5652" width="21.1796875" bestFit="1" customWidth="1"/>
    <col min="5653" max="5653" width="23.36328125" bestFit="1" customWidth="1"/>
    <col min="5654" max="5654" width="26.453125" bestFit="1" customWidth="1"/>
    <col min="5655" max="5655" width="28.54296875" bestFit="1" customWidth="1"/>
    <col min="5656" max="5656" width="21.1796875" bestFit="1" customWidth="1"/>
    <col min="5657" max="5657" width="23.36328125" bestFit="1" customWidth="1"/>
    <col min="5658" max="5658" width="26.453125" bestFit="1" customWidth="1"/>
    <col min="5659" max="5659" width="28.54296875" bestFit="1" customWidth="1"/>
    <col min="5660" max="5660" width="21.1796875" bestFit="1" customWidth="1"/>
    <col min="5661" max="5661" width="23.36328125" bestFit="1" customWidth="1"/>
    <col min="5662" max="5662" width="26.453125" bestFit="1" customWidth="1"/>
    <col min="5663" max="5663" width="28.54296875" bestFit="1" customWidth="1"/>
    <col min="5664" max="5664" width="21.1796875" bestFit="1" customWidth="1"/>
    <col min="5665" max="5665" width="23.36328125" bestFit="1" customWidth="1"/>
    <col min="5666" max="5666" width="21.1796875" bestFit="1" customWidth="1"/>
    <col min="5667" max="5667" width="23.36328125" bestFit="1" customWidth="1"/>
    <col min="5668" max="5668" width="24.81640625" bestFit="1" customWidth="1"/>
    <col min="5669" max="5669" width="26.90625" bestFit="1" customWidth="1"/>
    <col min="5670" max="5670" width="21.1796875" bestFit="1" customWidth="1"/>
    <col min="5671" max="5671" width="23.36328125" bestFit="1" customWidth="1"/>
    <col min="5672" max="5672" width="26.453125" bestFit="1" customWidth="1"/>
    <col min="5673" max="5673" width="28.54296875" bestFit="1" customWidth="1"/>
    <col min="5674" max="5674" width="21.1796875" bestFit="1" customWidth="1"/>
    <col min="5675" max="5675" width="23.36328125" bestFit="1" customWidth="1"/>
    <col min="5676" max="5676" width="26.453125" bestFit="1" customWidth="1"/>
    <col min="5677" max="5677" width="28.54296875" bestFit="1" customWidth="1"/>
    <col min="5678" max="5678" width="21.1796875" bestFit="1" customWidth="1"/>
    <col min="5679" max="5679" width="23.36328125" bestFit="1" customWidth="1"/>
    <col min="5680" max="5680" width="24.81640625" bestFit="1" customWidth="1"/>
    <col min="5681" max="5681" width="26.90625" bestFit="1" customWidth="1"/>
    <col min="5682" max="5682" width="21.1796875" bestFit="1" customWidth="1"/>
    <col min="5683" max="5683" width="23.36328125" bestFit="1" customWidth="1"/>
    <col min="5684" max="5684" width="26.453125" bestFit="1" customWidth="1"/>
    <col min="5685" max="5685" width="28.54296875" bestFit="1" customWidth="1"/>
    <col min="5686" max="5686" width="21.1796875" bestFit="1" customWidth="1"/>
    <col min="5687" max="5687" width="23.36328125" bestFit="1" customWidth="1"/>
    <col min="5688" max="5688" width="26.453125" bestFit="1" customWidth="1"/>
    <col min="5689" max="5689" width="28.54296875" bestFit="1" customWidth="1"/>
    <col min="5690" max="5690" width="21.1796875" bestFit="1" customWidth="1"/>
    <col min="5691" max="5691" width="23.36328125" bestFit="1" customWidth="1"/>
    <col min="5692" max="5692" width="26.453125" bestFit="1" customWidth="1"/>
    <col min="5693" max="5693" width="28.54296875" bestFit="1" customWidth="1"/>
    <col min="5694" max="5694" width="21.1796875" bestFit="1" customWidth="1"/>
    <col min="5695" max="5695" width="23.36328125" bestFit="1" customWidth="1"/>
    <col min="5696" max="5696" width="26.453125" bestFit="1" customWidth="1"/>
    <col min="5697" max="5697" width="28.54296875" bestFit="1" customWidth="1"/>
    <col min="5698" max="5698" width="21.1796875" bestFit="1" customWidth="1"/>
    <col min="5699" max="5699" width="23.36328125" bestFit="1" customWidth="1"/>
    <col min="5700" max="5700" width="26.453125" bestFit="1" customWidth="1"/>
    <col min="5701" max="5701" width="28.54296875" bestFit="1" customWidth="1"/>
    <col min="5702" max="5702" width="21.1796875" bestFit="1" customWidth="1"/>
    <col min="5703" max="5703" width="23.36328125" bestFit="1" customWidth="1"/>
    <col min="5704" max="5704" width="26.453125" bestFit="1" customWidth="1"/>
    <col min="5705" max="5705" width="28.54296875" bestFit="1" customWidth="1"/>
    <col min="5706" max="5706" width="21.1796875" bestFit="1" customWidth="1"/>
    <col min="5707" max="5707" width="23.36328125" bestFit="1" customWidth="1"/>
    <col min="5708" max="5708" width="26.453125" bestFit="1" customWidth="1"/>
    <col min="5709" max="5709" width="28.54296875" bestFit="1" customWidth="1"/>
    <col min="5710" max="5710" width="21.1796875" bestFit="1" customWidth="1"/>
    <col min="5711" max="5711" width="23.36328125" bestFit="1" customWidth="1"/>
    <col min="5712" max="5712" width="24.81640625" bestFit="1" customWidth="1"/>
    <col min="5713" max="5713" width="26.90625" bestFit="1" customWidth="1"/>
    <col min="5714" max="5714" width="21.1796875" bestFit="1" customWidth="1"/>
    <col min="5715" max="5715" width="23.36328125" bestFit="1" customWidth="1"/>
    <col min="5716" max="5716" width="26.453125" bestFit="1" customWidth="1"/>
    <col min="5717" max="5717" width="28.54296875" bestFit="1" customWidth="1"/>
    <col min="5718" max="5718" width="21.1796875" bestFit="1" customWidth="1"/>
    <col min="5719" max="5719" width="23.36328125" bestFit="1" customWidth="1"/>
    <col min="5720" max="5720" width="26.453125" bestFit="1" customWidth="1"/>
    <col min="5721" max="5721" width="28.54296875" bestFit="1" customWidth="1"/>
    <col min="5722" max="5722" width="21.1796875" bestFit="1" customWidth="1"/>
    <col min="5723" max="5723" width="23.36328125" bestFit="1" customWidth="1"/>
    <col min="5724" max="5724" width="21.1796875" bestFit="1" customWidth="1"/>
    <col min="5725" max="5725" width="23.36328125" bestFit="1" customWidth="1"/>
    <col min="5726" max="5726" width="21.1796875" bestFit="1" customWidth="1"/>
    <col min="5727" max="5727" width="23.36328125" bestFit="1" customWidth="1"/>
    <col min="5728" max="5728" width="26.453125" bestFit="1" customWidth="1"/>
    <col min="5729" max="5729" width="28.54296875" bestFit="1" customWidth="1"/>
    <col min="5730" max="5730" width="21.1796875" bestFit="1" customWidth="1"/>
    <col min="5731" max="5731" width="23.36328125" bestFit="1" customWidth="1"/>
    <col min="5732" max="5732" width="26.453125" bestFit="1" customWidth="1"/>
    <col min="5733" max="5733" width="28.54296875" bestFit="1" customWidth="1"/>
    <col min="5734" max="5734" width="21.1796875" bestFit="1" customWidth="1"/>
    <col min="5735" max="5735" width="23.36328125" bestFit="1" customWidth="1"/>
    <col min="5736" max="5736" width="26.453125" bestFit="1" customWidth="1"/>
    <col min="5737" max="5737" width="28.54296875" bestFit="1" customWidth="1"/>
    <col min="5738" max="5738" width="21.1796875" bestFit="1" customWidth="1"/>
    <col min="5739" max="5739" width="23.36328125" bestFit="1" customWidth="1"/>
    <col min="5740" max="5740" width="21.1796875" bestFit="1" customWidth="1"/>
    <col min="5741" max="5741" width="23.36328125" bestFit="1" customWidth="1"/>
    <col min="5742" max="5742" width="26.453125" bestFit="1" customWidth="1"/>
    <col min="5743" max="5743" width="28.54296875" bestFit="1" customWidth="1"/>
    <col min="5744" max="5744" width="21.1796875" bestFit="1" customWidth="1"/>
    <col min="5745" max="5745" width="23.36328125" bestFit="1" customWidth="1"/>
    <col min="5746" max="5746" width="26.453125" bestFit="1" customWidth="1"/>
    <col min="5747" max="5747" width="28.54296875" bestFit="1" customWidth="1"/>
    <col min="5748" max="5748" width="21.1796875" bestFit="1" customWidth="1"/>
    <col min="5749" max="5749" width="23.36328125" bestFit="1" customWidth="1"/>
    <col min="5750" max="5750" width="26.453125" bestFit="1" customWidth="1"/>
    <col min="5751" max="5751" width="28.54296875" bestFit="1" customWidth="1"/>
    <col min="5752" max="5752" width="21.1796875" bestFit="1" customWidth="1"/>
    <col min="5753" max="5753" width="23.36328125" bestFit="1" customWidth="1"/>
    <col min="5754" max="5754" width="26.453125" bestFit="1" customWidth="1"/>
    <col min="5755" max="5755" width="28.54296875" bestFit="1" customWidth="1"/>
    <col min="5756" max="5756" width="21.1796875" bestFit="1" customWidth="1"/>
    <col min="5757" max="5757" width="23.36328125" bestFit="1" customWidth="1"/>
    <col min="5758" max="5758" width="26.453125" bestFit="1" customWidth="1"/>
    <col min="5759" max="5759" width="28.54296875" bestFit="1" customWidth="1"/>
    <col min="5760" max="5760" width="21.1796875" bestFit="1" customWidth="1"/>
    <col min="5761" max="5761" width="23.36328125" bestFit="1" customWidth="1"/>
    <col min="5762" max="5762" width="26.453125" bestFit="1" customWidth="1"/>
    <col min="5763" max="5763" width="28.54296875" bestFit="1" customWidth="1"/>
    <col min="5764" max="5764" width="21.1796875" bestFit="1" customWidth="1"/>
    <col min="5765" max="5765" width="23.36328125" bestFit="1" customWidth="1"/>
    <col min="5766" max="5766" width="21.1796875" bestFit="1" customWidth="1"/>
    <col min="5767" max="5767" width="23.36328125" bestFit="1" customWidth="1"/>
    <col min="5768" max="5768" width="26.453125" bestFit="1" customWidth="1"/>
    <col min="5769" max="5769" width="28.54296875" bestFit="1" customWidth="1"/>
    <col min="5770" max="5770" width="21.1796875" bestFit="1" customWidth="1"/>
    <col min="5771" max="5771" width="23.36328125" bestFit="1" customWidth="1"/>
    <col min="5772" max="5772" width="26.453125" bestFit="1" customWidth="1"/>
    <col min="5773" max="5773" width="28.54296875" bestFit="1" customWidth="1"/>
    <col min="5774" max="5774" width="21.1796875" bestFit="1" customWidth="1"/>
    <col min="5775" max="5775" width="23.36328125" bestFit="1" customWidth="1"/>
    <col min="5776" max="5776" width="21.1796875" bestFit="1" customWidth="1"/>
    <col min="5777" max="5777" width="23.36328125" bestFit="1" customWidth="1"/>
    <col min="5778" max="5778" width="26.453125" bestFit="1" customWidth="1"/>
    <col min="5779" max="5779" width="28.54296875" bestFit="1" customWidth="1"/>
    <col min="5780" max="5780" width="21.1796875" bestFit="1" customWidth="1"/>
    <col min="5781" max="5781" width="23.36328125" bestFit="1" customWidth="1"/>
    <col min="5782" max="5782" width="26.453125" bestFit="1" customWidth="1"/>
    <col min="5783" max="5783" width="28.54296875" bestFit="1" customWidth="1"/>
    <col min="5784" max="5784" width="21.1796875" bestFit="1" customWidth="1"/>
    <col min="5785" max="5785" width="23.36328125" bestFit="1" customWidth="1"/>
    <col min="5786" max="5786" width="26.453125" bestFit="1" customWidth="1"/>
    <col min="5787" max="5787" width="28.54296875" bestFit="1" customWidth="1"/>
    <col min="5788" max="5788" width="21.1796875" bestFit="1" customWidth="1"/>
    <col min="5789" max="5789" width="23.36328125" bestFit="1" customWidth="1"/>
    <col min="5790" max="5790" width="26.453125" bestFit="1" customWidth="1"/>
    <col min="5791" max="5791" width="28.54296875" bestFit="1" customWidth="1"/>
    <col min="5792" max="5792" width="21.1796875" bestFit="1" customWidth="1"/>
    <col min="5793" max="5793" width="23.36328125" bestFit="1" customWidth="1"/>
    <col min="5794" max="5794" width="26.453125" bestFit="1" customWidth="1"/>
    <col min="5795" max="5795" width="28.54296875" bestFit="1" customWidth="1"/>
    <col min="5796" max="5796" width="21.1796875" bestFit="1" customWidth="1"/>
    <col min="5797" max="5797" width="23.36328125" bestFit="1" customWidth="1"/>
    <col min="5798" max="5798" width="26.453125" bestFit="1" customWidth="1"/>
    <col min="5799" max="5799" width="28.54296875" bestFit="1" customWidth="1"/>
    <col min="5800" max="5800" width="21.1796875" bestFit="1" customWidth="1"/>
    <col min="5801" max="5801" width="23.36328125" bestFit="1" customWidth="1"/>
    <col min="5802" max="5802" width="21.1796875" bestFit="1" customWidth="1"/>
    <col min="5803" max="5803" width="23.36328125" bestFit="1" customWidth="1"/>
    <col min="5804" max="5804" width="26.453125" bestFit="1" customWidth="1"/>
    <col min="5805" max="5805" width="28.54296875" bestFit="1" customWidth="1"/>
    <col min="5806" max="5806" width="21.1796875" bestFit="1" customWidth="1"/>
    <col min="5807" max="5807" width="23.36328125" bestFit="1" customWidth="1"/>
    <col min="5808" max="5808" width="26.453125" bestFit="1" customWidth="1"/>
    <col min="5809" max="5809" width="28.54296875" bestFit="1" customWidth="1"/>
    <col min="5810" max="5810" width="21.1796875" bestFit="1" customWidth="1"/>
    <col min="5811" max="5811" width="23.36328125" bestFit="1" customWidth="1"/>
    <col min="5812" max="5812" width="26.453125" bestFit="1" customWidth="1"/>
    <col min="5813" max="5813" width="28.54296875" bestFit="1" customWidth="1"/>
    <col min="5814" max="5814" width="21.1796875" bestFit="1" customWidth="1"/>
    <col min="5815" max="5815" width="23.36328125" bestFit="1" customWidth="1"/>
    <col min="5816" max="5816" width="26.453125" bestFit="1" customWidth="1"/>
    <col min="5817" max="5817" width="28.54296875" bestFit="1" customWidth="1"/>
    <col min="5818" max="5818" width="21.1796875" bestFit="1" customWidth="1"/>
    <col min="5819" max="5819" width="23.36328125" bestFit="1" customWidth="1"/>
    <col min="5820" max="5820" width="21.1796875" bestFit="1" customWidth="1"/>
    <col min="5821" max="5821" width="23.36328125" bestFit="1" customWidth="1"/>
    <col min="5822" max="5822" width="26.453125" bestFit="1" customWidth="1"/>
    <col min="5823" max="5823" width="28.54296875" bestFit="1" customWidth="1"/>
    <col min="5824" max="5824" width="21.1796875" bestFit="1" customWidth="1"/>
    <col min="5825" max="5825" width="23.36328125" bestFit="1" customWidth="1"/>
    <col min="5826" max="5826" width="26.453125" bestFit="1" customWidth="1"/>
    <col min="5827" max="5827" width="28.54296875" bestFit="1" customWidth="1"/>
    <col min="5828" max="5828" width="21.1796875" bestFit="1" customWidth="1"/>
    <col min="5829" max="5829" width="23.36328125" bestFit="1" customWidth="1"/>
    <col min="5830" max="5830" width="26.453125" bestFit="1" customWidth="1"/>
    <col min="5831" max="5831" width="28.54296875" bestFit="1" customWidth="1"/>
    <col min="5832" max="5832" width="21.1796875" bestFit="1" customWidth="1"/>
    <col min="5833" max="5833" width="23.36328125" bestFit="1" customWidth="1"/>
    <col min="5834" max="5834" width="26.453125" bestFit="1" customWidth="1"/>
    <col min="5835" max="5835" width="28.54296875" bestFit="1" customWidth="1"/>
    <col min="5836" max="5836" width="21.1796875" bestFit="1" customWidth="1"/>
    <col min="5837" max="5837" width="23.36328125" bestFit="1" customWidth="1"/>
    <col min="5838" max="5838" width="26.453125" bestFit="1" customWidth="1"/>
    <col min="5839" max="5839" width="28.54296875" bestFit="1" customWidth="1"/>
    <col min="5840" max="5840" width="21.1796875" bestFit="1" customWidth="1"/>
    <col min="5841" max="5841" width="23.36328125" bestFit="1" customWidth="1"/>
    <col min="5842" max="5842" width="26.453125" bestFit="1" customWidth="1"/>
    <col min="5843" max="5843" width="28.54296875" bestFit="1" customWidth="1"/>
    <col min="5844" max="5844" width="21.1796875" bestFit="1" customWidth="1"/>
    <col min="5845" max="5845" width="23.36328125" bestFit="1" customWidth="1"/>
    <col min="5846" max="5846" width="26.453125" bestFit="1" customWidth="1"/>
    <col min="5847" max="5847" width="28.54296875" bestFit="1" customWidth="1"/>
    <col min="5848" max="5848" width="21.1796875" bestFit="1" customWidth="1"/>
    <col min="5849" max="5849" width="23.36328125" bestFit="1" customWidth="1"/>
    <col min="5850" max="5850" width="26.453125" bestFit="1" customWidth="1"/>
    <col min="5851" max="5851" width="28.54296875" bestFit="1" customWidth="1"/>
    <col min="5852" max="5852" width="21.1796875" bestFit="1" customWidth="1"/>
    <col min="5853" max="5853" width="23.36328125" bestFit="1" customWidth="1"/>
    <col min="5854" max="5854" width="24.81640625" bestFit="1" customWidth="1"/>
    <col min="5855" max="5855" width="26.90625" bestFit="1" customWidth="1"/>
    <col min="5856" max="5856" width="21.1796875" bestFit="1" customWidth="1"/>
    <col min="5857" max="5857" width="23.36328125" bestFit="1" customWidth="1"/>
    <col min="5858" max="5858" width="24.81640625" bestFit="1" customWidth="1"/>
    <col min="5859" max="5859" width="26.90625" bestFit="1" customWidth="1"/>
    <col min="5860" max="5860" width="21.1796875" bestFit="1" customWidth="1"/>
    <col min="5861" max="5861" width="23.36328125" bestFit="1" customWidth="1"/>
    <col min="5862" max="5862" width="26.453125" bestFit="1" customWidth="1"/>
    <col min="5863" max="5863" width="28.54296875" bestFit="1" customWidth="1"/>
    <col min="5864" max="5864" width="21.1796875" bestFit="1" customWidth="1"/>
    <col min="5865" max="5865" width="23.36328125" bestFit="1" customWidth="1"/>
    <col min="5866" max="5866" width="26.453125" bestFit="1" customWidth="1"/>
    <col min="5867" max="5867" width="28.54296875" bestFit="1" customWidth="1"/>
    <col min="5868" max="5868" width="21.1796875" bestFit="1" customWidth="1"/>
    <col min="5869" max="5869" width="23.36328125" bestFit="1" customWidth="1"/>
    <col min="5870" max="5870" width="26.453125" bestFit="1" customWidth="1"/>
    <col min="5871" max="5871" width="28.54296875" bestFit="1" customWidth="1"/>
    <col min="5872" max="5872" width="21.1796875" bestFit="1" customWidth="1"/>
    <col min="5873" max="5873" width="23.36328125" bestFit="1" customWidth="1"/>
    <col min="5874" max="5874" width="26.453125" bestFit="1" customWidth="1"/>
    <col min="5875" max="5875" width="28.54296875" bestFit="1" customWidth="1"/>
    <col min="5876" max="5876" width="21.1796875" bestFit="1" customWidth="1"/>
    <col min="5877" max="5877" width="23.36328125" bestFit="1" customWidth="1"/>
    <col min="5878" max="5878" width="26.453125" bestFit="1" customWidth="1"/>
    <col min="5879" max="5879" width="28.54296875" bestFit="1" customWidth="1"/>
    <col min="5880" max="5880" width="21.1796875" bestFit="1" customWidth="1"/>
    <col min="5881" max="5881" width="23.36328125" bestFit="1" customWidth="1"/>
    <col min="5882" max="5882" width="26.453125" bestFit="1" customWidth="1"/>
    <col min="5883" max="5883" width="28.54296875" bestFit="1" customWidth="1"/>
    <col min="5884" max="5884" width="21.1796875" bestFit="1" customWidth="1"/>
    <col min="5885" max="5885" width="23.36328125" bestFit="1" customWidth="1"/>
    <col min="5886" max="5886" width="26.453125" bestFit="1" customWidth="1"/>
    <col min="5887" max="5887" width="28.54296875" bestFit="1" customWidth="1"/>
    <col min="5888" max="5888" width="21.1796875" bestFit="1" customWidth="1"/>
    <col min="5889" max="5889" width="23.36328125" bestFit="1" customWidth="1"/>
    <col min="5890" max="5890" width="26.453125" bestFit="1" customWidth="1"/>
    <col min="5891" max="5891" width="28.54296875" bestFit="1" customWidth="1"/>
    <col min="5892" max="5892" width="21.1796875" bestFit="1" customWidth="1"/>
    <col min="5893" max="5893" width="23.36328125" bestFit="1" customWidth="1"/>
    <col min="5894" max="5894" width="26.453125" bestFit="1" customWidth="1"/>
    <col min="5895" max="5895" width="28.54296875" bestFit="1" customWidth="1"/>
    <col min="5896" max="5896" width="21.1796875" bestFit="1" customWidth="1"/>
    <col min="5897" max="5897" width="23.36328125" bestFit="1" customWidth="1"/>
    <col min="5898" max="5898" width="26.453125" bestFit="1" customWidth="1"/>
    <col min="5899" max="5899" width="28.54296875" bestFit="1" customWidth="1"/>
    <col min="5900" max="5900" width="21.1796875" bestFit="1" customWidth="1"/>
    <col min="5901" max="5901" width="23.36328125" bestFit="1" customWidth="1"/>
    <col min="5902" max="5902" width="24.81640625" bestFit="1" customWidth="1"/>
    <col min="5903" max="5903" width="26.90625" bestFit="1" customWidth="1"/>
    <col min="5904" max="5904" width="21.1796875" bestFit="1" customWidth="1"/>
    <col min="5905" max="5905" width="23.36328125" bestFit="1" customWidth="1"/>
    <col min="5906" max="5906" width="26.453125" bestFit="1" customWidth="1"/>
    <col min="5907" max="5907" width="28.54296875" bestFit="1" customWidth="1"/>
    <col min="5908" max="5908" width="21.1796875" bestFit="1" customWidth="1"/>
    <col min="5909" max="5909" width="23.36328125" bestFit="1" customWidth="1"/>
    <col min="5910" max="5910" width="26.453125" bestFit="1" customWidth="1"/>
    <col min="5911" max="5911" width="28.54296875" bestFit="1" customWidth="1"/>
    <col min="5912" max="5912" width="21.1796875" bestFit="1" customWidth="1"/>
    <col min="5913" max="5913" width="23.36328125" bestFit="1" customWidth="1"/>
    <col min="5914" max="5914" width="26.453125" bestFit="1" customWidth="1"/>
    <col min="5915" max="5915" width="28.54296875" bestFit="1" customWidth="1"/>
    <col min="5916" max="5916" width="21.1796875" bestFit="1" customWidth="1"/>
    <col min="5917" max="5917" width="23.36328125" bestFit="1" customWidth="1"/>
    <col min="5918" max="5918" width="26.453125" bestFit="1" customWidth="1"/>
    <col min="5919" max="5919" width="28.54296875" bestFit="1" customWidth="1"/>
    <col min="5920" max="5920" width="21.1796875" bestFit="1" customWidth="1"/>
    <col min="5921" max="5921" width="23.36328125" bestFit="1" customWidth="1"/>
    <col min="5922" max="5922" width="26.453125" bestFit="1" customWidth="1"/>
    <col min="5923" max="5923" width="28.54296875" bestFit="1" customWidth="1"/>
    <col min="5924" max="5924" width="21.1796875" bestFit="1" customWidth="1"/>
    <col min="5925" max="5925" width="23.36328125" bestFit="1" customWidth="1"/>
    <col min="5926" max="5926" width="26.453125" bestFit="1" customWidth="1"/>
    <col min="5927" max="5927" width="28.54296875" bestFit="1" customWidth="1"/>
    <col min="5928" max="5928" width="21.1796875" bestFit="1" customWidth="1"/>
    <col min="5929" max="5929" width="23.36328125" bestFit="1" customWidth="1"/>
    <col min="5930" max="5930" width="26.453125" bestFit="1" customWidth="1"/>
    <col min="5931" max="5931" width="28.54296875" bestFit="1" customWidth="1"/>
    <col min="5932" max="5932" width="21.1796875" bestFit="1" customWidth="1"/>
    <col min="5933" max="5933" width="23.36328125" bestFit="1" customWidth="1"/>
    <col min="5934" max="5934" width="26.453125" bestFit="1" customWidth="1"/>
    <col min="5935" max="5935" width="28.54296875" bestFit="1" customWidth="1"/>
    <col min="5936" max="5936" width="21.1796875" bestFit="1" customWidth="1"/>
    <col min="5937" max="5937" width="23.36328125" bestFit="1" customWidth="1"/>
    <col min="5938" max="5938" width="26.453125" bestFit="1" customWidth="1"/>
    <col min="5939" max="5939" width="28.54296875" bestFit="1" customWidth="1"/>
    <col min="5940" max="5940" width="21.1796875" bestFit="1" customWidth="1"/>
    <col min="5941" max="5941" width="23.36328125" bestFit="1" customWidth="1"/>
    <col min="5942" max="5942" width="24.81640625" bestFit="1" customWidth="1"/>
    <col min="5943" max="5943" width="26.90625" bestFit="1" customWidth="1"/>
    <col min="5944" max="5944" width="21.1796875" bestFit="1" customWidth="1"/>
    <col min="5945" max="5945" width="23.36328125" bestFit="1" customWidth="1"/>
    <col min="5946" max="5946" width="26.453125" bestFit="1" customWidth="1"/>
    <col min="5947" max="5947" width="28.54296875" bestFit="1" customWidth="1"/>
    <col min="5948" max="5948" width="21.1796875" bestFit="1" customWidth="1"/>
    <col min="5949" max="5949" width="23.36328125" bestFit="1" customWidth="1"/>
    <col min="5950" max="5950" width="26.453125" bestFit="1" customWidth="1"/>
    <col min="5951" max="5951" width="28.54296875" bestFit="1" customWidth="1"/>
    <col min="5952" max="5952" width="21.1796875" bestFit="1" customWidth="1"/>
    <col min="5953" max="5953" width="23.36328125" bestFit="1" customWidth="1"/>
    <col min="5954" max="5954" width="26.453125" bestFit="1" customWidth="1"/>
    <col min="5955" max="5955" width="28.54296875" bestFit="1" customWidth="1"/>
    <col min="5956" max="5956" width="21.1796875" bestFit="1" customWidth="1"/>
    <col min="5957" max="5957" width="23.36328125" bestFit="1" customWidth="1"/>
    <col min="5958" max="5958" width="26.453125" bestFit="1" customWidth="1"/>
    <col min="5959" max="5959" width="28.54296875" bestFit="1" customWidth="1"/>
    <col min="5960" max="5960" width="21.1796875" bestFit="1" customWidth="1"/>
    <col min="5961" max="5961" width="23.36328125" bestFit="1" customWidth="1"/>
    <col min="5962" max="5962" width="26.453125" bestFit="1" customWidth="1"/>
    <col min="5963" max="5963" width="28.54296875" bestFit="1" customWidth="1"/>
    <col min="5964" max="5964" width="21.1796875" bestFit="1" customWidth="1"/>
    <col min="5965" max="5965" width="23.36328125" bestFit="1" customWidth="1"/>
    <col min="5966" max="5966" width="26.453125" bestFit="1" customWidth="1"/>
    <col min="5967" max="5967" width="28.54296875" bestFit="1" customWidth="1"/>
    <col min="5968" max="5968" width="21.1796875" bestFit="1" customWidth="1"/>
    <col min="5969" max="5969" width="23.36328125" bestFit="1" customWidth="1"/>
    <col min="5970" max="5970" width="26.453125" bestFit="1" customWidth="1"/>
    <col min="5971" max="5971" width="28.54296875" bestFit="1" customWidth="1"/>
    <col min="5972" max="5972" width="21.1796875" bestFit="1" customWidth="1"/>
    <col min="5973" max="5973" width="23.36328125" bestFit="1" customWidth="1"/>
    <col min="5974" max="5974" width="26.453125" bestFit="1" customWidth="1"/>
    <col min="5975" max="5975" width="28.54296875" bestFit="1" customWidth="1"/>
    <col min="5976" max="5976" width="21.1796875" bestFit="1" customWidth="1"/>
    <col min="5977" max="5977" width="23.36328125" bestFit="1" customWidth="1"/>
    <col min="5978" max="5978" width="24.81640625" bestFit="1" customWidth="1"/>
    <col min="5979" max="5979" width="26.90625" bestFit="1" customWidth="1"/>
    <col min="5980" max="5980" width="21.1796875" bestFit="1" customWidth="1"/>
    <col min="5981" max="5981" width="23.36328125" bestFit="1" customWidth="1"/>
    <col min="5982" max="5982" width="26.453125" bestFit="1" customWidth="1"/>
    <col min="5983" max="5983" width="28.54296875" bestFit="1" customWidth="1"/>
    <col min="5984" max="5984" width="21.1796875" bestFit="1" customWidth="1"/>
    <col min="5985" max="5985" width="23.36328125" bestFit="1" customWidth="1"/>
    <col min="5986" max="5986" width="26.453125" bestFit="1" customWidth="1"/>
    <col min="5987" max="5987" width="28.54296875" bestFit="1" customWidth="1"/>
    <col min="5988" max="5988" width="21.1796875" bestFit="1" customWidth="1"/>
    <col min="5989" max="5989" width="23.36328125" bestFit="1" customWidth="1"/>
    <col min="5990" max="5990" width="26.453125" bestFit="1" customWidth="1"/>
    <col min="5991" max="5991" width="28.54296875" bestFit="1" customWidth="1"/>
    <col min="5992" max="5992" width="21.1796875" bestFit="1" customWidth="1"/>
    <col min="5993" max="5993" width="23.36328125" bestFit="1" customWidth="1"/>
    <col min="5994" max="5994" width="26.453125" bestFit="1" customWidth="1"/>
    <col min="5995" max="5995" width="28.54296875" bestFit="1" customWidth="1"/>
    <col min="5996" max="5996" width="21.1796875" bestFit="1" customWidth="1"/>
    <col min="5997" max="5997" width="23.36328125" bestFit="1" customWidth="1"/>
    <col min="5998" max="5998" width="26.453125" bestFit="1" customWidth="1"/>
    <col min="5999" max="5999" width="28.54296875" bestFit="1" customWidth="1"/>
    <col min="6000" max="6000" width="21.1796875" bestFit="1" customWidth="1"/>
    <col min="6001" max="6001" width="23.36328125" bestFit="1" customWidth="1"/>
    <col min="6002" max="6002" width="26.453125" bestFit="1" customWidth="1"/>
    <col min="6003" max="6003" width="28.54296875" bestFit="1" customWidth="1"/>
    <col min="6004" max="6004" width="21.1796875" bestFit="1" customWidth="1"/>
    <col min="6005" max="6005" width="23.36328125" bestFit="1" customWidth="1"/>
    <col min="6006" max="6006" width="26.453125" bestFit="1" customWidth="1"/>
    <col min="6007" max="6007" width="28.54296875" bestFit="1" customWidth="1"/>
    <col min="6008" max="6008" width="21.1796875" bestFit="1" customWidth="1"/>
    <col min="6009" max="6009" width="23.36328125" bestFit="1" customWidth="1"/>
    <col min="6010" max="6010" width="26.453125" bestFit="1" customWidth="1"/>
    <col min="6011" max="6011" width="28.54296875" bestFit="1" customWidth="1"/>
    <col min="6012" max="6012" width="21.1796875" bestFit="1" customWidth="1"/>
    <col min="6013" max="6013" width="23.36328125" bestFit="1" customWidth="1"/>
    <col min="6014" max="6014" width="24.81640625" bestFit="1" customWidth="1"/>
    <col min="6015" max="6015" width="26.90625" bestFit="1" customWidth="1"/>
    <col min="6016" max="6016" width="21.1796875" bestFit="1" customWidth="1"/>
    <col min="6017" max="6017" width="23.36328125" bestFit="1" customWidth="1"/>
    <col min="6018" max="6018" width="26.453125" bestFit="1" customWidth="1"/>
    <col min="6019" max="6019" width="28.54296875" bestFit="1" customWidth="1"/>
    <col min="6020" max="6020" width="21.1796875" bestFit="1" customWidth="1"/>
    <col min="6021" max="6021" width="23.36328125" bestFit="1" customWidth="1"/>
    <col min="6022" max="6022" width="26.453125" bestFit="1" customWidth="1"/>
    <col min="6023" max="6023" width="28.54296875" bestFit="1" customWidth="1"/>
    <col min="6024" max="6024" width="21.1796875" bestFit="1" customWidth="1"/>
    <col min="6025" max="6025" width="23.36328125" bestFit="1" customWidth="1"/>
    <col min="6026" max="6026" width="21.1796875" bestFit="1" customWidth="1"/>
    <col min="6027" max="6027" width="23.36328125" bestFit="1" customWidth="1"/>
    <col min="6028" max="6028" width="26.453125" bestFit="1" customWidth="1"/>
    <col min="6029" max="6029" width="28.54296875" bestFit="1" customWidth="1"/>
    <col min="6030" max="6030" width="21.1796875" bestFit="1" customWidth="1"/>
    <col min="6031" max="6031" width="23.36328125" bestFit="1" customWidth="1"/>
    <col min="6032" max="6032" width="26.453125" bestFit="1" customWidth="1"/>
    <col min="6033" max="6033" width="28.54296875" bestFit="1" customWidth="1"/>
    <col min="6034" max="6034" width="21.1796875" bestFit="1" customWidth="1"/>
    <col min="6035" max="6035" width="23.36328125" bestFit="1" customWidth="1"/>
    <col min="6036" max="6036" width="26.453125" bestFit="1" customWidth="1"/>
    <col min="6037" max="6037" width="28.54296875" bestFit="1" customWidth="1"/>
    <col min="6038" max="6038" width="21.1796875" bestFit="1" customWidth="1"/>
    <col min="6039" max="6039" width="23.36328125" bestFit="1" customWidth="1"/>
    <col min="6040" max="6040" width="26.453125" bestFit="1" customWidth="1"/>
    <col min="6041" max="6041" width="28.54296875" bestFit="1" customWidth="1"/>
    <col min="6042" max="6042" width="21.1796875" bestFit="1" customWidth="1"/>
    <col min="6043" max="6043" width="23.36328125" bestFit="1" customWidth="1"/>
    <col min="6044" max="6044" width="26.453125" bestFit="1" customWidth="1"/>
    <col min="6045" max="6045" width="28.54296875" bestFit="1" customWidth="1"/>
    <col min="6046" max="6046" width="21.1796875" bestFit="1" customWidth="1"/>
    <col min="6047" max="6047" width="23.36328125" bestFit="1" customWidth="1"/>
    <col min="6048" max="6048" width="26.453125" bestFit="1" customWidth="1"/>
    <col min="6049" max="6049" width="28.54296875" bestFit="1" customWidth="1"/>
    <col min="6050" max="6050" width="21.1796875" bestFit="1" customWidth="1"/>
    <col min="6051" max="6051" width="23.36328125" bestFit="1" customWidth="1"/>
    <col min="6052" max="6052" width="26.453125" bestFit="1" customWidth="1"/>
    <col min="6053" max="6053" width="28.54296875" bestFit="1" customWidth="1"/>
    <col min="6054" max="6054" width="21.1796875" bestFit="1" customWidth="1"/>
    <col min="6055" max="6055" width="23.36328125" bestFit="1" customWidth="1"/>
    <col min="6056" max="6056" width="26.453125" bestFit="1" customWidth="1"/>
    <col min="6057" max="6057" width="28.54296875" bestFit="1" customWidth="1"/>
    <col min="6058" max="6058" width="21.1796875" bestFit="1" customWidth="1"/>
    <col min="6059" max="6059" width="23.36328125" bestFit="1" customWidth="1"/>
    <col min="6060" max="6060" width="26.453125" bestFit="1" customWidth="1"/>
    <col min="6061" max="6061" width="28.54296875" bestFit="1" customWidth="1"/>
    <col min="6062" max="6062" width="21.1796875" bestFit="1" customWidth="1"/>
    <col min="6063" max="6063" width="23.36328125" bestFit="1" customWidth="1"/>
    <col min="6064" max="6064" width="21.1796875" bestFit="1" customWidth="1"/>
    <col min="6065" max="6065" width="23.36328125" bestFit="1" customWidth="1"/>
    <col min="6066" max="6066" width="26.453125" bestFit="1" customWidth="1"/>
    <col min="6067" max="6067" width="28.54296875" bestFit="1" customWidth="1"/>
    <col min="6068" max="6068" width="21.1796875" bestFit="1" customWidth="1"/>
    <col min="6069" max="6069" width="23.36328125" bestFit="1" customWidth="1"/>
    <col min="6070" max="6070" width="26.453125" bestFit="1" customWidth="1"/>
    <col min="6071" max="6071" width="28.54296875" bestFit="1" customWidth="1"/>
    <col min="6072" max="6072" width="21.1796875" bestFit="1" customWidth="1"/>
    <col min="6073" max="6073" width="23.36328125" bestFit="1" customWidth="1"/>
    <col min="6074" max="6074" width="26.453125" bestFit="1" customWidth="1"/>
    <col min="6075" max="6075" width="28.54296875" bestFit="1" customWidth="1"/>
    <col min="6076" max="6076" width="21.1796875" bestFit="1" customWidth="1"/>
    <col min="6077" max="6077" width="23.36328125" bestFit="1" customWidth="1"/>
    <col min="6078" max="6078" width="24.81640625" bestFit="1" customWidth="1"/>
    <col min="6079" max="6079" width="26.90625" bestFit="1" customWidth="1"/>
    <col min="6080" max="6080" width="21.1796875" bestFit="1" customWidth="1"/>
    <col min="6081" max="6081" width="23.36328125" bestFit="1" customWidth="1"/>
    <col min="6082" max="6082" width="26.453125" bestFit="1" customWidth="1"/>
    <col min="6083" max="6083" width="28.54296875" bestFit="1" customWidth="1"/>
    <col min="6084" max="6084" width="21.1796875" bestFit="1" customWidth="1"/>
    <col min="6085" max="6085" width="23.36328125" bestFit="1" customWidth="1"/>
    <col min="6086" max="6086" width="26.453125" bestFit="1" customWidth="1"/>
    <col min="6087" max="6087" width="28.54296875" bestFit="1" customWidth="1"/>
    <col min="6088" max="6088" width="21.1796875" bestFit="1" customWidth="1"/>
    <col min="6089" max="6089" width="23.36328125" bestFit="1" customWidth="1"/>
    <col min="6090" max="6090" width="26.453125" bestFit="1" customWidth="1"/>
    <col min="6091" max="6091" width="28.54296875" bestFit="1" customWidth="1"/>
    <col min="6092" max="6092" width="21.1796875" bestFit="1" customWidth="1"/>
    <col min="6093" max="6093" width="23.36328125" bestFit="1" customWidth="1"/>
    <col min="6094" max="6094" width="26.453125" bestFit="1" customWidth="1"/>
    <col min="6095" max="6095" width="28.54296875" bestFit="1" customWidth="1"/>
    <col min="6096" max="6096" width="21.1796875" bestFit="1" customWidth="1"/>
    <col min="6097" max="6097" width="23.36328125" bestFit="1" customWidth="1"/>
    <col min="6098" max="6098" width="26.453125" bestFit="1" customWidth="1"/>
    <col min="6099" max="6099" width="28.54296875" bestFit="1" customWidth="1"/>
    <col min="6100" max="6100" width="21.1796875" bestFit="1" customWidth="1"/>
    <col min="6101" max="6101" width="23.36328125" bestFit="1" customWidth="1"/>
    <col min="6102" max="6102" width="26.453125" bestFit="1" customWidth="1"/>
    <col min="6103" max="6103" width="28.54296875" bestFit="1" customWidth="1"/>
    <col min="6104" max="6104" width="21.1796875" bestFit="1" customWidth="1"/>
    <col min="6105" max="6105" width="23.36328125" bestFit="1" customWidth="1"/>
    <col min="6106" max="6106" width="26.453125" bestFit="1" customWidth="1"/>
    <col min="6107" max="6107" width="28.54296875" bestFit="1" customWidth="1"/>
    <col min="6108" max="6108" width="21.1796875" bestFit="1" customWidth="1"/>
    <col min="6109" max="6109" width="23.36328125" bestFit="1" customWidth="1"/>
    <col min="6110" max="6110" width="24.81640625" bestFit="1" customWidth="1"/>
    <col min="6111" max="6111" width="26.90625" bestFit="1" customWidth="1"/>
    <col min="6112" max="6112" width="21.1796875" bestFit="1" customWidth="1"/>
    <col min="6113" max="6113" width="23.36328125" bestFit="1" customWidth="1"/>
    <col min="6114" max="6114" width="26.453125" bestFit="1" customWidth="1"/>
    <col min="6115" max="6115" width="28.54296875" bestFit="1" customWidth="1"/>
    <col min="6116" max="6116" width="21.1796875" bestFit="1" customWidth="1"/>
    <col min="6117" max="6117" width="23.36328125" bestFit="1" customWidth="1"/>
    <col min="6118" max="6118" width="26.453125" bestFit="1" customWidth="1"/>
    <col min="6119" max="6119" width="28.54296875" bestFit="1" customWidth="1"/>
    <col min="6120" max="6120" width="21.1796875" bestFit="1" customWidth="1"/>
    <col min="6121" max="6121" width="23.36328125" bestFit="1" customWidth="1"/>
    <col min="6122" max="6122" width="24.81640625" bestFit="1" customWidth="1"/>
    <col min="6123" max="6123" width="26.90625" bestFit="1" customWidth="1"/>
    <col min="6124" max="6124" width="21.1796875" bestFit="1" customWidth="1"/>
    <col min="6125" max="6125" width="23.36328125" bestFit="1" customWidth="1"/>
    <col min="6126" max="6126" width="26.453125" bestFit="1" customWidth="1"/>
    <col min="6127" max="6127" width="28.54296875" bestFit="1" customWidth="1"/>
    <col min="6128" max="6128" width="21.1796875" bestFit="1" customWidth="1"/>
    <col min="6129" max="6129" width="23.36328125" bestFit="1" customWidth="1"/>
    <col min="6130" max="6130" width="24.81640625" bestFit="1" customWidth="1"/>
    <col min="6131" max="6131" width="26.90625" bestFit="1" customWidth="1"/>
    <col min="6132" max="6132" width="21.1796875" bestFit="1" customWidth="1"/>
    <col min="6133" max="6133" width="23.36328125" bestFit="1" customWidth="1"/>
    <col min="6134" max="6134" width="26.453125" bestFit="1" customWidth="1"/>
    <col min="6135" max="6135" width="28.54296875" bestFit="1" customWidth="1"/>
    <col min="6136" max="6136" width="21.1796875" bestFit="1" customWidth="1"/>
    <col min="6137" max="6137" width="23.36328125" bestFit="1" customWidth="1"/>
    <col min="6138" max="6138" width="26.453125" bestFit="1" customWidth="1"/>
    <col min="6139" max="6139" width="28.54296875" bestFit="1" customWidth="1"/>
    <col min="6140" max="6140" width="21.1796875" bestFit="1" customWidth="1"/>
    <col min="6141" max="6141" width="23.36328125" bestFit="1" customWidth="1"/>
    <col min="6142" max="6142" width="26.453125" bestFit="1" customWidth="1"/>
    <col min="6143" max="6143" width="28.54296875" bestFit="1" customWidth="1"/>
    <col min="6144" max="6144" width="21.1796875" bestFit="1" customWidth="1"/>
    <col min="6145" max="6145" width="23.36328125" bestFit="1" customWidth="1"/>
    <col min="6146" max="6146" width="26.453125" bestFit="1" customWidth="1"/>
    <col min="6147" max="6147" width="28.54296875" bestFit="1" customWidth="1"/>
    <col min="6148" max="6148" width="21.1796875" bestFit="1" customWidth="1"/>
    <col min="6149" max="6149" width="23.36328125" bestFit="1" customWidth="1"/>
    <col min="6150" max="6150" width="26.453125" bestFit="1" customWidth="1"/>
    <col min="6151" max="6151" width="28.54296875" bestFit="1" customWidth="1"/>
    <col min="6152" max="6152" width="21.1796875" bestFit="1" customWidth="1"/>
    <col min="6153" max="6153" width="23.36328125" bestFit="1" customWidth="1"/>
    <col min="6154" max="6154" width="26.453125" bestFit="1" customWidth="1"/>
    <col min="6155" max="6155" width="28.54296875" bestFit="1" customWidth="1"/>
    <col min="6156" max="6156" width="21.1796875" bestFit="1" customWidth="1"/>
    <col min="6157" max="6157" width="23.36328125" bestFit="1" customWidth="1"/>
    <col min="6158" max="6158" width="26.453125" bestFit="1" customWidth="1"/>
    <col min="6159" max="6159" width="28.54296875" bestFit="1" customWidth="1"/>
    <col min="6160" max="6160" width="21.1796875" bestFit="1" customWidth="1"/>
    <col min="6161" max="6161" width="23.36328125" bestFit="1" customWidth="1"/>
    <col min="6162" max="6162" width="26.453125" bestFit="1" customWidth="1"/>
    <col min="6163" max="6163" width="28.54296875" bestFit="1" customWidth="1"/>
    <col min="6164" max="6164" width="21.1796875" bestFit="1" customWidth="1"/>
    <col min="6165" max="6165" width="23.36328125" bestFit="1" customWidth="1"/>
    <col min="6166" max="6166" width="26.453125" bestFit="1" customWidth="1"/>
    <col min="6167" max="6167" width="28.54296875" bestFit="1" customWidth="1"/>
    <col min="6168" max="6168" width="21.1796875" bestFit="1" customWidth="1"/>
    <col min="6169" max="6169" width="23.36328125" bestFit="1" customWidth="1"/>
    <col min="6170" max="6170" width="26.453125" bestFit="1" customWidth="1"/>
    <col min="6171" max="6171" width="28.54296875" bestFit="1" customWidth="1"/>
    <col min="6172" max="6172" width="21.1796875" bestFit="1" customWidth="1"/>
    <col min="6173" max="6173" width="23.36328125" bestFit="1" customWidth="1"/>
    <col min="6174" max="6174" width="26.453125" bestFit="1" customWidth="1"/>
    <col min="6175" max="6175" width="28.54296875" bestFit="1" customWidth="1"/>
    <col min="6176" max="6176" width="21.1796875" bestFit="1" customWidth="1"/>
    <col min="6177" max="6177" width="23.36328125" bestFit="1" customWidth="1"/>
    <col min="6178" max="6178" width="26.453125" bestFit="1" customWidth="1"/>
    <col min="6179" max="6179" width="28.54296875" bestFit="1" customWidth="1"/>
    <col min="6180" max="6180" width="21.1796875" bestFit="1" customWidth="1"/>
    <col min="6181" max="6181" width="23.36328125" bestFit="1" customWidth="1"/>
    <col min="6182" max="6182" width="24.81640625" bestFit="1" customWidth="1"/>
    <col min="6183" max="6183" width="26.90625" bestFit="1" customWidth="1"/>
    <col min="6184" max="6184" width="21.1796875" bestFit="1" customWidth="1"/>
    <col min="6185" max="6185" width="23.36328125" bestFit="1" customWidth="1"/>
    <col min="6186" max="6186" width="26.453125" bestFit="1" customWidth="1"/>
    <col min="6187" max="6187" width="28.54296875" bestFit="1" customWidth="1"/>
    <col min="6188" max="6188" width="21.1796875" bestFit="1" customWidth="1"/>
    <col min="6189" max="6189" width="23.36328125" bestFit="1" customWidth="1"/>
    <col min="6190" max="6190" width="26.453125" bestFit="1" customWidth="1"/>
    <col min="6191" max="6191" width="28.54296875" bestFit="1" customWidth="1"/>
    <col min="6192" max="6192" width="21.1796875" bestFit="1" customWidth="1"/>
    <col min="6193" max="6193" width="23.36328125" bestFit="1" customWidth="1"/>
    <col min="6194" max="6194" width="26.453125" bestFit="1" customWidth="1"/>
    <col min="6195" max="6195" width="28.54296875" bestFit="1" customWidth="1"/>
    <col min="6196" max="6196" width="21.1796875" bestFit="1" customWidth="1"/>
    <col min="6197" max="6197" width="23.36328125" bestFit="1" customWidth="1"/>
    <col min="6198" max="6198" width="26.453125" bestFit="1" customWidth="1"/>
    <col min="6199" max="6199" width="28.54296875" bestFit="1" customWidth="1"/>
    <col min="6200" max="6200" width="21.1796875" bestFit="1" customWidth="1"/>
    <col min="6201" max="6201" width="23.36328125" bestFit="1" customWidth="1"/>
    <col min="6202" max="6202" width="26.453125" bestFit="1" customWidth="1"/>
    <col min="6203" max="6203" width="28.54296875" bestFit="1" customWidth="1"/>
    <col min="6204" max="6204" width="21.1796875" bestFit="1" customWidth="1"/>
    <col min="6205" max="6205" width="23.36328125" bestFit="1" customWidth="1"/>
    <col min="6206" max="6206" width="26.453125" bestFit="1" customWidth="1"/>
    <col min="6207" max="6207" width="28.54296875" bestFit="1" customWidth="1"/>
    <col min="6208" max="6208" width="21.1796875" bestFit="1" customWidth="1"/>
    <col min="6209" max="6209" width="23.36328125" bestFit="1" customWidth="1"/>
    <col min="6210" max="6210" width="26.453125" bestFit="1" customWidth="1"/>
    <col min="6211" max="6211" width="28.54296875" bestFit="1" customWidth="1"/>
    <col min="6212" max="6212" width="21.1796875" bestFit="1" customWidth="1"/>
    <col min="6213" max="6213" width="23.36328125" bestFit="1" customWidth="1"/>
    <col min="6214" max="6214" width="26.453125" bestFit="1" customWidth="1"/>
    <col min="6215" max="6215" width="28.54296875" bestFit="1" customWidth="1"/>
    <col min="6216" max="6216" width="21.1796875" bestFit="1" customWidth="1"/>
    <col min="6217" max="6217" width="23.36328125" bestFit="1" customWidth="1"/>
    <col min="6218" max="6218" width="26.453125" bestFit="1" customWidth="1"/>
    <col min="6219" max="6219" width="28.54296875" bestFit="1" customWidth="1"/>
    <col min="6220" max="6220" width="21.1796875" bestFit="1" customWidth="1"/>
    <col min="6221" max="6221" width="23.36328125" bestFit="1" customWidth="1"/>
    <col min="6222" max="6222" width="26.453125" bestFit="1" customWidth="1"/>
    <col min="6223" max="6223" width="28.54296875" bestFit="1" customWidth="1"/>
    <col min="6224" max="6224" width="21.1796875" bestFit="1" customWidth="1"/>
    <col min="6225" max="6225" width="23.36328125" bestFit="1" customWidth="1"/>
    <col min="6226" max="6226" width="26.453125" bestFit="1" customWidth="1"/>
    <col min="6227" max="6227" width="28.54296875" bestFit="1" customWidth="1"/>
    <col min="6228" max="6228" width="21.1796875" bestFit="1" customWidth="1"/>
    <col min="6229" max="6229" width="23.36328125" bestFit="1" customWidth="1"/>
    <col min="6230" max="6230" width="26.453125" bestFit="1" customWidth="1"/>
    <col min="6231" max="6231" width="28.54296875" bestFit="1" customWidth="1"/>
    <col min="6232" max="6232" width="21.1796875" bestFit="1" customWidth="1"/>
    <col min="6233" max="6233" width="23.36328125" bestFit="1" customWidth="1"/>
    <col min="6234" max="6234" width="26.453125" bestFit="1" customWidth="1"/>
    <col min="6235" max="6235" width="28.54296875" bestFit="1" customWidth="1"/>
    <col min="6236" max="6236" width="21.1796875" bestFit="1" customWidth="1"/>
    <col min="6237" max="6237" width="23.36328125" bestFit="1" customWidth="1"/>
    <col min="6238" max="6238" width="26.453125" bestFit="1" customWidth="1"/>
    <col min="6239" max="6239" width="28.54296875" bestFit="1" customWidth="1"/>
    <col min="6240" max="6240" width="21.1796875" bestFit="1" customWidth="1"/>
    <col min="6241" max="6241" width="23.36328125" bestFit="1" customWidth="1"/>
    <col min="6242" max="6242" width="26.453125" bestFit="1" customWidth="1"/>
    <col min="6243" max="6243" width="28.54296875" bestFit="1" customWidth="1"/>
    <col min="6244" max="6244" width="21.1796875" bestFit="1" customWidth="1"/>
    <col min="6245" max="6245" width="23.36328125" bestFit="1" customWidth="1"/>
    <col min="6246" max="6246" width="26.453125" bestFit="1" customWidth="1"/>
    <col min="6247" max="6247" width="28.54296875" bestFit="1" customWidth="1"/>
    <col min="6248" max="6248" width="21.1796875" bestFit="1" customWidth="1"/>
    <col min="6249" max="6249" width="23.36328125" bestFit="1" customWidth="1"/>
    <col min="6250" max="6250" width="26.453125" bestFit="1" customWidth="1"/>
    <col min="6251" max="6251" width="28.54296875" bestFit="1" customWidth="1"/>
    <col min="6252" max="6252" width="21.1796875" bestFit="1" customWidth="1"/>
    <col min="6253" max="6253" width="23.36328125" bestFit="1" customWidth="1"/>
    <col min="6254" max="6254" width="26.453125" bestFit="1" customWidth="1"/>
    <col min="6255" max="6255" width="28.54296875" bestFit="1" customWidth="1"/>
    <col min="6256" max="6256" width="21.1796875" bestFit="1" customWidth="1"/>
    <col min="6257" max="6257" width="23.36328125" bestFit="1" customWidth="1"/>
    <col min="6258" max="6258" width="26.453125" bestFit="1" customWidth="1"/>
    <col min="6259" max="6259" width="28.54296875" bestFit="1" customWidth="1"/>
    <col min="6260" max="6260" width="21.1796875" bestFit="1" customWidth="1"/>
    <col min="6261" max="6261" width="23.36328125" bestFit="1" customWidth="1"/>
    <col min="6262" max="6262" width="26.453125" bestFit="1" customWidth="1"/>
    <col min="6263" max="6263" width="28.54296875" bestFit="1" customWidth="1"/>
    <col min="6264" max="6264" width="21.1796875" bestFit="1" customWidth="1"/>
    <col min="6265" max="6265" width="23.36328125" bestFit="1" customWidth="1"/>
    <col min="6266" max="6266" width="26.453125" bestFit="1" customWidth="1"/>
    <col min="6267" max="6267" width="28.54296875" bestFit="1" customWidth="1"/>
    <col min="6268" max="6268" width="21.1796875" bestFit="1" customWidth="1"/>
    <col min="6269" max="6269" width="23.36328125" bestFit="1" customWidth="1"/>
    <col min="6270" max="6270" width="26.453125" bestFit="1" customWidth="1"/>
    <col min="6271" max="6271" width="28.54296875" bestFit="1" customWidth="1"/>
    <col min="6272" max="6272" width="21.1796875" bestFit="1" customWidth="1"/>
    <col min="6273" max="6273" width="23.36328125" bestFit="1" customWidth="1"/>
    <col min="6274" max="6274" width="26.453125" bestFit="1" customWidth="1"/>
    <col min="6275" max="6275" width="28.54296875" bestFit="1" customWidth="1"/>
    <col min="6276" max="6276" width="21.1796875" bestFit="1" customWidth="1"/>
    <col min="6277" max="6277" width="23.36328125" bestFit="1" customWidth="1"/>
    <col min="6278" max="6278" width="26.453125" bestFit="1" customWidth="1"/>
    <col min="6279" max="6279" width="28.54296875" bestFit="1" customWidth="1"/>
    <col min="6280" max="6280" width="21.1796875" bestFit="1" customWidth="1"/>
    <col min="6281" max="6281" width="23.36328125" bestFit="1" customWidth="1"/>
    <col min="6282" max="6282" width="26.453125" bestFit="1" customWidth="1"/>
    <col min="6283" max="6283" width="28.54296875" bestFit="1" customWidth="1"/>
    <col min="6284" max="6284" width="21.1796875" bestFit="1" customWidth="1"/>
    <col min="6285" max="6285" width="23.36328125" bestFit="1" customWidth="1"/>
    <col min="6286" max="6286" width="26.453125" bestFit="1" customWidth="1"/>
    <col min="6287" max="6287" width="28.54296875" bestFit="1" customWidth="1"/>
    <col min="6288" max="6288" width="21.1796875" bestFit="1" customWidth="1"/>
    <col min="6289" max="6289" width="23.36328125" bestFit="1" customWidth="1"/>
    <col min="6290" max="6290" width="26.453125" bestFit="1" customWidth="1"/>
    <col min="6291" max="6291" width="28.54296875" bestFit="1" customWidth="1"/>
    <col min="6292" max="6292" width="21.1796875" bestFit="1" customWidth="1"/>
    <col min="6293" max="6293" width="23.36328125" bestFit="1" customWidth="1"/>
    <col min="6294" max="6294" width="26.453125" bestFit="1" customWidth="1"/>
    <col min="6295" max="6295" width="28.54296875" bestFit="1" customWidth="1"/>
    <col min="6296" max="6296" width="21.1796875" bestFit="1" customWidth="1"/>
    <col min="6297" max="6297" width="23.36328125" bestFit="1" customWidth="1"/>
    <col min="6298" max="6298" width="26.453125" bestFit="1" customWidth="1"/>
    <col min="6299" max="6299" width="28.54296875" bestFit="1" customWidth="1"/>
    <col min="6300" max="6300" width="21.1796875" bestFit="1" customWidth="1"/>
    <col min="6301" max="6301" width="23.36328125" bestFit="1" customWidth="1"/>
    <col min="6302" max="6302" width="26.453125" bestFit="1" customWidth="1"/>
    <col min="6303" max="6303" width="28.54296875" bestFit="1" customWidth="1"/>
    <col min="6304" max="6304" width="21.1796875" bestFit="1" customWidth="1"/>
    <col min="6305" max="6305" width="23.36328125" bestFit="1" customWidth="1"/>
    <col min="6306" max="6306" width="26.453125" bestFit="1" customWidth="1"/>
    <col min="6307" max="6307" width="28.54296875" bestFit="1" customWidth="1"/>
    <col min="6308" max="6308" width="21.1796875" bestFit="1" customWidth="1"/>
    <col min="6309" max="6309" width="23.36328125" bestFit="1" customWidth="1"/>
    <col min="6310" max="6310" width="26.453125" bestFit="1" customWidth="1"/>
    <col min="6311" max="6311" width="28.54296875" bestFit="1" customWidth="1"/>
    <col min="6312" max="6312" width="21.1796875" bestFit="1" customWidth="1"/>
    <col min="6313" max="6313" width="23.36328125" bestFit="1" customWidth="1"/>
    <col min="6314" max="6314" width="26.453125" bestFit="1" customWidth="1"/>
    <col min="6315" max="6315" width="28.54296875" bestFit="1" customWidth="1"/>
    <col min="6316" max="6316" width="21.1796875" bestFit="1" customWidth="1"/>
    <col min="6317" max="6317" width="23.36328125" bestFit="1" customWidth="1"/>
    <col min="6318" max="6318" width="26.453125" bestFit="1" customWidth="1"/>
    <col min="6319" max="6319" width="28.54296875" bestFit="1" customWidth="1"/>
    <col min="6320" max="6320" width="21.1796875" bestFit="1" customWidth="1"/>
    <col min="6321" max="6321" width="23.36328125" bestFit="1" customWidth="1"/>
    <col min="6322" max="6322" width="26.453125" bestFit="1" customWidth="1"/>
    <col min="6323" max="6323" width="28.54296875" bestFit="1" customWidth="1"/>
    <col min="6324" max="6324" width="21.1796875" bestFit="1" customWidth="1"/>
    <col min="6325" max="6325" width="23.36328125" bestFit="1" customWidth="1"/>
    <col min="6326" max="6326" width="26.453125" bestFit="1" customWidth="1"/>
    <col min="6327" max="6327" width="28.54296875" bestFit="1" customWidth="1"/>
    <col min="6328" max="6328" width="21.1796875" bestFit="1" customWidth="1"/>
    <col min="6329" max="6329" width="23.36328125" bestFit="1" customWidth="1"/>
    <col min="6330" max="6330" width="26.453125" bestFit="1" customWidth="1"/>
    <col min="6331" max="6331" width="28.54296875" bestFit="1" customWidth="1"/>
    <col min="6332" max="6332" width="21.1796875" bestFit="1" customWidth="1"/>
    <col min="6333" max="6333" width="23.36328125" bestFit="1" customWidth="1"/>
    <col min="6334" max="6334" width="26.453125" bestFit="1" customWidth="1"/>
    <col min="6335" max="6335" width="28.54296875" bestFit="1" customWidth="1"/>
    <col min="6336" max="6336" width="21.1796875" bestFit="1" customWidth="1"/>
    <col min="6337" max="6337" width="23.36328125" bestFit="1" customWidth="1"/>
    <col min="6338" max="6338" width="26.453125" bestFit="1" customWidth="1"/>
    <col min="6339" max="6339" width="28.54296875" bestFit="1" customWidth="1"/>
    <col min="6340" max="6340" width="21.1796875" bestFit="1" customWidth="1"/>
    <col min="6341" max="6341" width="23.36328125" bestFit="1" customWidth="1"/>
    <col min="6342" max="6342" width="26.453125" bestFit="1" customWidth="1"/>
    <col min="6343" max="6343" width="28.54296875" bestFit="1" customWidth="1"/>
    <col min="6344" max="6344" width="21.1796875" bestFit="1" customWidth="1"/>
    <col min="6345" max="6345" width="23.36328125" bestFit="1" customWidth="1"/>
    <col min="6346" max="6346" width="26.453125" bestFit="1" customWidth="1"/>
    <col min="6347" max="6347" width="28.54296875" bestFit="1" customWidth="1"/>
    <col min="6348" max="6348" width="21.1796875" bestFit="1" customWidth="1"/>
    <col min="6349" max="6349" width="23.36328125" bestFit="1" customWidth="1"/>
    <col min="6350" max="6350" width="26.453125" bestFit="1" customWidth="1"/>
    <col min="6351" max="6351" width="28.54296875" bestFit="1" customWidth="1"/>
    <col min="6352" max="6352" width="21.1796875" bestFit="1" customWidth="1"/>
    <col min="6353" max="6353" width="23.36328125" bestFit="1" customWidth="1"/>
    <col min="6354" max="6354" width="26.453125" bestFit="1" customWidth="1"/>
    <col min="6355" max="6355" width="28.54296875" bestFit="1" customWidth="1"/>
    <col min="6356" max="6356" width="21.1796875" bestFit="1" customWidth="1"/>
    <col min="6357" max="6357" width="23.36328125" bestFit="1" customWidth="1"/>
    <col min="6358" max="6358" width="26.453125" bestFit="1" customWidth="1"/>
    <col min="6359" max="6359" width="28.54296875" bestFit="1" customWidth="1"/>
    <col min="6360" max="6360" width="21.1796875" bestFit="1" customWidth="1"/>
    <col min="6361" max="6361" width="23.36328125" bestFit="1" customWidth="1"/>
    <col min="6362" max="6362" width="26.453125" bestFit="1" customWidth="1"/>
    <col min="6363" max="6363" width="28.54296875" bestFit="1" customWidth="1"/>
    <col min="6364" max="6364" width="21.1796875" bestFit="1" customWidth="1"/>
    <col min="6365" max="6365" width="23.36328125" bestFit="1" customWidth="1"/>
    <col min="6366" max="6366" width="26.453125" bestFit="1" customWidth="1"/>
    <col min="6367" max="6367" width="28.54296875" bestFit="1" customWidth="1"/>
    <col min="6368" max="6368" width="21.1796875" bestFit="1" customWidth="1"/>
    <col min="6369" max="6369" width="23.36328125" bestFit="1" customWidth="1"/>
    <col min="6370" max="6370" width="26.453125" bestFit="1" customWidth="1"/>
    <col min="6371" max="6371" width="28.54296875" bestFit="1" customWidth="1"/>
    <col min="6372" max="6372" width="21.1796875" bestFit="1" customWidth="1"/>
    <col min="6373" max="6373" width="23.36328125" bestFit="1" customWidth="1"/>
    <col min="6374" max="6374" width="26.453125" bestFit="1" customWidth="1"/>
    <col min="6375" max="6375" width="28.54296875" bestFit="1" customWidth="1"/>
    <col min="6376" max="6376" width="21.1796875" bestFit="1" customWidth="1"/>
    <col min="6377" max="6377" width="23.36328125" bestFit="1" customWidth="1"/>
    <col min="6378" max="6378" width="26.453125" bestFit="1" customWidth="1"/>
    <col min="6379" max="6379" width="28.54296875" bestFit="1" customWidth="1"/>
    <col min="6380" max="6380" width="21.1796875" bestFit="1" customWidth="1"/>
    <col min="6381" max="6381" width="23.36328125" bestFit="1" customWidth="1"/>
    <col min="6382" max="6382" width="26.453125" bestFit="1" customWidth="1"/>
    <col min="6383" max="6383" width="28.54296875" bestFit="1" customWidth="1"/>
    <col min="6384" max="6384" width="21.1796875" bestFit="1" customWidth="1"/>
    <col min="6385" max="6385" width="23.36328125" bestFit="1" customWidth="1"/>
    <col min="6386" max="6386" width="24.81640625" bestFit="1" customWidth="1"/>
    <col min="6387" max="6387" width="26.90625" bestFit="1" customWidth="1"/>
    <col min="6388" max="6388" width="21.1796875" bestFit="1" customWidth="1"/>
    <col min="6389" max="6389" width="23.36328125" bestFit="1" customWidth="1"/>
    <col min="6390" max="6390" width="26.453125" bestFit="1" customWidth="1"/>
    <col min="6391" max="6391" width="28.54296875" bestFit="1" customWidth="1"/>
    <col min="6392" max="6392" width="21.1796875" bestFit="1" customWidth="1"/>
    <col min="6393" max="6393" width="23.36328125" bestFit="1" customWidth="1"/>
    <col min="6394" max="6394" width="26.453125" bestFit="1" customWidth="1"/>
    <col min="6395" max="6395" width="28.54296875" bestFit="1" customWidth="1"/>
    <col min="6396" max="6396" width="21.1796875" bestFit="1" customWidth="1"/>
    <col min="6397" max="6397" width="23.36328125" bestFit="1" customWidth="1"/>
    <col min="6398" max="6398" width="24.81640625" bestFit="1" customWidth="1"/>
    <col min="6399" max="6399" width="26.90625" bestFit="1" customWidth="1"/>
    <col min="6400" max="6400" width="21.1796875" bestFit="1" customWidth="1"/>
    <col min="6401" max="6401" width="23.36328125" bestFit="1" customWidth="1"/>
    <col min="6402" max="6402" width="24.81640625" bestFit="1" customWidth="1"/>
    <col min="6403" max="6403" width="26.90625" bestFit="1" customWidth="1"/>
    <col min="6404" max="6404" width="21.1796875" bestFit="1" customWidth="1"/>
    <col min="6405" max="6405" width="23.36328125" bestFit="1" customWidth="1"/>
    <col min="6406" max="6406" width="26.453125" bestFit="1" customWidth="1"/>
    <col min="6407" max="6407" width="28.54296875" bestFit="1" customWidth="1"/>
    <col min="6408" max="6408" width="21.1796875" bestFit="1" customWidth="1"/>
    <col min="6409" max="6409" width="23.36328125" bestFit="1" customWidth="1"/>
    <col min="6410" max="6410" width="26.453125" bestFit="1" customWidth="1"/>
    <col min="6411" max="6411" width="28.54296875" bestFit="1" customWidth="1"/>
    <col min="6412" max="6412" width="21.1796875" bestFit="1" customWidth="1"/>
    <col min="6413" max="6413" width="23.36328125" bestFit="1" customWidth="1"/>
    <col min="6414" max="6414" width="26.453125" bestFit="1" customWidth="1"/>
    <col min="6415" max="6415" width="28.54296875" bestFit="1" customWidth="1"/>
    <col min="6416" max="6416" width="21.1796875" bestFit="1" customWidth="1"/>
    <col min="6417" max="6417" width="23.36328125" bestFit="1" customWidth="1"/>
    <col min="6418" max="6418" width="26.453125" bestFit="1" customWidth="1"/>
    <col min="6419" max="6419" width="28.54296875" bestFit="1" customWidth="1"/>
    <col min="6420" max="6420" width="21.1796875" bestFit="1" customWidth="1"/>
    <col min="6421" max="6421" width="23.36328125" bestFit="1" customWidth="1"/>
    <col min="6422" max="6422" width="26.453125" bestFit="1" customWidth="1"/>
    <col min="6423" max="6423" width="28.54296875" bestFit="1" customWidth="1"/>
    <col min="6424" max="6424" width="21.1796875" bestFit="1" customWidth="1"/>
    <col min="6425" max="6425" width="23.36328125" bestFit="1" customWidth="1"/>
    <col min="6426" max="6426" width="26.453125" bestFit="1" customWidth="1"/>
    <col min="6427" max="6427" width="28.54296875" bestFit="1" customWidth="1"/>
    <col min="6428" max="6428" width="21.1796875" bestFit="1" customWidth="1"/>
    <col min="6429" max="6429" width="23.36328125" bestFit="1" customWidth="1"/>
    <col min="6430" max="6430" width="26.453125" bestFit="1" customWidth="1"/>
    <col min="6431" max="6431" width="28.54296875" bestFit="1" customWidth="1"/>
    <col min="6432" max="6432" width="21.1796875" bestFit="1" customWidth="1"/>
    <col min="6433" max="6433" width="23.36328125" bestFit="1" customWidth="1"/>
    <col min="6434" max="6434" width="24.81640625" bestFit="1" customWidth="1"/>
    <col min="6435" max="6435" width="26.90625" bestFit="1" customWidth="1"/>
    <col min="6436" max="6436" width="21.1796875" bestFit="1" customWidth="1"/>
    <col min="6437" max="6437" width="23.36328125" bestFit="1" customWidth="1"/>
    <col min="6438" max="6438" width="26.453125" bestFit="1" customWidth="1"/>
    <col min="6439" max="6439" width="28.54296875" bestFit="1" customWidth="1"/>
    <col min="6440" max="6440" width="21.1796875" bestFit="1" customWidth="1"/>
    <col min="6441" max="6441" width="23.36328125" bestFit="1" customWidth="1"/>
    <col min="6442" max="6442" width="26.453125" bestFit="1" customWidth="1"/>
    <col min="6443" max="6443" width="28.54296875" bestFit="1" customWidth="1"/>
    <col min="6444" max="6444" width="21.1796875" bestFit="1" customWidth="1"/>
    <col min="6445" max="6445" width="23.36328125" bestFit="1" customWidth="1"/>
    <col min="6446" max="6446" width="26.453125" bestFit="1" customWidth="1"/>
    <col min="6447" max="6447" width="28.54296875" bestFit="1" customWidth="1"/>
    <col min="6448" max="6448" width="21.1796875" bestFit="1" customWidth="1"/>
    <col min="6449" max="6449" width="23.36328125" bestFit="1" customWidth="1"/>
    <col min="6450" max="6450" width="26.453125" bestFit="1" customWidth="1"/>
    <col min="6451" max="6451" width="28.54296875" bestFit="1" customWidth="1"/>
    <col min="6452" max="6452" width="21.1796875" bestFit="1" customWidth="1"/>
    <col min="6453" max="6453" width="23.36328125" bestFit="1" customWidth="1"/>
    <col min="6454" max="6454" width="27.453125" bestFit="1" customWidth="1"/>
    <col min="6455" max="6455" width="29.54296875" bestFit="1" customWidth="1"/>
    <col min="6456" max="6456" width="21.1796875" bestFit="1" customWidth="1"/>
    <col min="6457" max="6457" width="23.36328125" bestFit="1" customWidth="1"/>
    <col min="6458" max="6458" width="27.453125" bestFit="1" customWidth="1"/>
    <col min="6459" max="6459" width="29.54296875" bestFit="1" customWidth="1"/>
    <col min="6460" max="6460" width="21.1796875" bestFit="1" customWidth="1"/>
    <col min="6461" max="6461" width="23.36328125" bestFit="1" customWidth="1"/>
    <col min="6462" max="6462" width="27.453125" bestFit="1" customWidth="1"/>
    <col min="6463" max="6463" width="29.54296875" bestFit="1" customWidth="1"/>
    <col min="6464" max="6464" width="21.1796875" bestFit="1" customWidth="1"/>
    <col min="6465" max="6465" width="23.36328125" bestFit="1" customWidth="1"/>
    <col min="6466" max="6466" width="27.453125" bestFit="1" customWidth="1"/>
    <col min="6467" max="6467" width="29.54296875" bestFit="1" customWidth="1"/>
    <col min="6468" max="6468" width="21.1796875" bestFit="1" customWidth="1"/>
    <col min="6469" max="6469" width="23.36328125" bestFit="1" customWidth="1"/>
    <col min="6470" max="6470" width="25.81640625" bestFit="1" customWidth="1"/>
    <col min="6471" max="6471" width="27.90625" bestFit="1" customWidth="1"/>
    <col min="6472" max="6472" width="21.1796875" bestFit="1" customWidth="1"/>
    <col min="6473" max="6473" width="23.36328125" bestFit="1" customWidth="1"/>
    <col min="6474" max="6474" width="27.453125" bestFit="1" customWidth="1"/>
    <col min="6475" max="6475" width="29.54296875" bestFit="1" customWidth="1"/>
    <col min="6476" max="6476" width="21.1796875" bestFit="1" customWidth="1"/>
    <col min="6477" max="6477" width="23.36328125" bestFit="1" customWidth="1"/>
    <col min="6478" max="6478" width="27.453125" bestFit="1" customWidth="1"/>
    <col min="6479" max="6479" width="29.54296875" bestFit="1" customWidth="1"/>
    <col min="6480" max="6480" width="21.1796875" bestFit="1" customWidth="1"/>
    <col min="6481" max="6481" width="23.36328125" bestFit="1" customWidth="1"/>
    <col min="6482" max="6482" width="27.453125" bestFit="1" customWidth="1"/>
    <col min="6483" max="6483" width="29.54296875" bestFit="1" customWidth="1"/>
    <col min="6484" max="6484" width="21.1796875" bestFit="1" customWidth="1"/>
    <col min="6485" max="6485" width="23.36328125" bestFit="1" customWidth="1"/>
    <col min="6486" max="6486" width="27.453125" bestFit="1" customWidth="1"/>
    <col min="6487" max="6487" width="29.54296875" bestFit="1" customWidth="1"/>
    <col min="6488" max="6488" width="21.1796875" bestFit="1" customWidth="1"/>
    <col min="6489" max="6489" width="23.36328125" bestFit="1" customWidth="1"/>
    <col min="6490" max="6490" width="27.453125" bestFit="1" customWidth="1"/>
    <col min="6491" max="6491" width="29.54296875" bestFit="1" customWidth="1"/>
    <col min="6492" max="6492" width="21.1796875" bestFit="1" customWidth="1"/>
    <col min="6493" max="6493" width="23.36328125" bestFit="1" customWidth="1"/>
    <col min="6494" max="6494" width="27.453125" bestFit="1" customWidth="1"/>
    <col min="6495" max="6495" width="29.54296875" bestFit="1" customWidth="1"/>
    <col min="6496" max="6496" width="21.1796875" bestFit="1" customWidth="1"/>
    <col min="6497" max="6497" width="23.36328125" bestFit="1" customWidth="1"/>
    <col min="6498" max="6498" width="27.453125" bestFit="1" customWidth="1"/>
    <col min="6499" max="6499" width="29.54296875" bestFit="1" customWidth="1"/>
    <col min="6500" max="6500" width="21.1796875" bestFit="1" customWidth="1"/>
    <col min="6501" max="6501" width="23.36328125" bestFit="1" customWidth="1"/>
    <col min="6502" max="6502" width="27.453125" bestFit="1" customWidth="1"/>
    <col min="6503" max="6503" width="29.54296875" bestFit="1" customWidth="1"/>
    <col min="6504" max="6504" width="21.1796875" bestFit="1" customWidth="1"/>
    <col min="6505" max="6505" width="23.36328125" bestFit="1" customWidth="1"/>
    <col min="6506" max="6506" width="27.453125" bestFit="1" customWidth="1"/>
    <col min="6507" max="6507" width="29.54296875" bestFit="1" customWidth="1"/>
    <col min="6508" max="6508" width="21.1796875" bestFit="1" customWidth="1"/>
    <col min="6509" max="6509" width="23.36328125" bestFit="1" customWidth="1"/>
    <col min="6510" max="6510" width="27.453125" bestFit="1" customWidth="1"/>
    <col min="6511" max="6511" width="29.54296875" bestFit="1" customWidth="1"/>
    <col min="6512" max="6512" width="21.1796875" bestFit="1" customWidth="1"/>
    <col min="6513" max="6513" width="23.36328125" bestFit="1" customWidth="1"/>
    <col min="6514" max="6514" width="27.453125" bestFit="1" customWidth="1"/>
    <col min="6515" max="6515" width="29.54296875" bestFit="1" customWidth="1"/>
    <col min="6516" max="6516" width="21.1796875" bestFit="1" customWidth="1"/>
    <col min="6517" max="6517" width="23.36328125" bestFit="1" customWidth="1"/>
    <col min="6518" max="6518" width="27.453125" bestFit="1" customWidth="1"/>
    <col min="6519" max="6519" width="29.54296875" bestFit="1" customWidth="1"/>
    <col min="6520" max="6520" width="21.1796875" bestFit="1" customWidth="1"/>
    <col min="6521" max="6521" width="23.36328125" bestFit="1" customWidth="1"/>
    <col min="6522" max="6522" width="27.453125" bestFit="1" customWidth="1"/>
    <col min="6523" max="6523" width="29.54296875" bestFit="1" customWidth="1"/>
    <col min="6524" max="6524" width="21.1796875" bestFit="1" customWidth="1"/>
    <col min="6525" max="6525" width="23.36328125" bestFit="1" customWidth="1"/>
    <col min="6526" max="6526" width="27.453125" bestFit="1" customWidth="1"/>
    <col min="6527" max="6527" width="29.54296875" bestFit="1" customWidth="1"/>
    <col min="6528" max="6528" width="21.1796875" bestFit="1" customWidth="1"/>
    <col min="6529" max="6529" width="23.36328125" bestFit="1" customWidth="1"/>
    <col min="6530" max="6530" width="27.453125" bestFit="1" customWidth="1"/>
    <col min="6531" max="6531" width="29.54296875" bestFit="1" customWidth="1"/>
    <col min="6532" max="6532" width="21.1796875" bestFit="1" customWidth="1"/>
    <col min="6533" max="6533" width="23.36328125" bestFit="1" customWidth="1"/>
    <col min="6534" max="6534" width="27.453125" bestFit="1" customWidth="1"/>
    <col min="6535" max="6535" width="29.54296875" bestFit="1" customWidth="1"/>
    <col min="6536" max="6536" width="21.1796875" bestFit="1" customWidth="1"/>
    <col min="6537" max="6537" width="23.36328125" bestFit="1" customWidth="1"/>
    <col min="6538" max="6538" width="27.453125" bestFit="1" customWidth="1"/>
    <col min="6539" max="6539" width="29.54296875" bestFit="1" customWidth="1"/>
    <col min="6540" max="6540" width="26" bestFit="1" customWidth="1"/>
    <col min="6541" max="6541" width="28.08984375" bestFit="1" customWidth="1"/>
  </cols>
  <sheetData>
    <row r="2" spans="1:3" x14ac:dyDescent="0.35">
      <c r="A2" s="2" t="s">
        <v>33</v>
      </c>
      <c r="B2" t="s">
        <v>53</v>
      </c>
      <c r="C2" t="s">
        <v>52</v>
      </c>
    </row>
    <row r="3" spans="1:3" x14ac:dyDescent="0.35">
      <c r="A3" s="3" t="s">
        <v>39</v>
      </c>
      <c r="B3">
        <v>1154271</v>
      </c>
      <c r="C3">
        <v>3202053</v>
      </c>
    </row>
    <row r="4" spans="1:3" x14ac:dyDescent="0.35">
      <c r="A4" s="3" t="s">
        <v>40</v>
      </c>
      <c r="B4">
        <v>750012</v>
      </c>
      <c r="C4">
        <v>2138916</v>
      </c>
    </row>
    <row r="5" spans="1:3" x14ac:dyDescent="0.35">
      <c r="A5" s="3" t="s">
        <v>41</v>
      </c>
      <c r="B5">
        <v>682191</v>
      </c>
      <c r="C5">
        <v>1924836</v>
      </c>
    </row>
    <row r="6" spans="1:3" x14ac:dyDescent="0.35">
      <c r="A6" s="3" t="s">
        <v>42</v>
      </c>
      <c r="B6">
        <v>1352307</v>
      </c>
      <c r="C6">
        <v>3852087</v>
      </c>
    </row>
    <row r="7" spans="1:3" x14ac:dyDescent="0.35">
      <c r="A7" s="3" t="s">
        <v>43</v>
      </c>
      <c r="B7">
        <v>896067</v>
      </c>
      <c r="C7">
        <v>2569614</v>
      </c>
    </row>
    <row r="8" spans="1:3" x14ac:dyDescent="0.35">
      <c r="A8" s="3" t="s">
        <v>44</v>
      </c>
      <c r="B8">
        <v>672651</v>
      </c>
      <c r="C8">
        <v>1927206</v>
      </c>
    </row>
    <row r="9" spans="1:3" x14ac:dyDescent="0.35">
      <c r="A9" s="3" t="s">
        <v>45</v>
      </c>
      <c r="B9">
        <v>1117623</v>
      </c>
      <c r="C9">
        <v>3208980</v>
      </c>
    </row>
    <row r="10" spans="1:3" x14ac:dyDescent="0.35">
      <c r="A10" s="3" t="s">
        <v>46</v>
      </c>
      <c r="B10">
        <v>890904</v>
      </c>
      <c r="C10">
        <v>2568939</v>
      </c>
    </row>
    <row r="11" spans="1:3" x14ac:dyDescent="0.35">
      <c r="A11" s="3" t="s">
        <v>47</v>
      </c>
      <c r="B11">
        <v>875382</v>
      </c>
      <c r="C11">
        <v>2569524</v>
      </c>
    </row>
    <row r="12" spans="1:3" x14ac:dyDescent="0.35">
      <c r="A12" s="3" t="s">
        <v>48</v>
      </c>
      <c r="B12">
        <v>859908</v>
      </c>
      <c r="C12">
        <v>2574825</v>
      </c>
    </row>
    <row r="13" spans="1:3" x14ac:dyDescent="0.35">
      <c r="A13" s="3" t="s">
        <v>49</v>
      </c>
      <c r="B13">
        <v>1008887</v>
      </c>
      <c r="C13">
        <v>3004129</v>
      </c>
    </row>
    <row r="14" spans="1:3" x14ac:dyDescent="0.35">
      <c r="A14" s="3" t="s">
        <v>50</v>
      </c>
      <c r="B14">
        <v>220725</v>
      </c>
      <c r="C14">
        <v>642399</v>
      </c>
    </row>
    <row r="15" spans="1:3" x14ac:dyDescent="0.35">
      <c r="A15" s="3" t="s">
        <v>34</v>
      </c>
      <c r="B15">
        <v>10480928</v>
      </c>
      <c r="C15">
        <v>30183508</v>
      </c>
    </row>
    <row r="19" spans="1:8" x14ac:dyDescent="0.35">
      <c r="A19" s="2" t="s">
        <v>33</v>
      </c>
      <c r="B19" t="s">
        <v>56</v>
      </c>
      <c r="C19" t="s">
        <v>57</v>
      </c>
      <c r="D19" t="s">
        <v>60</v>
      </c>
      <c r="E19" t="s">
        <v>2</v>
      </c>
      <c r="F19" t="s">
        <v>58</v>
      </c>
      <c r="G19" t="s">
        <v>59</v>
      </c>
      <c r="H19" t="s">
        <v>61</v>
      </c>
    </row>
    <row r="20" spans="1:8" x14ac:dyDescent="0.35">
      <c r="A20" s="3" t="s">
        <v>25</v>
      </c>
      <c r="B20">
        <v>7.8177304964539021</v>
      </c>
      <c r="C20">
        <v>26.67943262411346</v>
      </c>
      <c r="D20">
        <v>10.447517730496459</v>
      </c>
      <c r="E20" t="str">
        <f>A20</f>
        <v>18_29</v>
      </c>
      <c r="F20">
        <f>GETPIVOTDATA("Average of Vaccinated Rate",$A$19,"Age Group",A20)</f>
        <v>7.8177304964539021</v>
      </c>
      <c r="G20">
        <f>GETPIVOTDATA("Average of Unvaccinated Rate",$A$19,"Age Group",A20)</f>
        <v>26.67943262411346</v>
      </c>
      <c r="H20">
        <f>GETPIVOTDATA("Average of Boosted Rate",$A$19,"Age Group",A20)</f>
        <v>10.447517730496459</v>
      </c>
    </row>
    <row r="21" spans="1:8" x14ac:dyDescent="0.35">
      <c r="A21" s="3" t="s">
        <v>34</v>
      </c>
      <c r="B21">
        <v>7.8177304964539021</v>
      </c>
      <c r="C21">
        <v>26.67943262411346</v>
      </c>
      <c r="D21">
        <v>10.447517730496459</v>
      </c>
      <c r="E21" t="str">
        <f t="shared" ref="E21:E28" si="0">A21</f>
        <v>Grand Total</v>
      </c>
      <c r="F21" t="e">
        <f t="shared" ref="F21:F28" si="1">GETPIVOTDATA("Average of Vaccinated Rate",$A$19,"Age Group",A21)</f>
        <v>#REF!</v>
      </c>
      <c r="G21" t="e">
        <f t="shared" ref="G21:G28" si="2">GETPIVOTDATA("Average of Unvaccinated Rate",$A$19,"Age Group",A21)</f>
        <v>#REF!</v>
      </c>
      <c r="H21" t="e">
        <f t="shared" ref="H21:H28" si="3">GETPIVOTDATA("Average of Boosted Rate",$A$19,"Age Group",A21)</f>
        <v>#REF!</v>
      </c>
    </row>
    <row r="22" spans="1:8" x14ac:dyDescent="0.35">
      <c r="E22">
        <f t="shared" si="0"/>
        <v>0</v>
      </c>
      <c r="F22" t="e">
        <f t="shared" si="1"/>
        <v>#REF!</v>
      </c>
      <c r="G22" t="e" cm="1">
        <f t="array" aca="1" ref="G22" ca="1">D24GETPIVOTDATA("Average of Unvaccinated Rate",$A$19,"Age Group",A22)</f>
        <v>#NAME?</v>
      </c>
      <c r="H22" t="e">
        <f t="shared" si="3"/>
        <v>#REF!</v>
      </c>
    </row>
    <row r="23" spans="1:8" x14ac:dyDescent="0.35">
      <c r="E23">
        <f t="shared" si="0"/>
        <v>0</v>
      </c>
      <c r="F23" t="e">
        <f t="shared" si="1"/>
        <v>#REF!</v>
      </c>
      <c r="G23" t="e">
        <f t="shared" si="2"/>
        <v>#REF!</v>
      </c>
      <c r="H23" t="e">
        <f t="shared" si="3"/>
        <v>#REF!</v>
      </c>
    </row>
    <row r="24" spans="1:8" x14ac:dyDescent="0.35">
      <c r="E24">
        <f t="shared" si="0"/>
        <v>0</v>
      </c>
      <c r="F24" t="e">
        <f t="shared" si="1"/>
        <v>#REF!</v>
      </c>
      <c r="G24" t="e">
        <f t="shared" si="2"/>
        <v>#REF!</v>
      </c>
      <c r="H24" t="e">
        <f t="shared" si="3"/>
        <v>#REF!</v>
      </c>
    </row>
    <row r="25" spans="1:8" x14ac:dyDescent="0.35">
      <c r="E25">
        <f t="shared" si="0"/>
        <v>0</v>
      </c>
      <c r="F25" t="e">
        <f t="shared" si="1"/>
        <v>#REF!</v>
      </c>
      <c r="G25" t="e">
        <f t="shared" si="2"/>
        <v>#REF!</v>
      </c>
      <c r="H25" t="e">
        <f t="shared" si="3"/>
        <v>#REF!</v>
      </c>
    </row>
    <row r="26" spans="1:8" x14ac:dyDescent="0.35">
      <c r="E26">
        <f t="shared" si="0"/>
        <v>0</v>
      </c>
      <c r="F26" t="e">
        <f t="shared" si="1"/>
        <v>#REF!</v>
      </c>
      <c r="G26" t="e">
        <f t="shared" si="2"/>
        <v>#REF!</v>
      </c>
      <c r="H26" t="e">
        <f t="shared" si="3"/>
        <v>#REF!</v>
      </c>
    </row>
    <row r="27" spans="1:8" x14ac:dyDescent="0.35">
      <c r="E27">
        <f t="shared" si="0"/>
        <v>0</v>
      </c>
      <c r="F27" t="e">
        <f t="shared" si="1"/>
        <v>#REF!</v>
      </c>
      <c r="G27" t="e">
        <f t="shared" si="2"/>
        <v>#REF!</v>
      </c>
      <c r="H27" t="e">
        <f t="shared" si="3"/>
        <v>#REF!</v>
      </c>
    </row>
    <row r="28" spans="1:8" x14ac:dyDescent="0.35">
      <c r="E28">
        <f t="shared" si="0"/>
        <v>0</v>
      </c>
      <c r="F28" t="e">
        <f t="shared" si="1"/>
        <v>#REF!</v>
      </c>
      <c r="G28" t="e">
        <f t="shared" si="2"/>
        <v>#REF!</v>
      </c>
      <c r="H28" t="e">
        <f t="shared" si="3"/>
        <v>#REF!</v>
      </c>
    </row>
    <row r="32" spans="1:8" x14ac:dyDescent="0.35">
      <c r="A32" s="2" t="s">
        <v>33</v>
      </c>
      <c r="B32" t="s">
        <v>56</v>
      </c>
      <c r="C32" t="s">
        <v>60</v>
      </c>
      <c r="D32" t="s">
        <v>57</v>
      </c>
    </row>
    <row r="33" spans="1:4" x14ac:dyDescent="0.35">
      <c r="A33" s="3" t="s">
        <v>39</v>
      </c>
      <c r="B33">
        <v>12.026666666666669</v>
      </c>
      <c r="C33">
        <v>15.253333333333332</v>
      </c>
      <c r="D33">
        <v>35.580000000000005</v>
      </c>
    </row>
    <row r="34" spans="1:4" x14ac:dyDescent="0.35">
      <c r="A34" s="3" t="s">
        <v>40</v>
      </c>
      <c r="B34">
        <v>15.7</v>
      </c>
      <c r="C34">
        <v>20.139999999999997</v>
      </c>
      <c r="D34">
        <v>50.55</v>
      </c>
    </row>
    <row r="35" spans="1:4" x14ac:dyDescent="0.35">
      <c r="A35" s="3" t="s">
        <v>41</v>
      </c>
      <c r="B35">
        <v>8.4111111111111132</v>
      </c>
      <c r="C35">
        <v>11.411111111111111</v>
      </c>
      <c r="D35">
        <v>22.733333333333334</v>
      </c>
    </row>
    <row r="36" spans="1:4" x14ac:dyDescent="0.35">
      <c r="A36" s="3" t="s">
        <v>42</v>
      </c>
      <c r="B36">
        <v>8.85</v>
      </c>
      <c r="C36">
        <v>11.944444444444445</v>
      </c>
      <c r="D36">
        <v>32.349999999999994</v>
      </c>
    </row>
    <row r="37" spans="1:4" x14ac:dyDescent="0.35">
      <c r="A37" s="3" t="s">
        <v>43</v>
      </c>
      <c r="B37">
        <v>3.5083333333333342</v>
      </c>
      <c r="C37">
        <v>4.9416666666666664</v>
      </c>
      <c r="D37">
        <v>15.491666666666665</v>
      </c>
    </row>
    <row r="38" spans="1:4" x14ac:dyDescent="0.35">
      <c r="A38" s="3" t="s">
        <v>44</v>
      </c>
      <c r="B38">
        <v>2.5444444444444443</v>
      </c>
      <c r="C38">
        <v>3.3</v>
      </c>
      <c r="D38">
        <v>10.666666666666666</v>
      </c>
    </row>
    <row r="39" spans="1:4" x14ac:dyDescent="0.35">
      <c r="A39" s="3" t="s">
        <v>45</v>
      </c>
      <c r="B39">
        <v>6.5866666666666669</v>
      </c>
      <c r="C39">
        <v>9.0733333333333324</v>
      </c>
      <c r="D39">
        <v>21.033333333333335</v>
      </c>
    </row>
    <row r="40" spans="1:4" x14ac:dyDescent="0.35">
      <c r="A40" s="3" t="s">
        <v>46</v>
      </c>
      <c r="B40">
        <v>6.5</v>
      </c>
      <c r="C40">
        <v>7.8833333333333337</v>
      </c>
      <c r="D40">
        <v>21.766666666666669</v>
      </c>
    </row>
    <row r="41" spans="1:4" x14ac:dyDescent="0.35">
      <c r="A41" s="3" t="s">
        <v>47</v>
      </c>
      <c r="B41">
        <v>5.8833333333333329</v>
      </c>
      <c r="C41">
        <v>9.4749999999999996</v>
      </c>
      <c r="D41">
        <v>26.25</v>
      </c>
    </row>
    <row r="42" spans="1:4" x14ac:dyDescent="0.35">
      <c r="A42" s="3" t="s">
        <v>48</v>
      </c>
      <c r="B42">
        <v>3.6999999999999997</v>
      </c>
      <c r="C42">
        <v>5.3999999999999995</v>
      </c>
      <c r="D42">
        <v>17.408333333333331</v>
      </c>
    </row>
    <row r="43" spans="1:4" x14ac:dyDescent="0.35">
      <c r="A43" s="3" t="s">
        <v>49</v>
      </c>
      <c r="B43">
        <v>11.335714285714287</v>
      </c>
      <c r="C43">
        <v>14.407142857142857</v>
      </c>
      <c r="D43">
        <v>35.728571428571435</v>
      </c>
    </row>
    <row r="44" spans="1:4" x14ac:dyDescent="0.35">
      <c r="A44" s="3" t="s">
        <v>50</v>
      </c>
      <c r="B44">
        <v>4.8</v>
      </c>
      <c r="C44">
        <v>8.4333333333333336</v>
      </c>
      <c r="D44">
        <v>17.666666666666668</v>
      </c>
    </row>
    <row r="45" spans="1:4" x14ac:dyDescent="0.35">
      <c r="A45" s="3" t="s">
        <v>34</v>
      </c>
      <c r="B45">
        <v>7.8177304964539038</v>
      </c>
      <c r="C45">
        <v>10.447517730496454</v>
      </c>
      <c r="D45">
        <v>26.679432624113467</v>
      </c>
    </row>
    <row r="49" spans="1:2" x14ac:dyDescent="0.35">
      <c r="A49" s="2" t="s">
        <v>33</v>
      </c>
      <c r="B49" t="s">
        <v>52</v>
      </c>
    </row>
    <row r="50" spans="1:2" x14ac:dyDescent="0.35">
      <c r="A50" s="3" t="s">
        <v>39</v>
      </c>
      <c r="B50">
        <v>3202053</v>
      </c>
    </row>
    <row r="51" spans="1:2" x14ac:dyDescent="0.35">
      <c r="A51" s="3" t="s">
        <v>40</v>
      </c>
      <c r="B51">
        <v>2138916</v>
      </c>
    </row>
    <row r="52" spans="1:2" x14ac:dyDescent="0.35">
      <c r="A52" s="3" t="s">
        <v>41</v>
      </c>
      <c r="B52">
        <v>1924836</v>
      </c>
    </row>
    <row r="53" spans="1:2" x14ac:dyDescent="0.35">
      <c r="A53" s="3" t="s">
        <v>42</v>
      </c>
      <c r="B53">
        <v>3852087</v>
      </c>
    </row>
    <row r="54" spans="1:2" x14ac:dyDescent="0.35">
      <c r="A54" s="3" t="s">
        <v>43</v>
      </c>
      <c r="B54">
        <v>2569614</v>
      </c>
    </row>
    <row r="55" spans="1:2" x14ac:dyDescent="0.35">
      <c r="A55" s="3" t="s">
        <v>44</v>
      </c>
      <c r="B55">
        <v>1927206</v>
      </c>
    </row>
    <row r="56" spans="1:2" x14ac:dyDescent="0.35">
      <c r="A56" s="3" t="s">
        <v>45</v>
      </c>
      <c r="B56">
        <v>3208980</v>
      </c>
    </row>
    <row r="57" spans="1:2" x14ac:dyDescent="0.35">
      <c r="A57" s="3" t="s">
        <v>46</v>
      </c>
      <c r="B57">
        <v>2568939</v>
      </c>
    </row>
    <row r="58" spans="1:2" x14ac:dyDescent="0.35">
      <c r="A58" s="3" t="s">
        <v>47</v>
      </c>
      <c r="B58">
        <v>2569524</v>
      </c>
    </row>
    <row r="59" spans="1:2" x14ac:dyDescent="0.35">
      <c r="A59" s="3" t="s">
        <v>48</v>
      </c>
      <c r="B59">
        <v>2574825</v>
      </c>
    </row>
    <row r="60" spans="1:2" x14ac:dyDescent="0.35">
      <c r="A60" s="3" t="s">
        <v>49</v>
      </c>
      <c r="B60">
        <v>3004129</v>
      </c>
    </row>
    <row r="61" spans="1:2" x14ac:dyDescent="0.35">
      <c r="A61" s="3" t="s">
        <v>50</v>
      </c>
      <c r="B61">
        <v>642399</v>
      </c>
    </row>
    <row r="62" spans="1:2" x14ac:dyDescent="0.35">
      <c r="A62" s="3" t="s">
        <v>34</v>
      </c>
      <c r="B62">
        <v>30183508</v>
      </c>
    </row>
    <row r="68" spans="1:5" x14ac:dyDescent="0.35">
      <c r="A68" s="2" t="s">
        <v>33</v>
      </c>
      <c r="B68" t="s">
        <v>62</v>
      </c>
    </row>
    <row r="69" spans="1:5" x14ac:dyDescent="0.35">
      <c r="A69" s="3" t="s">
        <v>28</v>
      </c>
      <c r="B69" s="4">
        <v>0.34042553191489361</v>
      </c>
    </row>
    <row r="70" spans="1:5" x14ac:dyDescent="0.35">
      <c r="A70" s="3" t="s">
        <v>21</v>
      </c>
      <c r="B70" s="4">
        <v>0.32624113475177308</v>
      </c>
    </row>
    <row r="71" spans="1:5" x14ac:dyDescent="0.35">
      <c r="A71" s="3" t="s">
        <v>26</v>
      </c>
      <c r="B71" s="4">
        <v>0.33333333333333331</v>
      </c>
    </row>
    <row r="72" spans="1:5" x14ac:dyDescent="0.35">
      <c r="A72" s="3" t="s">
        <v>34</v>
      </c>
      <c r="B72" s="4">
        <v>1</v>
      </c>
    </row>
    <row r="74" spans="1:5" x14ac:dyDescent="0.35">
      <c r="B74" s="2" t="s">
        <v>51</v>
      </c>
    </row>
    <row r="75" spans="1:5" x14ac:dyDescent="0.35">
      <c r="B75" t="s">
        <v>28</v>
      </c>
      <c r="C75" t="s">
        <v>21</v>
      </c>
      <c r="D75" t="s">
        <v>26</v>
      </c>
      <c r="E75" t="s">
        <v>34</v>
      </c>
    </row>
    <row r="76" spans="1:5" x14ac:dyDescent="0.35">
      <c r="A76" t="s">
        <v>62</v>
      </c>
      <c r="B76">
        <v>48</v>
      </c>
      <c r="C76">
        <v>46</v>
      </c>
      <c r="D76">
        <v>47</v>
      </c>
      <c r="E76">
        <v>141</v>
      </c>
    </row>
    <row r="77" spans="1:5" x14ac:dyDescent="0.35">
      <c r="B77">
        <f>GETPIVOTDATA("Outcome",$A$74,"Outcome","Cases")</f>
        <v>48</v>
      </c>
      <c r="C77">
        <f>GETPIVOTDATA("Outcome",$A$74,"Outcome","Deaths")</f>
        <v>46</v>
      </c>
      <c r="D77">
        <f>GETPIVOTDATA("Outcome",$A$74,"Outcome","Hospitalizations")</f>
        <v>47</v>
      </c>
    </row>
    <row r="80" spans="1:5" x14ac:dyDescent="0.35">
      <c r="A80" s="2" t="s">
        <v>54</v>
      </c>
      <c r="B80" s="2" t="s">
        <v>51</v>
      </c>
    </row>
    <row r="81" spans="1:13" x14ac:dyDescent="0.35">
      <c r="A81" s="2" t="s">
        <v>33</v>
      </c>
      <c r="B81" t="s">
        <v>39</v>
      </c>
      <c r="C81" t="s">
        <v>40</v>
      </c>
      <c r="D81" t="s">
        <v>41</v>
      </c>
      <c r="E81" t="s">
        <v>42</v>
      </c>
      <c r="F81" t="s">
        <v>43</v>
      </c>
      <c r="G81" t="s">
        <v>44</v>
      </c>
      <c r="H81" t="s">
        <v>45</v>
      </c>
      <c r="I81" t="s">
        <v>46</v>
      </c>
      <c r="J81" t="s">
        <v>47</v>
      </c>
      <c r="K81" t="s">
        <v>48</v>
      </c>
      <c r="L81" t="s">
        <v>49</v>
      </c>
      <c r="M81" t="s">
        <v>50</v>
      </c>
    </row>
    <row r="82" spans="1:13" x14ac:dyDescent="0.35">
      <c r="A82" s="3" t="s">
        <v>28</v>
      </c>
      <c r="B82">
        <v>371</v>
      </c>
      <c r="C82">
        <v>329</v>
      </c>
      <c r="D82">
        <v>157</v>
      </c>
      <c r="E82">
        <v>325</v>
      </c>
      <c r="F82">
        <v>88</v>
      </c>
      <c r="G82">
        <v>47</v>
      </c>
      <c r="H82">
        <v>205</v>
      </c>
      <c r="I82">
        <v>164</v>
      </c>
      <c r="J82">
        <v>146</v>
      </c>
      <c r="K82">
        <v>93</v>
      </c>
      <c r="L82">
        <v>327</v>
      </c>
      <c r="M82">
        <v>29</v>
      </c>
    </row>
    <row r="83" spans="1:13" x14ac:dyDescent="0.35">
      <c r="A83" s="3" t="s">
        <v>21</v>
      </c>
      <c r="B83">
        <v>0</v>
      </c>
      <c r="C83">
        <v>0</v>
      </c>
      <c r="D83">
        <v>0</v>
      </c>
      <c r="E83">
        <v>0</v>
      </c>
      <c r="F83">
        <v>0</v>
      </c>
      <c r="G83">
        <v>0</v>
      </c>
      <c r="H83">
        <v>0</v>
      </c>
      <c r="I83">
        <v>0</v>
      </c>
      <c r="J83">
        <v>0</v>
      </c>
      <c r="K83">
        <v>0</v>
      </c>
      <c r="L83">
        <v>0</v>
      </c>
      <c r="M83">
        <v>0</v>
      </c>
    </row>
    <row r="84" spans="1:13" x14ac:dyDescent="0.35">
      <c r="A84" s="3" t="s">
        <v>26</v>
      </c>
      <c r="B84">
        <v>14</v>
      </c>
      <c r="C84">
        <v>7</v>
      </c>
      <c r="D84">
        <v>5</v>
      </c>
      <c r="E84">
        <v>16</v>
      </c>
      <c r="F84">
        <v>2</v>
      </c>
      <c r="G84">
        <v>2</v>
      </c>
      <c r="H84">
        <v>6</v>
      </c>
      <c r="I84">
        <v>3</v>
      </c>
      <c r="J84">
        <v>5</v>
      </c>
      <c r="K84">
        <v>2</v>
      </c>
      <c r="L84">
        <v>13</v>
      </c>
      <c r="M84">
        <v>2</v>
      </c>
    </row>
    <row r="85" spans="1:13" x14ac:dyDescent="0.35">
      <c r="A85" s="3" t="s">
        <v>34</v>
      </c>
      <c r="B85">
        <v>385</v>
      </c>
      <c r="C85">
        <v>336</v>
      </c>
      <c r="D85">
        <v>162</v>
      </c>
      <c r="E85">
        <v>341</v>
      </c>
      <c r="F85">
        <v>90</v>
      </c>
      <c r="G85">
        <v>49</v>
      </c>
      <c r="H85">
        <v>211</v>
      </c>
      <c r="I85">
        <v>167</v>
      </c>
      <c r="J85">
        <v>151</v>
      </c>
      <c r="K85">
        <v>95</v>
      </c>
      <c r="L85">
        <v>340</v>
      </c>
      <c r="M85">
        <v>31</v>
      </c>
    </row>
    <row r="87" spans="1:13" x14ac:dyDescent="0.35">
      <c r="A87" s="3" t="s">
        <v>0</v>
      </c>
      <c r="B87" t="s">
        <v>39</v>
      </c>
      <c r="C87" t="s">
        <v>64</v>
      </c>
      <c r="D87" t="s">
        <v>41</v>
      </c>
      <c r="E87" t="s">
        <v>42</v>
      </c>
      <c r="F87" t="s">
        <v>43</v>
      </c>
      <c r="G87" t="s">
        <v>63</v>
      </c>
      <c r="H87" t="s">
        <v>45</v>
      </c>
      <c r="I87" t="s">
        <v>46</v>
      </c>
      <c r="J87" t="s">
        <v>47</v>
      </c>
      <c r="K87" t="s">
        <v>48</v>
      </c>
      <c r="L87" t="s">
        <v>49</v>
      </c>
      <c r="M87" t="s">
        <v>50</v>
      </c>
    </row>
    <row r="88" spans="1:13" x14ac:dyDescent="0.35">
      <c r="A88" t="str">
        <f>A82</f>
        <v>Cases</v>
      </c>
      <c r="B88">
        <f>GETPIVOTDATA("Outcome Vaccinated",$A$80,"Outcome",A82,"Months (Weekend)",1)</f>
        <v>371</v>
      </c>
      <c r="C88">
        <f>GETPIVOTDATA("Outcome Vaccinated",$A$80,"Outcome",A82,"Months (Weekend)",2)</f>
        <v>329</v>
      </c>
      <c r="D88">
        <f>GETPIVOTDATA("Outcome Vaccinated",$A$80,"Outcome",A82,"Months (Weekend)",3)</f>
        <v>157</v>
      </c>
      <c r="E88">
        <f>GETPIVOTDATA("Outcome Vaccinated",$A$80,"Outcome",A82,"Months (Weekend)",4)</f>
        <v>325</v>
      </c>
      <c r="F88">
        <f>GETPIVOTDATA("Outcome Vaccinated",$A$80,"Outcome",A82,"Months (Weekend)",5)</f>
        <v>88</v>
      </c>
      <c r="G88">
        <f>GETPIVOTDATA("Outcome Vaccinated",$A$80,"Outcome",A82,"Months (Weekend)",6)</f>
        <v>47</v>
      </c>
      <c r="H88">
        <f>GETPIVOTDATA("Outcome Vaccinated",$A$80,"Outcome",A82,"Months (Weekend)",7)</f>
        <v>205</v>
      </c>
      <c r="I88">
        <f>GETPIVOTDATA("Outcome Vaccinated",$A$80,"Outcome",A82,"Months (Weekend)",8)</f>
        <v>164</v>
      </c>
      <c r="J88">
        <f>GETPIVOTDATA("Outcome Vaccinated",$A$80,"Outcome",A82,"Months (Weekend)",9)</f>
        <v>146</v>
      </c>
      <c r="K88">
        <f>GETPIVOTDATA("Outcome Vaccinated",$A$80,"Outcome",A82,"Months (Weekend)",10)</f>
        <v>93</v>
      </c>
      <c r="L88">
        <f>GETPIVOTDATA("Outcome Vaccinated",$A$80,"Outcome",A82,"Months (Weekend)",11)</f>
        <v>327</v>
      </c>
      <c r="M88">
        <f>GETPIVOTDATA("Outcome Vaccinated",$A$80,"Outcome",A82,"Months (Weekend)",12)</f>
        <v>29</v>
      </c>
    </row>
    <row r="89" spans="1:13" x14ac:dyDescent="0.35">
      <c r="A89" t="str">
        <f>A83</f>
        <v>Deaths</v>
      </c>
      <c r="B89">
        <f>GETPIVOTDATA("Outcome Vaccinated",$A$80,"Outcome",A83,"Months (Weekend)",1)</f>
        <v>0</v>
      </c>
      <c r="C89">
        <f>GETPIVOTDATA("Outcome Vaccinated",$A$80,"Outcome",A83,"Months (Weekend)",2)</f>
        <v>0</v>
      </c>
      <c r="D89">
        <f>GETPIVOTDATA("Outcome Vaccinated",$A$80,"Outcome",A83,"Months (Weekend)",3)</f>
        <v>0</v>
      </c>
      <c r="E89">
        <f>GETPIVOTDATA("Outcome Vaccinated",$A$80,"Outcome",A83,"Months (Weekend)",4)</f>
        <v>0</v>
      </c>
      <c r="F89">
        <f>GETPIVOTDATA("Outcome Vaccinated",$A$80,"Outcome",A83,"Months (Weekend)",5)</f>
        <v>0</v>
      </c>
      <c r="G89">
        <f>GETPIVOTDATA("Outcome Vaccinated",$A$80,"Outcome",A83,"Months (Weekend)",6)</f>
        <v>0</v>
      </c>
      <c r="H89">
        <f>GETPIVOTDATA("Outcome Vaccinated",$A$80,"Outcome",A83,"Months (Weekend)",7)</f>
        <v>0</v>
      </c>
      <c r="I89">
        <f>GETPIVOTDATA("Outcome Vaccinated",$A$80,"Outcome",A83,"Months (Weekend)",8)</f>
        <v>0</v>
      </c>
      <c r="J89">
        <f>GETPIVOTDATA("Outcome Vaccinated",$A$80,"Outcome",A83,"Months (Weekend)",9)</f>
        <v>0</v>
      </c>
      <c r="K89">
        <f>GETPIVOTDATA("Outcome Vaccinated",$A$80,"Outcome",A83,"Months (Weekend)",10)</f>
        <v>0</v>
      </c>
      <c r="L89">
        <f>GETPIVOTDATA("Outcome Vaccinated",$A$80,"Outcome",A83,"Months (Weekend)",11)</f>
        <v>0</v>
      </c>
      <c r="M89">
        <f>GETPIVOTDATA("Outcome Vaccinated",$A$80,"Outcome",A83,"Months (Weekend)",12)</f>
        <v>0</v>
      </c>
    </row>
    <row r="90" spans="1:13" x14ac:dyDescent="0.35">
      <c r="A90" t="str">
        <f>A84</f>
        <v>Hospitalizations</v>
      </c>
      <c r="B90">
        <f>GETPIVOTDATA("Outcome Vaccinated",$A$80,"Outcome",A84,"Months (Weekend)",1)</f>
        <v>14</v>
      </c>
      <c r="C90">
        <f>GETPIVOTDATA("Outcome Vaccinated",$A$80,"Outcome",A84,"Months (Weekend)",2)</f>
        <v>7</v>
      </c>
      <c r="D90">
        <f>GETPIVOTDATA("Outcome Vaccinated",$A$80,"Outcome",A84,"Months (Weekend)",3)</f>
        <v>5</v>
      </c>
      <c r="E90">
        <f>GETPIVOTDATA("Outcome Vaccinated",$A$80,"Outcome",A84,"Months (Weekend)",4)</f>
        <v>16</v>
      </c>
      <c r="F90">
        <f>GETPIVOTDATA("Outcome Vaccinated",$A$80,"Outcome",A84,"Months (Weekend)",5)</f>
        <v>2</v>
      </c>
      <c r="G90">
        <f>GETPIVOTDATA("Outcome Vaccinated",$A$80,"Outcome",A84,"Months (Weekend)",6)</f>
        <v>2</v>
      </c>
      <c r="H90">
        <f>GETPIVOTDATA("Outcome Vaccinated",$A$80,"Outcome",A84,"Months (Weekend)",7)</f>
        <v>6</v>
      </c>
      <c r="I90">
        <f>GETPIVOTDATA("Outcome Vaccinated",$A$80,"Outcome",A84,"Months (Weekend)",8)</f>
        <v>3</v>
      </c>
      <c r="J90">
        <f>GETPIVOTDATA("Outcome Vaccinated",$A$80,"Outcome",A84,"Months (Weekend)",9)</f>
        <v>5</v>
      </c>
      <c r="K90">
        <f>GETPIVOTDATA("Outcome Vaccinated",$A$80,"Outcome",A84,"Months (Weekend)",10)</f>
        <v>2</v>
      </c>
      <c r="L90">
        <f>GETPIVOTDATA("Outcome Vaccinated",$A$80,"Outcome",A84,"Months (Weekend)",11)</f>
        <v>13</v>
      </c>
      <c r="M90">
        <f>GETPIVOTDATA("Outcome Vaccinated",$A$80,"Outcome",A84,"Months (Weekend)",12)</f>
        <v>2</v>
      </c>
    </row>
    <row r="103" spans="1:4" x14ac:dyDescent="0.35">
      <c r="A103" s="2" t="s">
        <v>33</v>
      </c>
      <c r="B103" t="s">
        <v>54</v>
      </c>
      <c r="C103" t="s">
        <v>55</v>
      </c>
      <c r="D103" t="s">
        <v>65</v>
      </c>
    </row>
    <row r="104" spans="1:4" x14ac:dyDescent="0.35">
      <c r="A104" s="3" t="s">
        <v>25</v>
      </c>
      <c r="B104">
        <v>2358</v>
      </c>
      <c r="C104">
        <v>2816</v>
      </c>
      <c r="D104">
        <v>2384</v>
      </c>
    </row>
    <row r="105" spans="1:4" x14ac:dyDescent="0.35">
      <c r="A105" s="3" t="s">
        <v>34</v>
      </c>
      <c r="B105">
        <v>2358</v>
      </c>
      <c r="C105">
        <v>2816</v>
      </c>
      <c r="D105">
        <v>2384</v>
      </c>
    </row>
    <row r="128" spans="1:3" x14ac:dyDescent="0.35">
      <c r="A128" s="2" t="s">
        <v>33</v>
      </c>
      <c r="B128" t="s">
        <v>66</v>
      </c>
      <c r="C128" t="s">
        <v>67</v>
      </c>
    </row>
    <row r="129" spans="1:3" x14ac:dyDescent="0.35">
      <c r="A129" s="3" t="s">
        <v>39</v>
      </c>
      <c r="B129">
        <v>2.4</v>
      </c>
      <c r="C129">
        <v>3</v>
      </c>
    </row>
    <row r="130" spans="1:3" x14ac:dyDescent="0.35">
      <c r="A130" s="3" t="s">
        <v>40</v>
      </c>
      <c r="B130">
        <v>2.97</v>
      </c>
      <c r="C130">
        <v>1.9799999999999998</v>
      </c>
    </row>
    <row r="131" spans="1:3" x14ac:dyDescent="0.35">
      <c r="A131" s="3" t="s">
        <v>41</v>
      </c>
      <c r="B131">
        <v>1.5666666666666669</v>
      </c>
      <c r="C131">
        <v>1.2555555555555555</v>
      </c>
    </row>
    <row r="132" spans="1:3" x14ac:dyDescent="0.35">
      <c r="A132" s="3" t="s">
        <v>42</v>
      </c>
      <c r="B132">
        <v>2.1833333333333336</v>
      </c>
      <c r="C132">
        <v>2.1833333333333331</v>
      </c>
    </row>
    <row r="133" spans="1:3" x14ac:dyDescent="0.35">
      <c r="A133" s="3" t="s">
        <v>43</v>
      </c>
      <c r="B133">
        <v>2.3083333333333331</v>
      </c>
      <c r="C133">
        <v>1.3</v>
      </c>
    </row>
    <row r="134" spans="1:3" x14ac:dyDescent="0.35">
      <c r="A134" s="3" t="s">
        <v>44</v>
      </c>
      <c r="B134">
        <v>2.1111111111111112</v>
      </c>
      <c r="C134">
        <v>0.94444444444444442</v>
      </c>
    </row>
    <row r="135" spans="1:3" x14ac:dyDescent="0.35">
      <c r="A135" s="3" t="s">
        <v>45</v>
      </c>
      <c r="B135">
        <v>1.9133333333333336</v>
      </c>
      <c r="C135">
        <v>2.1266666666666669</v>
      </c>
    </row>
    <row r="136" spans="1:3" x14ac:dyDescent="0.35">
      <c r="A136" s="3" t="s">
        <v>46</v>
      </c>
      <c r="B136">
        <v>1.9750000000000003</v>
      </c>
      <c r="C136">
        <v>1.2416666666666665</v>
      </c>
    </row>
    <row r="137" spans="1:3" x14ac:dyDescent="0.35">
      <c r="A137" s="3" t="s">
        <v>47</v>
      </c>
      <c r="B137">
        <v>3.9083333333333337</v>
      </c>
      <c r="C137">
        <v>2.8083333333333336</v>
      </c>
    </row>
    <row r="138" spans="1:3" x14ac:dyDescent="0.35">
      <c r="A138" s="3" t="s">
        <v>48</v>
      </c>
      <c r="B138">
        <v>2.3833333333333333</v>
      </c>
      <c r="C138">
        <v>1.9583333333333333</v>
      </c>
    </row>
    <row r="139" spans="1:3" x14ac:dyDescent="0.35">
      <c r="A139" s="3" t="s">
        <v>49</v>
      </c>
      <c r="B139">
        <v>2.8642857142857139</v>
      </c>
      <c r="C139">
        <v>2.1428571428571428</v>
      </c>
    </row>
    <row r="140" spans="1:3" x14ac:dyDescent="0.35">
      <c r="A140" s="3" t="s">
        <v>50</v>
      </c>
      <c r="B140">
        <v>1.8</v>
      </c>
      <c r="C140">
        <v>1.0999999999999999</v>
      </c>
    </row>
    <row r="141" spans="1:3" x14ac:dyDescent="0.35">
      <c r="A141" s="3" t="s">
        <v>34</v>
      </c>
      <c r="B141">
        <v>2.4056737588652477</v>
      </c>
      <c r="C141">
        <v>1.9631205673758867</v>
      </c>
    </row>
    <row r="150" spans="1:3" x14ac:dyDescent="0.35">
      <c r="A150" s="2" t="s">
        <v>33</v>
      </c>
      <c r="B150" t="s">
        <v>68</v>
      </c>
      <c r="C150" t="s">
        <v>69</v>
      </c>
    </row>
    <row r="151" spans="1:3" x14ac:dyDescent="0.35">
      <c r="A151" s="3" t="s">
        <v>25</v>
      </c>
      <c r="B151">
        <v>1.843971631205674E-2</v>
      </c>
      <c r="C151">
        <v>0</v>
      </c>
    </row>
    <row r="152" spans="1:3" x14ac:dyDescent="0.35">
      <c r="A152" s="3" t="s">
        <v>34</v>
      </c>
      <c r="B152">
        <v>1.843971631205674E-2</v>
      </c>
      <c r="C152">
        <v>0</v>
      </c>
    </row>
    <row r="170" spans="1:5" x14ac:dyDescent="0.35">
      <c r="A170" s="2" t="s">
        <v>62</v>
      </c>
      <c r="B170" s="2" t="s">
        <v>51</v>
      </c>
    </row>
    <row r="171" spans="1:5" x14ac:dyDescent="0.35">
      <c r="A171" s="2" t="s">
        <v>33</v>
      </c>
      <c r="B171" t="s">
        <v>35</v>
      </c>
      <c r="C171" t="s">
        <v>36</v>
      </c>
      <c r="D171" t="s">
        <v>37</v>
      </c>
      <c r="E171" t="s">
        <v>38</v>
      </c>
    </row>
    <row r="172" spans="1:5" x14ac:dyDescent="0.35">
      <c r="A172" s="3" t="s">
        <v>28</v>
      </c>
      <c r="B172">
        <v>12</v>
      </c>
      <c r="C172">
        <v>13</v>
      </c>
      <c r="D172">
        <v>13</v>
      </c>
      <c r="E172">
        <v>10</v>
      </c>
    </row>
    <row r="173" spans="1:5" x14ac:dyDescent="0.35">
      <c r="A173" s="3" t="s">
        <v>21</v>
      </c>
      <c r="B173">
        <v>11</v>
      </c>
      <c r="C173">
        <v>13</v>
      </c>
      <c r="D173">
        <v>13</v>
      </c>
      <c r="E173">
        <v>9</v>
      </c>
    </row>
    <row r="174" spans="1:5" x14ac:dyDescent="0.35">
      <c r="A174" s="3" t="s">
        <v>26</v>
      </c>
      <c r="B174">
        <v>11</v>
      </c>
      <c r="C174">
        <v>13</v>
      </c>
      <c r="D174">
        <v>13</v>
      </c>
      <c r="E174">
        <v>10</v>
      </c>
    </row>
    <row r="175" spans="1:5" x14ac:dyDescent="0.35">
      <c r="A175" s="3" t="s">
        <v>34</v>
      </c>
      <c r="B175">
        <v>34</v>
      </c>
      <c r="C175">
        <v>39</v>
      </c>
      <c r="D175">
        <v>39</v>
      </c>
      <c r="E175">
        <v>29</v>
      </c>
    </row>
    <row r="176" spans="1:5" x14ac:dyDescent="0.35">
      <c r="A176" t="s">
        <v>0</v>
      </c>
      <c r="B176" t="s">
        <v>35</v>
      </c>
      <c r="C176" t="s">
        <v>36</v>
      </c>
      <c r="D176" t="s">
        <v>37</v>
      </c>
      <c r="E176" t="s">
        <v>70</v>
      </c>
    </row>
    <row r="177" spans="1:5" x14ac:dyDescent="0.35">
      <c r="A177" t="str">
        <f>A172</f>
        <v>Cases</v>
      </c>
      <c r="B177">
        <f>GETPIVOTDATA("Outcome",$A$170,"Outcome",A172,"Quarters (Weekend)",1)</f>
        <v>12</v>
      </c>
      <c r="C177">
        <f>GETPIVOTDATA("Outcome",$A$170,"Outcome",A172,"Quarters (Weekend)",2)</f>
        <v>13</v>
      </c>
      <c r="D177">
        <f>GETPIVOTDATA("Outcome",$A$170,"Outcome",A172,"Quarters (Weekend)",3)</f>
        <v>13</v>
      </c>
      <c r="E177">
        <f>GETPIVOTDATA("Outcome",$A$170,"Outcome",A172,"Quarters (Weekend)",4)</f>
        <v>10</v>
      </c>
    </row>
    <row r="178" spans="1:5" x14ac:dyDescent="0.35">
      <c r="A178" s="3" t="s">
        <v>21</v>
      </c>
      <c r="B178">
        <f t="shared" ref="B178:B179" si="4">GETPIVOTDATA("Outcome",$A$170,"Outcome",A173,"Quarters (Weekend)",1)</f>
        <v>11</v>
      </c>
      <c r="C178">
        <f t="shared" ref="C178:C179" si="5">GETPIVOTDATA("Outcome",$A$170,"Outcome",A173,"Quarters (Weekend)",2)</f>
        <v>13</v>
      </c>
      <c r="D178">
        <f t="shared" ref="D178:D179" si="6">GETPIVOTDATA("Outcome",$A$170,"Outcome",A173,"Quarters (Weekend)",3)</f>
        <v>13</v>
      </c>
      <c r="E178">
        <f t="shared" ref="E178:E179" si="7">GETPIVOTDATA("Outcome",$A$170,"Outcome",A173,"Quarters (Weekend)",4)</f>
        <v>9</v>
      </c>
    </row>
    <row r="179" spans="1:5" x14ac:dyDescent="0.35">
      <c r="A179" s="3" t="s">
        <v>26</v>
      </c>
      <c r="B179">
        <f t="shared" si="4"/>
        <v>11</v>
      </c>
      <c r="C179">
        <f t="shared" si="5"/>
        <v>13</v>
      </c>
      <c r="D179">
        <f t="shared" si="6"/>
        <v>13</v>
      </c>
      <c r="E179">
        <f t="shared" si="7"/>
        <v>10</v>
      </c>
    </row>
    <row r="190" spans="1:5" x14ac:dyDescent="0.35">
      <c r="A190" s="2" t="s">
        <v>53</v>
      </c>
      <c r="B190" s="2" t="s">
        <v>51</v>
      </c>
    </row>
    <row r="191" spans="1:5" x14ac:dyDescent="0.35">
      <c r="A191" s="2" t="s">
        <v>33</v>
      </c>
      <c r="B191" t="s">
        <v>28</v>
      </c>
      <c r="C191" t="s">
        <v>21</v>
      </c>
      <c r="D191" t="s">
        <v>26</v>
      </c>
    </row>
    <row r="192" spans="1:5" x14ac:dyDescent="0.35">
      <c r="A192" s="3" t="s">
        <v>39</v>
      </c>
      <c r="B192">
        <v>384757</v>
      </c>
      <c r="C192">
        <v>384757</v>
      </c>
      <c r="D192">
        <v>384757</v>
      </c>
    </row>
    <row r="193" spans="1:4" x14ac:dyDescent="0.35">
      <c r="A193" s="3" t="s">
        <v>40</v>
      </c>
      <c r="B193">
        <v>295242</v>
      </c>
      <c r="C193">
        <v>227385</v>
      </c>
      <c r="D193">
        <v>227385</v>
      </c>
    </row>
    <row r="194" spans="1:4" x14ac:dyDescent="0.35">
      <c r="A194" s="3" t="s">
        <v>41</v>
      </c>
      <c r="B194">
        <v>227397</v>
      </c>
      <c r="C194">
        <v>227397</v>
      </c>
      <c r="D194">
        <v>227397</v>
      </c>
    </row>
    <row r="195" spans="1:4" x14ac:dyDescent="0.35">
      <c r="A195" s="3" t="s">
        <v>42</v>
      </c>
      <c r="B195">
        <v>450769</v>
      </c>
      <c r="C195">
        <v>450769</v>
      </c>
      <c r="D195">
        <v>450769</v>
      </c>
    </row>
    <row r="196" spans="1:4" x14ac:dyDescent="0.35">
      <c r="A196" s="3" t="s">
        <v>43</v>
      </c>
      <c r="B196">
        <v>298689</v>
      </c>
      <c r="C196">
        <v>298689</v>
      </c>
      <c r="D196">
        <v>298689</v>
      </c>
    </row>
    <row r="197" spans="1:4" x14ac:dyDescent="0.35">
      <c r="A197" s="3" t="s">
        <v>44</v>
      </c>
      <c r="B197">
        <v>224217</v>
      </c>
      <c r="C197">
        <v>224217</v>
      </c>
      <c r="D197">
        <v>224217</v>
      </c>
    </row>
    <row r="198" spans="1:4" x14ac:dyDescent="0.35">
      <c r="A198" s="3" t="s">
        <v>45</v>
      </c>
      <c r="B198">
        <v>372541</v>
      </c>
      <c r="C198">
        <v>372541</v>
      </c>
      <c r="D198">
        <v>372541</v>
      </c>
    </row>
    <row r="199" spans="1:4" x14ac:dyDescent="0.35">
      <c r="A199" s="3" t="s">
        <v>46</v>
      </c>
      <c r="B199">
        <v>296968</v>
      </c>
      <c r="C199">
        <v>296968</v>
      </c>
      <c r="D199">
        <v>296968</v>
      </c>
    </row>
    <row r="200" spans="1:4" x14ac:dyDescent="0.35">
      <c r="A200" s="3" t="s">
        <v>47</v>
      </c>
      <c r="B200">
        <v>291794</v>
      </c>
      <c r="C200">
        <v>291794</v>
      </c>
      <c r="D200">
        <v>291794</v>
      </c>
    </row>
    <row r="201" spans="1:4" x14ac:dyDescent="0.35">
      <c r="A201" s="3" t="s">
        <v>48</v>
      </c>
      <c r="B201">
        <v>286636</v>
      </c>
      <c r="C201">
        <v>286636</v>
      </c>
      <c r="D201">
        <v>286636</v>
      </c>
    </row>
    <row r="202" spans="1:4" x14ac:dyDescent="0.35">
      <c r="A202" s="3" t="s">
        <v>49</v>
      </c>
      <c r="B202">
        <v>358930</v>
      </c>
      <c r="C202">
        <v>291027</v>
      </c>
      <c r="D202">
        <v>358930</v>
      </c>
    </row>
    <row r="203" spans="1:4" x14ac:dyDescent="0.35">
      <c r="A203" s="3" t="s">
        <v>50</v>
      </c>
      <c r="B203">
        <v>73575</v>
      </c>
      <c r="C203">
        <v>73575</v>
      </c>
      <c r="D203">
        <v>73575</v>
      </c>
    </row>
    <row r="204" spans="1:4" x14ac:dyDescent="0.35">
      <c r="A204" s="3" t="s">
        <v>34</v>
      </c>
      <c r="B204">
        <v>3561515</v>
      </c>
      <c r="C204">
        <v>3425755</v>
      </c>
      <c r="D204">
        <v>3493658</v>
      </c>
    </row>
    <row r="216" spans="1:3" x14ac:dyDescent="0.35">
      <c r="A216" s="2" t="s">
        <v>33</v>
      </c>
      <c r="B216" t="s">
        <v>56</v>
      </c>
      <c r="C216" t="s">
        <v>62</v>
      </c>
    </row>
    <row r="217" spans="1:3" x14ac:dyDescent="0.35">
      <c r="A217" s="3" t="s">
        <v>28</v>
      </c>
      <c r="B217">
        <v>22.210416666666671</v>
      </c>
      <c r="C217">
        <v>48</v>
      </c>
    </row>
    <row r="218" spans="1:3" x14ac:dyDescent="0.35">
      <c r="A218" s="3" t="s">
        <v>21</v>
      </c>
      <c r="B218">
        <v>0</v>
      </c>
      <c r="C218">
        <v>46</v>
      </c>
    </row>
    <row r="219" spans="1:3" x14ac:dyDescent="0.35">
      <c r="A219" s="3" t="s">
        <v>26</v>
      </c>
      <c r="B219">
        <v>0.77021276595744659</v>
      </c>
      <c r="C219">
        <v>47</v>
      </c>
    </row>
    <row r="220" spans="1:3" x14ac:dyDescent="0.35">
      <c r="A220" s="3" t="s">
        <v>34</v>
      </c>
      <c r="B220">
        <v>7.8177304964539118</v>
      </c>
      <c r="C220">
        <v>141</v>
      </c>
    </row>
    <row r="233" spans="1:2" x14ac:dyDescent="0.35">
      <c r="A233" s="2" t="s">
        <v>71</v>
      </c>
      <c r="B233" s="2" t="s">
        <v>51</v>
      </c>
    </row>
    <row r="234" spans="1:2" x14ac:dyDescent="0.35">
      <c r="A234" s="2" t="s">
        <v>33</v>
      </c>
      <c r="B234" t="s">
        <v>25</v>
      </c>
    </row>
    <row r="235" spans="1:2" x14ac:dyDescent="0.35">
      <c r="A235" s="3" t="s">
        <v>28</v>
      </c>
      <c r="B235">
        <v>163.6</v>
      </c>
    </row>
    <row r="236" spans="1:2" x14ac:dyDescent="0.35">
      <c r="A236" s="3" t="s">
        <v>21</v>
      </c>
      <c r="B236">
        <v>0</v>
      </c>
    </row>
    <row r="237" spans="1:2" x14ac:dyDescent="0.35">
      <c r="A237" s="3" t="s">
        <v>26</v>
      </c>
      <c r="B237">
        <v>11.4</v>
      </c>
    </row>
    <row r="238" spans="1:2" x14ac:dyDescent="0.35">
      <c r="A238" s="3" t="s">
        <v>34</v>
      </c>
      <c r="B238">
        <v>163.6</v>
      </c>
    </row>
    <row r="247" spans="1:2" x14ac:dyDescent="0.35">
      <c r="A247" t="s">
        <v>52</v>
      </c>
    </row>
    <row r="248" spans="1:2" x14ac:dyDescent="0.35">
      <c r="A248">
        <v>30183508</v>
      </c>
      <c r="B248">
        <f>GETPIVOTDATA("Population Vaccinated",$A$247)</f>
        <v>30183508</v>
      </c>
    </row>
  </sheetData>
  <pageMargins left="0.7" right="0.7" top="0.75" bottom="0.75" header="0.3" footer="0.3"/>
  <pageSetup orientation="portrait" r:id="rId16"/>
  <drawing r:id="rId17"/>
  <extLst>
    <ext xmlns:x14="http://schemas.microsoft.com/office/spreadsheetml/2009/9/main" uri="{A8765BA9-456A-4dab-B4F3-ACF838C121DE}">
      <x14:slicerList>
        <x14:slicer r:id="rId18"/>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120F2-E79B-4EF8-8CCA-94EC7FFD5C2B}">
  <dimension ref="A1:AI71"/>
  <sheetViews>
    <sheetView tabSelected="1" zoomScale="85" zoomScaleNormal="98" workbookViewId="0">
      <selection sqref="A1:AI71"/>
    </sheetView>
  </sheetViews>
  <sheetFormatPr defaultRowHeight="14.5" x14ac:dyDescent="0.35"/>
  <sheetData>
    <row r="1" spans="1:35" x14ac:dyDescent="0.3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row>
    <row r="2" spans="1:35" x14ac:dyDescent="0.3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row>
    <row r="3" spans="1:35" x14ac:dyDescent="0.3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row>
    <row r="4" spans="1:35" x14ac:dyDescent="0.3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row>
    <row r="5" spans="1:35" x14ac:dyDescent="0.35">
      <c r="A5" s="6"/>
      <c r="B5" s="6"/>
      <c r="C5" s="6"/>
      <c r="D5" s="6"/>
      <c r="E5" s="6"/>
      <c r="F5" s="6"/>
      <c r="G5" s="6"/>
      <c r="H5" s="6"/>
      <c r="I5" s="6"/>
      <c r="J5" s="6"/>
      <c r="K5" s="6"/>
      <c r="L5" s="6"/>
      <c r="M5" s="6"/>
      <c r="N5" s="6"/>
      <c r="O5" s="6"/>
      <c r="P5" s="6"/>
      <c r="Q5" s="6"/>
      <c r="R5" s="6"/>
      <c r="S5" s="6"/>
      <c r="T5" s="6"/>
      <c r="U5" s="6"/>
      <c r="V5" s="6"/>
      <c r="W5" s="6"/>
      <c r="X5" s="6"/>
      <c r="Y5" s="6"/>
      <c r="Z5" s="6"/>
      <c r="AA5" s="6"/>
      <c r="AB5" s="6"/>
      <c r="AC5" s="6"/>
      <c r="AD5" s="6"/>
      <c r="AE5" s="6"/>
      <c r="AF5" s="6"/>
      <c r="AG5" s="6"/>
      <c r="AH5" s="6"/>
      <c r="AI5" s="6"/>
    </row>
    <row r="6" spans="1:35" x14ac:dyDescent="0.3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row>
    <row r="7" spans="1:35" x14ac:dyDescent="0.35">
      <c r="A7" s="6"/>
      <c r="B7" s="6"/>
      <c r="C7" s="6"/>
      <c r="D7" s="6"/>
      <c r="E7" s="6"/>
      <c r="F7" s="6"/>
      <c r="G7" s="6"/>
      <c r="H7" s="6"/>
      <c r="I7" s="6"/>
      <c r="J7" s="6"/>
      <c r="K7" s="6"/>
      <c r="L7" s="6"/>
      <c r="M7" s="6"/>
      <c r="N7" s="6"/>
      <c r="O7" s="6"/>
      <c r="P7" s="6"/>
      <c r="Q7" s="6"/>
      <c r="R7" s="6"/>
      <c r="S7" s="6"/>
      <c r="T7" s="6"/>
      <c r="U7" s="6"/>
      <c r="V7" s="6"/>
      <c r="W7" s="6"/>
      <c r="X7" s="6"/>
      <c r="Y7" s="6"/>
      <c r="Z7" s="6"/>
      <c r="AA7" s="6"/>
      <c r="AB7" s="6"/>
      <c r="AC7" s="6"/>
      <c r="AD7" s="6"/>
      <c r="AE7" s="6"/>
      <c r="AF7" s="6"/>
      <c r="AG7" s="6"/>
      <c r="AH7" s="6"/>
      <c r="AI7" s="6"/>
    </row>
    <row r="8" spans="1:35" x14ac:dyDescent="0.3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row>
    <row r="9" spans="1:35" x14ac:dyDescent="0.35">
      <c r="A9" s="6"/>
      <c r="B9" s="6"/>
      <c r="C9" s="6"/>
      <c r="D9" s="6"/>
      <c r="E9" s="6"/>
      <c r="F9" s="6"/>
      <c r="G9" s="6"/>
      <c r="H9" s="6"/>
      <c r="I9" s="6"/>
      <c r="J9" s="6"/>
      <c r="K9" s="6"/>
      <c r="L9" s="6"/>
      <c r="M9" s="6"/>
      <c r="N9" s="6"/>
      <c r="O9" s="6"/>
      <c r="P9" s="6"/>
      <c r="Q9" s="6"/>
      <c r="R9" s="6"/>
      <c r="S9" s="6"/>
      <c r="T9" s="6"/>
      <c r="U9" s="6"/>
      <c r="V9" s="6"/>
      <c r="W9" s="6"/>
      <c r="X9" s="6"/>
      <c r="Y9" s="6"/>
      <c r="Z9" s="6"/>
      <c r="AA9" s="6"/>
      <c r="AB9" s="6"/>
      <c r="AC9" s="6"/>
      <c r="AD9" s="6"/>
      <c r="AE9" s="6"/>
      <c r="AF9" s="6"/>
      <c r="AG9" s="6"/>
      <c r="AH9" s="6"/>
      <c r="AI9" s="6"/>
    </row>
    <row r="10" spans="1:35" x14ac:dyDescent="0.3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row>
    <row r="11" spans="1:35" x14ac:dyDescent="0.35">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c r="AC11" s="6"/>
      <c r="AD11" s="6"/>
      <c r="AE11" s="6"/>
      <c r="AF11" s="6"/>
      <c r="AG11" s="6"/>
      <c r="AH11" s="6"/>
      <c r="AI11" s="6"/>
    </row>
    <row r="12" spans="1:35" x14ac:dyDescent="0.35">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c r="AC12" s="6"/>
      <c r="AD12" s="6"/>
      <c r="AE12" s="6"/>
      <c r="AF12" s="6"/>
      <c r="AG12" s="6"/>
      <c r="AH12" s="6"/>
      <c r="AI12" s="6"/>
    </row>
    <row r="13" spans="1:35" x14ac:dyDescent="0.35">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c r="AC13" s="6"/>
      <c r="AD13" s="6"/>
      <c r="AE13" s="6"/>
      <c r="AF13" s="6"/>
      <c r="AG13" s="6"/>
      <c r="AH13" s="6"/>
      <c r="AI13" s="6"/>
    </row>
    <row r="14" spans="1:35" x14ac:dyDescent="0.35">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row>
    <row r="15" spans="1:35" x14ac:dyDescent="0.35">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c r="AC15" s="6"/>
      <c r="AD15" s="6"/>
      <c r="AE15" s="6"/>
      <c r="AF15" s="6"/>
      <c r="AG15" s="6"/>
      <c r="AH15" s="6"/>
      <c r="AI15" s="6"/>
    </row>
    <row r="16" spans="1:35" x14ac:dyDescent="0.35">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c r="AC16" s="6"/>
      <c r="AD16" s="6"/>
      <c r="AE16" s="6"/>
      <c r="AF16" s="6"/>
      <c r="AG16" s="6"/>
      <c r="AH16" s="6"/>
      <c r="AI16" s="6"/>
    </row>
    <row r="17" spans="1:35" x14ac:dyDescent="0.3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row>
    <row r="18" spans="1:35" x14ac:dyDescent="0.3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row>
    <row r="19" spans="1:35" x14ac:dyDescent="0.35">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c r="AC19" s="6"/>
      <c r="AD19" s="6"/>
      <c r="AE19" s="6"/>
      <c r="AF19" s="6"/>
      <c r="AG19" s="6"/>
      <c r="AH19" s="6"/>
      <c r="AI19" s="6"/>
    </row>
    <row r="20" spans="1:35" x14ac:dyDescent="0.35">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c r="AC20" s="6"/>
      <c r="AD20" s="6"/>
      <c r="AE20" s="6"/>
      <c r="AF20" s="6"/>
      <c r="AG20" s="6"/>
      <c r="AH20" s="6"/>
      <c r="AI20" s="6"/>
    </row>
    <row r="21" spans="1:35" x14ac:dyDescent="0.3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row>
    <row r="22" spans="1:35" x14ac:dyDescent="0.3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row>
    <row r="23" spans="1:35" x14ac:dyDescent="0.3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row>
    <row r="24" spans="1:35" x14ac:dyDescent="0.35">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c r="AC24" s="6"/>
      <c r="AD24" s="6"/>
      <c r="AE24" s="6"/>
      <c r="AF24" s="6"/>
      <c r="AG24" s="6"/>
      <c r="AH24" s="6"/>
      <c r="AI24" s="6"/>
    </row>
    <row r="25" spans="1:35" x14ac:dyDescent="0.35">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row>
    <row r="26" spans="1:35" x14ac:dyDescent="0.3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row>
    <row r="27" spans="1:35" x14ac:dyDescent="0.3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row>
    <row r="28" spans="1:35" x14ac:dyDescent="0.3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row>
    <row r="29" spans="1:35" x14ac:dyDescent="0.3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row>
    <row r="30" spans="1:35" x14ac:dyDescent="0.3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row>
    <row r="31" spans="1:35" x14ac:dyDescent="0.3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row>
    <row r="32" spans="1:35" x14ac:dyDescent="0.3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row>
    <row r="33" spans="1:35" x14ac:dyDescent="0.3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row>
    <row r="34" spans="1:35" x14ac:dyDescent="0.35">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row>
    <row r="35" spans="1:35" x14ac:dyDescent="0.3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row>
    <row r="36" spans="1:35" x14ac:dyDescent="0.3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row>
    <row r="37" spans="1:35" x14ac:dyDescent="0.35">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c r="AC37" s="6"/>
      <c r="AD37" s="6"/>
      <c r="AE37" s="6"/>
      <c r="AF37" s="6"/>
      <c r="AG37" s="6"/>
      <c r="AH37" s="6"/>
      <c r="AI37" s="6"/>
    </row>
    <row r="38" spans="1:35" x14ac:dyDescent="0.35">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c r="AC38" s="6"/>
      <c r="AD38" s="6"/>
      <c r="AE38" s="6"/>
      <c r="AF38" s="6"/>
      <c r="AG38" s="6"/>
      <c r="AH38" s="6"/>
      <c r="AI38" s="6"/>
    </row>
    <row r="39" spans="1:35" x14ac:dyDescent="0.35">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c r="AC39" s="6"/>
      <c r="AD39" s="6"/>
      <c r="AE39" s="6"/>
      <c r="AF39" s="6"/>
      <c r="AG39" s="6"/>
      <c r="AH39" s="6"/>
      <c r="AI39" s="6"/>
    </row>
    <row r="40" spans="1:35" x14ac:dyDescent="0.35">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c r="AC40" s="6"/>
      <c r="AD40" s="6"/>
      <c r="AE40" s="6"/>
      <c r="AF40" s="6"/>
      <c r="AG40" s="6"/>
      <c r="AH40" s="6"/>
      <c r="AI40" s="6"/>
    </row>
    <row r="41" spans="1:35" x14ac:dyDescent="0.3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row>
    <row r="42" spans="1:35" x14ac:dyDescent="0.3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row>
    <row r="43" spans="1:35" x14ac:dyDescent="0.35">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c r="AC43" s="6"/>
      <c r="AD43" s="6"/>
      <c r="AE43" s="6"/>
      <c r="AF43" s="6"/>
      <c r="AG43" s="6"/>
      <c r="AH43" s="6"/>
      <c r="AI43" s="6"/>
    </row>
    <row r="44" spans="1:35" x14ac:dyDescent="0.35">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c r="AC44" s="6"/>
      <c r="AD44" s="6"/>
      <c r="AE44" s="6"/>
      <c r="AF44" s="6"/>
      <c r="AG44" s="6"/>
      <c r="AH44" s="6"/>
      <c r="AI44" s="6"/>
    </row>
    <row r="45" spans="1:35" x14ac:dyDescent="0.35">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row>
    <row r="46" spans="1:35" x14ac:dyDescent="0.35">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c r="AC46" s="6"/>
      <c r="AD46" s="6"/>
      <c r="AE46" s="6"/>
      <c r="AF46" s="6"/>
      <c r="AG46" s="6"/>
      <c r="AH46" s="6"/>
      <c r="AI46" s="6"/>
    </row>
    <row r="47" spans="1:35" x14ac:dyDescent="0.35">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c r="AC47" s="6"/>
      <c r="AD47" s="6"/>
      <c r="AE47" s="6"/>
      <c r="AF47" s="6"/>
      <c r="AG47" s="6"/>
      <c r="AH47" s="6"/>
      <c r="AI47" s="6"/>
    </row>
    <row r="48" spans="1:35" x14ac:dyDescent="0.35">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c r="AC48" s="6"/>
      <c r="AD48" s="6"/>
      <c r="AE48" s="6"/>
      <c r="AF48" s="6"/>
      <c r="AG48" s="6"/>
      <c r="AH48" s="6"/>
      <c r="AI48" s="6"/>
    </row>
    <row r="49" spans="1:35" x14ac:dyDescent="0.35">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c r="AC49" s="6"/>
      <c r="AD49" s="6"/>
      <c r="AE49" s="6"/>
      <c r="AF49" s="6"/>
      <c r="AG49" s="6"/>
      <c r="AH49" s="6"/>
      <c r="AI49" s="6"/>
    </row>
    <row r="50" spans="1:35" x14ac:dyDescent="0.35">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c r="AC50" s="6"/>
      <c r="AD50" s="6"/>
      <c r="AE50" s="6"/>
      <c r="AF50" s="6"/>
      <c r="AG50" s="6"/>
      <c r="AH50" s="6"/>
      <c r="AI50" s="6"/>
    </row>
    <row r="51" spans="1:35" x14ac:dyDescent="0.35">
      <c r="A51" s="6"/>
      <c r="B51" s="6"/>
      <c r="C51" s="6"/>
      <c r="D51" s="6"/>
      <c r="E51" s="6"/>
      <c r="F51" s="6"/>
      <c r="G51" s="6"/>
      <c r="H51" s="6"/>
      <c r="I51" s="6"/>
      <c r="J51" s="6"/>
      <c r="K51" s="6"/>
      <c r="L51" s="6"/>
      <c r="M51" s="6"/>
      <c r="N51" s="6"/>
      <c r="O51" s="6"/>
      <c r="P51" s="6"/>
      <c r="Q51" s="6"/>
      <c r="R51" s="6"/>
      <c r="S51" s="6"/>
      <c r="T51" s="6"/>
      <c r="U51" s="6"/>
      <c r="V51" s="6"/>
      <c r="W51" s="6"/>
      <c r="X51" s="6"/>
      <c r="Y51" s="6"/>
      <c r="Z51" s="6"/>
      <c r="AA51" s="6"/>
      <c r="AB51" s="6"/>
      <c r="AC51" s="6"/>
      <c r="AD51" s="6"/>
      <c r="AE51" s="6"/>
      <c r="AF51" s="6"/>
      <c r="AG51" s="6"/>
      <c r="AH51" s="6"/>
      <c r="AI51" s="6"/>
    </row>
    <row r="52" spans="1:35" x14ac:dyDescent="0.35">
      <c r="A52" s="6"/>
      <c r="B52" s="6"/>
      <c r="C52" s="6"/>
      <c r="D52" s="6"/>
      <c r="E52" s="6"/>
      <c r="F52" s="6"/>
      <c r="G52" s="6"/>
      <c r="H52" s="6"/>
      <c r="I52" s="6"/>
      <c r="J52" s="6"/>
      <c r="K52" s="6"/>
      <c r="L52" s="6"/>
      <c r="M52" s="6"/>
      <c r="N52" s="6"/>
      <c r="O52" s="6"/>
      <c r="P52" s="6"/>
      <c r="Q52" s="6"/>
      <c r="R52" s="6"/>
      <c r="S52" s="6"/>
      <c r="T52" s="6"/>
      <c r="U52" s="6"/>
      <c r="V52" s="6"/>
      <c r="W52" s="6"/>
      <c r="X52" s="6"/>
      <c r="Y52" s="6"/>
      <c r="Z52" s="6"/>
      <c r="AA52" s="6"/>
      <c r="AB52" s="6"/>
      <c r="AC52" s="6"/>
      <c r="AD52" s="6"/>
      <c r="AE52" s="6"/>
      <c r="AF52" s="6"/>
      <c r="AG52" s="6"/>
      <c r="AH52" s="6"/>
      <c r="AI52" s="6"/>
    </row>
    <row r="53" spans="1:35" x14ac:dyDescent="0.35">
      <c r="A53" s="6"/>
      <c r="B53" s="6"/>
      <c r="C53" s="6"/>
      <c r="D53" s="6"/>
      <c r="E53" s="6"/>
      <c r="F53" s="6"/>
      <c r="G53" s="6"/>
      <c r="H53" s="6"/>
      <c r="I53" s="6"/>
      <c r="J53" s="6"/>
      <c r="K53" s="6"/>
      <c r="L53" s="6"/>
      <c r="M53" s="6"/>
      <c r="N53" s="6"/>
      <c r="O53" s="6"/>
      <c r="P53" s="6"/>
      <c r="Q53" s="6"/>
      <c r="R53" s="6"/>
      <c r="S53" s="6"/>
      <c r="T53" s="6"/>
      <c r="U53" s="6"/>
      <c r="V53" s="6"/>
      <c r="W53" s="6"/>
      <c r="X53" s="6"/>
      <c r="Y53" s="6"/>
      <c r="Z53" s="6"/>
      <c r="AA53" s="6"/>
      <c r="AB53" s="6"/>
      <c r="AC53" s="6"/>
      <c r="AD53" s="6"/>
      <c r="AE53" s="6"/>
      <c r="AF53" s="6"/>
      <c r="AG53" s="6"/>
      <c r="AH53" s="6"/>
      <c r="AI53" s="6"/>
    </row>
    <row r="54" spans="1:35" x14ac:dyDescent="0.3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35" x14ac:dyDescent="0.35">
      <c r="A55" s="6"/>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35" x14ac:dyDescent="0.35">
      <c r="A56" s="6"/>
      <c r="B56" s="6"/>
      <c r="C56" s="6"/>
      <c r="D56" s="6"/>
      <c r="E56" s="6"/>
      <c r="F56" s="6"/>
      <c r="G56" s="6"/>
      <c r="H56" s="6"/>
      <c r="I56" s="6"/>
      <c r="J56" s="6"/>
      <c r="K56" s="6"/>
      <c r="L56" s="6"/>
      <c r="M56" s="6"/>
      <c r="N56" s="6"/>
      <c r="O56" s="6"/>
      <c r="P56" s="6"/>
      <c r="Q56" s="6"/>
      <c r="R56" s="6"/>
      <c r="S56" s="6"/>
      <c r="T56" s="6"/>
      <c r="U56" s="6"/>
      <c r="V56" s="6"/>
      <c r="W56" s="6"/>
      <c r="X56" s="6"/>
      <c r="Y56" s="6"/>
      <c r="Z56" s="6"/>
      <c r="AA56" s="6"/>
      <c r="AB56" s="6"/>
      <c r="AC56" s="6"/>
      <c r="AD56" s="6"/>
      <c r="AE56" s="6"/>
      <c r="AF56" s="6"/>
      <c r="AG56" s="6"/>
      <c r="AH56" s="6"/>
      <c r="AI56" s="6"/>
    </row>
    <row r="57" spans="1:35" x14ac:dyDescent="0.35">
      <c r="A57" s="6"/>
      <c r="B57" s="6"/>
      <c r="C57" s="6"/>
      <c r="D57" s="6"/>
      <c r="E57" s="6"/>
      <c r="F57" s="6"/>
      <c r="G57" s="6"/>
      <c r="H57" s="6"/>
      <c r="I57" s="6"/>
      <c r="J57" s="6"/>
      <c r="K57" s="6"/>
      <c r="L57" s="6"/>
      <c r="M57" s="6"/>
      <c r="N57" s="6"/>
      <c r="O57" s="6"/>
      <c r="P57" s="6"/>
      <c r="Q57" s="6"/>
      <c r="R57" s="6"/>
      <c r="S57" s="6"/>
      <c r="T57" s="6"/>
      <c r="U57" s="6"/>
      <c r="V57" s="6"/>
      <c r="W57" s="6"/>
      <c r="X57" s="6"/>
      <c r="Y57" s="6"/>
      <c r="Z57" s="6"/>
      <c r="AA57" s="6"/>
      <c r="AB57" s="6"/>
      <c r="AC57" s="6"/>
      <c r="AD57" s="6"/>
      <c r="AE57" s="6"/>
      <c r="AF57" s="6"/>
      <c r="AG57" s="6"/>
      <c r="AH57" s="6"/>
      <c r="AI57" s="6"/>
    </row>
    <row r="58" spans="1:35" x14ac:dyDescent="0.35">
      <c r="A58" s="6"/>
      <c r="B58" s="6"/>
      <c r="C58" s="6"/>
      <c r="D58" s="6"/>
      <c r="E58" s="6"/>
      <c r="F58" s="6"/>
      <c r="G58" s="6"/>
      <c r="H58" s="6"/>
      <c r="I58" s="6"/>
      <c r="J58" s="6"/>
      <c r="K58" s="6"/>
      <c r="L58" s="6"/>
      <c r="M58" s="6"/>
      <c r="N58" s="6"/>
      <c r="O58" s="6"/>
      <c r="P58" s="6"/>
      <c r="Q58" s="6"/>
      <c r="R58" s="6"/>
      <c r="S58" s="6"/>
      <c r="T58" s="6"/>
      <c r="U58" s="6"/>
      <c r="V58" s="6"/>
      <c r="W58" s="6"/>
      <c r="X58" s="6"/>
      <c r="Y58" s="6"/>
      <c r="Z58" s="6"/>
      <c r="AA58" s="6"/>
      <c r="AB58" s="6"/>
      <c r="AC58" s="6"/>
      <c r="AD58" s="6"/>
      <c r="AE58" s="6"/>
      <c r="AF58" s="6"/>
      <c r="AG58" s="6"/>
      <c r="AH58" s="6"/>
      <c r="AI58" s="6"/>
    </row>
    <row r="59" spans="1:35" x14ac:dyDescent="0.35">
      <c r="A59" s="6"/>
      <c r="B59" s="6"/>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row>
    <row r="60" spans="1:35" x14ac:dyDescent="0.35">
      <c r="A60" s="6"/>
      <c r="B60" s="6"/>
      <c r="C60" s="6"/>
      <c r="D60" s="6"/>
      <c r="E60" s="6"/>
      <c r="F60" s="6"/>
      <c r="G60" s="6"/>
      <c r="H60" s="6"/>
      <c r="I60" s="6"/>
      <c r="J60" s="6"/>
      <c r="K60" s="6"/>
      <c r="L60" s="6"/>
      <c r="M60" s="6"/>
      <c r="N60" s="6"/>
      <c r="O60" s="6"/>
      <c r="P60" s="6"/>
      <c r="Q60" s="6"/>
      <c r="R60" s="6"/>
      <c r="S60" s="6"/>
      <c r="T60" s="6"/>
      <c r="U60" s="6"/>
      <c r="V60" s="6"/>
      <c r="W60" s="6"/>
      <c r="X60" s="6"/>
      <c r="Y60" s="6"/>
      <c r="Z60" s="6"/>
      <c r="AA60" s="6"/>
      <c r="AB60" s="6"/>
      <c r="AC60" s="6"/>
      <c r="AD60" s="6"/>
      <c r="AE60" s="6"/>
      <c r="AF60" s="6"/>
      <c r="AG60" s="6"/>
      <c r="AH60" s="6"/>
      <c r="AI60" s="6"/>
    </row>
    <row r="61" spans="1:35" x14ac:dyDescent="0.35">
      <c r="A61" s="6"/>
      <c r="B61" s="6"/>
      <c r="C61" s="6"/>
      <c r="D61" s="6"/>
      <c r="E61" s="6"/>
      <c r="F61" s="6"/>
      <c r="G61" s="6"/>
      <c r="H61" s="6"/>
      <c r="I61" s="6"/>
      <c r="J61" s="6"/>
      <c r="K61" s="6"/>
      <c r="L61" s="6"/>
      <c r="M61" s="6"/>
      <c r="N61" s="6"/>
      <c r="O61" s="6"/>
      <c r="P61" s="6"/>
      <c r="Q61" s="6"/>
      <c r="R61" s="6"/>
      <c r="S61" s="6"/>
      <c r="T61" s="6"/>
      <c r="U61" s="6"/>
      <c r="V61" s="6"/>
      <c r="W61" s="6"/>
      <c r="X61" s="6"/>
      <c r="Y61" s="6"/>
      <c r="Z61" s="6"/>
      <c r="AA61" s="6"/>
      <c r="AB61" s="6"/>
      <c r="AC61" s="6"/>
      <c r="AD61" s="6"/>
      <c r="AE61" s="6"/>
      <c r="AF61" s="6"/>
      <c r="AG61" s="6"/>
      <c r="AH61" s="6"/>
      <c r="AI61" s="6"/>
    </row>
    <row r="62" spans="1:35" x14ac:dyDescent="0.35">
      <c r="A62" s="6"/>
      <c r="B62" s="6"/>
      <c r="C62" s="6"/>
      <c r="D62" s="6"/>
      <c r="E62" s="6"/>
      <c r="F62" s="6"/>
      <c r="G62" s="6"/>
      <c r="H62" s="6"/>
      <c r="I62" s="6"/>
      <c r="J62" s="6"/>
      <c r="K62" s="6"/>
      <c r="L62" s="6"/>
      <c r="M62" s="6"/>
      <c r="N62" s="6"/>
      <c r="O62" s="6"/>
      <c r="P62" s="6"/>
      <c r="Q62" s="6"/>
      <c r="R62" s="6"/>
      <c r="S62" s="6"/>
      <c r="T62" s="6"/>
      <c r="U62" s="6"/>
      <c r="V62" s="6"/>
      <c r="W62" s="6"/>
      <c r="X62" s="6"/>
      <c r="Y62" s="6"/>
      <c r="Z62" s="6"/>
      <c r="AA62" s="6"/>
      <c r="AB62" s="6"/>
      <c r="AC62" s="6"/>
      <c r="AD62" s="6"/>
      <c r="AE62" s="6"/>
      <c r="AF62" s="6"/>
      <c r="AG62" s="6"/>
      <c r="AH62" s="6"/>
      <c r="AI62" s="6"/>
    </row>
    <row r="63" spans="1:35" x14ac:dyDescent="0.35">
      <c r="A63" s="6"/>
      <c r="B63" s="6"/>
      <c r="C63" s="6"/>
      <c r="D63" s="6"/>
      <c r="E63" s="6"/>
      <c r="F63" s="6"/>
      <c r="G63" s="6"/>
      <c r="H63" s="6"/>
      <c r="I63" s="6"/>
      <c r="J63" s="6"/>
      <c r="K63" s="6"/>
      <c r="L63" s="6"/>
      <c r="M63" s="6"/>
      <c r="N63" s="6"/>
      <c r="O63" s="6"/>
      <c r="P63" s="6"/>
      <c r="Q63" s="6"/>
      <c r="R63" s="6"/>
      <c r="S63" s="6"/>
      <c r="T63" s="6"/>
      <c r="U63" s="6"/>
      <c r="V63" s="6"/>
      <c r="W63" s="6"/>
      <c r="X63" s="6"/>
      <c r="Y63" s="6"/>
      <c r="Z63" s="6"/>
      <c r="AA63" s="6"/>
      <c r="AB63" s="6"/>
      <c r="AC63" s="6"/>
      <c r="AD63" s="6"/>
      <c r="AE63" s="6"/>
      <c r="AF63" s="6"/>
      <c r="AG63" s="6"/>
      <c r="AH63" s="6"/>
      <c r="AI63" s="6"/>
    </row>
    <row r="64" spans="1:35" x14ac:dyDescent="0.35">
      <c r="A64" s="6"/>
      <c r="B64" s="6"/>
      <c r="C64" s="6"/>
      <c r="D64" s="6"/>
      <c r="E64" s="6"/>
      <c r="F64" s="6"/>
      <c r="G64" s="6"/>
      <c r="H64" s="6"/>
      <c r="I64" s="6"/>
      <c r="J64" s="6"/>
      <c r="K64" s="6"/>
      <c r="L64" s="6"/>
      <c r="M64" s="6"/>
      <c r="N64" s="6"/>
      <c r="O64" s="6"/>
      <c r="P64" s="6"/>
      <c r="Q64" s="6"/>
      <c r="R64" s="6"/>
      <c r="S64" s="6"/>
      <c r="T64" s="6"/>
      <c r="U64" s="6"/>
      <c r="V64" s="6"/>
      <c r="W64" s="6"/>
      <c r="X64" s="6"/>
      <c r="Y64" s="6"/>
      <c r="Z64" s="6"/>
      <c r="AA64" s="6"/>
      <c r="AB64" s="6"/>
      <c r="AC64" s="6"/>
      <c r="AD64" s="6"/>
      <c r="AE64" s="6"/>
      <c r="AF64" s="6"/>
      <c r="AG64" s="6"/>
      <c r="AH64" s="6"/>
      <c r="AI64" s="6"/>
    </row>
    <row r="65" spans="1:35" x14ac:dyDescent="0.35">
      <c r="A65" s="6"/>
      <c r="B65" s="6"/>
      <c r="C65" s="6"/>
      <c r="D65" s="6"/>
      <c r="E65" s="6"/>
      <c r="F65" s="6"/>
      <c r="G65" s="6"/>
      <c r="H65" s="6"/>
      <c r="I65" s="6"/>
      <c r="J65" s="6"/>
      <c r="K65" s="6"/>
      <c r="L65" s="6"/>
      <c r="M65" s="6"/>
      <c r="N65" s="6"/>
      <c r="O65" s="6"/>
      <c r="P65" s="6"/>
      <c r="Q65" s="6"/>
      <c r="R65" s="6"/>
      <c r="S65" s="6"/>
      <c r="T65" s="6"/>
      <c r="U65" s="6"/>
      <c r="V65" s="6"/>
      <c r="W65" s="6"/>
      <c r="X65" s="6"/>
      <c r="Y65" s="6"/>
      <c r="Z65" s="6"/>
      <c r="AA65" s="6"/>
      <c r="AB65" s="6"/>
      <c r="AC65" s="6"/>
      <c r="AD65" s="6"/>
      <c r="AE65" s="6"/>
      <c r="AF65" s="6"/>
      <c r="AG65" s="6"/>
      <c r="AH65" s="6"/>
      <c r="AI65" s="6"/>
    </row>
    <row r="66" spans="1:35" x14ac:dyDescent="0.35">
      <c r="A66" s="6"/>
      <c r="B66" s="6"/>
      <c r="C66" s="6"/>
      <c r="D66" s="6"/>
      <c r="E66" s="6"/>
      <c r="F66" s="6"/>
      <c r="G66" s="6"/>
      <c r="H66" s="6"/>
      <c r="I66" s="6"/>
      <c r="J66" s="6"/>
      <c r="K66" s="6"/>
      <c r="L66" s="6"/>
      <c r="M66" s="6"/>
      <c r="N66" s="6"/>
      <c r="O66" s="6"/>
      <c r="P66" s="6"/>
      <c r="Q66" s="6"/>
      <c r="R66" s="6"/>
      <c r="S66" s="6"/>
      <c r="T66" s="6"/>
      <c r="U66" s="6"/>
      <c r="V66" s="6"/>
      <c r="W66" s="6"/>
      <c r="X66" s="6"/>
      <c r="Y66" s="6"/>
      <c r="Z66" s="6"/>
      <c r="AA66" s="6"/>
      <c r="AB66" s="6"/>
      <c r="AC66" s="6"/>
      <c r="AD66" s="6"/>
      <c r="AE66" s="6"/>
      <c r="AF66" s="6"/>
      <c r="AG66" s="6"/>
      <c r="AH66" s="6"/>
      <c r="AI66" s="6"/>
    </row>
    <row r="67" spans="1:35" x14ac:dyDescent="0.35">
      <c r="A67" s="6"/>
      <c r="B67" s="6"/>
      <c r="C67" s="6"/>
      <c r="D67" s="6"/>
      <c r="E67" s="6"/>
      <c r="F67" s="6"/>
      <c r="G67" s="6"/>
      <c r="H67" s="6"/>
      <c r="I67" s="6"/>
      <c r="J67" s="6"/>
      <c r="K67" s="6"/>
      <c r="L67" s="6"/>
      <c r="M67" s="6"/>
      <c r="N67" s="6"/>
      <c r="O67" s="6"/>
      <c r="P67" s="6"/>
      <c r="Q67" s="6"/>
      <c r="R67" s="6"/>
      <c r="S67" s="6"/>
      <c r="T67" s="6"/>
      <c r="U67" s="6"/>
      <c r="V67" s="6"/>
      <c r="W67" s="6"/>
      <c r="X67" s="6"/>
      <c r="Y67" s="6"/>
      <c r="Z67" s="6"/>
      <c r="AA67" s="6"/>
      <c r="AB67" s="6"/>
      <c r="AC67" s="6"/>
      <c r="AD67" s="6"/>
      <c r="AE67" s="6"/>
      <c r="AF67" s="6"/>
      <c r="AG67" s="6"/>
      <c r="AH67" s="6"/>
      <c r="AI67" s="6"/>
    </row>
    <row r="68" spans="1:35" x14ac:dyDescent="0.35">
      <c r="A68" s="6"/>
      <c r="B68" s="6"/>
      <c r="C68" s="6"/>
      <c r="D68" s="6"/>
      <c r="E68" s="6"/>
      <c r="F68" s="6"/>
      <c r="G68" s="6"/>
      <c r="H68" s="6"/>
      <c r="I68" s="6"/>
      <c r="J68" s="6"/>
      <c r="K68" s="6"/>
      <c r="L68" s="6"/>
      <c r="M68" s="6"/>
      <c r="N68" s="6"/>
      <c r="O68" s="6"/>
      <c r="P68" s="6"/>
      <c r="Q68" s="6"/>
      <c r="R68" s="6"/>
      <c r="S68" s="6"/>
      <c r="T68" s="6"/>
      <c r="U68" s="6"/>
      <c r="V68" s="6"/>
      <c r="W68" s="6"/>
      <c r="X68" s="6"/>
      <c r="Y68" s="6"/>
      <c r="Z68" s="6"/>
      <c r="AA68" s="6"/>
      <c r="AB68" s="6"/>
      <c r="AC68" s="6"/>
      <c r="AD68" s="6"/>
      <c r="AE68" s="6"/>
      <c r="AF68" s="6"/>
      <c r="AG68" s="6"/>
      <c r="AH68" s="6"/>
      <c r="AI68" s="6"/>
    </row>
    <row r="69" spans="1:35" x14ac:dyDescent="0.35">
      <c r="A69" s="6"/>
      <c r="B69" s="6"/>
      <c r="C69" s="6"/>
      <c r="D69" s="6"/>
      <c r="E69" s="6"/>
      <c r="F69" s="6"/>
      <c r="G69" s="6"/>
      <c r="H69" s="6"/>
      <c r="I69" s="6"/>
      <c r="J69" s="6"/>
      <c r="K69" s="6"/>
      <c r="L69" s="6"/>
      <c r="M69" s="6"/>
      <c r="N69" s="6"/>
      <c r="O69" s="6"/>
      <c r="P69" s="6"/>
      <c r="Q69" s="6"/>
      <c r="R69" s="6"/>
      <c r="S69" s="6"/>
      <c r="T69" s="6"/>
      <c r="U69" s="6"/>
      <c r="V69" s="6"/>
      <c r="W69" s="6"/>
      <c r="X69" s="6"/>
      <c r="Y69" s="6"/>
      <c r="Z69" s="6"/>
      <c r="AA69" s="6"/>
      <c r="AB69" s="6"/>
      <c r="AC69" s="6"/>
      <c r="AD69" s="6"/>
      <c r="AE69" s="6"/>
      <c r="AF69" s="6"/>
      <c r="AG69" s="6"/>
      <c r="AH69" s="6"/>
      <c r="AI69" s="6"/>
    </row>
    <row r="70" spans="1:35" x14ac:dyDescent="0.35">
      <c r="A70" s="6"/>
      <c r="B70" s="6"/>
      <c r="C70" s="6"/>
      <c r="D70" s="6"/>
      <c r="E70" s="6"/>
      <c r="F70" s="6"/>
      <c r="G70" s="6"/>
      <c r="H70" s="6"/>
      <c r="I70" s="6"/>
      <c r="J70" s="6"/>
      <c r="K70" s="6"/>
      <c r="L70" s="6"/>
      <c r="M70" s="6"/>
      <c r="N70" s="6"/>
      <c r="O70" s="6"/>
      <c r="P70" s="6"/>
      <c r="Q70" s="6"/>
      <c r="R70" s="6"/>
      <c r="S70" s="6"/>
      <c r="T70" s="6"/>
      <c r="U70" s="6"/>
      <c r="V70" s="6"/>
      <c r="W70" s="6"/>
      <c r="X70" s="6"/>
      <c r="Y70" s="6"/>
      <c r="Z70" s="6"/>
      <c r="AA70" s="6"/>
      <c r="AB70" s="6"/>
      <c r="AC70" s="6"/>
      <c r="AD70" s="6"/>
      <c r="AE70" s="6"/>
      <c r="AF70" s="6"/>
      <c r="AG70" s="6"/>
      <c r="AH70" s="6"/>
      <c r="AI70" s="6"/>
    </row>
    <row r="71" spans="1:35" x14ac:dyDescent="0.35">
      <c r="A71" s="6"/>
      <c r="B71" s="6"/>
      <c r="C71" s="6"/>
      <c r="D71" s="6"/>
      <c r="E71" s="6"/>
      <c r="F71" s="6"/>
      <c r="G71" s="6"/>
      <c r="H71" s="6"/>
      <c r="I71" s="6"/>
      <c r="J71" s="6"/>
      <c r="K71" s="6"/>
      <c r="L71" s="6"/>
      <c r="M71" s="6"/>
      <c r="N71" s="6"/>
      <c r="O71" s="6"/>
      <c r="P71" s="6"/>
      <c r="Q71" s="6"/>
      <c r="R71" s="6"/>
      <c r="S71" s="6"/>
      <c r="T71" s="6"/>
      <c r="U71" s="6"/>
      <c r="V71" s="6"/>
      <c r="W71" s="6"/>
      <c r="X71" s="6"/>
      <c r="Y71" s="6"/>
      <c r="Z71" s="6"/>
      <c r="AA71" s="6"/>
      <c r="AB71" s="6"/>
      <c r="AC71" s="6"/>
      <c r="AD71" s="6"/>
      <c r="AE71" s="6"/>
      <c r="AF71" s="6"/>
      <c r="AG71" s="6"/>
      <c r="AH71" s="6"/>
      <c r="AI71" s="6"/>
    </row>
  </sheetData>
  <mergeCells count="1">
    <mergeCell ref="A1:AI7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67732D48218C9B4CB442B757140033AA" ma:contentTypeVersion="6" ma:contentTypeDescription="Create a new document." ma:contentTypeScope="" ma:versionID="5e3e44baf109a7a5a77ba9506ec4c75c">
  <xsd:schema xmlns:xsd="http://www.w3.org/2001/XMLSchema" xmlns:xs="http://www.w3.org/2001/XMLSchema" xmlns:p="http://schemas.microsoft.com/office/2006/metadata/properties" xmlns:ns3="e2ceb17d-0fba-435f-a6ee-89a0276fe828" targetNamespace="http://schemas.microsoft.com/office/2006/metadata/properties" ma:root="true" ma:fieldsID="fd8d71e15db72fe642ae19ec76fff56f" ns3:_="">
    <xsd:import namespace="e2ceb17d-0fba-435f-a6ee-89a0276fe828"/>
    <xsd:element name="properties">
      <xsd:complexType>
        <xsd:sequence>
          <xsd:element name="documentManagement">
            <xsd:complexType>
              <xsd:all>
                <xsd:element ref="ns3:MediaServiceMetadata" minOccurs="0"/>
                <xsd:element ref="ns3:MediaServiceFastMetadata" minOccurs="0"/>
                <xsd:element ref="ns3:MediaServiceSearchProperties" minOccurs="0"/>
                <xsd:element ref="ns3:MediaServiceObjectDetectorVersions" minOccurs="0"/>
                <xsd:element ref="ns3:_activity"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ceb17d-0fba-435f-a6ee-89a0276fe82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_activity" ma:index="12" nillable="true" ma:displayName="_activity" ma:hidden="true" ma:internalName="_activity">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e2ceb17d-0fba-435f-a6ee-89a0276fe828" xsi:nil="true"/>
  </documentManagement>
</p:properties>
</file>

<file path=customXml/itemProps1.xml><?xml version="1.0" encoding="utf-8"?>
<ds:datastoreItem xmlns:ds="http://schemas.openxmlformats.org/officeDocument/2006/customXml" ds:itemID="{4594B3E2-428D-4FD8-A0CA-BEE93595C572}">
  <ds:schemaRefs>
    <ds:schemaRef ds:uri="http://schemas.microsoft.com/sharepoint/v3/contenttype/forms"/>
  </ds:schemaRefs>
</ds:datastoreItem>
</file>

<file path=customXml/itemProps2.xml><?xml version="1.0" encoding="utf-8"?>
<ds:datastoreItem xmlns:ds="http://schemas.openxmlformats.org/officeDocument/2006/customXml" ds:itemID="{A0674E0F-4888-476A-8AD9-02BA9CE7F4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ceb17d-0fba-435f-a6ee-89a0276fe82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40AFD5B-B16B-4F8B-A2B7-8F418F1AF118}">
  <ds:schemaRefs>
    <ds:schemaRef ds:uri="http://purl.org/dc/elements/1.1/"/>
    <ds:schemaRef ds:uri="http://schemas.microsoft.com/office/2006/metadata/properties"/>
    <ds:schemaRef ds:uri="e2ceb17d-0fba-435f-a6ee-89a0276fe828"/>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Main Page</vt:lpstr>
      <vt:lpstr>data</vt:lpstr>
      <vt:lpstr>Pivot 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satyam</dc:creator>
  <cp:lastModifiedBy>satyam</cp:lastModifiedBy>
  <dcterms:created xsi:type="dcterms:W3CDTF">2025-04-13T17:42:27Z</dcterms:created>
  <dcterms:modified xsi:type="dcterms:W3CDTF">2025-04-16T10:18:13Z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0x01010067732D48218C9B4CB442B757140033AA</vt:lpwstr>
  </property>
</Properties>
</file>